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xampp\htdocs\Copy of SDN MS\v9-11-2026\SDN Monitoring System\uploads\fw4a\"/>
    </mc:Choice>
  </mc:AlternateContent>
  <xr:revisionPtr revIDLastSave="0" documentId="13_ncr:1_{2670D91D-69D2-43FA-884A-84E35BAEA944}" xr6:coauthVersionLast="47" xr6:coauthVersionMax="47" xr10:uidLastSave="{00000000-0000-0000-0000-000000000000}"/>
  <bookViews>
    <workbookView xWindow="690" yWindow="7305" windowWidth="27645" windowHeight="6375" firstSheet="12" activeTab="12" xr2:uid="{00000000-000D-0000-FFFF-FFFF00000000}"/>
  </bookViews>
  <sheets>
    <sheet name="Sheet17" sheetId="2" state="hidden" r:id="rId1"/>
    <sheet name="Free Wifi Locations" sheetId="3" state="hidden" r:id="rId2"/>
    <sheet name="FW4A Siargao Island - Site Stat" sheetId="4" state="hidden" r:id="rId3"/>
    <sheet name="FW4A Mainland Surigao - Site St" sheetId="5" state="hidden" r:id="rId4"/>
    <sheet name="PICS-Mun Free Wifi Locations" sheetId="6" state="hidden" r:id="rId5"/>
    <sheet name="Health" sheetId="7" state="hidden" r:id="rId6"/>
    <sheet name="Copy of Free Wifi Locations" sheetId="8" state="hidden" r:id="rId7"/>
    <sheet name="Copy of Copy of Free Wifi Locat" sheetId="9" state="hidden" r:id="rId8"/>
    <sheet name="List of Tablets Allocation" sheetId="10" state="hidden" r:id="rId9"/>
    <sheet name="City List of Health Station and" sheetId="11" state="hidden" r:id="rId10"/>
    <sheet name="Letter Request 2024-2025" sheetId="12" state="hidden" r:id="rId11"/>
    <sheet name="Letter Request 2026" sheetId="13" state="hidden" r:id="rId12"/>
    <sheet name="FW4A - Updated SDN Monitoring" sheetId="14" r:id="rId13"/>
    <sheet name="Starlink Locations" sheetId="15" state="hidden" r:id="rId14"/>
    <sheet name="FW4A - SDN PENETRATION" sheetId="16" state="hidden" r:id="rId15"/>
    <sheet name="NMS Credentials" sheetId="17" state="hidden" r:id="rId16"/>
    <sheet name="FW4A - SIARGAO DIVISION" sheetId="18" state="hidden" r:id="rId17"/>
    <sheet name="Graphs of Penetration" sheetId="19" state="hidden" r:id="rId18"/>
    <sheet name="Penetration Rate" sheetId="20" state="hidden" r:id="rId19"/>
    <sheet name="Starlink Data Capping Monitorin" sheetId="21" state="hidden" r:id="rId20"/>
    <sheet name="PMSIL" sheetId="22" state="hidden" r:id="rId21"/>
    <sheet name="PICS-MUN SDN Mainland" sheetId="23" state="hidden" r:id="rId22"/>
    <sheet name="PICS-MUN SDN Siargao" sheetId="24" state="hidden" r:id="rId23"/>
    <sheet name="RIS-WISPS" sheetId="25" state="hidden" r:id="rId24"/>
    <sheet name="RHU and Health Facilities" sheetId="26" state="hidden" r:id="rId25"/>
    <sheet name="Sheet10" sheetId="27" state="hidden" r:id="rId26"/>
    <sheet name="PICS-PP P3" sheetId="28" state="hidden" r:id="rId27"/>
    <sheet name="PIALEOS-Public Schools" sheetId="29" state="hidden" r:id="rId28"/>
    <sheet name="PICS-PP P2" sheetId="30" state="hidden" r:id="rId29"/>
    <sheet name="PICS SUC" sheetId="31" state="hidden" r:id="rId30"/>
    <sheet name="CoRe-FW4A _ UNDP-VSAT" sheetId="32" state="hidden" r:id="rId31"/>
    <sheet name="CoRe-FW4A _ Phase 4" sheetId="33" state="hidden" r:id="rId32"/>
    <sheet name="LGU-Brgy. with GIDA Status" sheetId="34" state="hidden" r:id="rId33"/>
    <sheet name="Copy of CoRe-FW4A _ Phase 4" sheetId="35" state="hidden" r:id="rId34"/>
    <sheet name="SDN_UNDP PHASE 3" sheetId="36" state="hidden" r:id="rId35"/>
    <sheet name="PICS-PP" sheetId="37" state="hidden" r:id="rId36"/>
    <sheet name="AVAILABLE EQUIPMENTS" sheetId="38" state="hidden" r:id="rId37"/>
    <sheet name="MONOPOLE TRACKER" sheetId="39" state="hidden" r:id="rId38"/>
    <sheet name="PDI_VSAT" sheetId="40" state="hidden" r:id="rId39"/>
    <sheet name="PDI_FPW Monitoring" sheetId="41" state="hidden" r:id="rId40"/>
    <sheet name="Sheet4" sheetId="42" state="hidden" r:id="rId41"/>
  </sheets>
  <definedNames>
    <definedName name="_xlnm._FilterDatabase" localSheetId="9" hidden="1">'City List of Health Station and'!$A$1:$G$272</definedName>
    <definedName name="_xlnm._FilterDatabase" localSheetId="14" hidden="1">'FW4A - SDN PENETRATION'!$A$1:$L$263</definedName>
    <definedName name="_xlnm._FilterDatabase" localSheetId="16" hidden="1">'FW4A - SIARGAO DIVISION'!$A$1:$F$275</definedName>
    <definedName name="_xlnm._FilterDatabase" localSheetId="3" hidden="1">'FW4A Mainland Surigao - Site St'!$A$1:$H$91</definedName>
    <definedName name="_xlnm._FilterDatabase" localSheetId="2" hidden="1">'FW4A Siargao Island - Site Stat'!$A$1:$G$86</definedName>
    <definedName name="_xlnm._FilterDatabase" localSheetId="5" hidden="1">Health!$A$1:$X$278</definedName>
    <definedName name="_xlnm._FilterDatabase" localSheetId="8" hidden="1">'List of Tablets Allocation'!$A$1:$G$276</definedName>
    <definedName name="_xlnm._FilterDatabase" localSheetId="13" hidden="1">'Starlink Locations'!$A$1:$L$63</definedName>
    <definedName name="Z_012BD945_ECF6_43B5_91D9_53F3D3DF376E_.wvu.FilterData" localSheetId="16" hidden="1">'FW4A - SIARGAO DIVISION'!$A$1:$G$303</definedName>
    <definedName name="Z_2D61354D_BC36_4952_979E_C0CD8AB54145_.wvu.FilterData" localSheetId="16" hidden="1">'FW4A - SIARGAO DIVISION'!$A$1:$G$288</definedName>
    <definedName name="Z_402489BC_933C_49AB_BD79_C5FD95C0BB66_.wvu.FilterData" localSheetId="16" hidden="1">'FW4A - SIARGAO DIVISION'!$A$1:$G$305</definedName>
    <definedName name="Z_428B87FD_4824_4EFD_BF5A_A5063AE795CB_.wvu.FilterData" localSheetId="9" hidden="1">'City List of Health Station and'!$A$1:$I$304</definedName>
    <definedName name="Z_428B87FD_4824_4EFD_BF5A_A5063AE795CB_.wvu.FilterData" localSheetId="5" hidden="1">Health!$J$1:$J$858</definedName>
    <definedName name="Z_428B87FD_4824_4EFD_BF5A_A5063AE795CB_.wvu.FilterData" localSheetId="8" hidden="1">'List of Tablets Allocation'!$A$1:$H$305</definedName>
    <definedName name="Z_877D9670_7082_4435_A97C_BD943AD43CDB_.wvu.FilterData" localSheetId="14" hidden="1">'FW4A - SDN PENETRATION'!$A$1:$L$570</definedName>
    <definedName name="Z_A4966ECC_B0BE_45E0_BE69_AEAAC16366C4_.wvu.FilterData" localSheetId="12" hidden="1">'FW4A - Updated SDN Monitoring'!$B$1:$B$2</definedName>
    <definedName name="Z_E8BD0E45_912F_43CC_80AF_EFF1AE6192B9_.wvu.FilterData" localSheetId="16" hidden="1">'FW4A - SIARGAO DIVISION'!$D$312</definedName>
    <definedName name="Z_ED4B4728_6B34_488A_9802_0DF5FCE8D6A3_.wvu.FilterData" localSheetId="8" hidden="1">'List of Tablets Allocation'!$A$1:$H$305</definedName>
    <definedName name="Z_F4E3690C_DC38_4FBD_AB9B_700D71818EFC_.wvu.FilterData" localSheetId="16" hidden="1">'FW4A - SIARGAO DIVISION'!$D$7:$D$236</definedName>
  </definedNames>
  <calcPr calcId="191029"/>
  <customWorkbookViews>
    <customWorkbookView name="SDN" guid="{877D9670-7082-4435-A97C-BD943AD43CDB}" maximized="1" windowWidth="0" windowHeight="0" activeSheetId="0"/>
    <customWorkbookView name="Number of Tablets" guid="{ED4B4728-6B34-488A-9802-0DF5FCE8D6A3}" maximized="1" windowWidth="0" windowHeight="0" activeSheetId="0"/>
    <customWorkbookView name="A to Z" guid="{A4966ECC-B0BE-45E0-BE69-AEAAC16366C4}" maximized="1" windowWidth="0" windowHeight="0" activeSheetId="0"/>
    <customWorkbookView name="Filter 2" guid="{2D61354D-BC36-4952-979E-C0CD8AB54145}" maximized="1" windowWidth="0" windowHeight="0" activeSheetId="0"/>
    <customWorkbookView name="Filter 5" guid="{402489BC-933C-49AB-BD79-C5FD95C0BB66}" maximized="1" windowWidth="0" windowHeight="0" activeSheetId="0"/>
    <customWorkbookView name="Filter 1" guid="{428B87FD-4824-4EFD-BF5A-A5063AE795CB}" maximized="1" windowWidth="0" windowHeight="0" activeSheetId="0"/>
    <customWorkbookView name="Active" guid="{F4E3690C-DC38-4FBD-AB9B-700D71818EFC}" maximized="1" windowWidth="0" windowHeight="0" activeSheetId="0"/>
    <customWorkbookView name="Filter 3" guid="{E8BD0E45-912F-43CC-80AF-EFF1AE6192B9}" maximized="1" windowWidth="0" windowHeight="0" activeSheetId="0"/>
    <customWorkbookView name="Filter 4" guid="{012BD945-ECF6-43B5-91D9-53F3D3DF376E}"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6" i="14" l="1"/>
  <c r="E155" i="14"/>
  <c r="E251" i="14"/>
  <c r="E254" i="14"/>
  <c r="E278" i="14"/>
  <c r="E283" i="14"/>
  <c r="E286" i="14"/>
  <c r="E289" i="14"/>
  <c r="E293" i="14"/>
  <c r="E358" i="14"/>
  <c r="E360" i="14"/>
  <c r="E362" i="14"/>
  <c r="E364" i="14"/>
  <c r="E370" i="14"/>
  <c r="E513" i="14"/>
  <c r="E529" i="14"/>
  <c r="E532" i="14"/>
  <c r="E571" i="14"/>
  <c r="E574" i="14"/>
  <c r="E577" i="14"/>
  <c r="E602" i="14"/>
  <c r="A3" i="42"/>
  <c r="H170" i="41"/>
  <c r="H169" i="41"/>
  <c r="H167" i="41"/>
  <c r="H166" i="41"/>
  <c r="H164" i="41"/>
  <c r="H161" i="41"/>
  <c r="H160" i="41"/>
  <c r="H158" i="41"/>
  <c r="H157" i="41"/>
  <c r="H155" i="41"/>
  <c r="H153" i="41"/>
  <c r="H147" i="41"/>
  <c r="H144" i="41"/>
  <c r="H141" i="41"/>
  <c r="H138" i="41"/>
  <c r="H135" i="41"/>
  <c r="H134" i="41"/>
  <c r="H132" i="41"/>
  <c r="H131" i="41"/>
  <c r="H129" i="41"/>
  <c r="H128" i="41"/>
  <c r="H126" i="41"/>
  <c r="H125" i="41"/>
  <c r="H123" i="41"/>
  <c r="H122" i="41"/>
  <c r="H120" i="41"/>
  <c r="H119" i="41"/>
  <c r="H116" i="41"/>
  <c r="H115" i="41"/>
  <c r="H112" i="41"/>
  <c r="H109" i="41"/>
  <c r="H107" i="41"/>
  <c r="H103" i="41"/>
  <c r="H100" i="41"/>
  <c r="H98" i="41"/>
  <c r="H94" i="41"/>
  <c r="H93" i="41"/>
  <c r="H92" i="41"/>
  <c r="H90" i="41"/>
  <c r="H89" i="41"/>
  <c r="H87" i="41"/>
  <c r="H86" i="41"/>
  <c r="H84" i="41"/>
  <c r="H83" i="41"/>
  <c r="H82" i="41"/>
  <c r="H80" i="41"/>
  <c r="H79" i="41"/>
  <c r="H78" i="41"/>
  <c r="H77" i="41"/>
  <c r="H76" i="41"/>
  <c r="H75" i="41"/>
  <c r="H73" i="41"/>
  <c r="H72" i="41"/>
  <c r="H70" i="41"/>
  <c r="H69" i="41"/>
  <c r="H67" i="41"/>
  <c r="H66" i="41"/>
  <c r="H64" i="41"/>
  <c r="H61" i="41"/>
  <c r="H59" i="41"/>
  <c r="H56" i="41"/>
  <c r="H55" i="41"/>
  <c r="H54" i="41"/>
  <c r="H53" i="41"/>
  <c r="H52" i="41"/>
  <c r="H51" i="41"/>
  <c r="H50" i="41"/>
  <c r="H49" i="41"/>
  <c r="H48" i="41"/>
  <c r="H47" i="41"/>
  <c r="H46" i="41"/>
  <c r="H45" i="41"/>
  <c r="H44" i="41"/>
  <c r="H43" i="41"/>
  <c r="H42" i="41"/>
  <c r="H41" i="41"/>
  <c r="H40" i="41"/>
  <c r="H39" i="41"/>
  <c r="H38" i="41"/>
  <c r="H37" i="41"/>
  <c r="H36" i="41"/>
  <c r="H35" i="41"/>
  <c r="H34" i="41"/>
  <c r="H32" i="41"/>
  <c r="H31" i="41"/>
  <c r="H29" i="41"/>
  <c r="H27" i="41"/>
  <c r="H24" i="41"/>
  <c r="H23" i="41"/>
  <c r="H20" i="41"/>
  <c r="H17" i="41"/>
  <c r="H14" i="41"/>
  <c r="H13" i="41"/>
  <c r="H11" i="41"/>
  <c r="H10" i="41"/>
  <c r="H9" i="41"/>
  <c r="H8" i="41"/>
  <c r="A3" i="41"/>
  <c r="A3" i="40"/>
  <c r="I6" i="37"/>
  <c r="I5" i="37"/>
  <c r="A3" i="37"/>
  <c r="F6" i="36"/>
  <c r="C6" i="36"/>
  <c r="F5" i="36"/>
  <c r="A3" i="36"/>
  <c r="K6" i="33"/>
  <c r="K5" i="33"/>
  <c r="A3" i="33"/>
  <c r="F6" i="32"/>
  <c r="F5" i="32"/>
  <c r="A3" i="32"/>
  <c r="K6" i="31"/>
  <c r="K5" i="31"/>
  <c r="A3" i="31"/>
  <c r="K6" i="30"/>
  <c r="K5" i="30"/>
  <c r="A3" i="30"/>
  <c r="K6" i="29"/>
  <c r="K5" i="29"/>
  <c r="A3" i="29"/>
  <c r="K6" i="28"/>
  <c r="K5" i="28"/>
  <c r="A3" i="28"/>
  <c r="K6" i="25"/>
  <c r="K5" i="25"/>
  <c r="A3" i="25"/>
  <c r="K5" i="24"/>
  <c r="A3" i="24"/>
  <c r="B5" i="23"/>
  <c r="A3" i="23"/>
  <c r="K6" i="22"/>
  <c r="K5" i="22"/>
  <c r="A3" i="22"/>
  <c r="B233" i="20"/>
  <c r="G232" i="20"/>
  <c r="G231" i="20"/>
  <c r="G230" i="20"/>
  <c r="G229" i="20"/>
  <c r="B224" i="20"/>
  <c r="G223" i="20"/>
  <c r="G222" i="20"/>
  <c r="G221" i="20"/>
  <c r="G220" i="20"/>
  <c r="B215" i="20"/>
  <c r="G214" i="20"/>
  <c r="G213" i="20"/>
  <c r="G212" i="20"/>
  <c r="G211" i="20"/>
  <c r="B207" i="20"/>
  <c r="G206" i="20"/>
  <c r="G205" i="20"/>
  <c r="G204" i="20"/>
  <c r="G203" i="20"/>
  <c r="B198" i="20"/>
  <c r="G197" i="20"/>
  <c r="G196" i="20"/>
  <c r="G195" i="20"/>
  <c r="G194" i="20"/>
  <c r="B189" i="20"/>
  <c r="G188" i="20"/>
  <c r="G187" i="20"/>
  <c r="G186" i="20"/>
  <c r="G185" i="20"/>
  <c r="B180" i="20"/>
  <c r="G178" i="20"/>
  <c r="G177" i="20"/>
  <c r="G176" i="20"/>
  <c r="G175" i="20"/>
  <c r="B170" i="20"/>
  <c r="G168" i="20"/>
  <c r="G167" i="20"/>
  <c r="G166" i="20"/>
  <c r="G165" i="20"/>
  <c r="B160" i="20"/>
  <c r="G159" i="20"/>
  <c r="G158" i="20"/>
  <c r="G157" i="20"/>
  <c r="G156" i="20"/>
  <c r="B151" i="20"/>
  <c r="G150" i="20"/>
  <c r="G149" i="20"/>
  <c r="G148" i="20"/>
  <c r="G147" i="20"/>
  <c r="B142" i="20"/>
  <c r="G141" i="20"/>
  <c r="G140" i="20"/>
  <c r="G139" i="20"/>
  <c r="G138" i="20"/>
  <c r="B133" i="20"/>
  <c r="G132" i="20"/>
  <c r="G131" i="20"/>
  <c r="G130" i="20"/>
  <c r="G129" i="20"/>
  <c r="B124" i="20"/>
  <c r="G123" i="20"/>
  <c r="G122" i="20"/>
  <c r="G121" i="20"/>
  <c r="G120" i="20"/>
  <c r="B115" i="20"/>
  <c r="G114" i="20"/>
  <c r="G113" i="20"/>
  <c r="G112" i="20"/>
  <c r="G111" i="20"/>
  <c r="B106" i="20"/>
  <c r="G105" i="20"/>
  <c r="G104" i="20"/>
  <c r="G103" i="20"/>
  <c r="G102" i="20"/>
  <c r="B97" i="20"/>
  <c r="G96" i="20"/>
  <c r="G95" i="20"/>
  <c r="G94" i="20"/>
  <c r="G93" i="20"/>
  <c r="B88" i="20"/>
  <c r="G87" i="20"/>
  <c r="G86" i="20"/>
  <c r="G85" i="20"/>
  <c r="G84" i="20"/>
  <c r="B79" i="20"/>
  <c r="G78" i="20"/>
  <c r="G77" i="20"/>
  <c r="G76" i="20"/>
  <c r="G75" i="20"/>
  <c r="B70" i="20"/>
  <c r="G68" i="20"/>
  <c r="G67" i="20"/>
  <c r="G66" i="20"/>
  <c r="G65" i="20"/>
  <c r="B60" i="20"/>
  <c r="G59" i="20"/>
  <c r="G58" i="20"/>
  <c r="G57" i="20"/>
  <c r="G56" i="20"/>
  <c r="B51" i="20"/>
  <c r="G50" i="20"/>
  <c r="G49" i="20"/>
  <c r="G48" i="20"/>
  <c r="G47" i="20"/>
  <c r="G38" i="20"/>
  <c r="G37" i="20"/>
  <c r="G36" i="20"/>
  <c r="B36" i="20"/>
  <c r="B40" i="20" s="1"/>
  <c r="G35" i="20"/>
  <c r="G27" i="20"/>
  <c r="G26" i="20"/>
  <c r="G25" i="20"/>
  <c r="B25" i="20"/>
  <c r="B29" i="20" s="1"/>
  <c r="G24" i="20"/>
  <c r="G16" i="20"/>
  <c r="G15" i="20"/>
  <c r="G14" i="20"/>
  <c r="B14" i="20"/>
  <c r="B18" i="20" s="1"/>
  <c r="G13" i="20"/>
  <c r="B58" i="19"/>
  <c r="V49" i="19"/>
  <c r="U49" i="19"/>
  <c r="T49" i="19"/>
  <c r="S49" i="19"/>
  <c r="R49" i="19"/>
  <c r="Q49" i="19"/>
  <c r="P49" i="19"/>
  <c r="O49" i="19"/>
  <c r="N49" i="19"/>
  <c r="M49" i="19"/>
  <c r="L49" i="19"/>
  <c r="K49" i="19"/>
  <c r="J49" i="19"/>
  <c r="I49" i="19"/>
  <c r="H49" i="19"/>
  <c r="G49" i="19"/>
  <c r="F49" i="19"/>
  <c r="E49" i="19"/>
  <c r="D49" i="19"/>
  <c r="C49" i="19"/>
  <c r="W48" i="19"/>
  <c r="W47" i="19"/>
  <c r="W46" i="19"/>
  <c r="W45" i="19"/>
  <c r="W44" i="19"/>
  <c r="W43" i="19"/>
  <c r="W42" i="19"/>
  <c r="W41" i="19"/>
  <c r="W40" i="19"/>
  <c r="W39" i="19"/>
  <c r="W38" i="19"/>
  <c r="W37" i="19"/>
  <c r="W36" i="19"/>
  <c r="W35" i="19"/>
  <c r="W34" i="19"/>
  <c r="W33" i="19"/>
  <c r="W32" i="19"/>
  <c r="W31" i="19"/>
  <c r="W30" i="19"/>
  <c r="W29" i="19"/>
  <c r="W28" i="19"/>
  <c r="V24" i="19"/>
  <c r="U24" i="19"/>
  <c r="T24" i="19"/>
  <c r="S24" i="19"/>
  <c r="R24" i="19"/>
  <c r="Q24" i="19"/>
  <c r="P24" i="19"/>
  <c r="O24" i="19"/>
  <c r="N24" i="19"/>
  <c r="M24" i="19"/>
  <c r="L24" i="19"/>
  <c r="K24" i="19"/>
  <c r="J24" i="19"/>
  <c r="I24" i="19"/>
  <c r="H24" i="19"/>
  <c r="G24" i="19"/>
  <c r="F24" i="19"/>
  <c r="E24" i="19"/>
  <c r="D24" i="19"/>
  <c r="C24" i="19"/>
  <c r="W23" i="19"/>
  <c r="W22" i="19"/>
  <c r="W21" i="19"/>
  <c r="W20" i="19"/>
  <c r="W19" i="19"/>
  <c r="W18" i="19"/>
  <c r="W17" i="19"/>
  <c r="W16" i="19"/>
  <c r="W15" i="19"/>
  <c r="W14" i="19"/>
  <c r="W13" i="19"/>
  <c r="W12" i="19"/>
  <c r="W11" i="19"/>
  <c r="W10" i="19"/>
  <c r="W9" i="19"/>
  <c r="W8" i="19"/>
  <c r="W7" i="19"/>
  <c r="W6" i="19"/>
  <c r="W5" i="19"/>
  <c r="W4" i="19"/>
  <c r="W3" i="19"/>
  <c r="F262" i="16"/>
  <c r="F258" i="16"/>
  <c r="F254" i="16"/>
  <c r="F251" i="16"/>
  <c r="F238" i="16"/>
  <c r="F234" i="16"/>
  <c r="F232" i="16"/>
  <c r="F229" i="16"/>
  <c r="F226" i="16"/>
  <c r="F220" i="16"/>
  <c r="F217" i="16"/>
  <c r="F214" i="16"/>
  <c r="F211" i="16"/>
  <c r="F202" i="16"/>
  <c r="F199" i="16"/>
  <c r="F197" i="16"/>
  <c r="F195" i="16"/>
  <c r="F193" i="16"/>
  <c r="F190" i="16"/>
  <c r="F185" i="16"/>
  <c r="F183" i="16"/>
  <c r="F180" i="16"/>
  <c r="A3" i="13"/>
  <c r="A3" i="12"/>
  <c r="G55" i="2"/>
  <c r="W49" i="19" l="1"/>
  <c r="W24" i="19"/>
</calcChain>
</file>

<file path=xl/sharedStrings.xml><?xml version="1.0" encoding="utf-8"?>
<sst xmlns="http://schemas.openxmlformats.org/spreadsheetml/2006/main" count="33253" uniqueCount="3902">
  <si>
    <t>District</t>
  </si>
  <si>
    <t>Barangay</t>
  </si>
  <si>
    <t>Locality</t>
  </si>
  <si>
    <t>Locations</t>
  </si>
  <si>
    <t>Capalayan</t>
  </si>
  <si>
    <t>Unique Location</t>
  </si>
  <si>
    <t>AP Locations</t>
  </si>
  <si>
    <t>Strategy</t>
  </si>
  <si>
    <t>Per AP</t>
  </si>
  <si>
    <t>Starlink Status</t>
  </si>
  <si>
    <t>AP Status</t>
  </si>
  <si>
    <t>Capalayan Elementary School</t>
  </si>
  <si>
    <t>Per Locations</t>
  </si>
  <si>
    <t>Burgos</t>
  </si>
  <si>
    <t>Site Type</t>
  </si>
  <si>
    <t>Poblacion 1</t>
  </si>
  <si>
    <t>Burgos Municipal Hall</t>
  </si>
  <si>
    <t>Capalayan National High School</t>
  </si>
  <si>
    <t>Lipata</t>
  </si>
  <si>
    <t>PNP Regional Training Center - Left Side Stage</t>
  </si>
  <si>
    <t>Remarks</t>
  </si>
  <si>
    <t>Burgos Municipal Hall - 1F Rightwing Hallway</t>
  </si>
  <si>
    <t>PICS MUN</t>
  </si>
  <si>
    <t>Rizal</t>
  </si>
  <si>
    <t>Bernardo Vasquez Memorial Center ES_Principals Office</t>
  </si>
  <si>
    <t>Rizal National High School_Principal's Office</t>
  </si>
  <si>
    <t>Alegria Rural Health Unit</t>
  </si>
  <si>
    <t>Rizal Barangay Hall_Lobby</t>
  </si>
  <si>
    <t>Rizal National High School,Grade-8 Building</t>
  </si>
  <si>
    <t>San Juan</t>
  </si>
  <si>
    <t>Caraga Regional Science High School - Middle Building</t>
  </si>
  <si>
    <t>LGU-HEALTH</t>
  </si>
  <si>
    <t>Caraga Regional Science High School - DTC</t>
  </si>
  <si>
    <t>San Juan Barangay Hall_Lobby</t>
  </si>
  <si>
    <t>San Juan Health Center_Lobby</t>
  </si>
  <si>
    <t>Taft</t>
  </si>
  <si>
    <t>Surigao City Boulevard</t>
  </si>
  <si>
    <t>Surigao Public Market_Left Wing</t>
  </si>
  <si>
    <t>Surigao Public Market_Right Wing</t>
  </si>
  <si>
    <t>Surigao Public Market_Middle</t>
  </si>
  <si>
    <t>Washington</t>
  </si>
  <si>
    <t>DepEd Surigao City Division - Entrance Area</t>
  </si>
  <si>
    <t>DICT Surigao del Norte Provincial Field Office - Entrance Area</t>
  </si>
  <si>
    <t>DICT Surigao del Norte Provincial Field Office - Training Center</t>
  </si>
  <si>
    <t>Burgos Municipal Hall - 1F Leftwing Hallway</t>
  </si>
  <si>
    <t>DICT Surigao del Norte Provincial Field Office- Conference Room</t>
  </si>
  <si>
    <t>Provincial Capitol_Front Main Building</t>
  </si>
  <si>
    <t>Provincial Capitol_Back Main Building</t>
  </si>
  <si>
    <t>Provincial Convention Center Right Side</t>
  </si>
  <si>
    <t>Burgos Municipal Hall - 2F Lobby</t>
  </si>
  <si>
    <t>Provincial Capitol Negosyo Center 3rd Floor Lobby</t>
  </si>
  <si>
    <t>Surigao City Science Elementary School - 2F Lobby</t>
  </si>
  <si>
    <t>Surigao City Gym</t>
  </si>
  <si>
    <t>Burgos Municipal Legislative Building</t>
  </si>
  <si>
    <t>Surigao City Hall - Lobby</t>
  </si>
  <si>
    <t>Surigao City Luneta Park</t>
  </si>
  <si>
    <t>Washington Brgy. Hall - Lobby, Surigao City</t>
  </si>
  <si>
    <t>Alegria</t>
  </si>
  <si>
    <t>Burgos Municipal Plaza</t>
  </si>
  <si>
    <t>Washington District Health Center and Birthing Facility - Lobby, Surigao</t>
  </si>
  <si>
    <t>Burgos Rural Health Unit</t>
  </si>
  <si>
    <t>Alegria Municipal Hall - 1F Right Wing</t>
  </si>
  <si>
    <t xml:space="preserve">Alegria Municipal Hall </t>
  </si>
  <si>
    <t>Fsta.</t>
  </si>
  <si>
    <t>Poblacion 1 Barangay Hall</t>
  </si>
  <si>
    <t>LGU-HALL</t>
  </si>
  <si>
    <t>RIS-PICS MUN</t>
  </si>
  <si>
    <t>Dapa</t>
  </si>
  <si>
    <t>Poblacion 6</t>
  </si>
  <si>
    <t>Dapa Municipal Hall</t>
  </si>
  <si>
    <t>Dapa Municipal Hall - 1F Lobby</t>
  </si>
  <si>
    <t>Name</t>
  </si>
  <si>
    <t>Contact Number</t>
  </si>
  <si>
    <t>Old Tribunal Building - 2F Lobby</t>
  </si>
  <si>
    <t>Dapa Legislative Building</t>
  </si>
  <si>
    <t>Email Address</t>
  </si>
  <si>
    <t>Poblacion 9</t>
  </si>
  <si>
    <t>Dapa  Bus and Jeepney Terminal</t>
  </si>
  <si>
    <t>Dapa Passengers Port Terminal</t>
  </si>
  <si>
    <t>General Luna</t>
  </si>
  <si>
    <t>Dapa Boulevard</t>
  </si>
  <si>
    <t>Del Carmen</t>
  </si>
  <si>
    <t>Mabuhay</t>
  </si>
  <si>
    <t>Consuelo Brgy. Hall_Lobby</t>
  </si>
  <si>
    <t xml:space="preserve">Del Carmen Municipal Hall </t>
  </si>
  <si>
    <t>Del Carmen Municipal Hall - 1F Annex A Left Wing,</t>
  </si>
  <si>
    <t>Del Carmen Municipal Hall - 1F Annex A Right Wing</t>
  </si>
  <si>
    <t>Alegria Municipal Hall -  1F Left Wing</t>
  </si>
  <si>
    <t>Del Carmen Municipal Hall - 1F Annex B Lobby</t>
  </si>
  <si>
    <t>Active</t>
  </si>
  <si>
    <t>Del Carmen Municipal Hall - 1F Annex B Right Wing</t>
  </si>
  <si>
    <t>Alegria Municipal Hall - 2F Lobby</t>
  </si>
  <si>
    <t>Del Carmen Rural Health Unit</t>
  </si>
  <si>
    <t>Eldesa E. Javier
Jessie B. Tokong</t>
  </si>
  <si>
    <t>Del Carmen DRRM Building</t>
  </si>
  <si>
    <t>9260446480
09667625313</t>
  </si>
  <si>
    <t>Alegria Transport Terminal</t>
  </si>
  <si>
    <t>Poblacion 2</t>
  </si>
  <si>
    <t>General Luna Municipal Hall</t>
  </si>
  <si>
    <t>TRM-LAND</t>
  </si>
  <si>
    <t>General Luna Municipal Hall - 1F Lobby</t>
  </si>
  <si>
    <t>General Luna Municipal Hall - 1F Conference Hall</t>
  </si>
  <si>
    <t>Alegria Municipal Plaza</t>
  </si>
  <si>
    <t>PLZ</t>
  </si>
  <si>
    <t>General Luna Municipal Hall - 2F Lobby</t>
  </si>
  <si>
    <t>Bacuag Municipal Hall - 1F Left Wing Outside Area</t>
  </si>
  <si>
    <t>General Luna Tourism Bldg</t>
  </si>
  <si>
    <t>General Luna Tourism Bldg - Convergence</t>
  </si>
  <si>
    <t>Bacuag Municipal Hall</t>
  </si>
  <si>
    <t>General Luna Municipal Plaza</t>
  </si>
  <si>
    <t>Siargao Island Medical Center_Lobby</t>
  </si>
  <si>
    <t>General Luna Rural Health Unit</t>
  </si>
  <si>
    <t>Nelmar Tokong Montederamos</t>
  </si>
  <si>
    <t>Pilar</t>
  </si>
  <si>
    <t>Centro (Pob)</t>
  </si>
  <si>
    <t>Pilar Municipal Hall</t>
  </si>
  <si>
    <t>Pilar Municipal Hall - 1F Lobby</t>
  </si>
  <si>
    <t>Bacuag</t>
  </si>
  <si>
    <t>Pilar Municipal Legislative Building</t>
  </si>
  <si>
    <t>Pilar Municipal Legislative Building - 1F Lobby</t>
  </si>
  <si>
    <t>Bacuag Municipal Hall - 1F Right Wing Hallway Area</t>
  </si>
  <si>
    <t>Pilar Municipal Legislative Building - 2F Lobby</t>
  </si>
  <si>
    <t>Pilar Municipal Plaza</t>
  </si>
  <si>
    <t>Pilar Municipal Plaza - Outside MSWD Building Facing Rizal Park</t>
  </si>
  <si>
    <t>Bacuag Municipal Hall - 2F Lobby</t>
  </si>
  <si>
    <t>Pilar Rural Health Unit</t>
  </si>
  <si>
    <t>Bucuag Octopus Islet Adventure</t>
  </si>
  <si>
    <t>Centro Poblacion Brgy. Hall</t>
  </si>
  <si>
    <t>LGU-TOUR</t>
  </si>
  <si>
    <t>Siargao Island Medical Center_OPD</t>
  </si>
  <si>
    <t>Bacuag Rural Health Unit</t>
  </si>
  <si>
    <t>Bacuag Municipal Plaza</t>
  </si>
  <si>
    <t>Pilar Gymnasium</t>
  </si>
  <si>
    <t>Claver Municipal Hall - 1F Lobby</t>
  </si>
  <si>
    <t xml:space="preserve">Claver Municipal Hall </t>
  </si>
  <si>
    <t>Siargao Island Medical Center_ER</t>
  </si>
  <si>
    <t>Claver</t>
  </si>
  <si>
    <t>Bagakay Barangay Hall_Lobby</t>
  </si>
  <si>
    <t>Claver Municipal Hall  - 2F Lobby</t>
  </si>
  <si>
    <t>Bernardita C. Escopete
Nenita E. Ruaya</t>
  </si>
  <si>
    <t>San Isidro</t>
  </si>
  <si>
    <t>Del Carmen (Pob.)</t>
  </si>
  <si>
    <t>9106802330
09317282289</t>
  </si>
  <si>
    <t xml:space="preserve">San Isidro Municipal Hall </t>
  </si>
  <si>
    <t>raymondsumandu430@gmail.com</t>
  </si>
  <si>
    <t>Claver Municipal Hall - Engineering Building</t>
  </si>
  <si>
    <t>San Isidro Municipal Hall -1F Lobby</t>
  </si>
  <si>
    <t>Claver Municipal Plaza</t>
  </si>
  <si>
    <t>San Isidro Municipal Hall -2F Lobby</t>
  </si>
  <si>
    <t>Numancia Central Elementary School</t>
  </si>
  <si>
    <t>Claver Public Market</t>
  </si>
  <si>
    <t>MKT</t>
  </si>
  <si>
    <t>Marvic P. Gastronuevo</t>
  </si>
  <si>
    <t>San Isidro Rural Health Unit</t>
  </si>
  <si>
    <t>Bagakay Barangay Hall</t>
  </si>
  <si>
    <t>LGU-BRGY</t>
  </si>
  <si>
    <t>Caridad Elementary School_Left Wing Building</t>
  </si>
  <si>
    <t>San Isidro Super Health Center</t>
  </si>
  <si>
    <t>San Isidro Legislative Building</t>
  </si>
  <si>
    <t>Gigaguit New Municipal Hall Bldg - 1F Lobby</t>
  </si>
  <si>
    <t>Gigaguit New Municipal Hall Bldg</t>
  </si>
  <si>
    <t>Pilar District Hospital_Lobby</t>
  </si>
  <si>
    <t>Riddille T. Noynay
Joel Tesiorna</t>
  </si>
  <si>
    <t>9175700485
09952247259</t>
  </si>
  <si>
    <t>San Isidro Municipal Plaza</t>
  </si>
  <si>
    <t>San Benito</t>
  </si>
  <si>
    <t>Sta. Cruz Brgy. Hall_Lobby</t>
  </si>
  <si>
    <t>Gigaquit</t>
  </si>
  <si>
    <t>San Isidro Gymnasium</t>
  </si>
  <si>
    <t>Gigaguit New Municipal Hall Bldg - 1F Left Wing</t>
  </si>
  <si>
    <t>San Benito GYM_Entrance Area</t>
  </si>
  <si>
    <t>Ren Saroay Menil</t>
  </si>
  <si>
    <t>Santa Cruz</t>
  </si>
  <si>
    <t xml:space="preserve">San Benito Municipal Hall </t>
  </si>
  <si>
    <t>Gigaguit New Municipal Hall Bldg - 2F Lobby</t>
  </si>
  <si>
    <t>San Benito Municipal Hall - 1F Lobby</t>
  </si>
  <si>
    <t>Sta. Monica</t>
  </si>
  <si>
    <t>Gigaquit Municipal Plaza</t>
  </si>
  <si>
    <t>San Benito Municipal Hall - Tech4ED Center: San Benito</t>
  </si>
  <si>
    <t>Sta. Monica Rural Health Unit_Lobby</t>
  </si>
  <si>
    <t>San Benito Municipal Hall -2F Left Wing</t>
  </si>
  <si>
    <t>Gigaquit Old Municipal Hall 1F Lobby</t>
  </si>
  <si>
    <t>Gigaquit Old Municipal Hall</t>
  </si>
  <si>
    <t>Talisay</t>
  </si>
  <si>
    <t>Gigaquit Ipil Brgy. Hall</t>
  </si>
  <si>
    <t>Jean Tan</t>
  </si>
  <si>
    <t>San Benito Municipal Hall (Old Building)</t>
  </si>
  <si>
    <t>San Benito Municipal Hall (Old Building) - Tourism Assistance Center.</t>
  </si>
  <si>
    <t>Mainit Municipal Hall - 1F Lobby</t>
  </si>
  <si>
    <t>Sta. Monica Municipal Police station_Lobby</t>
  </si>
  <si>
    <t xml:space="preserve">Mainit Municipal Hall </t>
  </si>
  <si>
    <t>Poblacion</t>
  </si>
  <si>
    <t>San Benito Municipal Plaza</t>
  </si>
  <si>
    <t>Sta. Monica Municipal GYM</t>
  </si>
  <si>
    <t>Gilbert Samontina</t>
  </si>
  <si>
    <t>San Benito Rural Health Unit</t>
  </si>
  <si>
    <t>Socorro</t>
  </si>
  <si>
    <t>Socorro Central Elementary School</t>
  </si>
  <si>
    <t>Mainit</t>
  </si>
  <si>
    <t>Inactive</t>
  </si>
  <si>
    <t>Julius D. Taro</t>
  </si>
  <si>
    <t>Mainit New Municipal Bldg - 1F Lobby(Tech4Ed Center)</t>
  </si>
  <si>
    <t>Don Albino Taruc Memorial Central Elementary School</t>
  </si>
  <si>
    <t>Mainit New Municipal Bldg - 2F Lobby</t>
  </si>
  <si>
    <t>Talisay Barangay Hall</t>
  </si>
  <si>
    <t>Mainit National High School</t>
  </si>
  <si>
    <t>Talisay Barangay Hall - Lobby</t>
  </si>
  <si>
    <t>PHS</t>
  </si>
  <si>
    <t>Mainit Municipal Plaza</t>
  </si>
  <si>
    <t>Quezon Brgy. Hall, Mainit</t>
  </si>
  <si>
    <t>T. Arlan</t>
  </si>
  <si>
    <t>Sta. Monica Municipal Hall</t>
  </si>
  <si>
    <t>Gamuton</t>
  </si>
  <si>
    <t>Placer Municipal Hall - 1F Hallway</t>
  </si>
  <si>
    <t xml:space="preserve">Placer Municipal Hall </t>
  </si>
  <si>
    <t>Sta. Monica Municipal Hall - Rightwing Hallway</t>
  </si>
  <si>
    <t>Placer</t>
  </si>
  <si>
    <t>Sta. Monica Municipal Hall - 1F Leftwing Hallway</t>
  </si>
  <si>
    <t>Placer Municipal Hall - 1F Left Wing</t>
  </si>
  <si>
    <t>Sta. Monica Municipal Hall - 2F Lobby</t>
  </si>
  <si>
    <t>Placer Municipal Hall - 2F Entrance Area</t>
  </si>
  <si>
    <t>Magsaysay Brgy. Hall, Placer</t>
  </si>
  <si>
    <t>Sta. Monica Municipal Legislative Building</t>
  </si>
  <si>
    <t>Placer Rural Health Unit</t>
  </si>
  <si>
    <t>Sta. Monica Public Park and Recreation Center</t>
  </si>
  <si>
    <t>Placer Municipal Plaza</t>
  </si>
  <si>
    <t>San Francisco Municipal Hall - 2F Lobby</t>
  </si>
  <si>
    <t>Sapao Central Elementary School</t>
  </si>
  <si>
    <t>San Francisco Municipal Hall</t>
  </si>
  <si>
    <t>San Francisco</t>
  </si>
  <si>
    <t xml:space="preserve">Mabuhay Barangay Hall </t>
  </si>
  <si>
    <t>Mabuhay Barangay Hall - Lobby</t>
  </si>
  <si>
    <t>Municipality/Cities</t>
  </si>
  <si>
    <t>San Francisco Municipal Hall - Old Building</t>
  </si>
  <si>
    <t>Bacuag Octopus Islet Adventure</t>
  </si>
  <si>
    <t>STATUS FOR MOV</t>
  </si>
  <si>
    <t>San Francisco Legislative Building</t>
  </si>
  <si>
    <t>Agricultural Building</t>
  </si>
  <si>
    <t>LGU-OTHERS</t>
  </si>
  <si>
    <t>Agricultural Building Lobby</t>
  </si>
  <si>
    <t>REMARKS</t>
  </si>
  <si>
    <t>Navarro</t>
  </si>
  <si>
    <t xml:space="preserve">Socorro Legislative Bldg </t>
  </si>
  <si>
    <t>San Francisco Women's Center</t>
  </si>
  <si>
    <t>Installation of FPW in Surigao Public Market</t>
  </si>
  <si>
    <t xml:space="preserve">Socorro Municipal Hall </t>
  </si>
  <si>
    <t>San Francisco Municipal Plaza</t>
  </si>
  <si>
    <t>Socorro Municipal Hall - 2F Lobby</t>
  </si>
  <si>
    <t>San Francisco National High School</t>
  </si>
  <si>
    <t>Socorro Rural Health Center</t>
  </si>
  <si>
    <t>Socorro Municipal Hall (Extension Building)</t>
  </si>
  <si>
    <t>Tayaga</t>
  </si>
  <si>
    <t>Sison Municipal Hall - 1F Lobby</t>
  </si>
  <si>
    <t xml:space="preserve">Sison Municipal Hall </t>
  </si>
  <si>
    <t>Socorro Municipal Plaza</t>
  </si>
  <si>
    <t>Socorro Port Terminal</t>
  </si>
  <si>
    <t>Socorro Women's Center</t>
  </si>
  <si>
    <t>Sison</t>
  </si>
  <si>
    <t>Sta. Fe</t>
  </si>
  <si>
    <t>Sta. Fe Barangay Hall</t>
  </si>
  <si>
    <t>Sta. Fe Barangay Hall_Lobby</t>
  </si>
  <si>
    <t>RIS-WISPS</t>
  </si>
  <si>
    <t>Sison Municipal Hall - 2F Lobby</t>
  </si>
  <si>
    <t>Sta. Fe Elementary School</t>
  </si>
  <si>
    <t>Sta. Fe Elementary School_Left Wing</t>
  </si>
  <si>
    <t>Brgy. 12</t>
  </si>
  <si>
    <t>Sison Rural Health Unit</t>
  </si>
  <si>
    <t xml:space="preserve">Catabaan Elementary School </t>
  </si>
  <si>
    <t>Surigao City</t>
  </si>
  <si>
    <t>Catabaan Elementary School - Principal's Office</t>
  </si>
  <si>
    <t>Civil Service Commission Field Office Surigao del Norte</t>
  </si>
  <si>
    <t>NGA</t>
  </si>
  <si>
    <t>Sison Municipal Plaza</t>
  </si>
  <si>
    <t>Catabaan Elementary School - Left Wing Bldg.</t>
  </si>
  <si>
    <t>San Pedro Brgy. Hall</t>
  </si>
  <si>
    <t>Barangay 12</t>
  </si>
  <si>
    <t>Barangay 12 Hall</t>
  </si>
  <si>
    <t>Barangay 12 Hall - Lobby</t>
  </si>
  <si>
    <t>Cambas-ac</t>
  </si>
  <si>
    <t>Cambas-ac Barangay Hall</t>
  </si>
  <si>
    <t>Tagana-an Municipal Hall - 1F Right Wing</t>
  </si>
  <si>
    <t>Cambas-ac Barangay Hall - Lobby</t>
  </si>
  <si>
    <t>Tagana-an Municipal Hall</t>
  </si>
  <si>
    <t>Bagakay</t>
  </si>
  <si>
    <t>Cambas-ac Elementary School</t>
  </si>
  <si>
    <t>Cambas-ac Elementary School - Left Wing Bldg.</t>
  </si>
  <si>
    <t>Katipunan</t>
  </si>
  <si>
    <t>Katipunan Barangay Hall</t>
  </si>
  <si>
    <t>Yes</t>
  </si>
  <si>
    <t>Katipunan Barangay Hall - Lobby</t>
  </si>
  <si>
    <t>Ipil</t>
  </si>
  <si>
    <t>Tagana-an</t>
  </si>
  <si>
    <t>Katipunan Elementary School</t>
  </si>
  <si>
    <t>Katipunan Elementary School - Right Wing Bldg.</t>
  </si>
  <si>
    <t>Esperanza</t>
  </si>
  <si>
    <t>Esperanza barangay Hall</t>
  </si>
  <si>
    <t>Provision of Internet Connectivity for (BOSS) and Installation of permanent AP</t>
  </si>
  <si>
    <t>Esperanza barangay Hall - Lobby</t>
  </si>
  <si>
    <t>Tagana-an Municipal Hall - 1F Left Wing</t>
  </si>
  <si>
    <t>Buhing Kalipay</t>
  </si>
  <si>
    <t xml:space="preserve">Buhing Kalipay Barangay Hall </t>
  </si>
  <si>
    <t>Buhing Calipay Barangay Hall - Dancing Hall</t>
  </si>
  <si>
    <t>Tagana-an Municipal Hall - 2F Lobby</t>
  </si>
  <si>
    <t xml:space="preserve">Buhing Kalipay Elementary School </t>
  </si>
  <si>
    <t>Buhing Calipay Elementary School - Left Wing Bldg.</t>
  </si>
  <si>
    <t>Tagana-an Rural Health Unit</t>
  </si>
  <si>
    <t>San Miguel</t>
  </si>
  <si>
    <t>San Miguel Barangay Hall</t>
  </si>
  <si>
    <t>Jubang</t>
  </si>
  <si>
    <t>Jubang Barangay Hall</t>
  </si>
  <si>
    <t>Jubang Barangay Hall_Lobby</t>
  </si>
  <si>
    <t>PICS-PP P3</t>
  </si>
  <si>
    <t>Tagana-an Municipal Park</t>
  </si>
  <si>
    <t>Jubang Multipurpose Hall</t>
  </si>
  <si>
    <t>Jubang Multipurpose Hall_Stage</t>
  </si>
  <si>
    <t>Sampaguita Brgy. Hall</t>
  </si>
  <si>
    <t>Jubang Elementary School</t>
  </si>
  <si>
    <t>Jubang Elementary School_ New Building Lobby</t>
  </si>
  <si>
    <t>Restoration of FPW in San Miguel BH</t>
  </si>
  <si>
    <t>Tubod Municipal Hall - 1F Lobby</t>
  </si>
  <si>
    <t>Sayak</t>
  </si>
  <si>
    <t>Tubod Municipal</t>
  </si>
  <si>
    <t>Siargao Airport</t>
  </si>
  <si>
    <t>Siargao Airport_Arrival</t>
  </si>
  <si>
    <t>Siargao Airport_Security Building</t>
  </si>
  <si>
    <t>Tubod</t>
  </si>
  <si>
    <t>Siargao Airport_Departure Right Wing</t>
  </si>
  <si>
    <t>Quezon</t>
  </si>
  <si>
    <t>Tubod Municipal Hall - 2F Lobby</t>
  </si>
  <si>
    <t>Siargao Airport_Departure Left Wing</t>
  </si>
  <si>
    <t>Restoration of FPW in Bagakay BH</t>
  </si>
  <si>
    <t>Cabawa</t>
  </si>
  <si>
    <t>Tubod National High School - Stage Area</t>
  </si>
  <si>
    <t>Cabawa Barangay Hall</t>
  </si>
  <si>
    <t xml:space="preserve">Tubod National High School </t>
  </si>
  <si>
    <t>Cabawa Barangay Hall_Lobby</t>
  </si>
  <si>
    <t>San Pablo Brgy. Hall, Tubod</t>
  </si>
  <si>
    <t>Cabawa Covered Court_Left Wing</t>
  </si>
  <si>
    <t>San Pablo Brgy. Hall</t>
  </si>
  <si>
    <t>Cabawa Elementary School</t>
  </si>
  <si>
    <t>Tubod Rural Health Unit</t>
  </si>
  <si>
    <t>Cabawa Elementary School_New Building Lobby</t>
  </si>
  <si>
    <t>Installation of FPW in Pilar Gymnasium</t>
  </si>
  <si>
    <t>Cabawa Elementary School_Old Building Lobby</t>
  </si>
  <si>
    <t>Tubod Municipal Plaza</t>
  </si>
  <si>
    <t>Magpayang</t>
  </si>
  <si>
    <t>Conforme Letter</t>
  </si>
  <si>
    <t>Barangay 6</t>
  </si>
  <si>
    <t>DICT Surigao del Norte Provincial Field Office</t>
  </si>
  <si>
    <t>Dapa National High School</t>
  </si>
  <si>
    <t>PIALEOS-Public Schools</t>
  </si>
  <si>
    <t>PFO</t>
  </si>
  <si>
    <t>Restoration of FPW in Catabaan ES</t>
  </si>
  <si>
    <t>Siargao National Science High School</t>
  </si>
  <si>
    <t>Union</t>
  </si>
  <si>
    <t>Dapa New Governement Center_Legislative Building</t>
  </si>
  <si>
    <t>Magsaysay</t>
  </si>
  <si>
    <t>Dapa New Governement Center_Municipal Building</t>
  </si>
  <si>
    <t>Magsaysay Barangay Hall</t>
  </si>
  <si>
    <t xml:space="preserve">Site Survey PICS-RoRo </t>
  </si>
  <si>
    <t>Barangay 1</t>
  </si>
  <si>
    <t>Barangay 1 Hall</t>
  </si>
  <si>
    <t>PMSIL</t>
  </si>
  <si>
    <t>Magsaysay Barangay Hall - Lobby</t>
  </si>
  <si>
    <t>Barangay 2</t>
  </si>
  <si>
    <t>Alternative Learning System (ALS) Office</t>
  </si>
  <si>
    <t>Site Survey PICS-RoRo</t>
  </si>
  <si>
    <t>Barangay 3</t>
  </si>
  <si>
    <t>Washington Brgy. Hall</t>
  </si>
  <si>
    <t>Barangay 3 Hall</t>
  </si>
  <si>
    <t>Restoration of FPW in Consolacion BH</t>
  </si>
  <si>
    <t>Washington District Health Center and Birthing Facility</t>
  </si>
  <si>
    <t>Restoraition of FPW in Consolacion BH</t>
  </si>
  <si>
    <t>Surigao City Science Elementary School</t>
  </si>
  <si>
    <t>PES</t>
  </si>
  <si>
    <t>Installation of UPS and Temporary Starlink in Socorro District Hospital</t>
  </si>
  <si>
    <t>Central</t>
  </si>
  <si>
    <t>DepEd Surigao City Division</t>
  </si>
  <si>
    <t>Malimono Municipal Hall - 1F Left Wing</t>
  </si>
  <si>
    <t>Malimono Municipal Hall</t>
  </si>
  <si>
    <t>Recovery and Installation of replacement UPS in Socorro NHS</t>
  </si>
  <si>
    <t>Malimono</t>
  </si>
  <si>
    <t>RP DOCS</t>
  </si>
  <si>
    <t>Malimono Municipal Hall - 1F Right Wing</t>
  </si>
  <si>
    <t>Installation  of FPW in Socorro Central ES</t>
  </si>
  <si>
    <t>Malimono Municipal Hall - 2F Hallway</t>
  </si>
  <si>
    <t>UAT</t>
  </si>
  <si>
    <t>San Isidro Brgy. Hall, Malimono</t>
  </si>
  <si>
    <t>San Isidro Brgy. Hall</t>
  </si>
  <si>
    <t>NO UAT</t>
  </si>
  <si>
    <t>Malimono Municipal Plaza</t>
  </si>
  <si>
    <t>Malimono Rural Health Unit</t>
  </si>
  <si>
    <t>Installation of FPW in Don Albino Taruc Mem. Central ES</t>
  </si>
  <si>
    <t>Engagement with Sta. Fe BH for FPW installation</t>
  </si>
  <si>
    <t xml:space="preserve">Burgos </t>
  </si>
  <si>
    <t>NO MOV</t>
  </si>
  <si>
    <t>Engagement with Siargao Island Medical Center for FPW installation</t>
  </si>
  <si>
    <t>San Francisco (SDN)</t>
  </si>
  <si>
    <t>Installation and Activation of FPW in Siargao Island Medical Center with three (3) access points</t>
  </si>
  <si>
    <t>Installation and Activation of FPW in Siargao Island Medical Center with theree (3) access points</t>
  </si>
  <si>
    <t>Drop off of Communication Box and UPS under PICS-PP Phase 2 and RIS-WISPS to its locations</t>
  </si>
  <si>
    <t>Mainland Siargao</t>
  </si>
  <si>
    <t>Activation of FPW in Surigao City Public Market</t>
  </si>
  <si>
    <t>Banbanon</t>
  </si>
  <si>
    <t>Installation of FPW in Surigao del Norte Provincial Hospital</t>
  </si>
  <si>
    <t>San Pedro</t>
  </si>
  <si>
    <t>Site Survey, Installation and Activation of FPW in Surigao del Norte Provincial Hospital</t>
  </si>
  <si>
    <t>Engagement with MDRR - General Luna for the propose conduct of CapDev Training for Site Coordinators and MDRR personnels</t>
  </si>
  <si>
    <t>TRM-SEA</t>
  </si>
  <si>
    <t>No</t>
  </si>
  <si>
    <t>Installation of FPW in Sta. Fe BH and extended to Sta. Fe ES via IP Radio</t>
  </si>
  <si>
    <t>Sampaguita</t>
  </si>
  <si>
    <t>Restoration of FPW in San Isidro National High School</t>
  </si>
  <si>
    <t>Installation of Communication Box and UPS in San Isidro NHS</t>
  </si>
  <si>
    <t>Restoration of VSAT in MDRR - San Isidro</t>
  </si>
  <si>
    <t>San Pablo</t>
  </si>
  <si>
    <t>Transfer of CPE's to temporary box due to ongoing renovation of Buhing Calipay BH and replacement of new Switch</t>
  </si>
  <si>
    <t>NO MOV, UAT</t>
  </si>
  <si>
    <t>Installation of Communication Box and UPS in Bagakay Brgy. Hall</t>
  </si>
  <si>
    <t>Installation of Communication Box and UPS in Roxas National High School</t>
  </si>
  <si>
    <t>Installation of Communication Box and Replacement of Switch in Katipunan Barangay Hall</t>
  </si>
  <si>
    <t>Installation of Communication Box and UPS in Del Carmen National High School</t>
  </si>
  <si>
    <t>Temporary Installation of Communication Box due to the construction of New Bitoon Brgy. Hall</t>
  </si>
  <si>
    <t>Washington District Health Center and Birthing Facility - Lobby</t>
  </si>
  <si>
    <t>Installation of Communication Box and UPS in Cabugao Barangay Hall</t>
  </si>
  <si>
    <t>San Juan Barangay Hall</t>
  </si>
  <si>
    <t>Installation of Communication Box and UPS in General Luna National High School</t>
  </si>
  <si>
    <t>Installation of Communication Box and UPS in Cloud 9</t>
  </si>
  <si>
    <t>San Juan Barangay Health Center</t>
  </si>
  <si>
    <t>San Juan Barangay Health Center_Lobby</t>
  </si>
  <si>
    <t>Installation of Communication Box and UPS in Sta. Fe Barangay Hall</t>
  </si>
  <si>
    <t>Installation of Communication Box and replacement of switch in Catabaan Elementary School</t>
  </si>
  <si>
    <t>Coordination Meeting with Brgy Lipata, UN-Habitat, LGU for Badjao SVSI Initiative</t>
  </si>
  <si>
    <t>Installation of Commbox and UPS in Siargao Island Medical Center</t>
  </si>
  <si>
    <t>Installation of Commbox and UPS in Consuelo Elementary School</t>
  </si>
  <si>
    <t>Installation of Commbox and UPS in Burgos National High School</t>
  </si>
  <si>
    <t>Installation of Commbox and UPS in Matin.ao Barangay Hall</t>
  </si>
  <si>
    <t>Installation of Additional FPW Access Point in Sta. Monica Agricultural Office Building</t>
  </si>
  <si>
    <t>No UAT, Conforme</t>
  </si>
  <si>
    <t>Installation of Commbox and UPS in Sta. Monica Rural Health Unit</t>
  </si>
  <si>
    <t>Caraga Regional Science High School</t>
  </si>
  <si>
    <t>Installation of Commbox and UPS in San Benito Elementary School</t>
  </si>
  <si>
    <t>Installation of Commbox and UPS in San Benito National High School</t>
  </si>
  <si>
    <t xml:space="preserve">PNP Regional Training Center </t>
  </si>
  <si>
    <t>PNP Regional Training Center - Caraga</t>
  </si>
  <si>
    <t>Rizal National High School</t>
  </si>
  <si>
    <t>Installation of Commbox and UPS in Caridad National HIgh School</t>
  </si>
  <si>
    <t>Rizal National High School - Principal's Office</t>
  </si>
  <si>
    <t>Installation of Commbox and UPS in Pilar Central Elementary School</t>
  </si>
  <si>
    <t>Rizal Barangay Hall</t>
  </si>
  <si>
    <t>NO MOV, NO UAT FOR COMMBOX</t>
  </si>
  <si>
    <t>Installation of Commbox and replacement of switch in Cambas-ac Barangay Hall</t>
  </si>
  <si>
    <t>Bernardo Vasquez Memorial Center ES</t>
  </si>
  <si>
    <t>Free Wi-Fi for All | Basic Configuration and Setup of Routers and Access Points (Hands-on)</t>
  </si>
  <si>
    <t>Surigao City Gym - Middle Part</t>
  </si>
  <si>
    <t>Installation of Free Public WiFi under PICS-PP Phase 3 in Jubang Multipurpose Hall (1 AP)</t>
  </si>
  <si>
    <t xml:space="preserve">Surigao City Hall </t>
  </si>
  <si>
    <t>Free Wi-Fi for All | Introduction to Fixed Wireless Network (Lecture)</t>
  </si>
  <si>
    <t>Installation of Free Public WiFi under PICS-PP Phase 3 in  Jubang Elementary School (1 AP)</t>
  </si>
  <si>
    <t>Provincial Capitol</t>
  </si>
  <si>
    <t>Free Wi-Fi for All | Configuration and Setup of IP Radio's (Hands-on)</t>
  </si>
  <si>
    <t>Installation of Free Public WiFi under PICS-PP Phase 3 in Siargao Airport (4 AP)</t>
  </si>
  <si>
    <t>Site Inspection of FPW Sites in Jubang BH and Jubang Elementary School</t>
  </si>
  <si>
    <t>Negosyo Center 3rd Floor Lobby</t>
  </si>
  <si>
    <t>Free Wi-Fi for All | Step-by-Step Configuration and Setup for VSAT and Starlink Systems</t>
  </si>
  <si>
    <t>Site Inspection of FPW Sites in Siargao Airport</t>
  </si>
  <si>
    <t>Binocaran</t>
  </si>
  <si>
    <t>Malimono District Hospital</t>
  </si>
  <si>
    <t>Training on Google Workspace</t>
  </si>
  <si>
    <t>Binocaran Elementary School</t>
  </si>
  <si>
    <t>Installation of Free Public WiFi under PICS-PP Phase 3 in Cabawa Elementary School (2 AP)</t>
  </si>
  <si>
    <t>Panhutongan</t>
  </si>
  <si>
    <t>Panhutongan Elementary School</t>
  </si>
  <si>
    <t>Installation of Free Public WiFi under PICS-PP Phase 3 in Cabawa Covered Court (1 AP)</t>
  </si>
  <si>
    <t>Panhutongan Barangay Hall</t>
  </si>
  <si>
    <t>Data Collection Field MIssion for the DICT-UNDP CoRe Free Wi-Fi for All Project in Region 13</t>
  </si>
  <si>
    <t>DICT Free WiFi For All Site Coordinators Training in General Luna</t>
  </si>
  <si>
    <t>Provision of Internet Connectivity during the Energization Efforts for Datu Saldong Domino Elementary School, Buenavista, ADN</t>
  </si>
  <si>
    <t>Free Wi-Fi &amp; Government Network (GovNet) Butuan - Site Coordinator Orientation and Training</t>
  </si>
  <si>
    <t>Provision of Internet Connectivity during the Oath-taking Ceremonies of the Newly Elected Officials of the Provincial Governement of SDN</t>
  </si>
  <si>
    <t>Buhing Kalipay Barangay Hall - Dancing Hall</t>
  </si>
  <si>
    <t>TOT on DLT for PICTO Personnel</t>
  </si>
  <si>
    <t>Buhing Kalipay Elementary School - Left Wing Bldg.</t>
  </si>
  <si>
    <t>Restoration of FPW and Technical Assitance in Brgy. Cabawa during the PTV's data gathering for Presidents SONA</t>
  </si>
  <si>
    <t>Site Coordinators Training in Partnership with MDRR General Luna</t>
  </si>
  <si>
    <t>Restoration of FPW in Siargao Airport</t>
  </si>
  <si>
    <t>Provision of Internet Connectivity for the Oathtaking Ceremony of the Provincial Officials</t>
  </si>
  <si>
    <t>Bayanihan SIM Project Field Validation</t>
  </si>
  <si>
    <t>FPIAP RIS-WISPS Site Acceptance in Surigao City, DICT Office and Provincial Capitol</t>
  </si>
  <si>
    <t>FPIAP RIS-WISPS Site Acceptance in Siargao Islands</t>
  </si>
  <si>
    <t>FPIAP Mindanao Wide Planning and Regional Consultation in Siargao Islands</t>
  </si>
  <si>
    <t>LGU-GYM</t>
  </si>
  <si>
    <t>Free WiFi for All Launching in the Municipality of Dapa</t>
  </si>
  <si>
    <t>PC</t>
  </si>
  <si>
    <t>Installation and Activation of FPW under PIALEOS-Public Schools in Malimono District Hospital</t>
  </si>
  <si>
    <t>Mainland Surigao</t>
  </si>
  <si>
    <t>Installation and Activation of FPW under PIALEOS-Public Schools in Dapa NHS</t>
  </si>
  <si>
    <t>Installation and Activation of FPW under PIALEOS-Public Schools in Siargao SNHS</t>
  </si>
  <si>
    <t>Restoration of FPW in Katipunan BH and San Isidro Gymnasium</t>
  </si>
  <si>
    <t>San Juan Health Center</t>
  </si>
  <si>
    <t>Mabuhay Barangay Hall</t>
  </si>
  <si>
    <t>Sta. Monica Agricultural Building - Lobby</t>
  </si>
  <si>
    <t>Sta. Monica Agricultural Building</t>
  </si>
  <si>
    <t>Installation and Activation of FPW under PIALEOS-Public Schools in Capalayan ES</t>
  </si>
  <si>
    <t>Installation and Activation of FPW under PIALEOS-Public Schools in Capalayan NHS</t>
  </si>
  <si>
    <t>Installation and Activation of FPW under PIALEOS-Public Schools in Panhutongan ES</t>
  </si>
  <si>
    <t>Provision of Internet Connectivity for DENR in Almont Inland,  Lipata</t>
  </si>
  <si>
    <t>Installation and Activation of FPW under PIALEOS-Public Schools in Panhutongan BH</t>
  </si>
  <si>
    <t xml:space="preserve"> </t>
  </si>
  <si>
    <t>Provison of Internet Connectivity for Digital Nomads</t>
  </si>
  <si>
    <t>CLOUD 9 (Entrance Gate)</t>
  </si>
  <si>
    <t xml:space="preserve">CLOUD 9 </t>
  </si>
  <si>
    <r>
      <rPr>
        <sz val="10"/>
        <color theme="1"/>
        <rFont val="Palatino Linotype"/>
        <family val="1"/>
      </rPr>
      <t xml:space="preserve">Number of LGUs to be conducted of location-based validation: </t>
    </r>
    <r>
      <rPr>
        <b/>
        <sz val="10"/>
        <color theme="1"/>
        <rFont val="Palatino Linotype"/>
        <family val="1"/>
      </rPr>
      <t>16 LGUs</t>
    </r>
    <r>
      <rPr>
        <sz val="10"/>
        <color theme="1"/>
        <rFont val="Palatino Linotype"/>
        <family val="1"/>
      </rPr>
      <t xml:space="preserve"> (target)
*ICT Infra, Tower Location, Local ICT Plans, other ICT related data sets</t>
    </r>
  </si>
  <si>
    <t>PICS-PP</t>
  </si>
  <si>
    <t>Site Coordinators Training in Partnership with MDRR Del Carmen</t>
  </si>
  <si>
    <t>Site Coordinators Training in Partnership with MDRR San Isidro</t>
  </si>
  <si>
    <t>Installation of four (4) Communication Box and UPS in Socorro</t>
  </si>
  <si>
    <t>CLOUD 9 (Leftwing)</t>
  </si>
  <si>
    <t>CLOUD 9 (Rightwing)</t>
  </si>
  <si>
    <t>General Luna National High School_ComLab</t>
  </si>
  <si>
    <t>General Luna National High School</t>
  </si>
  <si>
    <t>General Luna National High School_FacultyOfficeLobby</t>
  </si>
  <si>
    <t>General Luna Central Elementary School_ComLab</t>
  </si>
  <si>
    <t>General Luna Central Elementary School</t>
  </si>
  <si>
    <t>General Luna Tourism Bldng_Lobby</t>
  </si>
  <si>
    <t>General Luna Tourism Bldng</t>
  </si>
  <si>
    <t>Sta. Fe Boulevard/Children’s Park/Tourism Office_Lobby</t>
  </si>
  <si>
    <t>Sta. Fe Boulevard/Children’s Park/Tourism Office</t>
  </si>
  <si>
    <t>Sta. Fe Brgy. Hall_Lobby</t>
  </si>
  <si>
    <t>Sta. Fe Brgy. Hall</t>
  </si>
  <si>
    <t>Sta. Fe Elementary School_Lobby</t>
  </si>
  <si>
    <t>Consuelo National High School AP1</t>
  </si>
  <si>
    <t xml:space="preserve">Consuelo National High School </t>
  </si>
  <si>
    <t>Consuelo National High School AP2</t>
  </si>
  <si>
    <t>Consuelo Elementary School_Lobby</t>
  </si>
  <si>
    <t>Consuelo Elementary School</t>
  </si>
  <si>
    <t>Consuelo Brgy. Hall</t>
  </si>
  <si>
    <t>Burgos National High School_ComLab</t>
  </si>
  <si>
    <t>Burgos National High School</t>
  </si>
  <si>
    <t>Burgos National High School_2 Floor Lobby</t>
  </si>
  <si>
    <t>Burgos Central Elem. School_left Wing Building</t>
  </si>
  <si>
    <t>Burgos Central Elem. School</t>
  </si>
  <si>
    <t>Matin.ao Barangay Hall_Lobby</t>
  </si>
  <si>
    <t>Matin.ao Barangay Hall</t>
  </si>
  <si>
    <t>Matin-ao Elementary School_Principal's Office Lobby</t>
  </si>
  <si>
    <t>Matin-ao Elementary School</t>
  </si>
  <si>
    <t>AP Site Name</t>
  </si>
  <si>
    <t>Consolacion Barangay Hall</t>
  </si>
  <si>
    <t>Consolacion Covered Court</t>
  </si>
  <si>
    <t>Consolacion National High School</t>
  </si>
  <si>
    <t>Fiber Allocation</t>
  </si>
  <si>
    <t>Consolacion Elementary School</t>
  </si>
  <si>
    <t>Siargao Island Medical Center</t>
  </si>
  <si>
    <t>HSP</t>
  </si>
  <si>
    <t>Bitoon Barangay Hall_Lobby</t>
  </si>
  <si>
    <t>Bitoon Barangay Hall</t>
  </si>
  <si>
    <t>Bitoon Elementary School_Canteen Area</t>
  </si>
  <si>
    <t>Bitoon Elementary School</t>
  </si>
  <si>
    <t>Cabugao Barangay Hall</t>
  </si>
  <si>
    <t>Cabugao Elementary School</t>
  </si>
  <si>
    <t>Bagakay Elementary School_Right Side Building</t>
  </si>
  <si>
    <t>Bagakay Elementary School</t>
  </si>
  <si>
    <t>Del Carmen National High School_AP1</t>
  </si>
  <si>
    <t>Del Carmen National High School</t>
  </si>
  <si>
    <t>Del Carmen National High School_AP2</t>
  </si>
  <si>
    <t>Caridad Barangay Hall_Lobby</t>
  </si>
  <si>
    <t>Caridad Barangay Hall</t>
  </si>
  <si>
    <t>Claver Engineering Building</t>
  </si>
  <si>
    <t>Caridad National High School_2 Floor Building</t>
  </si>
  <si>
    <t>Caridad National High School</t>
  </si>
  <si>
    <t>Caridad Elementary School</t>
  </si>
  <si>
    <t>Pilar District Hospital</t>
  </si>
  <si>
    <t>Pilar National High School_Lobby</t>
  </si>
  <si>
    <t>Pilar National High School</t>
  </si>
  <si>
    <t>Pilar Central Elementary School_Middle Building</t>
  </si>
  <si>
    <t>Pilar Central Elementary School</t>
  </si>
  <si>
    <t>Sta. Cruz Brgy. Hall</t>
  </si>
  <si>
    <t>San Benito Central Elementary School_Lobby</t>
  </si>
  <si>
    <t>San Benito Central Elementary School</t>
  </si>
  <si>
    <t>San Benito GYM</t>
  </si>
  <si>
    <t>San Benito National high School_2 Floor</t>
  </si>
  <si>
    <t>San Benito National High School</t>
  </si>
  <si>
    <t>San Benito National high School_Annex Building</t>
  </si>
  <si>
    <t>Mainit New Municipal Bldg</t>
  </si>
  <si>
    <t>San Benito National High School Tech4ED Center</t>
  </si>
  <si>
    <t>San Isidro National High School_2 Floor Lobby</t>
  </si>
  <si>
    <t>San Isidro National High School</t>
  </si>
  <si>
    <t>San Isidro National High School_New Building</t>
  </si>
  <si>
    <t>Brgy. Poblacion Del Carmen Hall_Lobby</t>
  </si>
  <si>
    <t>Brgy. Poblacion Del Carmen Hall</t>
  </si>
  <si>
    <t>Roxas National High School_2 Floor Lobby</t>
  </si>
  <si>
    <t>Roxas National High School</t>
  </si>
  <si>
    <t>Roxas Elementary School_Right Wing Building</t>
  </si>
  <si>
    <t>Roxas Elementary School</t>
  </si>
  <si>
    <t>Roxas Barangay Hall_Lobby</t>
  </si>
  <si>
    <t>Roxas Barangay Hall</t>
  </si>
  <si>
    <t>Sta. Monica Rural Health Unit</t>
  </si>
  <si>
    <t>Sta. Monica Municipal Police station</t>
  </si>
  <si>
    <t>LGU-POL</t>
  </si>
  <si>
    <t>Socorro District Hospital_Main Building Lobby</t>
  </si>
  <si>
    <t>Socorro District Hospital</t>
  </si>
  <si>
    <t>Socorro District Hospital_Annex Building Lobby</t>
  </si>
  <si>
    <t>Socorro National High School_Center GYM</t>
  </si>
  <si>
    <t>Socorro National High School</t>
  </si>
  <si>
    <t>Socorro National High School_Science Building</t>
  </si>
  <si>
    <t>Salog Barangay Hall_Lobby</t>
  </si>
  <si>
    <t>Salog Barangay Hall</t>
  </si>
  <si>
    <t>Salog Covered Court_Left Side Wing</t>
  </si>
  <si>
    <t>Salog Elementary School_Principal's Office Lobby</t>
  </si>
  <si>
    <t>Salog Elementary School</t>
  </si>
  <si>
    <t>Sohoton Cove Tourism_Information Center</t>
  </si>
  <si>
    <t>Sohoton Cove Tourism</t>
  </si>
  <si>
    <t>Sohoton Cove Tourism_Ranger Station</t>
  </si>
  <si>
    <t>Tubod Municipal Hall</t>
  </si>
  <si>
    <t>Surigao Public Market</t>
  </si>
  <si>
    <t>SDN Provincial Hospital_WardLobby</t>
  </si>
  <si>
    <t>SDN Provincial Hospital</t>
  </si>
  <si>
    <t>SDN Provincial Hospital_ERLobby</t>
  </si>
  <si>
    <t>SDN Provincial Hospital_OPD</t>
  </si>
  <si>
    <t>SDN Provincial Hospital_FrontLobby</t>
  </si>
  <si>
    <t>Surigao del Norte State University-Del Carmen - IT Room</t>
  </si>
  <si>
    <t>Surigao del Norte State University-Del Carmen</t>
  </si>
  <si>
    <t>HEI-SUC</t>
  </si>
  <si>
    <t>PICS-SUC</t>
  </si>
  <si>
    <t>Surigao del Norte State University-Del Carmen - RIS 2 Building</t>
  </si>
  <si>
    <t>Surigao del Norte State University-Del Carmen - Academic Building</t>
  </si>
  <si>
    <t>Surigao del Norte State University-Mainit - Building A</t>
  </si>
  <si>
    <t>Surigao del Norte State University-Mainit</t>
  </si>
  <si>
    <t>Surigao del Norte State University-Mainit - Campus Student Area</t>
  </si>
  <si>
    <t>Surigao del Norte State University-Mainit - Library</t>
  </si>
  <si>
    <t>Surigao del Norte State University-Malimono - Dorm</t>
  </si>
  <si>
    <t>Surigao del Norte State University-Malimono</t>
  </si>
  <si>
    <t>Surigao del Norte State University-Malimono - Admin</t>
  </si>
  <si>
    <t>Surigao del Norte State University-Malimono - Laboratory</t>
  </si>
  <si>
    <t>Provincial Capitol of Surigao del Norte</t>
  </si>
  <si>
    <t>CoRe-FW4A _ UNDP-VSAT</t>
  </si>
  <si>
    <t>Old Tribunal Building</t>
  </si>
  <si>
    <t>San Isidro Municipal Hall</t>
  </si>
  <si>
    <t>Socorro Municipal Hall</t>
  </si>
  <si>
    <t>Del Carmen Municipal Hall</t>
  </si>
  <si>
    <t>Date of Activation</t>
  </si>
  <si>
    <t>Latitude</t>
  </si>
  <si>
    <t>Longittude</t>
  </si>
  <si>
    <t>Catangnan Barangay Hall</t>
  </si>
  <si>
    <t>AP Mac Address</t>
  </si>
  <si>
    <t>Site Code</t>
  </si>
  <si>
    <t>San Francisco Rural Health Unit - AP 1</t>
  </si>
  <si>
    <t>San Francisco Rural Health Unit</t>
  </si>
  <si>
    <t>Down Time</t>
  </si>
  <si>
    <t>CoRe-FW4A _ Phase 4</t>
  </si>
  <si>
    <t>Reason for Outage</t>
  </si>
  <si>
    <t>San Francisco Rural Health Unit - AP 2</t>
  </si>
  <si>
    <t>RF</t>
  </si>
  <si>
    <t>Sering Barangay Hall - AP 1</t>
  </si>
  <si>
    <t>Sering Barangay Hall</t>
  </si>
  <si>
    <t>CONFORME FILE</t>
  </si>
  <si>
    <t>UAT FILE</t>
  </si>
  <si>
    <t>Additional UAT</t>
  </si>
  <si>
    <t>Sering Barangay Hall - AP 2</t>
  </si>
  <si>
    <t>Patino Barangay Hall - AP 1</t>
  </si>
  <si>
    <t>Patino Barangay Hall</t>
  </si>
  <si>
    <t>Patino Barangay Hall - AP 2</t>
  </si>
  <si>
    <t>Dapa Port</t>
  </si>
  <si>
    <t>PICS-RORO</t>
  </si>
  <si>
    <t>Surigao Port</t>
  </si>
  <si>
    <t>D4:31:27:BE:E4:76</t>
  </si>
  <si>
    <t>LGU-Brgy.</t>
  </si>
  <si>
    <t>PMUN-R13-0001</t>
  </si>
  <si>
    <t>TRM-AIR</t>
  </si>
  <si>
    <t xml:space="preserve">F0:74:8D:A1:BF:96
</t>
  </si>
  <si>
    <t>PMUN-R13-0002</t>
  </si>
  <si>
    <t xml:space="preserve">D4:31:27:BE:CC:DE
</t>
  </si>
  <si>
    <t>PMUN-R13-0003</t>
  </si>
  <si>
    <t xml:space="preserve">D4:31:27:BE:C6:94
</t>
  </si>
  <si>
    <t>PMUN-R13-0004</t>
  </si>
  <si>
    <t>F0:74:8D:A1:BD:E8</t>
  </si>
  <si>
    <t>PMUN-R13-0005</t>
  </si>
  <si>
    <t xml:space="preserve">San Benito Municipal Hall (Old Building) </t>
  </si>
  <si>
    <t xml:space="preserve">F0:74:8D:A1:BF:B9
</t>
  </si>
  <si>
    <t>PMUN-R13-0006</t>
  </si>
  <si>
    <t>F0:74:8D:A1:C0:13</t>
  </si>
  <si>
    <t>PMUN-R13-0007</t>
  </si>
  <si>
    <t xml:space="preserve">D4:31:27:BE:D1:2A
</t>
  </si>
  <si>
    <t>PMUN-R13-0008</t>
  </si>
  <si>
    <t xml:space="preserve">D4:31:27:BE:CE:87
</t>
  </si>
  <si>
    <t>PMUN-R13-0009</t>
  </si>
  <si>
    <t xml:space="preserve">F0:74:8D:A1:C4:14
</t>
  </si>
  <si>
    <t>PMUN-R13-0010</t>
  </si>
  <si>
    <t xml:space="preserve">D4:31:27:BE:CA:7C
</t>
  </si>
  <si>
    <t>PMUN-R13-0011</t>
  </si>
  <si>
    <t>10° 1'4.67"N</t>
  </si>
  <si>
    <t>126° 4'28.75"E</t>
  </si>
  <si>
    <t xml:space="preserve">F0:74:8D:A1:BC:12
</t>
  </si>
  <si>
    <t>PMUN-R13-0012</t>
  </si>
  <si>
    <t xml:space="preserve">D4:31:27:BE:E9:85
</t>
  </si>
  <si>
    <t>PMUN-R13-0013</t>
  </si>
  <si>
    <t xml:space="preserve">D4:31:27:BE:F4:AC
</t>
  </si>
  <si>
    <t>PMUN-R13-0014</t>
  </si>
  <si>
    <t xml:space="preserve">F0:74:8D:A1:C4:46
</t>
  </si>
  <si>
    <t>PMUN-R13-0015</t>
  </si>
  <si>
    <t>AP Type</t>
  </si>
  <si>
    <t xml:space="preserve">F0:74:8D:A1:BF:5A
</t>
  </si>
  <si>
    <t>PMUN-R13-0016</t>
  </si>
  <si>
    <t xml:space="preserve">F0:74:8D:A1:C0:4A
</t>
  </si>
  <si>
    <t>PMUN-R13-0017</t>
  </si>
  <si>
    <t xml:space="preserve">F0:74:8D:A1:C4:91
</t>
  </si>
  <si>
    <t>PMUN-R13-0018</t>
  </si>
  <si>
    <t>Indoor</t>
  </si>
  <si>
    <t>Provide POE Injector</t>
  </si>
  <si>
    <t xml:space="preserve">D4:31:27:BE:E9:E9
</t>
  </si>
  <si>
    <t>PMUN-R13-0019</t>
  </si>
  <si>
    <t>Outdoor</t>
  </si>
  <si>
    <t xml:space="preserve">48:81:D4:EE:D0:CE
</t>
  </si>
  <si>
    <t>PMUN-R13-0020</t>
  </si>
  <si>
    <t xml:space="preserve">D4:31:27:BE:C0:DB
</t>
  </si>
  <si>
    <t>PMUN-R13-0021</t>
  </si>
  <si>
    <t xml:space="preserve">F0:74:8D:A1:C1:5D
</t>
  </si>
  <si>
    <t>PMUN-R13-0022</t>
  </si>
  <si>
    <t>F0:74:8D:A1:BD:D4</t>
  </si>
  <si>
    <t>PMUN-R13-0023</t>
  </si>
  <si>
    <t xml:space="preserve">D4:31:27:BE:F5:47
</t>
  </si>
  <si>
    <t>PMUN-R13-0024</t>
  </si>
  <si>
    <t>With DICT FW4A
Yes/No</t>
  </si>
  <si>
    <t xml:space="preserve">D4:31:27:BE:CF:BD
</t>
  </si>
  <si>
    <t>PMUN-R13-0025</t>
  </si>
  <si>
    <t>ALEGRIA</t>
  </si>
  <si>
    <t>ALIPAO</t>
  </si>
  <si>
    <t>ALIPAO BARANGAY HEALTH STATION</t>
  </si>
  <si>
    <t xml:space="preserve">D4:31:27:BE:C6:3A
</t>
  </si>
  <si>
    <t>PMUN-R13-0026</t>
  </si>
  <si>
    <t xml:space="preserve">D4:31:27:BE:E3:B8
</t>
  </si>
  <si>
    <t>PMUN-R13-0027</t>
  </si>
  <si>
    <t>BUDLINGIN</t>
  </si>
  <si>
    <t>BUDLINGIN BARANGAY HEALTH STATION</t>
  </si>
  <si>
    <t xml:space="preserve">D4:31:27:BE:C9:AA
</t>
  </si>
  <si>
    <t>PMUN-R13-0028</t>
  </si>
  <si>
    <t>CAMP EDUARD</t>
  </si>
  <si>
    <t>CAMP EDWARD BARANGAY HEALTH STATION</t>
  </si>
  <si>
    <t xml:space="preserve">F0:74:8D:A1:BC:8A
</t>
  </si>
  <si>
    <t>GAMUTON</t>
  </si>
  <si>
    <t>PMUN-R13-0029</t>
  </si>
  <si>
    <t>RURAL HEALTH UNIT - ALEGRIA</t>
  </si>
  <si>
    <t>PICS-Mun</t>
  </si>
  <si>
    <t>OMBONG</t>
  </si>
  <si>
    <t>OMBONG BARANGAY HEALTH STATION</t>
  </si>
  <si>
    <t xml:space="preserve">D4:31:27:BE:F2:9A
</t>
  </si>
  <si>
    <t>PMUN-R13-0030</t>
  </si>
  <si>
    <t>PONGTUD</t>
  </si>
  <si>
    <t>PONGTUD BARANGAY HEALTH STATION</t>
  </si>
  <si>
    <t>SAN JUAN</t>
  </si>
  <si>
    <t>SAN JUAN BARANGAY HEALTH STATION</t>
  </si>
  <si>
    <t xml:space="preserve">F0:74:8D:A1:C3:10
</t>
  </si>
  <si>
    <t>PMUN-R13-0031</t>
  </si>
  <si>
    <t>SAN PEDRO</t>
  </si>
  <si>
    <t>SAN PEDRO BARANGAY HEALTH STATION</t>
  </si>
  <si>
    <t>BACUAG</t>
  </si>
  <si>
    <t>CABUGAO</t>
  </si>
  <si>
    <t>CABUGAO BARANGAY HEALTH STATION</t>
  </si>
  <si>
    <t>CAMBUAYON</t>
  </si>
  <si>
    <t>CAMBUAYON BARANGAY HEALTH STATION</t>
  </si>
  <si>
    <t xml:space="preserve">F0:74:8D:A1:C0:0E
</t>
  </si>
  <si>
    <t>PMUN-R13-0032</t>
  </si>
  <si>
    <t>CAMPO</t>
  </si>
  <si>
    <t>CAMPO BARANGAY HEALTH STATION</t>
  </si>
  <si>
    <t>DUGSANGON</t>
  </si>
  <si>
    <t>DUGSANGON BARANGAY HEALTH STATION</t>
  </si>
  <si>
    <t xml:space="preserve">F0:74:8D:A1:BF:D7
</t>
  </si>
  <si>
    <t>PMUN-R13-0033</t>
  </si>
  <si>
    <t>PAUTAO</t>
  </si>
  <si>
    <t>PAUTAO BARANGAY HEALTH STATION</t>
  </si>
  <si>
    <t>PAYAPAG</t>
  </si>
  <si>
    <t>PAYAPAG BARANGAY HEALTH STATION</t>
  </si>
  <si>
    <t xml:space="preserve">D4:31:27:BE:BC:67
</t>
  </si>
  <si>
    <t>PMUN-R13-0034</t>
  </si>
  <si>
    <t>POBLACION</t>
  </si>
  <si>
    <t>BACUAG RURAL HEALTH UNIT</t>
  </si>
  <si>
    <t>PUNGTOD</t>
  </si>
  <si>
    <t>PUNGTOD BARANGAY HEALTH STATION</t>
  </si>
  <si>
    <t xml:space="preserve">D4:31:27:BE:C9:D7
</t>
  </si>
  <si>
    <t>PMUN-R13-0035</t>
  </si>
  <si>
    <t>SANTO ROSARIO</t>
  </si>
  <si>
    <t>STO. ROSARIO BARANGAY HEALTH STATION</t>
  </si>
  <si>
    <t>BURGOS</t>
  </si>
  <si>
    <t>BAYBAY</t>
  </si>
  <si>
    <t>BAYBAY BARANGAY HEALTH STATION</t>
  </si>
  <si>
    <t>F0:74:8D:A1:BC:FD</t>
  </si>
  <si>
    <t>PMUN-R13-0036</t>
  </si>
  <si>
    <t>POBLACION 1</t>
  </si>
  <si>
    <t>BURGOS RURAL HEALTH UNIT</t>
  </si>
  <si>
    <t>BURGOS RURAL HEALTH UNIT BIRTHING FACILITY</t>
  </si>
  <si>
    <t xml:space="preserve">D4:31:27:BE:C9:69
</t>
  </si>
  <si>
    <t>PMUN-R13-0037</t>
  </si>
  <si>
    <t>CITY OF SURIGAO (CAPITAL)</t>
  </si>
  <si>
    <t>ALANG-ALANG</t>
  </si>
  <si>
    <t>ALANG-ALANG BARANGAY HEALTH  STATION</t>
  </si>
  <si>
    <t xml:space="preserve">D4:31:27:BE:F1:9B
</t>
  </si>
  <si>
    <t>PMUN-R13-0038</t>
  </si>
  <si>
    <t>ALEGRIA BARANGAY HEALTH STATION</t>
  </si>
  <si>
    <t>ANOMAR</t>
  </si>
  <si>
    <t>DRUG TREATMENT AND REHABILITATION CENTER CARAGA</t>
  </si>
  <si>
    <t>ANOMAR BARANGAY HEALTH STATION</t>
  </si>
  <si>
    <t xml:space="preserve">F0:74:8D:A1:BC:C6
</t>
  </si>
  <si>
    <t>PMUN-R13-0039</t>
  </si>
  <si>
    <t>BALIBAYON</t>
  </si>
  <si>
    <t>BALIBAYON BARANGAY HEALTH STATION</t>
  </si>
  <si>
    <t xml:space="preserve">D4:31:27:BE:CE:14
</t>
  </si>
  <si>
    <t>PMUN-R13-0040</t>
  </si>
  <si>
    <t>BILABID</t>
  </si>
  <si>
    <t>BILABID BARANGAY HEALTH STATION</t>
  </si>
  <si>
    <t xml:space="preserve">F0:74:8D:A1:C0:77
</t>
  </si>
  <si>
    <t>PMUN-R13-0041</t>
  </si>
  <si>
    <t>BITAUGAN</t>
  </si>
  <si>
    <t>BITAUGAN BARANGAY HEALTH STATION</t>
  </si>
  <si>
    <t>BONIFACIO</t>
  </si>
  <si>
    <t>BONIFACIO BARANGAY HEALTH STATION</t>
  </si>
  <si>
    <t xml:space="preserve">F0:74:8D:A1:BC:AD
</t>
  </si>
  <si>
    <t>PMUN-R13-0042</t>
  </si>
  <si>
    <t>BUENAVISTA</t>
  </si>
  <si>
    <t>BUENAVISTA BARANGAY HEALTH STATION</t>
  </si>
  <si>
    <t xml:space="preserve">F0:74:8D:A1:C4:0F
</t>
  </si>
  <si>
    <t>CABONGBONGAN</t>
  </si>
  <si>
    <t>PMUN-R13-0043</t>
  </si>
  <si>
    <t>CABONGBONGAN BARANGAY HEALTH STATION</t>
  </si>
  <si>
    <t>CAGNIOG</t>
  </si>
  <si>
    <t>CAGNIOG BARANGAY HEALTH STATION</t>
  </si>
  <si>
    <t>CAGUTSAN</t>
  </si>
  <si>
    <t>CAGUTSAN BARANGAY HEALTH</t>
  </si>
  <si>
    <t xml:space="preserve">F0:74:8D:A1:BD:48
</t>
  </si>
  <si>
    <t>PMUN-R13-0044</t>
  </si>
  <si>
    <t>CANLANIPA</t>
  </si>
  <si>
    <t>CANLANIPA BARANGAY HEALTH STATION</t>
  </si>
  <si>
    <t>Proposal</t>
  </si>
  <si>
    <t>CANTIASAY</t>
  </si>
  <si>
    <t>CANTIASAY BARANGAY HEALTH STATION</t>
  </si>
  <si>
    <t xml:space="preserve">D4:31:27:BE:EA:20
</t>
  </si>
  <si>
    <t>PMUN-R13-0045</t>
  </si>
  <si>
    <t>CAPALAYAN</t>
  </si>
  <si>
    <t>CAPALAYAN BARANGAY HEALTH STATION</t>
  </si>
  <si>
    <t>CATADMAN</t>
  </si>
  <si>
    <t>CATADMAN BARANGAY HEALTH STATION</t>
  </si>
  <si>
    <t xml:space="preserve">D4:31:27:BE:F8:30
</t>
  </si>
  <si>
    <t>PMUN-R13-0046</t>
  </si>
  <si>
    <t>DANAO</t>
  </si>
  <si>
    <t>DANAO BARANGAY HEALTH STATION</t>
  </si>
  <si>
    <t>DAY-ASAN</t>
  </si>
  <si>
    <t>DAY-ASAN BARANGAY HEALTH STATION AND BIRTHING FACILITY</t>
  </si>
  <si>
    <t xml:space="preserve">F0:74:8D:A1:C1:DA
</t>
  </si>
  <si>
    <t>PMUN-R13-0047</t>
  </si>
  <si>
    <t>IPIL</t>
  </si>
  <si>
    <t>IPIL BARANGAY HEALTH STATION</t>
  </si>
  <si>
    <t>LIBUAC</t>
  </si>
  <si>
    <t>LIBUAC BARANGAY HEALTH STATION</t>
  </si>
  <si>
    <t xml:space="preserve">D4:31:27:BE:F0:15
</t>
  </si>
  <si>
    <t>PMUN-R13-0048</t>
  </si>
  <si>
    <t>LIPATA</t>
  </si>
  <si>
    <t>LIPATA BARANGAY HEALTH STATION</t>
  </si>
  <si>
    <t>LISONDRA</t>
  </si>
  <si>
    <t>LISONDRA BARANGAY HEALTH STATION</t>
  </si>
  <si>
    <t>LUNA</t>
  </si>
  <si>
    <t>LUNA BARANGAY HEALTH STATION</t>
  </si>
  <si>
    <t>LUNA DISTRICT BIRTHING HOME AND TB DOTS CENTER</t>
  </si>
  <si>
    <t xml:space="preserve">F0:74:8D:A1:C1:F8
</t>
  </si>
  <si>
    <t>PMUN-R13-0049</t>
  </si>
  <si>
    <t>ST. PAUL SURIGAO UNIVERSITY HOSPITAL, INC.</t>
  </si>
  <si>
    <t>SURIGAO HEALTH SPECIALIST INC.</t>
  </si>
  <si>
    <t>CARAGA RENAL CARE, INC.</t>
  </si>
  <si>
    <t xml:space="preserve">F0:74:8D:A1:BC:A8
</t>
  </si>
  <si>
    <t>PMUN-R13-0050</t>
  </si>
  <si>
    <t>MABINI</t>
  </si>
  <si>
    <t>MABINI BARANGAY HEALTH STATION</t>
  </si>
  <si>
    <t xml:space="preserve">D4:31:27:BE:E4:03
</t>
  </si>
  <si>
    <t>PMUN-R13-0051</t>
  </si>
  <si>
    <t>MABUA</t>
  </si>
  <si>
    <t>MABUA BARANGAY HEALTH STATION</t>
  </si>
  <si>
    <t>MANYAGAO</t>
  </si>
  <si>
    <t>F0:74:8D:A1:BC:F8</t>
  </si>
  <si>
    <t>PMUN-R13-0052</t>
  </si>
  <si>
    <t>MANJAGAO BARANGAY HEALTH STATION</t>
  </si>
  <si>
    <t>MAPAWA</t>
  </si>
  <si>
    <t>MAPAWA BARANGAY HEALTH STATION</t>
  </si>
  <si>
    <t>MAT-I</t>
  </si>
  <si>
    <t>MAT-I BARANGAY HEALTH STATION</t>
  </si>
  <si>
    <t xml:space="preserve">F0:74:8D:A1:BF:E1
</t>
  </si>
  <si>
    <t>PMUN-R13-0053</t>
  </si>
  <si>
    <t>NABAGO</t>
  </si>
  <si>
    <t>NABAGO BARANGAY HEALTH STATION</t>
  </si>
  <si>
    <t>NONOC</t>
  </si>
  <si>
    <t>NONOC BARANGAY HEALTH STATION</t>
  </si>
  <si>
    <t>OROK</t>
  </si>
  <si>
    <t xml:space="preserve">D4:31:27:BE:F6:A0
</t>
  </si>
  <si>
    <t>PMUN-R13-0054</t>
  </si>
  <si>
    <t>OROK BARANGAY HEALTH STATION</t>
  </si>
  <si>
    <t>POCTOY</t>
  </si>
  <si>
    <t>POCTOY BARANGAY HEALTH STATION</t>
  </si>
  <si>
    <t>PUNTA BILAR</t>
  </si>
  <si>
    <t>PUNTA BILAR BARANGAY HEALTH STATION</t>
  </si>
  <si>
    <t xml:space="preserve">D4:31:27:BE:E1:EC
</t>
  </si>
  <si>
    <t>PMUN-R13-0055</t>
  </si>
  <si>
    <t>QUEZON</t>
  </si>
  <si>
    <t>QUEZON BARANGAY HEALTH STATION</t>
  </si>
  <si>
    <t>RIZAL</t>
  </si>
  <si>
    <t>RIZAL BARANGAY HEALTH STATION</t>
  </si>
  <si>
    <t>SURIGAO DOCTORS' HOSPITAL, INC.</t>
  </si>
  <si>
    <t>SABANG</t>
  </si>
  <si>
    <t>SABANG BARANGAY HEALTH STATION</t>
  </si>
  <si>
    <t xml:space="preserve">D4:31:27:BE:E9:BC
</t>
  </si>
  <si>
    <t>PMUN-R13-0056</t>
  </si>
  <si>
    <t>SAN ISIDRO</t>
  </si>
  <si>
    <t>SAN ISIDRO BARANGAY HEALTH STATION</t>
  </si>
  <si>
    <t>SAN JOSE</t>
  </si>
  <si>
    <t>SAN JOSE BARANGAY HEALTH STATION</t>
  </si>
  <si>
    <t xml:space="preserve">C0:A4:76:28:A5:97
</t>
  </si>
  <si>
    <t>SAN JUAN DISTRICT HEALTH CENTER</t>
  </si>
  <si>
    <t>PMUN-R13-0057</t>
  </si>
  <si>
    <t>SAN JUAN DISTRICT REPRODUCTIVE HEALTH CENTER AND BIRTHING FACILITY</t>
  </si>
  <si>
    <t xml:space="preserve">F0:74:8D:A1:C0:EA
</t>
  </si>
  <si>
    <t>PMUN-R13-0058</t>
  </si>
  <si>
    <t>SAN ROQUE</t>
  </si>
  <si>
    <t>SAN ROQUE BARANGAY HEALTH STATION</t>
  </si>
  <si>
    <t xml:space="preserve">D4:31:27:BE:DC:7E
</t>
  </si>
  <si>
    <t>PMUN-R13-0059</t>
  </si>
  <si>
    <t>SERNA</t>
  </si>
  <si>
    <t>SERNA BARANGAY HEALTH STATION</t>
  </si>
  <si>
    <t>SIDLAKAN</t>
  </si>
  <si>
    <t>SIDLAKAN BARANGAY HEALTH STATION</t>
  </si>
  <si>
    <t>SILOP</t>
  </si>
  <si>
    <t>SILOP BARANGAY HEALTH STATION</t>
  </si>
  <si>
    <t xml:space="preserve">F0:74:8D:A1:C0:22
</t>
  </si>
  <si>
    <t>SUGBAY</t>
  </si>
  <si>
    <t>PMUN-R13-0060</t>
  </si>
  <si>
    <t>SUGBAY BARANGAY HEALTH STATION</t>
  </si>
  <si>
    <t>SUKAILANG</t>
  </si>
  <si>
    <t>SUKAILANG BARANGAY HEALTH STATION</t>
  </si>
  <si>
    <t>TAFT (POB.)</t>
  </si>
  <si>
    <t>TAFT DISTRICT HEALTH CENTER</t>
  </si>
  <si>
    <t xml:space="preserve">D4:31:27:BE:C7:57
</t>
  </si>
  <si>
    <t>PMUN-R13-0061</t>
  </si>
  <si>
    <t>TAFT DISTRICT HEALTH CENTER AND BIRTHING CLINIC</t>
  </si>
  <si>
    <t>PRECISE CARE LABORATORY AND DIAGNOSTIC CENTER</t>
  </si>
  <si>
    <t xml:space="preserve">D4:31:27:BE:D6:7A
</t>
  </si>
  <si>
    <t>PMUN-R13-0062</t>
  </si>
  <si>
    <t>LA VITA CARE DIAGNOSTIC, MEDICINE AND MEDICAL SUPPLIES, INC.</t>
  </si>
  <si>
    <t xml:space="preserve">F0:74:8D:A1:C3:42
</t>
  </si>
  <si>
    <t>PMUN-R13-0063</t>
  </si>
  <si>
    <t>SURIGAO HEALTH SPECIALISTS, INC.</t>
  </si>
  <si>
    <t>TALISAY</t>
  </si>
  <si>
    <t xml:space="preserve">D4:31:27:BE:D5:80
</t>
  </si>
  <si>
    <t>TALISAY BARANGAY HEALTH STATION</t>
  </si>
  <si>
    <t>PMUN-R13-0064</t>
  </si>
  <si>
    <t>TRINIDAD</t>
  </si>
  <si>
    <t>TRINIDAD BARANGAY HEALTH STATION</t>
  </si>
  <si>
    <t xml:space="preserve">F0:74:8D:A1:BF:9B
</t>
  </si>
  <si>
    <t>PMUN-R13-0065</t>
  </si>
  <si>
    <t>WASHINGTON (POB.)</t>
  </si>
  <si>
    <t>SURIGAO MEDICAL CENTER, INC.</t>
  </si>
  <si>
    <t>CARAGA REGIONAL HOSPITAL</t>
  </si>
  <si>
    <t xml:space="preserve">F0:74:8D:A1:BC:7B
</t>
  </si>
  <si>
    <t>PMUN-R13-0066</t>
  </si>
  <si>
    <t>MIRANDA FAMILY HOSPITAL</t>
  </si>
  <si>
    <t>SURIGAO CITY HEALTH OFFICE</t>
  </si>
  <si>
    <t>To be included</t>
  </si>
  <si>
    <t xml:space="preserve">D4:31:27:BE:DD:7D
</t>
  </si>
  <si>
    <t>PMUN-R13-0067</t>
  </si>
  <si>
    <t>WASHINGTON DISTRICT HEALTH CENTER</t>
  </si>
  <si>
    <t>WASHINGTON DISTRICT BIRTHING FACILITY</t>
  </si>
  <si>
    <t xml:space="preserve">D4:31:27:BE:B4:10
</t>
  </si>
  <si>
    <t>PMUN-R13-0068</t>
  </si>
  <si>
    <t>MADONNA AND CHILD BIRTHING HOME INC.</t>
  </si>
  <si>
    <t xml:space="preserve">D4:31:27:BE:DD:5A
</t>
  </si>
  <si>
    <t>PMUN-R13-0069</t>
  </si>
  <si>
    <t>PHILIPPINE RED CROSS MOLECULAR LABORATORY</t>
  </si>
  <si>
    <t>A &amp;amp; J DIAGNOSTIC CENTER</t>
  </si>
  <si>
    <t xml:space="preserve">D4:31:27:BE:B7:CB
</t>
  </si>
  <si>
    <t>PMUN-R13-0070</t>
  </si>
  <si>
    <t>DUMANGAS MEDICAL AND DIAGNOSTIC CLINIC</t>
  </si>
  <si>
    <t xml:space="preserve">F0:74:8D:A1:BD:20
</t>
  </si>
  <si>
    <t>PMUN-R13-0071</t>
  </si>
  <si>
    <t>LABMEDICA MPC CLINICAL LABORATORY</t>
  </si>
  <si>
    <t>PETERPENS-GESTALT DRUG TESTING AND DIAGNOSTIC LABORATORY</t>
  </si>
  <si>
    <t xml:space="preserve">F0:74:8D:A1:C3:C9
</t>
  </si>
  <si>
    <t>PMUN-R13-0072</t>
  </si>
  <si>
    <t>SURIGAO CITY HEALTH OFFICE LABORATORY</t>
  </si>
  <si>
    <t>PROVINCIAL HEALTH OFFICE - SURIGAO DEL NORTE</t>
  </si>
  <si>
    <t>SURIGAO DEL NORTE PROVINCIAL DEPARTMENT OF HEALTH OFFICE</t>
  </si>
  <si>
    <t>ZARAGOZA</t>
  </si>
  <si>
    <t>ZARAGOZA BARANGAY HEALTH STATION</t>
  </si>
  <si>
    <t>10:82:3D:50:61:57</t>
  </si>
  <si>
    <t>PMUN-R13-0073</t>
  </si>
  <si>
    <t>CLAVER</t>
  </si>
  <si>
    <t>BAGAKAY</t>
  </si>
  <si>
    <t>BLESS MARIE BIRTHING HOME</t>
  </si>
  <si>
    <t>CABUGO</t>
  </si>
  <si>
    <t>CABUGO BARANGAY HEALTH STATION</t>
  </si>
  <si>
    <t>10:82:3D:50:57:63</t>
  </si>
  <si>
    <t>CAGDIANAO</t>
  </si>
  <si>
    <t>PMUN-R13-0074</t>
  </si>
  <si>
    <t>CAGDIANAO BARANGAY HEALTH STATION</t>
  </si>
  <si>
    <t>DAYWAN</t>
  </si>
  <si>
    <t>DAYWAN BARANGAY HEALTH STATION</t>
  </si>
  <si>
    <t>HAYANGGABON</t>
  </si>
  <si>
    <t>HAYANGGABON BARANGAY HEALTH STATION</t>
  </si>
  <si>
    <t>LADGARON (POB.)</t>
  </si>
  <si>
    <t>LADGARON BARANGAY HEALTH STATION</t>
  </si>
  <si>
    <t xml:space="preserve">10:82:3D:50:5B:33
</t>
  </si>
  <si>
    <t>PMUN-R13-0075</t>
  </si>
  <si>
    <t>SAINT PETER DIAGNOSTIC AND LABORATORY</t>
  </si>
  <si>
    <t>LAPINIGAN</t>
  </si>
  <si>
    <t>LAPINIGAN BARANGAY HEALTH STATION</t>
  </si>
  <si>
    <t>MAGALLANES</t>
  </si>
  <si>
    <t>MAGALLANES BARANGAY HEALTH STATION</t>
  </si>
  <si>
    <t>PANATAO</t>
  </si>
  <si>
    <t xml:space="preserve">10:82:3D:57:F9:4A
</t>
  </si>
  <si>
    <t>PANATAO BARANGAY HEALTH STATION</t>
  </si>
  <si>
    <t>PMUN-R13-0076</t>
  </si>
  <si>
    <t>SAPA</t>
  </si>
  <si>
    <t>SAPA BARANGAY HEALTH STATION</t>
  </si>
  <si>
    <t>TAGANITO</t>
  </si>
  <si>
    <t>TAGANITO BARANGAY HEALTH STATION</t>
  </si>
  <si>
    <t>TAYAGA</t>
  </si>
  <si>
    <t>CLAVER RURAL HEALTH UNIT</t>
  </si>
  <si>
    <t xml:space="preserve">10:82:3D:88:3A:3D
</t>
  </si>
  <si>
    <t>PMUN-R13-0077</t>
  </si>
  <si>
    <t>CLAVER BIRTHING FACILITY</t>
  </si>
  <si>
    <t>TAYAGA BARANGAY HEALTH STATION</t>
  </si>
  <si>
    <t>CLAVER HEMODIALYSIS CENTER</t>
  </si>
  <si>
    <t xml:space="preserve">10:82:3D:88:39:8D
</t>
  </si>
  <si>
    <t>PMUN-R13-0078</t>
  </si>
  <si>
    <t>URBIZTONDO</t>
  </si>
  <si>
    <t>URBIZTONDO BARANGAY HEALTH STATION</t>
  </si>
  <si>
    <t>WANGKE</t>
  </si>
  <si>
    <t>WANGKE BARANGAY HEALTH STATION</t>
  </si>
  <si>
    <t>DAPA</t>
  </si>
  <si>
    <t>BARANGAY 11 (POB.)</t>
  </si>
  <si>
    <t>SIARGAO DIAGNOSTIC LABORATORY</t>
  </si>
  <si>
    <t>BARANGAY 3 (POB.)</t>
  </si>
  <si>
    <t>CIB LABORATORY AND DIAGNOSTIC CLINIC</t>
  </si>
  <si>
    <t xml:space="preserve">10:82:3D:50:57:B3
</t>
  </si>
  <si>
    <t>PMUN-R13-0079</t>
  </si>
  <si>
    <t>BARANGAY 6 (POB.)</t>
  </si>
  <si>
    <t>DAPA RURAL HEALTH UNIT</t>
  </si>
  <si>
    <t>CABAWA</t>
  </si>
  <si>
    <t>CABAWA BARANGAY HEALTH STATION</t>
  </si>
  <si>
    <t xml:space="preserve">10:82:3D:50:60:6F
</t>
  </si>
  <si>
    <t>PMUN-R13-0080</t>
  </si>
  <si>
    <t>CAMBAS-AC</t>
  </si>
  <si>
    <t>CAMBAS-AC BARANGAY HEALTH STATION</t>
  </si>
  <si>
    <t>CONSOLACION</t>
  </si>
  <si>
    <t>CONSOLACION BARANGAY HEALTH STATION</t>
  </si>
  <si>
    <t>SAN MIGUEL</t>
  </si>
  <si>
    <t>SAN MIGUEL BARANGAY HEALTH STATION</t>
  </si>
  <si>
    <t>UNION</t>
  </si>
  <si>
    <t>UNION BARANGAY HEALTH STATION</t>
  </si>
  <si>
    <t xml:space="preserve">10:82:3D:88:3A:0D
</t>
  </si>
  <si>
    <t>PMUN-R13-0081</t>
  </si>
  <si>
    <t>DEL CARMEN</t>
  </si>
  <si>
    <t>BAGACAY BARANGAY HEALTH STATION</t>
  </si>
  <si>
    <t>BITOON</t>
  </si>
  <si>
    <t>BITOON BARANGAY HEALTH STATION AND BIRTHING CLINIC</t>
  </si>
  <si>
    <t xml:space="preserve"> 10:82:3D:88:3A:69</t>
  </si>
  <si>
    <t>PMUN-R13-0082</t>
  </si>
  <si>
    <t>CANCOHOY</t>
  </si>
  <si>
    <t>CANCOHOY BARANGAY HEALTH STATION</t>
  </si>
  <si>
    <t>CAUB</t>
  </si>
  <si>
    <t>CAUB BARANGAY HEALTH STATION</t>
  </si>
  <si>
    <t xml:space="preserve"> 10:82:3D:50:5B:27</t>
  </si>
  <si>
    <t>DEL CARMEN (POB.)</t>
  </si>
  <si>
    <t>PMUN-R13-0083</t>
  </si>
  <si>
    <t>DEL CARMEN RURAL HEALTH UNIT</t>
  </si>
  <si>
    <t>ESPERANZA</t>
  </si>
  <si>
    <t>ESPERANZA BARANGAY HEALTH STATION</t>
  </si>
  <si>
    <t>HALIAN</t>
  </si>
  <si>
    <t>HALIAN BARANGAY HEALTH STATION</t>
  </si>
  <si>
    <t>JAMOYAON</t>
  </si>
  <si>
    <t>10:82:3D:88:3A:55</t>
  </si>
  <si>
    <t>JAMOYAON BARANGAY HEALTH STATION AND BIRTHING CLINIC</t>
  </si>
  <si>
    <t>PMUN-R13-0084</t>
  </si>
  <si>
    <t>KATIPUNAN</t>
  </si>
  <si>
    <t>KATIPUNAN BARANGAY HEALTH STATION</t>
  </si>
  <si>
    <t>LOBOGON</t>
  </si>
  <si>
    <t>LOBOGON BARANGAY HEALTH STATION</t>
  </si>
  <si>
    <t>MABUHAY</t>
  </si>
  <si>
    <t>MABUHAY BARANGAY HEALTH STATION</t>
  </si>
  <si>
    <t>10:82:3D:50:5F:C7</t>
  </si>
  <si>
    <t>MAHAYAHAY</t>
  </si>
  <si>
    <t>PMUN-R13-0085</t>
  </si>
  <si>
    <t>MAHAYAHAY BARANGAY HEALTH STATION</t>
  </si>
  <si>
    <t xml:space="preserve">10:82:3D:88:4B:9D
</t>
  </si>
  <si>
    <t>PMUN-R13-0086</t>
  </si>
  <si>
    <t>SAYAK</t>
  </si>
  <si>
    <t>SAYAK BARANGAY HEALTH STATION</t>
  </si>
  <si>
    <t xml:space="preserve">10:82:3D:84:2A:B7
</t>
  </si>
  <si>
    <t>GENERAL LUNA</t>
  </si>
  <si>
    <t>ANAJAWAN</t>
  </si>
  <si>
    <t>PMUN-R13-0087</t>
  </si>
  <si>
    <t>ANAJAWAN BARANGAY HEALTH STATION</t>
  </si>
  <si>
    <t>CABITOONAN</t>
  </si>
  <si>
    <t>CABITOONAN BARANGAY HEALTH STATION</t>
  </si>
  <si>
    <t>CATANGNAN</t>
  </si>
  <si>
    <t>CATANGNAN BARANGAY HEALTH STATION</t>
  </si>
  <si>
    <t>CONSUELO</t>
  </si>
  <si>
    <t>CONSUELO BARANGAY HEALTH STATION</t>
  </si>
  <si>
    <t>CORAZON</t>
  </si>
  <si>
    <t>CORAZON BARANGAY HEALTH STATION</t>
  </si>
  <si>
    <t>DAKU</t>
  </si>
  <si>
    <t xml:space="preserve">10:82:3D:84:2A:EF
</t>
  </si>
  <si>
    <t>DAKU BARANGAY HEALTH STATION</t>
  </si>
  <si>
    <t>PMUN-R13-0088</t>
  </si>
  <si>
    <t>LA JANUZA</t>
  </si>
  <si>
    <t>LA JANUZA BARANGAY HEALTH STATION</t>
  </si>
  <si>
    <t>LIBERTAD</t>
  </si>
  <si>
    <t>LIBERTAD BARANGAY HEALTH STATION</t>
  </si>
  <si>
    <t>MAGSAYSAY</t>
  </si>
  <si>
    <t>MAGSAYSAY BARANGAY HEALTH STATION</t>
  </si>
  <si>
    <t xml:space="preserve">10:82:3D:88:3A:7D
</t>
  </si>
  <si>
    <t>PMUN-R13-0089</t>
  </si>
  <si>
    <t>MALINAO</t>
  </si>
  <si>
    <t>MALINAO BARANGAY HEALTH STATION</t>
  </si>
  <si>
    <t>POBLACION I</t>
  </si>
  <si>
    <t>GENERAL LUNA RURAL HEALTH UNIT</t>
  </si>
  <si>
    <t>POBLACION IV</t>
  </si>
  <si>
    <t>METRODOCS MEDICAL CLINIC AND LABORATORY</t>
  </si>
  <si>
    <t>SANTA CRUZ</t>
  </si>
  <si>
    <t>STA. CRUZ BARANGAY HEALTH STATION</t>
  </si>
  <si>
    <t>SANTA FE</t>
  </si>
  <si>
    <t>SANTA FE BARANGAY HEALTH STATION</t>
  </si>
  <si>
    <t xml:space="preserve">10:82:3D:88:4B:AD
</t>
  </si>
  <si>
    <t>PMUN-R13-0090</t>
  </si>
  <si>
    <t>SUYANGAN</t>
  </si>
  <si>
    <t>SUYANGAN BARANGAY HEALTH STATION</t>
  </si>
  <si>
    <t>TAWIN-TAWIN</t>
  </si>
  <si>
    <t>TAWIN-TAWIN BARANGAY HEALTH STATION</t>
  </si>
  <si>
    <t>GIGAQUIT</t>
  </si>
  <si>
    <t>ALAMBIQUE (POB.)</t>
  </si>
  <si>
    <t>ALAMBIQUE BARANGAY HEALTH STATION</t>
  </si>
  <si>
    <t>ANIBONGAN</t>
  </si>
  <si>
    <t>ANIBONGAN BARANGAY HEALTH STATION</t>
  </si>
  <si>
    <t xml:space="preserve">10:82:3D:57:F5:7E
</t>
  </si>
  <si>
    <t>CAMAM-ONAN</t>
  </si>
  <si>
    <t>PMUN-R13-0091</t>
  </si>
  <si>
    <t>CAMAM-ONAN BARANGAY HEALTH STATION</t>
  </si>
  <si>
    <t>CAM-BOAYON</t>
  </si>
  <si>
    <t>CAMBOAYON BARANGAY HEALTH STATION</t>
  </si>
  <si>
    <t>IPIL (POB.)</t>
  </si>
  <si>
    <t>GIGAQUIT RURAL HEALTH UNIT</t>
  </si>
  <si>
    <t>GIGAQUIT BIRTHING FACILITY</t>
  </si>
  <si>
    <t xml:space="preserve">10:82:3D:57:F8:F2
</t>
  </si>
  <si>
    <t>LAHI</t>
  </si>
  <si>
    <t>PMUN-R13-0092</t>
  </si>
  <si>
    <t>LAHI BARANGAY HEALTH STATION</t>
  </si>
  <si>
    <t>MAHANUB</t>
  </si>
  <si>
    <t>MAHANUB BARANGAY HEALTH STATION</t>
  </si>
  <si>
    <t>PONIENTE</t>
  </si>
  <si>
    <t>PONIENTE BARANGAY HEALTH STATION</t>
  </si>
  <si>
    <t>SAN ANTONIO</t>
  </si>
  <si>
    <t>SAN ANTONIO BARANGAY HEALTH STATION</t>
  </si>
  <si>
    <t xml:space="preserve">10:82:3D:88:39:A1
</t>
  </si>
  <si>
    <t>PMUN-R13-0093</t>
  </si>
  <si>
    <t>SICO-SICO</t>
  </si>
  <si>
    <t>SICO-SICO BARANGAY HEALTH STATION</t>
  </si>
  <si>
    <t>VILLAFLOR</t>
  </si>
  <si>
    <t>VILLAFLOR BARANGAY HEALTH STATION</t>
  </si>
  <si>
    <t>VILLAFRANCA</t>
  </si>
  <si>
    <t>VILLAFRANCA BARANGAY HEALTH STATION</t>
  </si>
  <si>
    <t>MAINIT</t>
  </si>
  <si>
    <t>CANTUGAS</t>
  </si>
  <si>
    <t xml:space="preserve">10:82:3D:88:3A:81
</t>
  </si>
  <si>
    <t>CANTUGAS BARANGAY HEALTH STATION</t>
  </si>
  <si>
    <t>PMUN-R13-0094</t>
  </si>
  <si>
    <t>MAGPAYANG</t>
  </si>
  <si>
    <t>MAGPAYANG BARANGAY HEALTH STATION</t>
  </si>
  <si>
    <t>MAGSAYSAY (POB.)</t>
  </si>
  <si>
    <t>MAINIT RURAL HEALTH UNIT</t>
  </si>
  <si>
    <t>MAINIT MEDICARE COMMUNITY HOSPITAL</t>
  </si>
  <si>
    <t>10:82:3D:88:3A:65</t>
  </si>
  <si>
    <t>RURAL HEALTH UNIT AND FAMILY PLANNING CENTER</t>
  </si>
  <si>
    <t>PMUN-R13-0095</t>
  </si>
  <si>
    <t>MANSAYAO</t>
  </si>
  <si>
    <t>MANSAYAO BARANGAY HEALTH STATION</t>
  </si>
  <si>
    <t>MATIN-AO</t>
  </si>
  <si>
    <t>MATIN-AO BARANGAY HEALTH STATION</t>
  </si>
  <si>
    <t>PACO</t>
  </si>
  <si>
    <t>PACO BARANGAY HEALTH STATION</t>
  </si>
  <si>
    <t>10:82:3D:88:4B:A1</t>
  </si>
  <si>
    <t>PMUN-R13-0096</t>
  </si>
  <si>
    <t>MALIMONO</t>
  </si>
  <si>
    <t>BUNYASAN</t>
  </si>
  <si>
    <t>BUNYASAN BARANGAY HEALTH STATION</t>
  </si>
  <si>
    <t>CAGTINAE</t>
  </si>
  <si>
    <t>CAGTINAE BARANGAY HEALTH STATION</t>
  </si>
  <si>
    <t>CAN-AGA</t>
  </si>
  <si>
    <t>CAN-AGA BARANGAY HEALTH STATION</t>
  </si>
  <si>
    <t xml:space="preserve">10:82:3D:88:3A:35
</t>
  </si>
  <si>
    <t>CANSAYONG</t>
  </si>
  <si>
    <t>PMUN-R13-0097</t>
  </si>
  <si>
    <t>CANSAYONG BARANGAY HEALTH STATION</t>
  </si>
  <si>
    <t>CANTAPOY</t>
  </si>
  <si>
    <t>CANTAPOY BARANGAY HEALTH STATION</t>
  </si>
  <si>
    <t>CAYAWAN</t>
  </si>
  <si>
    <t>CAYAWAN BARANGAY HEALTH STATION</t>
  </si>
  <si>
    <t>DORO</t>
  </si>
  <si>
    <t>BINOCARAN BARANGAY HEALTH STATION</t>
  </si>
  <si>
    <t>10:82:3D:88:3A:35</t>
  </si>
  <si>
    <t>PMUN-R13-0098</t>
  </si>
  <si>
    <t>HANAGDONG</t>
  </si>
  <si>
    <t>HANAGDONG BARANGAY HEALTH STATION</t>
  </si>
  <si>
    <t xml:space="preserve">10:82:3D:57:F6:BA
</t>
  </si>
  <si>
    <t>PMUN-R13-0099</t>
  </si>
  <si>
    <t>KARIHATAG</t>
  </si>
  <si>
    <t>KARIHATAG BARANGAY HEALTH STATION</t>
  </si>
  <si>
    <t>MASGAD</t>
  </si>
  <si>
    <t>MASGAD BARANGAY HEALTH STATION</t>
  </si>
  <si>
    <t xml:space="preserve">10:82:3D:88:3A:11
</t>
  </si>
  <si>
    <t>PMUN-R13-0100</t>
  </si>
  <si>
    <t>PILI</t>
  </si>
  <si>
    <t>PILI BARANGAY HEALTH STATION</t>
  </si>
  <si>
    <t>SAN ISIDRO (POB.)</t>
  </si>
  <si>
    <t>MALIMONO RURAL HEALTH UNIT AND BIRTHING FACILITY</t>
  </si>
  <si>
    <t>MALIMONO RURAL HEALTH UNIT</t>
  </si>
  <si>
    <t>Doro (Binocaran)</t>
  </si>
  <si>
    <t xml:space="preserve">10:82:3D:57:F7:86
</t>
  </si>
  <si>
    <t>PMUN-R13-0101</t>
  </si>
  <si>
    <t>TINAGO</t>
  </si>
  <si>
    <t>TINAGO BARANGAY HEALTH STATION</t>
  </si>
  <si>
    <t>VILLARIZA</t>
  </si>
  <si>
    <t>VILLARIZA BARANGAY HEALTH STATION</t>
  </si>
  <si>
    <t>PILAR</t>
  </si>
  <si>
    <t>CARIDAD</t>
  </si>
  <si>
    <t xml:space="preserve">10:82:3D:88:3A:A9
</t>
  </si>
  <si>
    <t>CARIDAD BARANGAY HEALTH STATION</t>
  </si>
  <si>
    <t>PMUN-R13-0102</t>
  </si>
  <si>
    <t>DATU</t>
  </si>
  <si>
    <t>DATU BARANGAY HEALTH STATION</t>
  </si>
  <si>
    <t>JABOY</t>
  </si>
  <si>
    <t>JABOY BARANGAY HEALTH STATION</t>
  </si>
  <si>
    <t xml:space="preserve">10:82:3D:57:F9:5E
</t>
  </si>
  <si>
    <t>PMUN-R13-0103</t>
  </si>
  <si>
    <t>MAASIN</t>
  </si>
  <si>
    <t>MAASIN BARANGAY HEALTH STATION</t>
  </si>
  <si>
    <t xml:space="preserve">10:82:3D:50:60:CB
</t>
  </si>
  <si>
    <t>PILARING (POB.)</t>
  </si>
  <si>
    <t>PMUN-R13-0104</t>
  </si>
  <si>
    <t>PILAR RURAL HEALTH UNIT</t>
  </si>
  <si>
    <t>PICS-PP P2</t>
  </si>
  <si>
    <t>SALVACION</t>
  </si>
  <si>
    <t>SALVACION BARANGAY HEALTH STATION</t>
  </si>
  <si>
    <t xml:space="preserve">10:82:3D:50:60:8B
</t>
  </si>
  <si>
    <t>PLACER</t>
  </si>
  <si>
    <t>AMOSLOG</t>
  </si>
  <si>
    <t>PMUN-R13-0105</t>
  </si>
  <si>
    <t>AMOSLOG BARANGAY HEALTH STATION</t>
  </si>
  <si>
    <t>ANISLAGAN</t>
  </si>
  <si>
    <t>ANISLAGAN BARANGAY HEALTH</t>
  </si>
  <si>
    <t>BAD-AS</t>
  </si>
  <si>
    <t>BAD-AS BARANGAY HEALTH STATION</t>
  </si>
  <si>
    <t>BOYONGAN</t>
  </si>
  <si>
    <t>BOYONGAN BARANGAY HEALTH STATION</t>
  </si>
  <si>
    <t xml:space="preserve">10:82:3D:50:5A:07
</t>
  </si>
  <si>
    <t>PMUN-R13-0106</t>
  </si>
  <si>
    <t>BUGAS-BUGAS</t>
  </si>
  <si>
    <t>BUGAS-BUGAS BARANGAY HEALTH STATION</t>
  </si>
  <si>
    <t>CENTRAL (POB.)</t>
  </si>
  <si>
    <t>CENTRAL (POB) BARANGAY HEALTH STATION</t>
  </si>
  <si>
    <t>ELLAPERAL</t>
  </si>
  <si>
    <t>ELLAPERAL BARANGAY HEALTH STATION</t>
  </si>
  <si>
    <t xml:space="preserve">10:82:3D:50:5A:EB
</t>
  </si>
  <si>
    <t>PMUN-R13-0107</t>
  </si>
  <si>
    <t>LAKANDULA</t>
  </si>
  <si>
    <t>LAKANDULA BARANGAY HEALTH STATION</t>
  </si>
  <si>
    <t>MACALAYA</t>
  </si>
  <si>
    <t>MACALAYA BARANGAY HEALTH STATION</t>
  </si>
  <si>
    <t>PLACER RURAL HEALTH UNIT</t>
  </si>
  <si>
    <t xml:space="preserve">10:82:3D:88:39:B9
</t>
  </si>
  <si>
    <t>PMUN-R13-0108</t>
  </si>
  <si>
    <t>MAGSAYSAY POBLACION BARANGAY HEALTH STATION</t>
  </si>
  <si>
    <t>MAGUPANGE</t>
  </si>
  <si>
    <t>MAGUPANGE BARANGAY HEALTH STATION</t>
  </si>
  <si>
    <t>PANANAY-AN</t>
  </si>
  <si>
    <t>PANANAY-AN BARANGAY HEALTH STATION</t>
  </si>
  <si>
    <t>PANHUTONGAN</t>
  </si>
  <si>
    <t>PANHUTONGAN BARANGAY HEALTH STATION</t>
  </si>
  <si>
    <t xml:space="preserve">10:82:3D:84:2A:9F
</t>
  </si>
  <si>
    <t>PMUN-R13-0109</t>
  </si>
  <si>
    <t>SANI-SANI</t>
  </si>
  <si>
    <t>SANI-SANI BARANGAY HEALTH STATION</t>
  </si>
  <si>
    <t>SURIGAO DEL NORTE PROVINCIAL HOSPITAL</t>
  </si>
  <si>
    <t>10:82:3D:88:3A:5D</t>
  </si>
  <si>
    <t>SANTA CRUZ BARANGAY HEALTH STATION</t>
  </si>
  <si>
    <t>PMUN-R13-0110</t>
  </si>
  <si>
    <t>NEPHRO SYNERGIES, INC.</t>
  </si>
  <si>
    <t>SUYOC</t>
  </si>
  <si>
    <t>SUYOC BARANGAY HEALTH STATION</t>
  </si>
  <si>
    <t>TAGBONGABONG</t>
  </si>
  <si>
    <t>TAGBONGABONG BARANGAY HEALTH STATION</t>
  </si>
  <si>
    <t>10:82:3D:84:2A:DB</t>
  </si>
  <si>
    <t>PMUN-R13-0111</t>
  </si>
  <si>
    <t>SAN BENITO</t>
  </si>
  <si>
    <t>MARIBOJOC</t>
  </si>
  <si>
    <t>MARIBOJOC BARANGAY HEALTH STATION</t>
  </si>
  <si>
    <t>SANTA CRUZ (POB.)</t>
  </si>
  <si>
    <t>SAN BENITO RURAL HEALTH UNIT</t>
  </si>
  <si>
    <t xml:space="preserve">10:82:3D:57:F1:2A
</t>
  </si>
  <si>
    <t>PMUN-R13-0112</t>
  </si>
  <si>
    <t>SAN FRANCISCO</t>
  </si>
  <si>
    <t>AMONTAY</t>
  </si>
  <si>
    <t>AMONTAY BARANGAY HEALTH STATION</t>
  </si>
  <si>
    <t>BALITE</t>
  </si>
  <si>
    <t>BALITE BARANGAY HEALTH STATION</t>
  </si>
  <si>
    <t>BANBANON</t>
  </si>
  <si>
    <t>BANBANON BARANGAY HEALTH STATION</t>
  </si>
  <si>
    <t>DIAZ</t>
  </si>
  <si>
    <t>DIAZ BARANGAY HEALTH STATION</t>
  </si>
  <si>
    <t xml:space="preserve">10:82:3D:88:3A:41
</t>
  </si>
  <si>
    <t>PMUN-R13-0113</t>
  </si>
  <si>
    <t>HONRADO</t>
  </si>
  <si>
    <t>HONRADO BARANGAY HEALTH STATION</t>
  </si>
  <si>
    <t>JUBGAN</t>
  </si>
  <si>
    <t>JUBGAN BARANGAY HEALTH STATION</t>
  </si>
  <si>
    <t>LINONGGANAN</t>
  </si>
  <si>
    <t>LINONGGANAN BARANGAY HEALTH STATION</t>
  </si>
  <si>
    <t>MACOPA</t>
  </si>
  <si>
    <t>MACOPA BARANGAY HEALTH STATION</t>
  </si>
  <si>
    <t>MAGTANGALE</t>
  </si>
  <si>
    <t>MAGTANGALE BARANGAY HEALTH STATION</t>
  </si>
  <si>
    <t xml:space="preserve">10:82:3D:84:2B:03
</t>
  </si>
  <si>
    <t>PMUN-R13-0114</t>
  </si>
  <si>
    <t>OSLAO</t>
  </si>
  <si>
    <t>OSLAO BARANGAY HEALTH STATION</t>
  </si>
  <si>
    <t>SAN FRANCISCO RURAL HEALTH UNIT AND BIRTHING FACILITY</t>
  </si>
  <si>
    <t>SAN ISIDRO RURAL HEALTH UNIT</t>
  </si>
  <si>
    <t>SAN ISIDRO SUPER HEALTH CENTER</t>
  </si>
  <si>
    <t xml:space="preserve">10:82:3D:50:5B:3B
</t>
  </si>
  <si>
    <t>PMUN-R13-0115</t>
  </si>
  <si>
    <t>ROXAS</t>
  </si>
  <si>
    <t>ROXAS BARANGAY HEALTH STATION</t>
  </si>
  <si>
    <t>ABAD SANTOS</t>
  </si>
  <si>
    <t>ABAD SANTOS BARANGAY HEALTH STATION</t>
  </si>
  <si>
    <t>BAILAN</t>
  </si>
  <si>
    <t>BAILAN BARANGAY HEALTH STATION</t>
  </si>
  <si>
    <t xml:space="preserve">10:82:3D:50:61:1F
</t>
  </si>
  <si>
    <t>PMUN-R13-0116</t>
  </si>
  <si>
    <t>GARCIA</t>
  </si>
  <si>
    <t>GARCIA BARANGAY HEALTH STATION</t>
  </si>
  <si>
    <t xml:space="preserve">10:82:3D:88:3A:79
</t>
  </si>
  <si>
    <t>PMUN-R13-0117</t>
  </si>
  <si>
    <t>MABUHAY (POB.)</t>
  </si>
  <si>
    <t>T. ARLAN (POB.)</t>
  </si>
  <si>
    <t>Sta. Monica RURAL HEALTH UNIT</t>
  </si>
  <si>
    <t xml:space="preserve">10:82:3D:88:39:A9
</t>
  </si>
  <si>
    <t>PMUN-R13-0118</t>
  </si>
  <si>
    <t>SISON</t>
  </si>
  <si>
    <t>BIYABID</t>
  </si>
  <si>
    <t>BIYABID BARANGAY HEALTH STATION</t>
  </si>
  <si>
    <t xml:space="preserve">10:82:3D:84:2B:13
</t>
  </si>
  <si>
    <t>PMUN-R13-0119</t>
  </si>
  <si>
    <t>GACEPAN</t>
  </si>
  <si>
    <t>GACEPAN BARANGAY HEALTH STATION</t>
  </si>
  <si>
    <t>IMA</t>
  </si>
  <si>
    <t>IMA BARANGAY HEALTH STATION</t>
  </si>
  <si>
    <t>LOWER PATAG</t>
  </si>
  <si>
    <t>10:82:3D:50:60:3F</t>
  </si>
  <si>
    <t>LOWER PATAG BARANGAY HEALTH STATION</t>
  </si>
  <si>
    <t>PMUN-R13-0120</t>
  </si>
  <si>
    <t>MAYAG</t>
  </si>
  <si>
    <t>MAYAG BARANGAY HEALTH STATION</t>
  </si>
  <si>
    <t>RURAL HEALTH UNIT SISON</t>
  </si>
  <si>
    <t xml:space="preserve">10:82:3D:88:3A:45
</t>
  </si>
  <si>
    <t>PMUN-R13-0121</t>
  </si>
  <si>
    <t>SAN PABLO</t>
  </si>
  <si>
    <t>SAN PABLO BARANGAY HEALTH STATION</t>
  </si>
  <si>
    <t>TAGBAYANI</t>
  </si>
  <si>
    <t>TAGBAYANI BARANGAY HEALTH STATION</t>
  </si>
  <si>
    <t>UPPER PATAG</t>
  </si>
  <si>
    <t>UPPER PATAG BARANGAY HEALTH STATION</t>
  </si>
  <si>
    <t xml:space="preserve">10:82:3D:50:5C:4B
</t>
  </si>
  <si>
    <t>PMUN-R13-0122</t>
  </si>
  <si>
    <t>SOCORRO</t>
  </si>
  <si>
    <t>DEL PILAR</t>
  </si>
  <si>
    <t>DEL PILAR BARANGAY HEALTH STATION</t>
  </si>
  <si>
    <t>HELENE</t>
  </si>
  <si>
    <t>HELENE BARANGAY HEALTH STATION</t>
  </si>
  <si>
    <t>NAVARRO (POB.)</t>
  </si>
  <si>
    <t>SOCORRO RURAL HEALTH UNIT</t>
  </si>
  <si>
    <t>10:82:3D:50:5B:63</t>
  </si>
  <si>
    <t>PMUN-R13-0123</t>
  </si>
  <si>
    <t>NUEVA ESTRELLA</t>
  </si>
  <si>
    <t>NUEVA ESTRELLA BARANGAY HEALTH STATION</t>
  </si>
  <si>
    <t>PAMOSAINGAN</t>
  </si>
  <si>
    <t>PAMOSAINGAN BARANGAY HEALTH STATION</t>
  </si>
  <si>
    <t>SALOG</t>
  </si>
  <si>
    <t>SALOG BARANGAY HEALTH STATION</t>
  </si>
  <si>
    <t xml:space="preserve">10:82:3D:50:5A:FB
</t>
  </si>
  <si>
    <t>PMUN-R13-0124</t>
  </si>
  <si>
    <t>SONGKOY</t>
  </si>
  <si>
    <t>SONGKOY BARANGAY HEALTH STATION</t>
  </si>
  <si>
    <t>SUDLON</t>
  </si>
  <si>
    <t>SUDLON BARANGAY HEALTH STATION</t>
  </si>
  <si>
    <t>TAGANA-AN</t>
  </si>
  <si>
    <t>10:82:3D:57:F8:EA</t>
  </si>
  <si>
    <t>AURORA (POB.)</t>
  </si>
  <si>
    <t>PMUN-R13-0125</t>
  </si>
  <si>
    <t>AURORA (MAIN) BARANGAY HEALTH STATION</t>
  </si>
  <si>
    <t>AZUCENA (POB.)</t>
  </si>
  <si>
    <t>TAGANA-AN RURAL HEALTH UNIT</t>
  </si>
  <si>
    <t>AZUCENA BARANGAY HEALTH STATION</t>
  </si>
  <si>
    <t>BANBAN</t>
  </si>
  <si>
    <t>BANBAN BARANGAY HEALTH STATION</t>
  </si>
  <si>
    <t>PMUN-R13-0126</t>
  </si>
  <si>
    <t>CAWILAN</t>
  </si>
  <si>
    <t>CAWILAN BARANGAY HEALTH STATION</t>
  </si>
  <si>
    <t>FABIO</t>
  </si>
  <si>
    <t>FABIO BARANGAY HEALTH STATION</t>
  </si>
  <si>
    <t>HIMAMAUG</t>
  </si>
  <si>
    <t>HIMAMAUG BARANGAY HEALTH STATION</t>
  </si>
  <si>
    <t>2/29/2025</t>
  </si>
  <si>
    <t>LAUREL</t>
  </si>
  <si>
    <t>LAUREL BARANGAY HEALTH STATION</t>
  </si>
  <si>
    <t>LOWER LIBAS</t>
  </si>
  <si>
    <t>LOWER LIBAS BARANGAY HEALTH STATION</t>
  </si>
  <si>
    <t xml:space="preserve">C8:CD:55:1D:60:7C
</t>
  </si>
  <si>
    <t>OPONG</t>
  </si>
  <si>
    <t>RIS-XIII-0109A</t>
  </si>
  <si>
    <t>OPONG BARANGAY HEALTH STATION</t>
  </si>
  <si>
    <t>PATINO</t>
  </si>
  <si>
    <t>PATINO BARANGAY HEALTH STATION</t>
  </si>
  <si>
    <t>SAMPAGUITA (POB.)</t>
  </si>
  <si>
    <t>SAMPAGUITA BARANGAY HEALTH STATION</t>
  </si>
  <si>
    <t>TALAVERA</t>
  </si>
  <si>
    <t>TALAVERA BARANGAY HEALTH STATION</t>
  </si>
  <si>
    <t>Conforme</t>
  </si>
  <si>
    <t>UPPER LIBAS</t>
  </si>
  <si>
    <t>UPPER LIBAS BARANGAY HEALTH STATION</t>
  </si>
  <si>
    <t>TUBOD</t>
  </si>
  <si>
    <t>CAPAYAHAN</t>
  </si>
  <si>
    <t>CAPAYAHAN BARANGAY HEALTH STATION</t>
  </si>
  <si>
    <t>TUBOD RURAL HEALTH UNIT</t>
  </si>
  <si>
    <t>TIMAMANA</t>
  </si>
  <si>
    <t>TIMAMANA BARANGAY HEALTH STATION</t>
  </si>
  <si>
    <t>Caraga Regional Hospital</t>
  </si>
  <si>
    <t>Surigao del Norte Provincial Hospital</t>
  </si>
  <si>
    <t>Del Carmen District Hospital</t>
  </si>
  <si>
    <t>Gigaquit Municipal Hospital</t>
  </si>
  <si>
    <t>Mainit Medicare Community Hospital</t>
  </si>
  <si>
    <t>Herman Sollos</t>
  </si>
  <si>
    <t>Ctcc Totong</t>
  </si>
  <si>
    <t>Sta. Monica District Hospital</t>
  </si>
  <si>
    <t xml:space="preserve">F0:74:8D:A1:BC:85
</t>
  </si>
  <si>
    <t>RIS-XIII-0109B</t>
  </si>
  <si>
    <t xml:space="preserve">D4:31:27:04:B7:BC
</t>
  </si>
  <si>
    <t>RIS-XIII-0004B</t>
  </si>
  <si>
    <t>Realiza Managa</t>
  </si>
  <si>
    <t>realiza.managa001@deped.gov.ph</t>
  </si>
  <si>
    <t xml:space="preserve">10:82:3D:02:66:54
</t>
  </si>
  <si>
    <t>RIS-XIII-0004A</t>
  </si>
  <si>
    <t xml:space="preserve">D4:31:27:04:DC:29
</t>
  </si>
  <si>
    <t>RIS-XIII-0005</t>
  </si>
  <si>
    <t>FB Name: Romelyn Camingue Cadenas
poblacionbarangaydose@gmail.com</t>
  </si>
  <si>
    <t xml:space="preserve">D4:31:27:04:B4:FB
</t>
  </si>
  <si>
    <t>RIS-XIII-0006</t>
  </si>
  <si>
    <t>RE</t>
  </si>
  <si>
    <t>Penito Melida</t>
  </si>
  <si>
    <t>;</t>
  </si>
  <si>
    <t>FB Name: Emily Delatorre</t>
  </si>
  <si>
    <t xml:space="preserve">10:82:3D:02:66:5E
</t>
  </si>
  <si>
    <t>RIS-XIII-0007</t>
  </si>
  <si>
    <t>PROVINCE OF SURIGAO DEL NORTE</t>
  </si>
  <si>
    <t xml:space="preserve">Gaila  Paquibot </t>
  </si>
  <si>
    <t>NO.</t>
  </si>
  <si>
    <t xml:space="preserve">D4:31:27:04:DA:08
</t>
  </si>
  <si>
    <t>RIS-XIII-0008</t>
  </si>
  <si>
    <t>LOCATION NAME / ACTIVITY</t>
  </si>
  <si>
    <t>DATE REQUESTED</t>
  </si>
  <si>
    <t>YEAR</t>
  </si>
  <si>
    <t>TYPE</t>
  </si>
  <si>
    <t>STATUS</t>
  </si>
  <si>
    <t>ACCOMPLISHED DATE</t>
  </si>
  <si>
    <t>Request Letter</t>
  </si>
  <si>
    <t>Response Letter</t>
  </si>
  <si>
    <t>San Roque</t>
  </si>
  <si>
    <t>San Roque Barangay Hall</t>
  </si>
  <si>
    <t>Request</t>
  </si>
  <si>
    <t>PIPELINE</t>
  </si>
  <si>
    <t>Letter Request</t>
  </si>
  <si>
    <t>Junrey Botona</t>
  </si>
  <si>
    <t>fidelesjingky5@gmail.com</t>
  </si>
  <si>
    <t xml:space="preserve">D4:31:27:04:C8:79
</t>
  </si>
  <si>
    <t>RIS-XIII-0009</t>
  </si>
  <si>
    <t>Proposal FY 2027</t>
  </si>
  <si>
    <t>Cantiasay</t>
  </si>
  <si>
    <t>Cantiasay National High School</t>
  </si>
  <si>
    <t xml:space="preserve">D4:31:27:04:C9:46
</t>
  </si>
  <si>
    <t>RIS-XIII-0059</t>
  </si>
  <si>
    <t>Silop</t>
  </si>
  <si>
    <t>Brgy. Silop, Surigao City</t>
  </si>
  <si>
    <t>Silop Letter Request</t>
  </si>
  <si>
    <t>FB name: Thel Yang
barangayesperanza35@gmail.com</t>
  </si>
  <si>
    <t xml:space="preserve">10:82:3D:02:7A:EF
</t>
  </si>
  <si>
    <t>RIS-XIII-0010</t>
  </si>
  <si>
    <t>Letter Response</t>
  </si>
  <si>
    <t>2 Tablet</t>
  </si>
  <si>
    <t>PIALEOS-Brgy. Halls</t>
  </si>
  <si>
    <t>Datu</t>
  </si>
  <si>
    <t>Datu Elementary School, Pilar</t>
  </si>
  <si>
    <t>Datu ES Letter Request</t>
  </si>
  <si>
    <t>Gilbert Berceles</t>
  </si>
  <si>
    <t>FB Name: Berceles Generose</t>
  </si>
  <si>
    <t xml:space="preserve">D4:31:27:04:DC:E7
</t>
  </si>
  <si>
    <t>RIS-XIII-0011</t>
  </si>
  <si>
    <t>Mabuhay Elementary School, Pilar</t>
  </si>
  <si>
    <t>Mabuhay ES Letter Request</t>
  </si>
  <si>
    <t>70:42:D3:8D:AB:BB</t>
  </si>
  <si>
    <t>RIS-XIII-0012</t>
  </si>
  <si>
    <t>PIALEOS - Hospital</t>
  </si>
  <si>
    <t>DONE</t>
  </si>
  <si>
    <t xml:space="preserve">10:82:3D:02:64:47
</t>
  </si>
  <si>
    <t>RIS-XIII-0013A</t>
  </si>
  <si>
    <t>April 29-30, 2025</t>
  </si>
  <si>
    <t>Siargao Airport Letter Request</t>
  </si>
  <si>
    <t>PIALEOS-RHU</t>
  </si>
  <si>
    <t>Brgy. 1 (Pob.)</t>
  </si>
  <si>
    <t>OnSite</t>
  </si>
  <si>
    <t>Engr. Alwin Ga</t>
  </si>
  <si>
    <t xml:space="preserve">D4:31:27:BE:AD:80
</t>
  </si>
  <si>
    <t>RIS-XIII-0013B</t>
  </si>
  <si>
    <t>Requested by Cong. Bingo</t>
  </si>
  <si>
    <t>Numancia Central ES</t>
  </si>
  <si>
    <t>9.805488°</t>
  </si>
  <si>
    <t>125.454592°</t>
  </si>
  <si>
    <t xml:space="preserve">10:82:3D:31:35:3B
</t>
  </si>
  <si>
    <t>RIS-XIII-0014</t>
  </si>
  <si>
    <t>Additional AP in Computer Laboratory</t>
  </si>
  <si>
    <t>Sta. Paz</t>
  </si>
  <si>
    <t>Sta. Paz ES and BH</t>
  </si>
  <si>
    <t>Ryan Corvera</t>
  </si>
  <si>
    <t>ahmedcorvs@gmail.com</t>
  </si>
  <si>
    <t xml:space="preserve">D4:31:27:04:DE:6D
</t>
  </si>
  <si>
    <t>RIS-XIII-0040A</t>
  </si>
  <si>
    <t>PICS-PP P3 Expansion</t>
  </si>
  <si>
    <t>Bonifacio</t>
  </si>
  <si>
    <t>Cabrera-Altres NHS</t>
  </si>
  <si>
    <t>Vince Cherryfe</t>
  </si>
  <si>
    <t>FB Name: Vince Cherryfe</t>
  </si>
  <si>
    <t xml:space="preserve">D4:31:27:BE:C6:8F
</t>
  </si>
  <si>
    <t>RIS-XIII-0039</t>
  </si>
  <si>
    <t>DENR PAMO-SIPLAS Office</t>
  </si>
  <si>
    <t>DENR PAMO-SIPLAS OFFICE</t>
  </si>
  <si>
    <t>Request Letter
2026</t>
  </si>
  <si>
    <t>PIALEOS - Hospitals</t>
  </si>
  <si>
    <t>Response Letter
2026</t>
  </si>
  <si>
    <t>Oguing Navarro Memorial NHS</t>
  </si>
  <si>
    <t xml:space="preserve">D4:31:27:BE:CD:F1
</t>
  </si>
  <si>
    <t>RIS-XIII-0061</t>
  </si>
  <si>
    <t>PROVINCE OF Surigao del Norte</t>
  </si>
  <si>
    <t>PhilHealth Request</t>
  </si>
  <si>
    <t xml:space="preserve">D4:31:27:BE:D5:C6
</t>
  </si>
  <si>
    <t>RIS-XIII-0040B</t>
  </si>
  <si>
    <t>Provision</t>
  </si>
  <si>
    <t>9.791147°</t>
  </si>
  <si>
    <t>125.493640°</t>
  </si>
  <si>
    <t xml:space="preserve">D4:31:27:04:BE:10
</t>
  </si>
  <si>
    <t>Jan. 5 (PhilHealth Request)</t>
  </si>
  <si>
    <t>RIS-XIII-0063</t>
  </si>
  <si>
    <t>Capalayan ES</t>
  </si>
  <si>
    <t>Jan. 5 (PhilHealth)</t>
  </si>
  <si>
    <t>Not Catered</t>
  </si>
  <si>
    <t>Luna</t>
  </si>
  <si>
    <t>CAAP Surigao City Airport</t>
  </si>
  <si>
    <t>Feb. 2 (CAAP _ Surigao City Airport)</t>
  </si>
  <si>
    <t>Salvacion</t>
  </si>
  <si>
    <t>Salvacion Barangay Hall</t>
  </si>
  <si>
    <t>DICT R13 Response Letter - CAAP FW4A Request(signed).pdf</t>
  </si>
  <si>
    <t>Salvacion BH</t>
  </si>
  <si>
    <t>1506th Infantry Batallion</t>
  </si>
  <si>
    <t>Feruary 25, 2026</t>
  </si>
  <si>
    <t>CapDev Training</t>
  </si>
  <si>
    <t>Rolph Pacleb
Franc Macaldo</t>
  </si>
  <si>
    <t>1560th Infantry Battalion_Letter Request.pdf</t>
  </si>
  <si>
    <t>9092380111
09771338454</t>
  </si>
  <si>
    <t>rolfpacleb75@gmail.com
surigaocitymayor@gmail.com</t>
  </si>
  <si>
    <t xml:space="preserve">D4:31:27:BE:CE:D7
</t>
  </si>
  <si>
    <t>RIS-XIII-0064</t>
  </si>
  <si>
    <t>1506th RRIB, Dapa</t>
  </si>
  <si>
    <t>LGU-Pilar</t>
  </si>
  <si>
    <t>PIALEOS-Public Health Facilities</t>
  </si>
  <si>
    <t>Blocking</t>
  </si>
  <si>
    <t xml:space="preserve">10:82:3D:31:43:0F
</t>
  </si>
  <si>
    <t>LGU Pilar_Letter Request</t>
  </si>
  <si>
    <t>RIS-XIII-0062</t>
  </si>
  <si>
    <t>San Isidro NHS</t>
  </si>
  <si>
    <t>San ISidro NHS</t>
  </si>
  <si>
    <t>Mar. 10 (LGU-Pilar)</t>
  </si>
  <si>
    <t xml:space="preserve">10:82:3D:02:67:17
</t>
  </si>
  <si>
    <t>RIS-XIII-0103B</t>
  </si>
  <si>
    <t>SDN CAPITOL_CAPITOL HALL.pdf</t>
  </si>
  <si>
    <t>PRC</t>
  </si>
  <si>
    <t>DICT Request for Internet Connectivity for Siargao Mobile Service.pdf</t>
  </si>
  <si>
    <t>SDN CAPITOL_CAPITOL HALL UAT.pdf</t>
  </si>
  <si>
    <t>San Isidro Municipal Gym (BOSS)</t>
  </si>
  <si>
    <t>Graciela Mante</t>
  </si>
  <si>
    <t>January 13-17, 2024</t>
  </si>
  <si>
    <r>
      <t xml:space="preserve">FB Name: Graciela Mante
</t>
    </r>
    <r>
      <rPr>
        <u/>
        <sz val="10"/>
        <color rgb="FF1155CC"/>
        <rFont val="Arial"/>
        <family val="2"/>
      </rPr>
      <t>sdngovernorsoffice.gmail.com</t>
    </r>
  </si>
  <si>
    <t>T. Arlan (Pob.)</t>
  </si>
  <si>
    <t>Sta. Monica Municipal Agriculture Office</t>
  </si>
  <si>
    <t xml:space="preserve">10:82:3D:82:58:45
</t>
  </si>
  <si>
    <t>RIS-XIII-0103A</t>
  </si>
  <si>
    <t>Sta. Monica Request</t>
  </si>
  <si>
    <t xml:space="preserve">D4:31:27:04:B1:4F
</t>
  </si>
  <si>
    <t>RIS-XIII-0104</t>
  </si>
  <si>
    <t xml:space="preserve">F0:74:8D:A1:BF:FA
</t>
  </si>
  <si>
    <t>RIS-XIII-0102</t>
  </si>
  <si>
    <t>C4:B2:5B:38:B5:23</t>
  </si>
  <si>
    <t>RIS-XIII-0121</t>
  </si>
  <si>
    <t>Abad Santos</t>
  </si>
  <si>
    <t>Abad Santos Elementary School</t>
  </si>
  <si>
    <t>SC_SAN JUAN.pdf</t>
  </si>
  <si>
    <t>Abad Santos ES</t>
  </si>
  <si>
    <t>SC_SAN JUAN UAT.pdf</t>
  </si>
  <si>
    <t>888 (Endorse Response Letter to PMT and already called the requestor (PIALEOS-Public Schools)</t>
  </si>
  <si>
    <t>San Carlos</t>
  </si>
  <si>
    <t>San Carlos Elementary School</t>
  </si>
  <si>
    <t>San Carlos ES</t>
  </si>
  <si>
    <t>F0:74:8D:A1:BF:DC</t>
  </si>
  <si>
    <t>RIS-XIII-0122</t>
  </si>
  <si>
    <t>SC_SAN JUAN BH HEALTH UAT.pdf</t>
  </si>
  <si>
    <t>D4:31:27:BE:B2:1C</t>
  </si>
  <si>
    <t>RIS-XIII-0060</t>
  </si>
  <si>
    <t>STA. MONICA_MABUHAY.pdf</t>
  </si>
  <si>
    <t>Union Elementary School</t>
  </si>
  <si>
    <t>Union ES_Letter Request</t>
  </si>
  <si>
    <t>STA. MONICA_MABUHAY UAT.pdf</t>
  </si>
  <si>
    <t>Salog</t>
  </si>
  <si>
    <t xml:space="preserve">F0:74:8D:A1:C1:DF
</t>
  </si>
  <si>
    <t>RIS-XIII-0112</t>
  </si>
  <si>
    <t>Salog_Request Letter</t>
  </si>
  <si>
    <t>D4:31:27:BE:B2:3A</t>
  </si>
  <si>
    <t>RIS-XIII-0120</t>
  </si>
  <si>
    <t>SAN BENITO_TALISAY.pdf</t>
  </si>
  <si>
    <t>SAN BENITO_TALISAY UAT.pdf</t>
  </si>
  <si>
    <t>Blocking of Game</t>
  </si>
  <si>
    <t>Sudlon</t>
  </si>
  <si>
    <t>Sohoton Cove</t>
  </si>
  <si>
    <t>Letter Request _Sohoton</t>
  </si>
  <si>
    <t xml:space="preserve">D4:31:27:BE:C0:18
</t>
  </si>
  <si>
    <t>RIS-XIII-0109</t>
  </si>
  <si>
    <t>MAINIT_MAGSAYSAY.pdf</t>
  </si>
  <si>
    <t>MAINIT_MAGSAYSAY UAT.pdf</t>
  </si>
  <si>
    <t>Brgy. Del Carmen</t>
  </si>
  <si>
    <t>Letter Request_DENR</t>
  </si>
  <si>
    <t xml:space="preserve">D4:31:27:04:C7:57
</t>
  </si>
  <si>
    <t>RIS-XIII-0090</t>
  </si>
  <si>
    <t>SOCORRO_WOMENS CENTER UAT.pdf</t>
  </si>
  <si>
    <t xml:space="preserve">F0:74:8D:A1:BE:83
</t>
  </si>
  <si>
    <t>RIS-XIII-0110</t>
  </si>
  <si>
    <t>BURGOS_POBLACION 1 BH.pdf</t>
  </si>
  <si>
    <t>Bacuag National Agro-Industrial School</t>
  </si>
  <si>
    <t xml:space="preserve">D4:31:27:BE:B3:0C
</t>
  </si>
  <si>
    <t>RIS-XIII-0108</t>
  </si>
  <si>
    <t>SAN ISIDRO_SAN MIGUEL.pdf</t>
  </si>
  <si>
    <t>SAN ISIDRO_SAN MIGUEL UAT.pdf</t>
  </si>
  <si>
    <t>Jay Hinampang</t>
  </si>
  <si>
    <t>FB Name: Jay Ronald Concilles Hinampas (Typical Siargao)
hinampasjayronald@gmail.com</t>
  </si>
  <si>
    <t>PICS-Public School</t>
  </si>
  <si>
    <t>SAN ISIDRO_GYM UAT.pdf</t>
  </si>
  <si>
    <t>F0:74:8D:A1:BD:11</t>
  </si>
  <si>
    <t>RIS-XIII-0107</t>
  </si>
  <si>
    <t>PILAR_GYM UAT.pdf</t>
  </si>
  <si>
    <t>Catangnan</t>
  </si>
  <si>
    <t>C8:CD:55:1E:27:F4</t>
  </si>
  <si>
    <t>PCSPP2-R13-0094A</t>
  </si>
  <si>
    <t>Disable of WIFI from 10PM-4AM</t>
  </si>
  <si>
    <t>Siargao Islands</t>
  </si>
  <si>
    <t>Digital Nomads</t>
  </si>
  <si>
    <t>Comelec Technical Repair Hub</t>
  </si>
  <si>
    <t>Arceley Gallentes
FB name: Arcely Forcadilla Gellentes</t>
  </si>
  <si>
    <t>09062995902</t>
  </si>
  <si>
    <t>Mat-i National High School</t>
  </si>
  <si>
    <t>arcelygallentesmto@gmail.com</t>
  </si>
  <si>
    <t xml:space="preserve">C8:CD:55:1E:02:29
</t>
  </si>
  <si>
    <t>PCSPP2-R13-0094B</t>
  </si>
  <si>
    <t xml:space="preserve">C0:A4:76:A2:82:7A
</t>
  </si>
  <si>
    <t>PCSPP2-R13-0094C</t>
  </si>
  <si>
    <t>PICS-HTEI's</t>
  </si>
  <si>
    <t>Brgy.6</t>
  </si>
  <si>
    <t>Dapa Super RHU</t>
  </si>
  <si>
    <t xml:space="preserve">C8:CD:55:1E:05:99
</t>
  </si>
  <si>
    <t>PCSPP2-R13-0095A</t>
  </si>
  <si>
    <t>PPDO</t>
  </si>
  <si>
    <t>July 9-13, 2025</t>
  </si>
  <si>
    <t>Shelene Cathlyn B. Daga-as</t>
  </si>
  <si>
    <t>09064614237</t>
  </si>
  <si>
    <t>shelene.dagaas@deped.gov.ph</t>
  </si>
  <si>
    <t>Municipality of Malimono</t>
  </si>
  <si>
    <t xml:space="preserve">C8:CD:55:1D:FE:4B
</t>
  </si>
  <si>
    <t>PCSPP2-R13-0095B</t>
  </si>
  <si>
    <t xml:space="preserve">C8:CD:55:1E:07:E7
</t>
  </si>
  <si>
    <t>PCSPP2-R13-0096</t>
  </si>
  <si>
    <t>PICS-PP Public Health Facilities</t>
  </si>
  <si>
    <t>Juvelyn F. Calapre</t>
  </si>
  <si>
    <t>juvelyn.calapre@deped.gov.ph</t>
  </si>
  <si>
    <t>Done Orientation</t>
  </si>
  <si>
    <t>Municipal Government of San Isidro</t>
  </si>
  <si>
    <t xml:space="preserve">C8:CD:55:1D:EC:1C
</t>
  </si>
  <si>
    <t>PCSPP2-R13-0097</t>
  </si>
  <si>
    <t>Ken Pantolla</t>
  </si>
  <si>
    <t>kenpantolla@gmail.com</t>
  </si>
  <si>
    <t xml:space="preserve">C8:CD:55:1E:1F:98
</t>
  </si>
  <si>
    <t>PCSPP2-R13-0091</t>
  </si>
  <si>
    <t>Disable of WIFI from 8PM-4AM</t>
  </si>
  <si>
    <t>Brgy. Luna</t>
  </si>
  <si>
    <t>BIR</t>
  </si>
  <si>
    <t>Validation</t>
  </si>
  <si>
    <t xml:space="preserve">C8:CD:55:1D:EE:C4
</t>
  </si>
  <si>
    <t>PCSPP2-R13-0092</t>
  </si>
  <si>
    <t>BIR Request Letter</t>
  </si>
  <si>
    <t>Jineffer Amamangpang</t>
  </si>
  <si>
    <t>jinefferamamangpanganito@gmail.com</t>
  </si>
  <si>
    <t xml:space="preserve">C8:CD:55:1D:FF:54
</t>
  </si>
  <si>
    <t>SOPA 2025</t>
  </si>
  <si>
    <t>PCSPP2-R13-0093</t>
  </si>
  <si>
    <t>Item No.</t>
  </si>
  <si>
    <t>Monica D. Cuballes</t>
  </si>
  <si>
    <t>Catabaan</t>
  </si>
  <si>
    <t>monica.cuballes001@deped.gov.ph</t>
  </si>
  <si>
    <t>Catabaan Elementray School</t>
  </si>
  <si>
    <t>Consuelo</t>
  </si>
  <si>
    <t>9°47'49.66"N</t>
  </si>
  <si>
    <t>126° 6'32.11"E</t>
  </si>
  <si>
    <t xml:space="preserve">C8:CD:55:1E:04:18
</t>
  </si>
  <si>
    <t>PCSPP2-R13-0102</t>
  </si>
  <si>
    <t>Transport Location</t>
  </si>
  <si>
    <t>Transport Type</t>
  </si>
  <si>
    <t>Site Locations</t>
  </si>
  <si>
    <t>Transfer/New Locations</t>
  </si>
  <si>
    <t>Nationwide ID</t>
  </si>
  <si>
    <t>Sherrel N. Gonzales
Chadie C. Ramirez</t>
  </si>
  <si>
    <t>9666498513
09458375198</t>
  </si>
  <si>
    <t>sherrel.narra@deped.gov.ph
chadie.consigna@deped.gov.ph</t>
  </si>
  <si>
    <t>DENR Caraga Region</t>
  </si>
  <si>
    <t>9°47'51.16"N</t>
  </si>
  <si>
    <t>126° 6'32.05"E</t>
  </si>
  <si>
    <t>Coordinates</t>
  </si>
  <si>
    <t xml:space="preserve">C8:CD:55:1E:23:F3
</t>
  </si>
  <si>
    <t>Procurement Initiative</t>
  </si>
  <si>
    <t xml:space="preserve">C8:CD:55:1D:60:3B
</t>
  </si>
  <si>
    <t>PCSPP2-R13-0098</t>
  </si>
  <si>
    <t>Osmena</t>
  </si>
  <si>
    <t>1506th Ready Reserve Infantry Battalion</t>
  </si>
  <si>
    <t>Documents</t>
  </si>
  <si>
    <t>Status</t>
  </si>
  <si>
    <t>Link Type</t>
  </si>
  <si>
    <t>Replacement Form File</t>
  </si>
  <si>
    <t>No Provision</t>
  </si>
  <si>
    <t>Philippine Health Insurance Corporation</t>
  </si>
  <si>
    <t>Conforme File</t>
  </si>
  <si>
    <t>Hazel Jean D. Dulguime</t>
  </si>
  <si>
    <t>UAT FIle</t>
  </si>
  <si>
    <t>hazeljean.dulguime@deped.gov.ph</t>
  </si>
  <si>
    <t xml:space="preserve">C0:A4:76:A2:80:27
</t>
  </si>
  <si>
    <t>PCSPP2-R13-0099</t>
  </si>
  <si>
    <t>Brgy. San Pablo, Sison</t>
  </si>
  <si>
    <t>Site Coordinators</t>
  </si>
  <si>
    <t>Current Date of Acceptance</t>
  </si>
  <si>
    <t>PIALEOS - RHU</t>
  </si>
  <si>
    <t>Ipil National High School</t>
  </si>
  <si>
    <t>Installation Type</t>
  </si>
  <si>
    <t xml:space="preserve">C0:A4:76:A5:E7:B2
</t>
  </si>
  <si>
    <t>PCSPP2-R13-0067A</t>
  </si>
  <si>
    <t>Contact Details</t>
  </si>
  <si>
    <t>2nd</t>
  </si>
  <si>
    <t>FOC (PLDT)</t>
  </si>
  <si>
    <t>For Site Acceptance</t>
  </si>
  <si>
    <t>PIALEOS - Public Schools</t>
  </si>
  <si>
    <t>Municipality of General Luna</t>
  </si>
  <si>
    <t>Daniel M. Saragoza
Reynolds R. Minguita</t>
  </si>
  <si>
    <t>9761394606
09154020892</t>
  </si>
  <si>
    <t>daniel.saragoza@deped.gov.ph
reynold.minguita001@deped.gov.ph</t>
  </si>
  <si>
    <t>Regional Procured</t>
  </si>
  <si>
    <t>Region Initiated</t>
  </si>
  <si>
    <t>PCSPP2-R13-0067B</t>
  </si>
  <si>
    <t>Burgos Central Elem. School_Left Wing Building</t>
  </si>
  <si>
    <t xml:space="preserve">C0:A4:76:A5:CC:F5
</t>
  </si>
  <si>
    <t>PCSPP2-R13-0068</t>
  </si>
  <si>
    <t>For Installation</t>
  </si>
  <si>
    <t>UTP</t>
  </si>
  <si>
    <t>DOST - SDN</t>
  </si>
  <si>
    <t>Alegria Municipal Hall</t>
  </si>
  <si>
    <t>Jaslilpone V. Birao
Marjon Riel C. Ranza</t>
  </si>
  <si>
    <t>9452447997
091652773313</t>
  </si>
  <si>
    <t>jaslilpone.birao@deped.gov.ph
marjonriel.ranza@deped.gov.ph</t>
  </si>
  <si>
    <t>Matin.ao</t>
  </si>
  <si>
    <t>Matin-ao Barangay Hall_Lobby</t>
  </si>
  <si>
    <t xml:space="preserve">C0:A4:76:A5:DA:8D
</t>
  </si>
  <si>
    <t>PCSPP2-R13-0064</t>
  </si>
  <si>
    <t xml:space="preserve">Don Robojo                                                                                                                                                            Johnny S. Natad </t>
  </si>
  <si>
    <t>09384491314                                                                          09853268144</t>
  </si>
  <si>
    <t>PhilHealth_Serbisyo Caravan_Placer</t>
  </si>
  <si>
    <t>Flora Maria P. Nobleza
Albert D. Luspe</t>
  </si>
  <si>
    <t>9656844965
09675132236</t>
  </si>
  <si>
    <t>Monday (Offline Time)</t>
  </si>
  <si>
    <t>pongaronfloramaria@gmail.com</t>
  </si>
  <si>
    <t xml:space="preserve">C0:A4:76:A2:7D:07
</t>
  </si>
  <si>
    <t>PCSPP2-R13-0065</t>
  </si>
  <si>
    <t>PALENG QR PH Launching_Del Carmen</t>
  </si>
  <si>
    <t>Marleta A. Orejas</t>
  </si>
  <si>
    <t>marlita.orejas002@deped.gov.ph</t>
  </si>
  <si>
    <t>Consolacion</t>
  </si>
  <si>
    <t>Consolacion Barangay Hall_DTC</t>
  </si>
  <si>
    <t xml:space="preserve">C8:CD:55:1E:02:9C
</t>
  </si>
  <si>
    <t>PCSPP2-R13-002F</t>
  </si>
  <si>
    <t>Julio Ouano (Pob.)</t>
  </si>
  <si>
    <t>Don Epifanio Cedro Elementary School</t>
  </si>
  <si>
    <t>Starlink</t>
  </si>
  <si>
    <t>Don Epifanio Cedro Elementary School - AP1</t>
  </si>
  <si>
    <t>PRPS-L3-2039</t>
  </si>
  <si>
    <t>Centrally Procured</t>
  </si>
  <si>
    <t>Manage Service</t>
  </si>
  <si>
    <t>PIALEOS - Remote Public Schools</t>
  </si>
  <si>
    <t>Don Epifanio Cedro Elementary School - AP2</t>
  </si>
  <si>
    <t>Surigao City Central Elementary School</t>
  </si>
  <si>
    <t>Analie F. Jovero
Ceferina Dominguito</t>
  </si>
  <si>
    <t>9215135342
09855215566</t>
  </si>
  <si>
    <t>analiejovero2188@gmail.com
chelanie2022@gmail.com</t>
  </si>
  <si>
    <t>Don Epifanio Cedro Elementary School - AP3</t>
  </si>
  <si>
    <t>Consolacion Covered Court_Right Wing</t>
  </si>
  <si>
    <t xml:space="preserve">C8:CD:55:19:2F:CD
</t>
  </si>
  <si>
    <t>PCSPP2-R13-0030</t>
  </si>
  <si>
    <t xml:space="preserve">FOC (PLDT)
</t>
  </si>
  <si>
    <t>Consolacion National High School_DTC</t>
  </si>
  <si>
    <t xml:space="preserve">C8:CD:55:1E:15:1B
</t>
  </si>
  <si>
    <t>PCSPP2-R13-0032</t>
  </si>
  <si>
    <t xml:space="preserve">Manuelito Jamero Jr. </t>
  </si>
  <si>
    <t>Mabua</t>
  </si>
  <si>
    <t>Mabua Elementary School, Surigao City</t>
  </si>
  <si>
    <t>Lenie Estoconing</t>
  </si>
  <si>
    <t>lenie.estoconing@deped.gov.ph</t>
  </si>
  <si>
    <t>Consolacion National High School_2 Floor Lobby</t>
  </si>
  <si>
    <t>Consolacion Elementary School_Right Wing Building</t>
  </si>
  <si>
    <t xml:space="preserve">C8:CD:55:1E:23:CB
</t>
  </si>
  <si>
    <t>PCSPP2-R13-0031</t>
  </si>
  <si>
    <t>Nominated PIALEOS-Public School / Prio for RD</t>
  </si>
  <si>
    <t>Mati-a</t>
  </si>
  <si>
    <t>Lope R. Ruiz Memo. ES (Japson ES)</t>
  </si>
  <si>
    <t>Prio for RD</t>
  </si>
  <si>
    <t>RCWC Caraga / DSWD Field Office Caraga</t>
  </si>
  <si>
    <t xml:space="preserve">FOC (PLDT)
</t>
  </si>
  <si>
    <t>Bacuag Municipal Mayor's Office</t>
  </si>
  <si>
    <t>FB Name: Lordz Ruaya</t>
  </si>
  <si>
    <t>lourdes.ruaya001@deped.gov.ph</t>
  </si>
  <si>
    <t>For Transfer</t>
  </si>
  <si>
    <t>Brgy. 1</t>
  </si>
  <si>
    <t>Bacuag Tourism Office Facing Plaza</t>
  </si>
  <si>
    <t>F0:74:8D:A1:BF:AF</t>
  </si>
  <si>
    <t>PCSPP2-R13-0105A</t>
  </si>
  <si>
    <t>Pautao</t>
  </si>
  <si>
    <t xml:space="preserve">Pautao Elementary School </t>
  </si>
  <si>
    <t xml:space="preserve">Starlink
</t>
  </si>
  <si>
    <t>Pautao Elementary School - AP1</t>
  </si>
  <si>
    <t>PRPS-L3-2041</t>
  </si>
  <si>
    <t>Philhealth Yakap Caravan_Pilar</t>
  </si>
  <si>
    <t>Pautao Elementary School - AP2</t>
  </si>
  <si>
    <t>Pautao Elementary School - AP3</t>
  </si>
  <si>
    <t>Payapag</t>
  </si>
  <si>
    <t xml:space="preserve">Little Baguio Elementary School </t>
  </si>
  <si>
    <t>Little Baguio Elementary School - AP1</t>
  </si>
  <si>
    <t>PRPS-L3-2046</t>
  </si>
  <si>
    <t xml:space="preserve">C8:CD:55:19:3B:C1
</t>
  </si>
  <si>
    <t>PCSPP2-R13-0105B</t>
  </si>
  <si>
    <t xml:space="preserve">C8:CD:55:1D:68:1F
</t>
  </si>
  <si>
    <t>Little Baguio Elementary School - AP2</t>
  </si>
  <si>
    <t>PCSPP2-R13-0105C</t>
  </si>
  <si>
    <t>Bitoon</t>
  </si>
  <si>
    <t>Little Baguio Elementary School - AP3</t>
  </si>
  <si>
    <t xml:space="preserve">C8:CD:55:21:3E:97
</t>
  </si>
  <si>
    <t>PCSPP2-R13-0083</t>
  </si>
  <si>
    <t>Sto. Rosario</t>
  </si>
  <si>
    <t>Sto. Rosario Elementary School</t>
  </si>
  <si>
    <t>Sto. Rosario Elementary School - AP1</t>
  </si>
  <si>
    <t>PRPS-L3-2059</t>
  </si>
  <si>
    <t>Sto. Rosario Elementary School - AP2</t>
  </si>
  <si>
    <t>Sto. Rosario Elementary School - AP3</t>
  </si>
  <si>
    <t>Ronalyn P. Consigna
Maria Lina D. Botona</t>
  </si>
  <si>
    <t>9858976608
09092770527</t>
  </si>
  <si>
    <t>ronalynconsigna918@gmail.com
marialinabotona@gmail.com</t>
  </si>
  <si>
    <t>Claver Municipal Hall</t>
  </si>
  <si>
    <t xml:space="preserve">C8:CD:55:1E:0A:B7
</t>
  </si>
  <si>
    <t>PCSPP2-R13-0084</t>
  </si>
  <si>
    <t>Jake S. Zapanta                                                                                                                                                         Jonathan R. Go Jr.</t>
  </si>
  <si>
    <t>09507639290                                                                                                                                                         09477469400</t>
  </si>
  <si>
    <t>Jhonrie B. Libay</t>
  </si>
  <si>
    <t>jhonrie.libay@deped.gov.ph</t>
  </si>
  <si>
    <t>Cabugao</t>
  </si>
  <si>
    <t>Cabugao Barangay Hall_Lobby</t>
  </si>
  <si>
    <t xml:space="preserve">C8:CD:55:1D:F6:A3
</t>
  </si>
  <si>
    <t>PCSPP2-R13-0074</t>
  </si>
  <si>
    <t>Lapinigan</t>
  </si>
  <si>
    <t>Lapinigan Elementary School</t>
  </si>
  <si>
    <t>Dario D. Maamo
Carmie R. Eledia</t>
  </si>
  <si>
    <t>9064950342
09158178497</t>
  </si>
  <si>
    <t>dariomaamo@gmail.com
carmieeledia@gmail.com</t>
  </si>
  <si>
    <t>Lapinigan Elementary School - AP1</t>
  </si>
  <si>
    <t>PRPS-L3-2042</t>
  </si>
  <si>
    <t>Cabugao Elementary School_Lobby</t>
  </si>
  <si>
    <t xml:space="preserve">C8:CD:55:1D:F6:30
</t>
  </si>
  <si>
    <t>PCSPP2-R13-0075</t>
  </si>
  <si>
    <t>Lapinigan Elementary School - AP2</t>
  </si>
  <si>
    <t>Lapinigan Elementary School - AP3</t>
  </si>
  <si>
    <t>Magallanes</t>
  </si>
  <si>
    <t>Magallanes Elementary School</t>
  </si>
  <si>
    <t>Magallanes Elementary School - AP1</t>
  </si>
  <si>
    <t>PRPS-L3-2043</t>
  </si>
  <si>
    <t>Magallanes Elementary School - AP2</t>
  </si>
  <si>
    <t>Juan L. Longos
FB Name: John Lim Longos</t>
  </si>
  <si>
    <t>juan.longos@deped.gov.ph</t>
  </si>
  <si>
    <t>Magallanes Elementary School - AP3</t>
  </si>
  <si>
    <t xml:space="preserve">C8:CD:55:1E:25:9C
</t>
  </si>
  <si>
    <t>PCSPP2-R13-0085</t>
  </si>
  <si>
    <t>Sapa</t>
  </si>
  <si>
    <t>Sapa Elementary School</t>
  </si>
  <si>
    <t>Sapa Elementary School - AP1</t>
  </si>
  <si>
    <t>PRPS-L3-2044</t>
  </si>
  <si>
    <t>Sapa Elementary School - AP2</t>
  </si>
  <si>
    <t>Sapa Elementary School - AP3</t>
  </si>
  <si>
    <t>Daywan</t>
  </si>
  <si>
    <t>Tayawod Elementary School</t>
  </si>
  <si>
    <t>Tayawod Elementary School - AP1</t>
  </si>
  <si>
    <t>PRPS-L3-2045</t>
  </si>
  <si>
    <t>Bagacay Elementary School_Right Side Building</t>
  </si>
  <si>
    <t xml:space="preserve">C8:CD:55:1E:08:05
</t>
  </si>
  <si>
    <t>PCSPP2-R13-0086</t>
  </si>
  <si>
    <t>Tayawod Elementary School - AP2</t>
  </si>
  <si>
    <t>Tayawod Elementary School - AP3</t>
  </si>
  <si>
    <t>Bagacay</t>
  </si>
  <si>
    <t>Surigao State College of Technology-Claver</t>
  </si>
  <si>
    <t>Gerlyn M. Sarno</t>
  </si>
  <si>
    <t>gerlyn.sarno@deped.gov.ph</t>
  </si>
  <si>
    <t>San Jose (Pob.)</t>
  </si>
  <si>
    <t>LOS already reported to PLDT</t>
  </si>
  <si>
    <t>9°52'18.35"N</t>
  </si>
  <si>
    <t>125°58'21.54"E</t>
  </si>
  <si>
    <t xml:space="preserve">D4:31:27:04:C0:C7
</t>
  </si>
  <si>
    <t>PCSPP2-R13-0100A</t>
  </si>
  <si>
    <t>PICS-MUN_HTEIS_PP</t>
  </si>
  <si>
    <t>Comforme</t>
  </si>
  <si>
    <t>Cheyserr C. Lelis                                                                                                                                                                    Juliana Mae Navallo</t>
  </si>
  <si>
    <t>09771222615                                                                                                                                                                    09305010421</t>
  </si>
  <si>
    <t>Gigaguit New Municipal Hall Bldg- 1F Right Wing</t>
  </si>
  <si>
    <t>Margelyn P. Llano
FB Name: Margz Petals</t>
  </si>
  <si>
    <t>Beverly R. Bonite                                                                                                                                                                    Jason G. Bayang</t>
  </si>
  <si>
    <t>09507583041                                                                                                                                                                    09610717448</t>
  </si>
  <si>
    <t>junmarlie@gmail.com</t>
  </si>
  <si>
    <t xml:space="preserve">D4:31:27:04:B9:74
</t>
  </si>
  <si>
    <t>PCSPP2-R13-0100B</t>
  </si>
  <si>
    <t>Gigaguit New MH Bldg - 2F Lobby</t>
  </si>
  <si>
    <t>9°52'22.79"N</t>
  </si>
  <si>
    <t>125°58'23.43"E</t>
  </si>
  <si>
    <t>C8:CD:55:1E:0E:C2</t>
  </si>
  <si>
    <t>PCSPP2-R13-0101</t>
  </si>
  <si>
    <t>Starlink Safekeep
Yes/No</t>
  </si>
  <si>
    <t xml:space="preserve">Gigaquit Old Municipal Hall </t>
  </si>
  <si>
    <t>FB Name</t>
  </si>
  <si>
    <t>Caridad</t>
  </si>
  <si>
    <t xml:space="preserve">C8:CD:55:19:31:3F
</t>
  </si>
  <si>
    <t>PCSPP2-R13-0077</t>
  </si>
  <si>
    <t>Mahanub</t>
  </si>
  <si>
    <t>Palilihan Elementary School</t>
  </si>
  <si>
    <t>Palilihan Elementary School - AP1</t>
  </si>
  <si>
    <t>Online</t>
  </si>
  <si>
    <t>PRPS-L3-2047</t>
  </si>
  <si>
    <t>Nod Ojober</t>
  </si>
  <si>
    <t>Manuelito Jamero Jr.</t>
  </si>
  <si>
    <t>/</t>
  </si>
  <si>
    <t>Palilihan Elementary School - AP2</t>
  </si>
  <si>
    <t>Tereso P. Ravelo
FB Name: Kagupablog Tereso</t>
  </si>
  <si>
    <t>ravelotereso@gmail.com</t>
  </si>
  <si>
    <t>Jake Samontina Zapanta</t>
  </si>
  <si>
    <t xml:space="preserve">C8:CD:55:19:29:A6
</t>
  </si>
  <si>
    <t>PCSPP2-R13-0078</t>
  </si>
  <si>
    <t>Emil Can
BrB Ream</t>
  </si>
  <si>
    <t>Palilihan Elementary School - AP3</t>
  </si>
  <si>
    <t>Ramyaj Anucnil
Evan Catindin Magdayo</t>
  </si>
  <si>
    <t>Placer Municipal Hall</t>
  </si>
  <si>
    <t>Rene Boy R. Eliot</t>
  </si>
  <si>
    <t>Sta. Cruz</t>
  </si>
  <si>
    <t>Gigaquit Municipal Hospital - Ward Area</t>
  </si>
  <si>
    <t>PCSPPP2-PHF-R13-0027</t>
  </si>
  <si>
    <t>Offline</t>
  </si>
  <si>
    <t>No Active Subscription</t>
  </si>
  <si>
    <t>Peter Ravelo</t>
  </si>
  <si>
    <t>peterjoanthony.ravelo@deped.gov.ph</t>
  </si>
  <si>
    <t>Gigaquit MH - Hallway Near Lab</t>
  </si>
  <si>
    <t xml:space="preserve">C8:CD:55:19:39:55
</t>
  </si>
  <si>
    <t>PCSPP2-R13-0079</t>
  </si>
  <si>
    <t>Gigaquit MH - Waiting Area Outside</t>
  </si>
  <si>
    <t>Aladdin Tapic Sumampong</t>
  </si>
  <si>
    <t>Mahanub Elementary School</t>
  </si>
  <si>
    <t>Ezer Pamplina Paqueo</t>
  </si>
  <si>
    <t>Mahanub Elementray School AP1</t>
  </si>
  <si>
    <t>Crutz Montenegro
Jehu Dods Buhion Yape</t>
  </si>
  <si>
    <t xml:space="preserve">Tubod Municipal Hall </t>
  </si>
  <si>
    <t>Dale Bomark Digal Alamban</t>
  </si>
  <si>
    <t>PICS-PP P3 EXPANSION</t>
  </si>
  <si>
    <t>Asinan</t>
  </si>
  <si>
    <t xml:space="preserve">Pilar District Hospital_Lobby </t>
  </si>
  <si>
    <t>Mahanub Elementray School AP2</t>
  </si>
  <si>
    <t xml:space="preserve">C0:A4:76:A2:80:04
</t>
  </si>
  <si>
    <t>PCSPP2-R13-0080</t>
  </si>
  <si>
    <t>Evan Magdayo                                                                                                                                                                     Jaymar Lincuna</t>
  </si>
  <si>
    <t>09953344168                                                                                                                                                                   09079284758</t>
  </si>
  <si>
    <t xml:space="preserve">C8:CD:55:19:25:AA
</t>
  </si>
  <si>
    <t>PCSPP2-R13-0081</t>
  </si>
  <si>
    <t>Adrian Bonotan</t>
  </si>
  <si>
    <t>Gerald Salucop Macaldo</t>
  </si>
  <si>
    <t>Ongoing Acceptance</t>
  </si>
  <si>
    <t>Matin-ao Barangay Hall</t>
  </si>
  <si>
    <t>Alger Deb G. Villa
Rolan C. Raza</t>
  </si>
  <si>
    <t>9261761986
09474781722</t>
  </si>
  <si>
    <t>algerdeb@gmail.com
rolan.raza@deped.gov.ph</t>
  </si>
  <si>
    <t xml:space="preserve">F0:74:8D:A1:BC:DF
</t>
  </si>
  <si>
    <t>PCSPP2-R13-0082</t>
  </si>
  <si>
    <t>Xia Zeus Aeros</t>
  </si>
  <si>
    <t xml:space="preserve">Cambas-ac Barangay Hall </t>
  </si>
  <si>
    <t>Michael Alsong                                                                                                                                                                       John Stanley L. Basil                                                                                                                                            Amy Mondano</t>
  </si>
  <si>
    <t>09305171264                                                                                                                                                                  09097950391                                                                                   09126867661</t>
  </si>
  <si>
    <t>Arnel S. Rosende</t>
  </si>
  <si>
    <t>arnel.rosende@deped.gov.ph</t>
  </si>
  <si>
    <t xml:space="preserve">C8:CD:55:1E:15:48
</t>
  </si>
  <si>
    <t>PCSPP2-R13-0088</t>
  </si>
  <si>
    <t>Kenneth                                                                                                                                                                     Moana Marie Molita</t>
  </si>
  <si>
    <t>09516544156                                                                                                                                                                  09633789137</t>
  </si>
  <si>
    <t>Quezon Brgy. Hall</t>
  </si>
  <si>
    <t>Dapa New Governement Center</t>
  </si>
  <si>
    <t>LGU-Hall</t>
  </si>
  <si>
    <t>MJ Paitan</t>
  </si>
  <si>
    <t>lgusanbenito@gmail.com
renagenmenil20@gmail.com</t>
  </si>
  <si>
    <t xml:space="preserve">C8:CD:55:1E:0E:A4
</t>
  </si>
  <si>
    <t>PCSPP2-R13-0089</t>
  </si>
  <si>
    <t>CLOUD 9</t>
  </si>
  <si>
    <t>Antonio M. Salino                                                                                                                                                                     Kagawad Dagani</t>
  </si>
  <si>
    <t>Terminated</t>
  </si>
  <si>
    <t>Consuelo National High School</t>
  </si>
  <si>
    <t>Eijyer Calo</t>
  </si>
  <si>
    <t>Leah Mae D. Mecompal
Albert Pomoy</t>
  </si>
  <si>
    <t>9104877387
09463414386</t>
  </si>
  <si>
    <t>leah.dacera@deped.gov.ph
albert.pomoy@deped.gov.ph</t>
  </si>
  <si>
    <t>e remind Sir Reyjie ugma</t>
  </si>
  <si>
    <t>Keven Galaroza Opaon</t>
  </si>
  <si>
    <t xml:space="preserve">C8:CD:55:1E:10:D4
</t>
  </si>
  <si>
    <t>PCSPP2-R13-0090</t>
  </si>
  <si>
    <t>Buhing Calipay Barangay Hall</t>
  </si>
  <si>
    <t>To be restore today</t>
  </si>
  <si>
    <t>Del Carmen (Pob)</t>
  </si>
  <si>
    <t>e remind Sir Keven</t>
  </si>
  <si>
    <t>Roxas</t>
  </si>
  <si>
    <t>San Benito Municipal Hall</t>
  </si>
  <si>
    <t>Mainit MCH - OB Ward Area</t>
  </si>
  <si>
    <t>PCSPPP2-PHF-R13-0028</t>
  </si>
  <si>
    <t>San Benito National high School</t>
  </si>
  <si>
    <t>Gsu Gilbert Samontina Ursua</t>
  </si>
  <si>
    <t xml:space="preserve">C0:A4:76:A5:D7:AE
</t>
  </si>
  <si>
    <t>PCSPP2-R13-0087B</t>
  </si>
  <si>
    <t>Mainit MCH - Ward Area</t>
  </si>
  <si>
    <t>Mark Portillo</t>
  </si>
  <si>
    <t>A. Taruc</t>
  </si>
  <si>
    <t>Mainit MCH - Waiting Area Outside</t>
  </si>
  <si>
    <t>Surigao del Norte College of Agriculture and Technology (SNCAT)</t>
  </si>
  <si>
    <t>Lexter B. Deguito</t>
  </si>
  <si>
    <t>Reysan J. Tesiorna
Enrique T. Deluja</t>
  </si>
  <si>
    <t>9106274750
09303498699</t>
  </si>
  <si>
    <t>reysan.tesiorna001@deped.gov.ph
enrique.deluja@deped.gov.ph</t>
  </si>
  <si>
    <t>Malimono Municipal Hall (2 Starlink)</t>
  </si>
  <si>
    <t xml:space="preserve">C8:CD:55:1E:0D:AF
</t>
  </si>
  <si>
    <t>PCSPP2-R13-0087C</t>
  </si>
  <si>
    <t>San Benito National High School Tec4Ed-DTC</t>
  </si>
  <si>
    <t xml:space="preserve">C0:A4:76:A5:CC:C8
</t>
  </si>
  <si>
    <t>PCSPP2-R13-0087A</t>
  </si>
  <si>
    <t>Adrian Bonotan                                                                                                                                                                       Ramelito Abenez                                                                                                                                           Mhelmar Bless M. Ebuña</t>
  </si>
  <si>
    <t>09464695588 / 09096619555                                                                                                                                                                      09285505479                                                                                                                                           09482297584</t>
  </si>
  <si>
    <t>Magsaysay Brgy. Hall</t>
  </si>
  <si>
    <t xml:space="preserve">C8:CD:55:1E:37:0D
</t>
  </si>
  <si>
    <t>PCSPP2-R13-0069A</t>
  </si>
  <si>
    <t xml:space="preserve">San Francisco Municipal Hall </t>
  </si>
  <si>
    <t>FOC</t>
  </si>
  <si>
    <t>Konsehal</t>
  </si>
  <si>
    <t>Cagtinae</t>
  </si>
  <si>
    <t>Sison Municipal Hall</t>
  </si>
  <si>
    <t>Reagan Digal
FB Name: Reagan Digal</t>
  </si>
  <si>
    <t>regan.digal001@deped.gov.ph</t>
  </si>
  <si>
    <t xml:space="preserve">C8:CD:55:1E:05:49
</t>
  </si>
  <si>
    <t>PCSPP2-R13-0069B</t>
  </si>
  <si>
    <t>C8:CD:55:1E:32:EE</t>
  </si>
  <si>
    <t>PCSPP2-R13-0070</t>
  </si>
  <si>
    <t xml:space="preserve">Tagana-an Municipal Hall </t>
  </si>
  <si>
    <t>PLEO-XIII-0006</t>
  </si>
  <si>
    <t>Welrose Dulguime</t>
  </si>
  <si>
    <t xml:space="preserve">C8:CD:55:19:31:2B
</t>
  </si>
  <si>
    <t>PCSPP2-R13-0061</t>
  </si>
  <si>
    <t>Tubod National High School</t>
  </si>
  <si>
    <t>San Pablo Brgy. Hall,</t>
  </si>
  <si>
    <t>Joel Navarite</t>
  </si>
  <si>
    <t>PLEO-XIII-0019</t>
  </si>
  <si>
    <t>Win Oracion
Clareneth B. Salibia</t>
  </si>
  <si>
    <t>9984536371
09631845344</t>
  </si>
  <si>
    <t>Tinago</t>
  </si>
  <si>
    <t>Placido MES (Tinago Elementary School)</t>
  </si>
  <si>
    <t>Antonio J. Compra Jr.</t>
  </si>
  <si>
    <t>antonio.compra@deped.gov.ph</t>
  </si>
  <si>
    <t xml:space="preserve">Washington Brgy. Hall </t>
  </si>
  <si>
    <t>Placido MES (Tinago Elementary School) - AP1</t>
  </si>
  <si>
    <t>PRPS-L3-2048</t>
  </si>
  <si>
    <t xml:space="preserve">C0:A4:76:A2:80:40
</t>
  </si>
  <si>
    <t>PCSPP2-R13-0062</t>
  </si>
  <si>
    <t xml:space="preserve">Surigao City Science Elementary School </t>
  </si>
  <si>
    <t xml:space="preserve">DepEd Surigao City Division </t>
  </si>
  <si>
    <t>Placido MES (Tinago Elementary School) - AP2</t>
  </si>
  <si>
    <t>Placido MES (Tinago Elementary School) - AP3</t>
  </si>
  <si>
    <t>Melinda C. Buyain</t>
  </si>
  <si>
    <t>09055405492</t>
  </si>
  <si>
    <t>melinda.castorico@deped.gov.ph</t>
  </si>
  <si>
    <t xml:space="preserve">C8:CD:55:19:38:D3
</t>
  </si>
  <si>
    <t>PCSPP2-R13-0063</t>
  </si>
  <si>
    <t>1st</t>
  </si>
  <si>
    <t>Burgos Municipal Hall (2 Starlink)</t>
  </si>
  <si>
    <t xml:space="preserve"> Renie Boy R. Eliot</t>
  </si>
  <si>
    <t>Amor E. Valenzuela
Gerna B. Liscano</t>
  </si>
  <si>
    <t>9559733302
09067826492</t>
  </si>
  <si>
    <t>junzval22@gmail.com</t>
  </si>
  <si>
    <t xml:space="preserve">C0:A4:76:A5:CD:A4
</t>
  </si>
  <si>
    <t>PCSPP2-R13-0071</t>
  </si>
  <si>
    <t>LOS during site acceptance/For Site Acceptance</t>
  </si>
  <si>
    <t>Dapa New Government Center</t>
  </si>
  <si>
    <t>Dapa Old Municipal Hall</t>
  </si>
  <si>
    <t>Dapa Gymnasium</t>
  </si>
  <si>
    <t>Del Carmen Municipal Hall - 1F Annex A</t>
  </si>
  <si>
    <t>PCSPP2-R13-0073</t>
  </si>
  <si>
    <t>Del Carmen Municipal Hall - 1F Annex B</t>
  </si>
  <si>
    <t>PCSPP2-R13-0106A</t>
  </si>
  <si>
    <t xml:space="preserve">C0:A4:76:A6:10:89
</t>
  </si>
  <si>
    <t>PCSPP2-R13-0072</t>
  </si>
  <si>
    <t>Jose Archelou C. Solloso
Solloso Comon J Archelou
Graciela p. Mante</t>
  </si>
  <si>
    <t>9468855328
09107636296</t>
  </si>
  <si>
    <t xml:space="preserve">C8:CD:55:19:26:3B
</t>
  </si>
  <si>
    <t>PCSPP2-R13-0103</t>
  </si>
  <si>
    <t xml:space="preserve">PCSPP2-R13-0106B </t>
  </si>
  <si>
    <t>Pilar Municipal Legislative Building (2 Starlink)</t>
  </si>
  <si>
    <t>PCSPP2-R13-0106C</t>
  </si>
  <si>
    <t>For SIgn (UAT and Conforme)</t>
  </si>
  <si>
    <t>PCSPP2-R13-0106D</t>
  </si>
  <si>
    <t xml:space="preserve">C8:CD:55:1D:F8:BA
</t>
  </si>
  <si>
    <t>PCSPP2-R13-0036A</t>
  </si>
  <si>
    <t>PLEO-XIII-0020</t>
  </si>
  <si>
    <t>Vicente M. Recimo Jr.</t>
  </si>
  <si>
    <t>San Isidro Municipal Hall (2 Starlink)</t>
  </si>
  <si>
    <t>PLEO-XIII-0021</t>
  </si>
  <si>
    <t>Kaara Ayla D. Lasala</t>
  </si>
  <si>
    <t>Jovito Morete</t>
  </si>
  <si>
    <t>Ellaperal (Nonok)</t>
  </si>
  <si>
    <t>socorrodistrictthospital@gmail.com</t>
  </si>
  <si>
    <t xml:space="preserve">Ellaperal Elementary School </t>
  </si>
  <si>
    <t>Ellaperal Elementary School - AP1</t>
  </si>
  <si>
    <t>APPRPS-L3-2049</t>
  </si>
  <si>
    <t>PCSPP2-R13-0036B</t>
  </si>
  <si>
    <t>Ellaperal Elementary School - AP2</t>
  </si>
  <si>
    <t xml:space="preserve">C8:CD:55:1E:43:D8
</t>
  </si>
  <si>
    <t>PCSPP2-R13-0037A</t>
  </si>
  <si>
    <t>Ellaperal Elementary School - AP3</t>
  </si>
  <si>
    <t>Suyoc</t>
  </si>
  <si>
    <t>For SIgn (Replacement Form UPS)</t>
  </si>
  <si>
    <t>Aljune R. Galo
Shiela Jane D. Lasala</t>
  </si>
  <si>
    <t>Suyoc Elementary School</t>
  </si>
  <si>
    <t>9636533485
09380341780</t>
  </si>
  <si>
    <t>Suyoc Elementary School - AP1</t>
  </si>
  <si>
    <t>aljunegalo36@gmail.com
sheilajane.lasala@deped.gov.ph</t>
  </si>
  <si>
    <t>PRPS-L3-2061</t>
  </si>
  <si>
    <t>PCSPP2-R13-0037B</t>
  </si>
  <si>
    <t xml:space="preserve">Sta. Monica Municipal Hall </t>
  </si>
  <si>
    <t xml:space="preserve">C8:CD:55:19:3E:64
</t>
  </si>
  <si>
    <t>PCSPP2-R13-0104</t>
  </si>
  <si>
    <t>Suyoc Elementary School - AP2</t>
  </si>
  <si>
    <t>Suyoc Elementary School - AP3</t>
  </si>
  <si>
    <t xml:space="preserve">C8:CD:55:1D:EC:3A
</t>
  </si>
  <si>
    <t>PCSPP2-R13-0033</t>
  </si>
  <si>
    <t>Sani-Sani</t>
  </si>
  <si>
    <t>Sani-Sani Primary School</t>
  </si>
  <si>
    <t>Sani-Sani Primary School - AP1</t>
  </si>
  <si>
    <t>PRPS-L3-2050</t>
  </si>
  <si>
    <t>Socorro Municipal Hall (2 Starlink)</t>
  </si>
  <si>
    <t>Jayrel P. Elandang
Deonita G. Sangco
Geniza G. Rivas</t>
  </si>
  <si>
    <t>9659859459
09985303134
09056072057</t>
  </si>
  <si>
    <t>jayrelpiedadelandang@gmail.com
rivasgeniza216@gmail.com</t>
  </si>
  <si>
    <t xml:space="preserve">C8:CD:55:1E:3D:02
</t>
  </si>
  <si>
    <t>PCSPP2-R13-0035</t>
  </si>
  <si>
    <t>Sani-Sani Primary School - AP2</t>
  </si>
  <si>
    <t>Bryan C. Ruaya</t>
  </si>
  <si>
    <t>Sani-Sani  Primary School - AP3</t>
  </si>
  <si>
    <t>bryan.ruaya@deped.gov.ph</t>
  </si>
  <si>
    <t xml:space="preserve">C8:CD:55:1E:24:66
</t>
  </si>
  <si>
    <t>PCSPP2-R13-0034</t>
  </si>
  <si>
    <t>Catabaan Elementary School</t>
  </si>
  <si>
    <t xml:space="preserve">C8:CD:55:1D:F3:B0
</t>
  </si>
  <si>
    <t>PCSPP2-R13-0038</t>
  </si>
  <si>
    <t xml:space="preserve">Katipunan Barangay Hall </t>
  </si>
  <si>
    <t>For Sign (Conforme)</t>
  </si>
  <si>
    <t>Jerwin Caindoy</t>
  </si>
  <si>
    <t>caindoyjerwin1990@gmail.com</t>
  </si>
  <si>
    <t>PCSPP2-R13-0039</t>
  </si>
  <si>
    <t xml:space="preserve">Buhing Calipay Barangay Hall </t>
  </si>
  <si>
    <t xml:space="preserve">C8:CD:55:1D:45:47
</t>
  </si>
  <si>
    <t>PCSPP2-R13-0107A</t>
  </si>
  <si>
    <t>Mark Novem P. Grisola</t>
  </si>
  <si>
    <t>mis.cpdo@surigaocity.gov.ph</t>
  </si>
  <si>
    <t xml:space="preserve">C8:CD:55:21:3E:AB
</t>
  </si>
  <si>
    <t>PCSPP2-R13-0107B</t>
  </si>
  <si>
    <t xml:space="preserve">C8:CD:55:21:3F:91
</t>
  </si>
  <si>
    <t>PCSPP2-R13-0107C</t>
  </si>
  <si>
    <t>Rold Bryan Pagsanjan</t>
  </si>
  <si>
    <t>Magtangale</t>
  </si>
  <si>
    <t>Magtangale Elementary School</t>
  </si>
  <si>
    <t xml:space="preserve">10:82:3D:31:35:C2
</t>
  </si>
  <si>
    <t>Magtangale Elementary School - AP1</t>
  </si>
  <si>
    <t>PCSPP2-R13-0108</t>
  </si>
  <si>
    <t>PRPS-L3-2040</t>
  </si>
  <si>
    <t xml:space="preserve">10:82:3D:02:6A:7D
</t>
  </si>
  <si>
    <t>Magtangale Elementary School - AP2</t>
  </si>
  <si>
    <t>Jose Archelou C. Solloso
Graciela p. Mante</t>
  </si>
  <si>
    <t>Magtangale Elementary School - AP3</t>
  </si>
  <si>
    <t>picto.sdn@gmail.com</t>
  </si>
  <si>
    <t xml:space="preserve">C8:CD:55:1D:5C:6C
</t>
  </si>
  <si>
    <t>PCSPP2-R13-0106B</t>
  </si>
  <si>
    <t xml:space="preserve">F0:74:8D:A1:C0:72
</t>
  </si>
  <si>
    <t>Sison Municipal Hall New Building</t>
  </si>
  <si>
    <t xml:space="preserve">C8:CD:55:1D:3B:5B
</t>
  </si>
  <si>
    <t>San Jose (Pob)</t>
  </si>
  <si>
    <t>Ezer Paqueo
Jaymar
Archie Val L. Madamba</t>
  </si>
  <si>
    <t>09194315755
09639686602
09095508958</t>
  </si>
  <si>
    <t>PCSS-L1-0060</t>
  </si>
  <si>
    <t>Deactivated</t>
  </si>
  <si>
    <t>PCSS-L1-0061</t>
  </si>
  <si>
    <t>PCSS-L1-0062</t>
  </si>
  <si>
    <t>Gacepan</t>
  </si>
  <si>
    <t>Gacepan Elementary School</t>
  </si>
  <si>
    <t>Gacepan Elementary School - AP1</t>
  </si>
  <si>
    <t>PRPS-L3-2051</t>
  </si>
  <si>
    <t>10.020197°</t>
  </si>
  <si>
    <t>126.036371°</t>
  </si>
  <si>
    <t>Gacepan Elementary School - AP2</t>
  </si>
  <si>
    <t>9.936320°</t>
  </si>
  <si>
    <t>126.086550°</t>
  </si>
  <si>
    <t>Gacepan Elementary School - AP3</t>
  </si>
  <si>
    <t>San Jose</t>
  </si>
  <si>
    <t>Hinapayaw Elementary School</t>
  </si>
  <si>
    <t>9.882487°</t>
  </si>
  <si>
    <t>125.984130°</t>
  </si>
  <si>
    <t>Hinapayaw Elementary School - AP1</t>
  </si>
  <si>
    <t>PRPS-L3-2057</t>
  </si>
  <si>
    <t>Hinapayaw Elementary School - AP2</t>
  </si>
  <si>
    <t>PILAR_KATIPUNAN UAT VSAT.pdf</t>
  </si>
  <si>
    <t>Hinapayaw Elementary School - AP3</t>
  </si>
  <si>
    <t xml:space="preserve">  9°48'25.33"N</t>
  </si>
  <si>
    <t>126° 9'35.85"E</t>
  </si>
  <si>
    <t>GENERAL LUNA_CATANGNAN VSAT UAT.pdf</t>
  </si>
  <si>
    <t>Source FOC will be transfered to DICT Surigao del Norte Provincial Field Office - Training Center</t>
  </si>
  <si>
    <t>For installation and schedule Site Acceptance</t>
  </si>
  <si>
    <t>9.976408°</t>
  </si>
  <si>
    <t>126.022134°</t>
  </si>
  <si>
    <t>SAN BENITO_SAN JUAN BH VSAT.pdf</t>
  </si>
  <si>
    <t>Barry Jessie B. Digol</t>
  </si>
  <si>
    <t>UNDPDICT-SITE948</t>
  </si>
  <si>
    <t>Sering</t>
  </si>
  <si>
    <t>UNDPDICT-SITE946</t>
  </si>
  <si>
    <t>Patino</t>
  </si>
  <si>
    <t>UNDPDICT-SITE947</t>
  </si>
  <si>
    <t>Roxanne Abrea</t>
  </si>
  <si>
    <t xml:space="preserve">98:4A:6B:58:A1:37
</t>
  </si>
  <si>
    <t>PCSPP3-R13-0015</t>
  </si>
  <si>
    <t>Transfered to PICS-MUN-P2</t>
  </si>
  <si>
    <t>Transfered to HTEI's initiatives</t>
  </si>
  <si>
    <t xml:space="preserve">C8:CD:55:E6:BB:EF
</t>
  </si>
  <si>
    <t>PCSPP3-R13-0015B</t>
  </si>
  <si>
    <t xml:space="preserve">C4:B2:5B:38:A7:1B
</t>
  </si>
  <si>
    <t>PCSPP3-R13-0015C</t>
  </si>
  <si>
    <t xml:space="preserve">C4:B2:5B:38:B3:B7
</t>
  </si>
  <si>
    <t>Duplicated/For recovery</t>
  </si>
  <si>
    <t>PCSPP3-R13-0024A</t>
  </si>
  <si>
    <t>IP Radio</t>
  </si>
  <si>
    <t xml:space="preserve">C4:B2:5B:38:9E:93
</t>
  </si>
  <si>
    <t>PCSPP3-R13-0024B</t>
  </si>
  <si>
    <t>For installation of Starlink to their premises</t>
  </si>
  <si>
    <t xml:space="preserve">C8:CD:55:E6:A1:87
</t>
  </si>
  <si>
    <t>PCSPP3-R13-0024C</t>
  </si>
  <si>
    <t xml:space="preserve">C0:A4:76:A6:2A:A6
</t>
  </si>
  <si>
    <t>PCSPP3-R13-0024D</t>
  </si>
  <si>
    <t xml:space="preserve">98:4A:6B:58:9D:59
</t>
  </si>
  <si>
    <t>PCSPP3-R13-0016</t>
  </si>
  <si>
    <t>UTA</t>
  </si>
  <si>
    <t xml:space="preserve">C4:B2:5B:38:AE:87
</t>
  </si>
  <si>
    <t>PCSPP3-R13-0016B</t>
  </si>
  <si>
    <t xml:space="preserve">98:4A:6B:58:7E:8C
</t>
  </si>
  <si>
    <t>PCSPP3-R13-0016C</t>
  </si>
  <si>
    <t xml:space="preserve">98:4A:6B:58:7A:2C
</t>
  </si>
  <si>
    <t>PCSPP3-R13-0016D</t>
  </si>
  <si>
    <t xml:space="preserve">C4:B2:5B:38:A7:07
</t>
  </si>
  <si>
    <t>Trexy</t>
  </si>
  <si>
    <t xml:space="preserve">98:4A:6B:58:84:B8
</t>
  </si>
  <si>
    <t xml:space="preserve">98:4A:6B:58:8A:21
</t>
  </si>
  <si>
    <t xml:space="preserve">98:4A:6B:58:8A:E4
</t>
  </si>
  <si>
    <t>NETWORK MANAGEMENT SYSTEM CREDENTIALS</t>
  </si>
  <si>
    <t xml:space="preserve">C4:B2:5B:38:9A:5F
</t>
  </si>
  <si>
    <t xml:space="preserve">98:4A:6B:58:9E:30
</t>
  </si>
  <si>
    <t>PROJECT</t>
  </si>
  <si>
    <t xml:space="preserve">F0:74:8D:A1:BB:81
</t>
  </si>
  <si>
    <t>LOT</t>
  </si>
  <si>
    <t>CONTRACTOR</t>
  </si>
  <si>
    <t>PLEO-XIII-0017</t>
  </si>
  <si>
    <t>NMS Link</t>
  </si>
  <si>
    <t>09092380111
09771338454</t>
  </si>
  <si>
    <t>USERNAME</t>
  </si>
  <si>
    <t>FB Name: Nelfa Rutor</t>
  </si>
  <si>
    <t>PASSWORD</t>
  </si>
  <si>
    <t>Procured and managed by the Central Office</t>
  </si>
  <si>
    <t xml:space="preserve">C4:B2:5B:38:9D:9F
</t>
  </si>
  <si>
    <t>PLEO-XIII-0018</t>
  </si>
  <si>
    <t>FB Name: Jaga Jae</t>
  </si>
  <si>
    <t>PIALEOS - Remote Schools</t>
  </si>
  <si>
    <t>Installation Monitoring</t>
  </si>
  <si>
    <t>WIT and JV(Datalake)</t>
  </si>
  <si>
    <t>https://installationportal.datalake.ph/auth</t>
  </si>
  <si>
    <t>UTP to IP Radio</t>
  </si>
  <si>
    <t>eric.pineda@dict.gov.ph</t>
  </si>
  <si>
    <t>DataLake</t>
  </si>
  <si>
    <t>https://cloud-as.ruijienetworks.com/admin3/</t>
  </si>
  <si>
    <t>dict.datalake.nms@gmail.com</t>
  </si>
  <si>
    <t>DataL@k3P@s$</t>
  </si>
  <si>
    <t>PICS-PP PHF</t>
  </si>
  <si>
    <t>Starlink Monitoring</t>
  </si>
  <si>
    <t>WIT</t>
  </si>
  <si>
    <t>https://mystarlink.ph/portal/</t>
  </si>
  <si>
    <t xml:space="preserve">user: phfr13ph2@mystarlink.ph
</t>
  </si>
  <si>
    <t>pass: phf123</t>
  </si>
  <si>
    <t>Luna Barangay Hall</t>
  </si>
  <si>
    <t>Luna Barangay Health Center</t>
  </si>
  <si>
    <t>Taft Barangay Health Center</t>
  </si>
  <si>
    <t>Sabang</t>
  </si>
  <si>
    <t>Sabang Barangay Health Center</t>
  </si>
  <si>
    <t>Canlanipa</t>
  </si>
  <si>
    <t>Canlanipa Barangay Health Center</t>
  </si>
  <si>
    <t>Catangnan Elementary School</t>
  </si>
  <si>
    <t>Sta. Paz Elementary School_AP1</t>
  </si>
  <si>
    <t>Sta. Paz Elementary School</t>
  </si>
  <si>
    <t>Sta. Paz Elementary School_AP2</t>
  </si>
  <si>
    <t>Nelfa Rutor</t>
  </si>
  <si>
    <t>Antipolo</t>
  </si>
  <si>
    <t>Antipolo Elementary School_AP1</t>
  </si>
  <si>
    <t>Antipolo Elementary School</t>
  </si>
  <si>
    <t>Antipolo Elementary School_AP2</t>
  </si>
  <si>
    <t>Dapa New Government Center_Rear Entrance</t>
  </si>
  <si>
    <t>Jaga Jae</t>
  </si>
  <si>
    <t>Dapa New Government Center_Mayors Office Lobby</t>
  </si>
  <si>
    <t>9/7525797</t>
  </si>
  <si>
    <t>SIM Card</t>
  </si>
  <si>
    <t>ProvincialCapitolAnnex_OutsideLobby</t>
  </si>
  <si>
    <t>ProvincialCapitolAnnex</t>
  </si>
  <si>
    <t>ProvincialCapitolAnnex_InsideLobby</t>
  </si>
  <si>
    <t>Sim Card</t>
  </si>
  <si>
    <t>Neil Vincent B. Aldonza
Alfredo Dacuron</t>
  </si>
  <si>
    <t>09204652620
09635520691</t>
  </si>
  <si>
    <t>Dr. Madelle Mae Edera
Mary Queen Masuhay</t>
  </si>
  <si>
    <t>09173768508
09515177910</t>
  </si>
  <si>
    <t>Dr. Sheena Dedumo
Abegail Pauline's Patindol</t>
  </si>
  <si>
    <t>09087897499
09093575683</t>
  </si>
  <si>
    <t>Annie Jey Oran
Ermelin T. Esparrago
Lhexian Masaya</t>
  </si>
  <si>
    <t>09090007523
09422758711
09518070409</t>
  </si>
  <si>
    <t>Baybay</t>
  </si>
  <si>
    <t>Baybay Elementary School - AP1</t>
  </si>
  <si>
    <t>Baybay Elementary School</t>
  </si>
  <si>
    <t>Florievic Menial-Dequit
Patty R. Plaza</t>
  </si>
  <si>
    <t>09163796295
09770912521</t>
  </si>
  <si>
    <t>Sukailang</t>
  </si>
  <si>
    <t>Sukailang Elementary School</t>
  </si>
  <si>
    <t>Baybay Elementary School - AP2</t>
  </si>
  <si>
    <t>Sukailang Elementary School - AP1</t>
  </si>
  <si>
    <t>Baybay Elementary School - AP3</t>
  </si>
  <si>
    <t>PRPS-L3-2029</t>
  </si>
  <si>
    <t>Burgos Central Elementary School - AP1</t>
  </si>
  <si>
    <t>Burgos Central Elementary School</t>
  </si>
  <si>
    <t>Burgos Central Elementary School - AP2</t>
  </si>
  <si>
    <t>Sukailang Elementary School - AP2</t>
  </si>
  <si>
    <t>Burgos Central Elementary School - AP3</t>
  </si>
  <si>
    <t>Sukailang Elementary School - AP3</t>
  </si>
  <si>
    <t>Burgos National High School - AP1</t>
  </si>
  <si>
    <t>Nabago Elementary School</t>
  </si>
  <si>
    <t>Nabago Elementary School - AP1</t>
  </si>
  <si>
    <t>PRPS-L3-2030</t>
  </si>
  <si>
    <t>Burgos National High School - AP2</t>
  </si>
  <si>
    <t>Burgos National High School - AP3</t>
  </si>
  <si>
    <t>Link type</t>
  </si>
  <si>
    <t>Nabago Elementary School - AP2</t>
  </si>
  <si>
    <t>Nabago Elementary School - AP3</t>
  </si>
  <si>
    <t>Cabongbongan</t>
  </si>
  <si>
    <t>Sarvida Yuipco Memorial Elementary School</t>
  </si>
  <si>
    <t>Sarvida Yuipco Memorial Elementary School - AP1</t>
  </si>
  <si>
    <t>PRPS-L3-2031</t>
  </si>
  <si>
    <t>Sarvida Yuipco Memorial Elementary School - AP2</t>
  </si>
  <si>
    <t>Sarvida Yuipco Memorial Elementary School - AP3</t>
  </si>
  <si>
    <t>Aurora</t>
  </si>
  <si>
    <t>Aurora Elementary School</t>
  </si>
  <si>
    <t>Aurora Elementary School - AP1</t>
  </si>
  <si>
    <t>PRPS-L3-2032</t>
  </si>
  <si>
    <t>Aurora Elementary School - AP2</t>
  </si>
  <si>
    <t>Aurora Elementary School - AP3</t>
  </si>
  <si>
    <t>Manjagao</t>
  </si>
  <si>
    <t>Manjagao Elementary School</t>
  </si>
  <si>
    <t>Manjagao Elementary School - AP1</t>
  </si>
  <si>
    <t>PRPS-L3-2033</t>
  </si>
  <si>
    <t>Manjagao Elementary School - AP2</t>
  </si>
  <si>
    <t>Manjagao Elementary School - AP3</t>
  </si>
  <si>
    <t>Bagacay Elementary School - AP1</t>
  </si>
  <si>
    <t>Bagacay Elementary School</t>
  </si>
  <si>
    <t>Lisondra</t>
  </si>
  <si>
    <t>Lisondra Elementary School</t>
  </si>
  <si>
    <t>Lisondra Elementary School - AP1</t>
  </si>
  <si>
    <t>PRPS-L3-2034</t>
  </si>
  <si>
    <t>Bagacay Elementary School - AP2</t>
  </si>
  <si>
    <t>Bagacay Elementary School - AP3</t>
  </si>
  <si>
    <t>Lisondra Elementary School - AP2</t>
  </si>
  <si>
    <t>Barangay 1 (Pob.)</t>
  </si>
  <si>
    <t>Can-Uyan Primary School - AP1</t>
  </si>
  <si>
    <t>Can-Uyan Primary School</t>
  </si>
  <si>
    <t>Lisondra Elementary School - AP3</t>
  </si>
  <si>
    <t>Can-Uyan Primary School - AP2</t>
  </si>
  <si>
    <t>Can-Uyan Primary School - AP3</t>
  </si>
  <si>
    <t>Mabini</t>
  </si>
  <si>
    <t>Tugonan Elementary School</t>
  </si>
  <si>
    <t>Consolacion Elementary School - AP1</t>
  </si>
  <si>
    <t>Consolacion Elementary School - AP2</t>
  </si>
  <si>
    <t>Consolacion Elementary School - AP3</t>
  </si>
  <si>
    <t>Corregidor</t>
  </si>
  <si>
    <t>Tugonan Elementary School - AP1</t>
  </si>
  <si>
    <t>Corregidor Elementary Schoo - AP1</t>
  </si>
  <si>
    <t>PRPS-L3-2035</t>
  </si>
  <si>
    <t>Corregidor Elementary Schoo</t>
  </si>
  <si>
    <t>Corregidor Elementary Schoo - AP2</t>
  </si>
  <si>
    <t>Corregidor Elementary Schoo - AP3</t>
  </si>
  <si>
    <t>Dagohoy</t>
  </si>
  <si>
    <t>Dagohoy Elementary School - AP1</t>
  </si>
  <si>
    <t>Dagohoy Elementary School</t>
  </si>
  <si>
    <t>Tugonan Elementary School - AP2</t>
  </si>
  <si>
    <t>Dagohoy Elementary School - AP2</t>
  </si>
  <si>
    <t>Dagohoy Elementary School - AP3</t>
  </si>
  <si>
    <t>Tugonan Elementary School - AP3</t>
  </si>
  <si>
    <t>Montserrat</t>
  </si>
  <si>
    <t>Montserrat Elementary School - AP1</t>
  </si>
  <si>
    <t>Montserrat Elementary School</t>
  </si>
  <si>
    <t>Montserrat Elementary School - AP2</t>
  </si>
  <si>
    <t>Cantiasay National High School - AP1</t>
  </si>
  <si>
    <t>Montserrat Elementary School - AP3</t>
  </si>
  <si>
    <t>PRPS-L3-2036</t>
  </si>
  <si>
    <t>Sta. Felomina</t>
  </si>
  <si>
    <t>Sta Felomina Elementary School - AP1</t>
  </si>
  <si>
    <t>Sta Felomina Elementary School</t>
  </si>
  <si>
    <t>Cantiasay National High School - AP2</t>
  </si>
  <si>
    <t>Sta Felomina Elementary School - AP2</t>
  </si>
  <si>
    <t>Sta Felomina Elementary School - AP3</t>
  </si>
  <si>
    <t>Cantiasay National High School - AP3</t>
  </si>
  <si>
    <t>Consolacion National High School - AP1</t>
  </si>
  <si>
    <t>Catadman</t>
  </si>
  <si>
    <t>Catadman Elementary School</t>
  </si>
  <si>
    <t>Source</t>
  </si>
  <si>
    <t>Catadman Elementary School - AP1</t>
  </si>
  <si>
    <t>PRPS-L3-2037</t>
  </si>
  <si>
    <t>Consolacion National High School - AP2</t>
  </si>
  <si>
    <t>FOC Source</t>
  </si>
  <si>
    <t>Consolacion National High School - AP3</t>
  </si>
  <si>
    <t>Catadman Elementary School - AP2</t>
  </si>
  <si>
    <t>Cambas-Ac</t>
  </si>
  <si>
    <t>Cambas-Ac Elementary School - AP1</t>
  </si>
  <si>
    <t>Cambas-Ac Elementary School</t>
  </si>
  <si>
    <t>Cambas-Ac Elementary School - AP2</t>
  </si>
  <si>
    <t>Extension</t>
  </si>
  <si>
    <t>Catadman Elementary School - AP3</t>
  </si>
  <si>
    <t>Cambas-Ac Elementary School - AP3</t>
  </si>
  <si>
    <t>New Uba Primary School - AP1</t>
  </si>
  <si>
    <t>New Uba Primary School</t>
  </si>
  <si>
    <t>Starlink Source</t>
  </si>
  <si>
    <t>Buenavista</t>
  </si>
  <si>
    <t>Juan P. Cedro Sr. Mhs</t>
  </si>
  <si>
    <t>New Uba Primary School - AP2</t>
  </si>
  <si>
    <t>Juan P. Cedro Sr. Mhs - AP1</t>
  </si>
  <si>
    <t>PRPS-L3-2038</t>
  </si>
  <si>
    <t>New Uba Primary School - AP3</t>
  </si>
  <si>
    <t>San Miguel Elementary School - AP1</t>
  </si>
  <si>
    <t>San Miguel Elementary School</t>
  </si>
  <si>
    <t>San Miguel Elementary School - AP2</t>
  </si>
  <si>
    <t>San Miguel Elementary School - AP3</t>
  </si>
  <si>
    <t>Juan P. Cedro Sr. Mhs - AP2</t>
  </si>
  <si>
    <t>Buenavista Elementary School - AP1</t>
  </si>
  <si>
    <t>Buenavista Elementary School</t>
  </si>
  <si>
    <t>Buenavista Elementary School - AP2</t>
  </si>
  <si>
    <t>Juan P. Cedro Sr. Mhs - AP3</t>
  </si>
  <si>
    <t>Buenavista Elementary School - AP3</t>
  </si>
  <si>
    <t>Jubang Elementary School - AP1</t>
  </si>
  <si>
    <t xml:space="preserve">Jubang Elementary School </t>
  </si>
  <si>
    <t>PCS-PP-P2-PHF-R13-0025</t>
  </si>
  <si>
    <t>Jubang Elementary School - AP2</t>
  </si>
  <si>
    <t>Jubang Elementary School - AP3</t>
  </si>
  <si>
    <t>Engr. Alwin Ga
Jesse E. Encarnacion</t>
  </si>
  <si>
    <t>09270271711
09631845394</t>
  </si>
  <si>
    <t>San Carlos Elementary School - AP1</t>
  </si>
  <si>
    <t>San Carlos Elementary School - AP2</t>
  </si>
  <si>
    <t>San Carlos Elementary School - AP3</t>
  </si>
  <si>
    <t>Bitoon Elementary School - AP1</t>
  </si>
  <si>
    <t>Bitoon Elementary School - AP2</t>
  </si>
  <si>
    <t>Provincial Training Center- Surigao City. Surigao del Norte</t>
  </si>
  <si>
    <t>Bitoon Elementary School - AP3</t>
  </si>
  <si>
    <t>Lobogon</t>
  </si>
  <si>
    <t>Lobogon Elementary School - AP1</t>
  </si>
  <si>
    <t>Lobogon Elementary School</t>
  </si>
  <si>
    <t>TESDA</t>
  </si>
  <si>
    <t>Lobogon Elementary School - AP2</t>
  </si>
  <si>
    <t>Lobogon Elementary School - AP3</t>
  </si>
  <si>
    <t>Tuboran</t>
  </si>
  <si>
    <t>Tuboran Elementary School - AP1</t>
  </si>
  <si>
    <t>Tuboran Elementary School</t>
  </si>
  <si>
    <t>Tuboran Elementary School - AP2</t>
  </si>
  <si>
    <t>Tuboran Elementary School - AP3</t>
  </si>
  <si>
    <t>Surigao State College of Technology-Main 1</t>
  </si>
  <si>
    <t>Mariano Matugas Memorial National High School - AP1</t>
  </si>
  <si>
    <t>Mariano Matugas Memorial National High School</t>
  </si>
  <si>
    <t>Mariano Matugas Memorial National High School - AP2</t>
  </si>
  <si>
    <t>Mariano Matugas Memorial National High School - AP3</t>
  </si>
  <si>
    <t>Oguing Navarro Memorial National High School - AP1</t>
  </si>
  <si>
    <t xml:space="preserve">Oguing Navarro Memorial National High School </t>
  </si>
  <si>
    <t>Oguing Navarro Memorial National High School - AP2</t>
  </si>
  <si>
    <t>Oguing Navarro Memorial National High School - AP3</t>
  </si>
  <si>
    <t>Mahayahay</t>
  </si>
  <si>
    <t>Mahayahay Elementary School - AP1</t>
  </si>
  <si>
    <t>Mahayahay Elementary School</t>
  </si>
  <si>
    <t>Surigao State College of Technology-Main 2</t>
  </si>
  <si>
    <t>Mahayahay Elementary School - AP2</t>
  </si>
  <si>
    <t>Mahayahay Elementary School - AP3</t>
  </si>
  <si>
    <t>Domoyog</t>
  </si>
  <si>
    <t>Dumoyog Primary School - AP1</t>
  </si>
  <si>
    <t xml:space="preserve">Dumoyog Primary School </t>
  </si>
  <si>
    <t>Dumoyog Primary School - AP2</t>
  </si>
  <si>
    <t>Dumoyog Primary School - AP3</t>
  </si>
  <si>
    <t>Caub</t>
  </si>
  <si>
    <t>Lasala Integrated School - AP1</t>
  </si>
  <si>
    <t>Lasala Integrated School</t>
  </si>
  <si>
    <t>Lasala Integrated School - AP2</t>
  </si>
  <si>
    <t>Lasala Integrated School - AP3</t>
  </si>
  <si>
    <t>Tawin-Tawin</t>
  </si>
  <si>
    <t>Tawin-Tawin Elementary School - AP1</t>
  </si>
  <si>
    <t>Tawin-Tawin Elementary School</t>
  </si>
  <si>
    <t>Tawin-Tawin Elementary School - AP2</t>
  </si>
  <si>
    <t>Hermit</t>
  </si>
  <si>
    <t>Tawin-Tawin Elementary School - AP3</t>
  </si>
  <si>
    <t>Cabitoonan</t>
  </si>
  <si>
    <t>Cabitoonan Elementary School - AP1</t>
  </si>
  <si>
    <t>Cabitoonan Elementary School</t>
  </si>
  <si>
    <t>From RIS-WISPS to HTEI's</t>
  </si>
  <si>
    <t>Cabitoonan Elementary School - AP2</t>
  </si>
  <si>
    <t>Cabitoonan Elementary School - AP3</t>
  </si>
  <si>
    <t>Consuelo Elementary School - AP1</t>
  </si>
  <si>
    <t>Mat-i</t>
  </si>
  <si>
    <t>Consuelo Elementary School - AP2</t>
  </si>
  <si>
    <t>Mat-i_NHS_Computer_Lab</t>
  </si>
  <si>
    <t>Consuelo Elementary School - AP3</t>
  </si>
  <si>
    <t>Corazon</t>
  </si>
  <si>
    <t>Corazon Elementary School - AP1</t>
  </si>
  <si>
    <t>Corazon Elementary School</t>
  </si>
  <si>
    <t>Achilles C. Zerda
Rizalino B. Wong</t>
  </si>
  <si>
    <t>09124163913
09077332088</t>
  </si>
  <si>
    <t>Corazon Elementary School - AP2</t>
  </si>
  <si>
    <t>Mat-i_NHS_Library</t>
  </si>
  <si>
    <t>Corazon Elementary School - AP3</t>
  </si>
  <si>
    <t>Daku</t>
  </si>
  <si>
    <t>Daku Elementary School - AP1</t>
  </si>
  <si>
    <t>Daku Elementary School</t>
  </si>
  <si>
    <t>Daku Elementary School - AP2</t>
  </si>
  <si>
    <t>Daku Elementary School - AP3</t>
  </si>
  <si>
    <t>Dao Primary School - AP1</t>
  </si>
  <si>
    <t>Dao Primary School</t>
  </si>
  <si>
    <t>Dao Primary School - AP2</t>
  </si>
  <si>
    <t>Dao Primary School - AP3</t>
  </si>
  <si>
    <t>Crutz Montenegro</t>
  </si>
  <si>
    <t>09709149354
09196282075</t>
  </si>
  <si>
    <t>Magsaysay Elementary School - AP1</t>
  </si>
  <si>
    <t>Magsaysay Elementary School</t>
  </si>
  <si>
    <t>Magsaysay Elementary School - AP2</t>
  </si>
  <si>
    <t>Magsaysay Elementary School - AP3</t>
  </si>
  <si>
    <t>Malinao</t>
  </si>
  <si>
    <t>Malinao Elementary Schol - AP1</t>
  </si>
  <si>
    <t>Malinao Elementary School</t>
  </si>
  <si>
    <t>Malinao Elementary Schol - AP2</t>
  </si>
  <si>
    <t>Malinao Elementary Schol - AP3</t>
  </si>
  <si>
    <t>Sta. Cruz Elementary School - AP1</t>
  </si>
  <si>
    <t xml:space="preserve">Sta. Cruz Elementary School </t>
  </si>
  <si>
    <t>Sta. Cruz Elementary School - AP2</t>
  </si>
  <si>
    <t>Sta. Cruz Elementary School - AP3</t>
  </si>
  <si>
    <t>General Luna National High School - Consuelo National High School Annex - AP1</t>
  </si>
  <si>
    <t>General Luna National High School - Consuelo National High School Annex</t>
  </si>
  <si>
    <t>General Luna National High School - Consuelo National High School Annex - AP2</t>
  </si>
  <si>
    <t>General Luna National High School - Consuelo National High School Annex - AP3</t>
  </si>
  <si>
    <t>Tagana-An</t>
  </si>
  <si>
    <t>Talavera</t>
  </si>
  <si>
    <t>Bagong Silang Elementary School</t>
  </si>
  <si>
    <t>Bagong Silang Elementary School - AP1</t>
  </si>
  <si>
    <t>PRPS-L3-2052</t>
  </si>
  <si>
    <t>Bagong Silang Elementary School - AP2</t>
  </si>
  <si>
    <t>Bagong Silang Elementary School - AP3</t>
  </si>
  <si>
    <t>Caridad Elementary School - AP1</t>
  </si>
  <si>
    <t>Fabio</t>
  </si>
  <si>
    <t>Fabio Elementary School</t>
  </si>
  <si>
    <t>Caridad Elementary School - AP2</t>
  </si>
  <si>
    <t>Fabio Elementary School - AP1</t>
  </si>
  <si>
    <t>PRPS-L3-2053</t>
  </si>
  <si>
    <t>Caridad Elementary School - AP3</t>
  </si>
  <si>
    <t>Fabio Elementary School - AP2</t>
  </si>
  <si>
    <t>Free Public Wifi Program Penetration Summary for SDN (With Deactivated Locations)</t>
  </si>
  <si>
    <t>Datu Elementary School - AP1</t>
  </si>
  <si>
    <t>Datu Elementary School</t>
  </si>
  <si>
    <t>Fabio Elementary School - AP3</t>
  </si>
  <si>
    <t>Datu Elementary School - AP2</t>
  </si>
  <si>
    <t>Name of LGU's</t>
  </si>
  <si>
    <t>Datu Elementary School - AP3</t>
  </si>
  <si>
    <t>Opong</t>
  </si>
  <si>
    <t>Dayaohay</t>
  </si>
  <si>
    <t>Dayaohay Primary School - AP1</t>
  </si>
  <si>
    <t>Opong Elementary School</t>
  </si>
  <si>
    <t>Dayaohay Primary School</t>
  </si>
  <si>
    <t>Opong Elementary School - AP1</t>
  </si>
  <si>
    <t>PRPS-L3-2054</t>
  </si>
  <si>
    <t>Dayaohay Primary School - AP2</t>
  </si>
  <si>
    <t>LGU--Brgy.</t>
  </si>
  <si>
    <t>Dayaohay Primary School - AP3</t>
  </si>
  <si>
    <t>LGU-Gym</t>
  </si>
  <si>
    <t>LGU-Health</t>
  </si>
  <si>
    <t>Maasin</t>
  </si>
  <si>
    <t>Opong Elementary School - AP2</t>
  </si>
  <si>
    <t>Maasin Elementary School - AP1</t>
  </si>
  <si>
    <t>Maasin Elementary School</t>
  </si>
  <si>
    <t>Maasin Elementary School - AP2</t>
  </si>
  <si>
    <t>LGU-Others</t>
  </si>
  <si>
    <t>Opong Elementary School - AP3</t>
  </si>
  <si>
    <t>LGU-Tour</t>
  </si>
  <si>
    <t>LGU-Pol</t>
  </si>
  <si>
    <t>Maasin Elementary School - AP3</t>
  </si>
  <si>
    <t>Grand Total</t>
  </si>
  <si>
    <t>Talavera Elementary School</t>
  </si>
  <si>
    <t>Mabini Elementary School - AP1</t>
  </si>
  <si>
    <t>Mabini Elementary School</t>
  </si>
  <si>
    <t>Talavera Elementary School - AP1</t>
  </si>
  <si>
    <t>PRPS-L3-2055</t>
  </si>
  <si>
    <t>Mabini Elementary School - AP2</t>
  </si>
  <si>
    <t>Mabini Elementary School - AP3</t>
  </si>
  <si>
    <t>Talavera Elementary School - AP2</t>
  </si>
  <si>
    <t>Mabuhay Elementary School - AP1</t>
  </si>
  <si>
    <t>Mabuhay Elementary School</t>
  </si>
  <si>
    <t>Talavera Elementary School - AP3</t>
  </si>
  <si>
    <t>Simfrosa P. Dantes Elementary School</t>
  </si>
  <si>
    <t>Mabuhay Elementary School - AP2</t>
  </si>
  <si>
    <t>Simfrosa P. Dantes Elementary School - AP1</t>
  </si>
  <si>
    <t>PRPS-L3-2056</t>
  </si>
  <si>
    <t>Mabuhay Elementary School - AP3</t>
  </si>
  <si>
    <t>Asinan (Pob.)</t>
  </si>
  <si>
    <t>Pilar Central Elementary School - AP1</t>
  </si>
  <si>
    <t>Simfrosa P. Dantes Elementary School - AP2</t>
  </si>
  <si>
    <t>Pilar Central Elementary School - AP2</t>
  </si>
  <si>
    <t>Simfrosa P. Dantes Elementary School - AP3</t>
  </si>
  <si>
    <t>Pilar Central Elementary School - AP3</t>
  </si>
  <si>
    <t>Salvacion Elementary School - AP1</t>
  </si>
  <si>
    <t>Cawilan</t>
  </si>
  <si>
    <t>Salvacion Elementary School</t>
  </si>
  <si>
    <t>Juan E. Revolos National High School</t>
  </si>
  <si>
    <t>Juan E. Revolos National High School - AP1</t>
  </si>
  <si>
    <t>PRPS-L3-2058</t>
  </si>
  <si>
    <t>Salvacion Elementary School - AP2</t>
  </si>
  <si>
    <t>Salvacion Elementary School - AP3</t>
  </si>
  <si>
    <t>Caridad National High School - AP1</t>
  </si>
  <si>
    <t>Juan E. Revolos National High School - AP2</t>
  </si>
  <si>
    <t>Caridad National High School - AP2</t>
  </si>
  <si>
    <t>Juan E. Revolos National High School - AP3</t>
  </si>
  <si>
    <t>Caridad National High School - AP3</t>
  </si>
  <si>
    <t>Rodel R. Oclarit
Ronald Naupan</t>
  </si>
  <si>
    <t>09566636678
09107619213 / 09982422067</t>
  </si>
  <si>
    <t>Nuevo Campo</t>
  </si>
  <si>
    <t>Nuevo Campo Elementary Schoool - AP1</t>
  </si>
  <si>
    <t>Nuevo Campo Elementary Schoool</t>
  </si>
  <si>
    <t>Nuevo Campo Elementary Schoool - AP2</t>
  </si>
  <si>
    <t>Nuevo Campo Elementary Schoool - AP3</t>
  </si>
  <si>
    <t>Dante M, Orozco</t>
  </si>
  <si>
    <t>Del Pilar</t>
  </si>
  <si>
    <t>Del Pilar Elementary School - AP1</t>
  </si>
  <si>
    <t>Del Pilar Elementary School</t>
  </si>
  <si>
    <t>Del Pilar Elementary School - AP2</t>
  </si>
  <si>
    <t>Del Pilar Elementary School - AP3</t>
  </si>
  <si>
    <t>Macapagal</t>
  </si>
  <si>
    <t>Macapagal Primary School - AP1</t>
  </si>
  <si>
    <t>Macapagal Primary School</t>
  </si>
  <si>
    <t>Macapagal Primary School - AP2</t>
  </si>
  <si>
    <t>Macapagal Primary School - AP3</t>
  </si>
  <si>
    <t>Pacifico</t>
  </si>
  <si>
    <t>Pacifico Primary School - AP1</t>
  </si>
  <si>
    <t>Pacifico Primary School</t>
  </si>
  <si>
    <t>Pacifico Primary School - AP2</t>
  </si>
  <si>
    <t>Capayahan</t>
  </si>
  <si>
    <t>Pacifico Primary School - AP3</t>
  </si>
  <si>
    <t>Capayahan Elementary School</t>
  </si>
  <si>
    <t>Roxas Elementary School - AP1</t>
  </si>
  <si>
    <t>Capayahan Elementary School - AP1</t>
  </si>
  <si>
    <t>PRPS-L3-2060</t>
  </si>
  <si>
    <t>Roxas Elementary School - AP2</t>
  </si>
  <si>
    <t>Roxas Elementary School - AP3</t>
  </si>
  <si>
    <t>San Isidro Central Elementary School - AP1</t>
  </si>
  <si>
    <t>San Isidro Central Elementary School</t>
  </si>
  <si>
    <t>Capayahan Elementary School - AP2</t>
  </si>
  <si>
    <t>San Isidro Central Elementary School - AP2</t>
  </si>
  <si>
    <t>San Isidro Central Elementary School - AP3</t>
  </si>
  <si>
    <t>Capayahan Elementary School - AP3</t>
  </si>
  <si>
    <t>San Miguel Primary School - AP1</t>
  </si>
  <si>
    <t>San Miguel Primary School</t>
  </si>
  <si>
    <t>San Miguel Primary School - AP2</t>
  </si>
  <si>
    <t>San Miguel Primary School - AP3</t>
  </si>
  <si>
    <t>TOTAL</t>
  </si>
  <si>
    <t>Tambacan</t>
  </si>
  <si>
    <t>Tambacan Elementary School - AP1</t>
  </si>
  <si>
    <t>Tambacan Elementary School</t>
  </si>
  <si>
    <t>Tambacan Elementary School - AP2</t>
  </si>
  <si>
    <t>Tambacan Elementary School - AP3</t>
  </si>
  <si>
    <t>Tigasao</t>
  </si>
  <si>
    <t>Tigasao Elementary School - AP1</t>
  </si>
  <si>
    <t>Tigasao Elementary School</t>
  </si>
  <si>
    <t>Tigasao Elementary School - AP2</t>
  </si>
  <si>
    <t>Tigasao Elementary School - AP3</t>
  </si>
  <si>
    <t>Free Public Wifi Program Penetration Summary for SDN (Active Locations Only)</t>
  </si>
  <si>
    <t>Already replaced a ruijie AP from Caridad NHS</t>
  </si>
  <si>
    <t>Helene</t>
  </si>
  <si>
    <t>Bay-Ang Elementary School - AP1</t>
  </si>
  <si>
    <t>Bay-Ang Elementary School</t>
  </si>
  <si>
    <t>Bay-Ang Elementary School - AP2</t>
  </si>
  <si>
    <t>Bay-Ang Elementary School - AP3</t>
  </si>
  <si>
    <t>N. Sering Elementary School - AP1</t>
  </si>
  <si>
    <t>N. Sering Elementary School</t>
  </si>
  <si>
    <t>N. Sering Elementary School - AP2</t>
  </si>
  <si>
    <t>N. Sering Elementary School - AP3</t>
  </si>
  <si>
    <t>Honrado</t>
  </si>
  <si>
    <t>Honrado Community Elementary School - AP1</t>
  </si>
  <si>
    <t>Honrado Community Elementary School</t>
  </si>
  <si>
    <t>Honrado Community Elementary School - AP2</t>
  </si>
  <si>
    <t>Honrado Community Elementary School - AP3</t>
  </si>
  <si>
    <t>Nueva Estrella</t>
  </si>
  <si>
    <t>Nueva Estrella Central Elementary School - AP1</t>
  </si>
  <si>
    <t>Nueva Estrella Central Elementary School</t>
  </si>
  <si>
    <t>Nueva Estrella Central Elementary School - AP2</t>
  </si>
  <si>
    <t>Nueva Estrella Central Elementary School - AP3</t>
  </si>
  <si>
    <t>Pamosaingan</t>
  </si>
  <si>
    <t>Pamosaingan National High School - AP1</t>
  </si>
  <si>
    <t>Pamosaingan National High School</t>
  </si>
  <si>
    <t>Pamosaingan National High School - AP2</t>
  </si>
  <si>
    <t>Pamosaingan National High School - AP3</t>
  </si>
  <si>
    <t>Daniel M. Saragoza
Reynolds R. Minguita
FB Name: Reynolds Minguita</t>
  </si>
  <si>
    <t>Total Activated Sites Per Strategy</t>
  </si>
  <si>
    <t>Name of Strategies</t>
  </si>
  <si>
    <t>Activated</t>
  </si>
  <si>
    <t>Percent Total</t>
  </si>
  <si>
    <t>PICs-Mun</t>
  </si>
  <si>
    <t>PICS PP P3</t>
  </si>
  <si>
    <t>PIALEOS PUBLIC SCHOOLS</t>
  </si>
  <si>
    <t>Flora Maria P. Nobleza
Albert D. Luspe
FB name:  Albert Luspe</t>
  </si>
  <si>
    <t>PRPS-L3-2017</t>
  </si>
  <si>
    <t>PRPS-L3-2018</t>
  </si>
  <si>
    <t>PRPS-L3-2019</t>
  </si>
  <si>
    <t>Dapa Municipal Hall Old Building</t>
  </si>
  <si>
    <t>Dapa New Legislative Building</t>
  </si>
  <si>
    <t>Barangay 9</t>
  </si>
  <si>
    <t>dfdf</t>
  </si>
  <si>
    <t>Dapa Municipal Gym</t>
  </si>
  <si>
    <t>PLDT transfered to new location</t>
  </si>
  <si>
    <t>Counts</t>
  </si>
  <si>
    <t># of Active Locations / Total # of Locations</t>
  </si>
  <si>
    <t>Penetration Rate</t>
  </si>
  <si>
    <t>LGU-Brgy:</t>
  </si>
  <si>
    <t>39/335</t>
  </si>
  <si>
    <t>PICS-MUN</t>
  </si>
  <si>
    <t>PES:</t>
  </si>
  <si>
    <t>25/353</t>
  </si>
  <si>
    <t>PHS:</t>
  </si>
  <si>
    <t>18/85</t>
  </si>
  <si>
    <t>PES &amp; PHS</t>
  </si>
  <si>
    <t>43/435</t>
  </si>
  <si>
    <t>Total</t>
  </si>
  <si>
    <t>DISTRICT 1 (SIARGAO ISLANDS)</t>
  </si>
  <si>
    <t>25/132</t>
  </si>
  <si>
    <t>23/120</t>
  </si>
  <si>
    <t>34/146</t>
  </si>
  <si>
    <t>DISTRICT 2 (MAINLAND)</t>
  </si>
  <si>
    <t>12/203</t>
  </si>
  <si>
    <t>2/230</t>
  </si>
  <si>
    <t>7/59</t>
  </si>
  <si>
    <t>Siargao Island Medical Center (SIMC) BUCAS Center</t>
  </si>
  <si>
    <t>-</t>
  </si>
  <si>
    <t>9/289</t>
  </si>
  <si>
    <t>Analyn JameroFB name: Analyn Jamero</t>
  </si>
  <si>
    <t>Municipality of Burgos</t>
  </si>
  <si>
    <t>Burgos National High School ( 2 AP )</t>
  </si>
  <si>
    <t>Burgos Central Elem. School (1 AP)</t>
  </si>
  <si>
    <t>Municipality of Dapa</t>
  </si>
  <si>
    <t>Sta. Fe Barangay Hall (1 AP)</t>
  </si>
  <si>
    <t xml:space="preserve">"Realiza Managa
FB name: Realiza Managa"
</t>
  </si>
  <si>
    <t>Sta. Fe Elemntary School (1 AP)</t>
  </si>
  <si>
    <t>Municipality of Del Carmen</t>
  </si>
  <si>
    <t>Del Carmen National High School (2 AP)</t>
  </si>
  <si>
    <t>Numancia Central Elementary School (1 AP)</t>
  </si>
  <si>
    <t>Fiber</t>
  </si>
  <si>
    <t>General Luna National High School (2 AP)</t>
  </si>
  <si>
    <t>General Luna Elementary School (1 AP)</t>
  </si>
  <si>
    <t>General Luna Tourism Office (1 AP)</t>
  </si>
  <si>
    <t>Consuelo Elementary School (1 AP)</t>
  </si>
  <si>
    <t>Consuelo National High School (2 AP)</t>
  </si>
  <si>
    <t>Consuelo Barangay Hall (1 AP)</t>
  </si>
  <si>
    <t>Municipality of Pilar</t>
  </si>
  <si>
    <t>Caridad National High School (1 AP)</t>
  </si>
  <si>
    <t>Caridad Elementary School (1 AP)</t>
  </si>
  <si>
    <t>"Emily Dela Torre
Fb name: Emily Dela Torre"</t>
  </si>
  <si>
    <t>Caridad Barngay Hall (1 AP)</t>
  </si>
  <si>
    <t>Pilar Central Elementary School (1 AP)</t>
  </si>
  <si>
    <t>Pilar National High School (1 AP)</t>
  </si>
  <si>
    <t>Pilar DIstrict Hospital (1 AP)</t>
  </si>
  <si>
    <t>Municipality of San Benito</t>
  </si>
  <si>
    <t>Gaila  Paquibot</t>
  </si>
  <si>
    <t>San Benito Municipal Gymnasium</t>
  </si>
  <si>
    <t>Sta. Cruz Barangay Hall</t>
  </si>
  <si>
    <t>Municipality of San Isidro</t>
  </si>
  <si>
    <t>San Isidro National High School (2 AP)</t>
  </si>
  <si>
    <t>Del Carmen (Pob.) Barangay Hall (1 AP)</t>
  </si>
  <si>
    <t>Roxas National High School (1 AP)</t>
  </si>
  <si>
    <t>Roxas Elementary School (1 AP)</t>
  </si>
  <si>
    <t>Roxas Barnagay Hall (1 AP)</t>
  </si>
  <si>
    <t>Municipality of Sta. Monica</t>
  </si>
  <si>
    <t>Sta. Monica RHU (1 AP)</t>
  </si>
  <si>
    <t>Sta. Monica Police Station (1 AP)</t>
  </si>
  <si>
    <t>0/3</t>
  </si>
  <si>
    <t>Sta. Monica Gymnasium (1 AP)</t>
  </si>
  <si>
    <t>For recovery</t>
  </si>
  <si>
    <t>Municipality of Socorro</t>
  </si>
  <si>
    <t>Municipality of Alegria</t>
  </si>
  <si>
    <t>0/12</t>
  </si>
  <si>
    <t>0/10</t>
  </si>
  <si>
    <t>Consulacion BHS</t>
  </si>
  <si>
    <t>0/2</t>
  </si>
  <si>
    <t>Municipality of Bacuag</t>
  </si>
  <si>
    <t>0/9</t>
  </si>
  <si>
    <t>0/14</t>
  </si>
  <si>
    <t>0/17</t>
  </si>
  <si>
    <t>Municipality of Claver</t>
  </si>
  <si>
    <t>0/16</t>
  </si>
  <si>
    <t>0/19</t>
  </si>
  <si>
    <t>Municipality of Gigaquit</t>
  </si>
  <si>
    <t>0/21</t>
  </si>
  <si>
    <t>Municipality of Mainit</t>
  </si>
  <si>
    <t>0/23</t>
  </si>
  <si>
    <t>Nelmar Tokong Montederamos
FB Name: Nelmar Tokong Montederamos</t>
  </si>
  <si>
    <t>Starlink Count</t>
  </si>
  <si>
    <t>Project Strategy</t>
  </si>
  <si>
    <t>Location of AP's</t>
  </si>
  <si>
    <t>Area Density of Users per Starlink</t>
  </si>
  <si>
    <t>DICT Interventions</t>
  </si>
  <si>
    <t>0/6</t>
  </si>
  <si>
    <t>0/22</t>
  </si>
  <si>
    <t>Data Consumed Per Month 
(April 13-30)</t>
  </si>
  <si>
    <t>Data Consumed Per Month
(June 16-30)</t>
  </si>
  <si>
    <r>
      <rPr>
        <b/>
        <sz val="10"/>
        <color theme="1"/>
        <rFont val="Arial"/>
        <family val="2"/>
      </rPr>
      <t xml:space="preserve">Date of Data Capping Started
</t>
    </r>
    <r>
      <rPr>
        <sz val="9"/>
        <color theme="1"/>
        <rFont val="Arial"/>
        <family val="2"/>
      </rPr>
      <t>(mm-dd-yyyy)</t>
    </r>
  </si>
  <si>
    <t>Municipality of Placer</t>
  </si>
  <si>
    <r>
      <rPr>
        <b/>
        <sz val="10"/>
        <color theme="1"/>
        <rFont val="Arial"/>
        <family val="2"/>
      </rPr>
      <t xml:space="preserve">Date of Data Capping Ended/Refreshed
</t>
    </r>
    <r>
      <rPr>
        <sz val="9"/>
        <color theme="1"/>
        <rFont val="Arial"/>
        <family val="2"/>
      </rPr>
      <t>(mm-dd-yyyy)</t>
    </r>
  </si>
  <si>
    <t>Per Access Point</t>
  </si>
  <si>
    <t>Overall</t>
  </si>
  <si>
    <t>0/4</t>
  </si>
  <si>
    <t>Data Allocation</t>
  </si>
  <si>
    <t>Time Scheduling</t>
  </si>
  <si>
    <t>PICS-MUNICIPALITIES</t>
  </si>
  <si>
    <t>Municipality of San Francisco</t>
  </si>
  <si>
    <t>0/11</t>
  </si>
  <si>
    <t>High</t>
  </si>
  <si>
    <t>Municipality of Sison</t>
  </si>
  <si>
    <t>0/13</t>
  </si>
  <si>
    <t>Domingo D. Espin</t>
  </si>
  <si>
    <t>4/54</t>
  </si>
  <si>
    <t>2/67</t>
  </si>
  <si>
    <t>Lucas Iballa</t>
  </si>
  <si>
    <t>6/90</t>
  </si>
  <si>
    <t>Municipality of Tagana-an</t>
  </si>
  <si>
    <t>Municipality of Tubod</t>
  </si>
  <si>
    <t>Janelito G. Jumamoy</t>
  </si>
  <si>
    <t>Medium</t>
  </si>
  <si>
    <t>RIS  Operation Updates</t>
  </si>
  <si>
    <t>Bobby Eres B. Navarro</t>
  </si>
  <si>
    <t>Marilou A. Gerarcas</t>
  </si>
  <si>
    <t>Total Number of Down Access Points</t>
  </si>
  <si>
    <t>PCSPP3-R13-0063A</t>
  </si>
  <si>
    <t>Xia Zeu
 Marlon Matugas</t>
  </si>
  <si>
    <t>PCSPP3-R13-0063B</t>
  </si>
  <si>
    <t>Total Number of Access Points</t>
  </si>
  <si>
    <t>PLEO-XIII-0031</t>
  </si>
  <si>
    <t>Radelyn V. Aredidon</t>
  </si>
  <si>
    <t>LOCATION NAME</t>
  </si>
  <si>
    <t>PLEO-XIII-0032</t>
  </si>
  <si>
    <t>Downtime</t>
  </si>
  <si>
    <t>Contact Person</t>
  </si>
  <si>
    <t>Lauris Marx  N. Congreso</t>
  </si>
  <si>
    <t>Damage Starlink Dish</t>
  </si>
  <si>
    <t>Mary Ann JuaniteConte Gorgonio
 Aniesol C. Lasala</t>
  </si>
  <si>
    <t>09278361640
09399072264</t>
  </si>
  <si>
    <t>PICSPP3-VSAT-0007A</t>
  </si>
  <si>
    <t>PICSPP3-VSAT-0007B</t>
  </si>
  <si>
    <t>PICSPP3-VSAT-0016A</t>
  </si>
  <si>
    <t/>
  </si>
  <si>
    <t>PICSPP3-VSAT-0016B</t>
  </si>
  <si>
    <t>PROVINCE OF SURIGAO DEL NORTE (MAINLAND)</t>
  </si>
  <si>
    <t>PRPS-L3-1967</t>
  </si>
  <si>
    <t>Number of Down Access Points</t>
  </si>
  <si>
    <t>Total Number of Access points</t>
  </si>
  <si>
    <t>No.</t>
  </si>
  <si>
    <t>PRPS-L3-1968</t>
  </si>
  <si>
    <t>PRPS-L3-1969</t>
  </si>
  <si>
    <t>Corregidor Elementary School</t>
  </si>
  <si>
    <t>Corregidor Elementary School - AP1</t>
  </si>
  <si>
    <t>PRPS-L3-1970</t>
  </si>
  <si>
    <t>Corregidor Elementary School - AP2</t>
  </si>
  <si>
    <t>Corregidor Elementary School - AP3</t>
  </si>
  <si>
    <t>PRPS-L3-1971</t>
  </si>
  <si>
    <t>Low</t>
  </si>
  <si>
    <t>491.32GB</t>
  </si>
  <si>
    <t>586.39GB</t>
  </si>
  <si>
    <t>853.90GB</t>
  </si>
  <si>
    <t>290.80GB</t>
  </si>
  <si>
    <t>137.07GB</t>
  </si>
  <si>
    <t>820.30MB</t>
  </si>
  <si>
    <t>281.77GB</t>
  </si>
  <si>
    <t>265.49MB</t>
  </si>
  <si>
    <t>PRPS-L3-1972</t>
  </si>
  <si>
    <t>High, Low</t>
  </si>
  <si>
    <t>3540.24GB</t>
  </si>
  <si>
    <t>48.78GB</t>
  </si>
  <si>
    <t>1339.70GB</t>
  </si>
  <si>
    <t>12.11GB</t>
  </si>
  <si>
    <t>880.07GB</t>
  </si>
  <si>
    <t>147.49GB</t>
  </si>
  <si>
    <t>PRPS-L3-1973</t>
  </si>
  <si>
    <t>1605.63GB</t>
  </si>
  <si>
    <t xml:space="preserve">71.80GB	</t>
  </si>
  <si>
    <t>940.52GB</t>
  </si>
  <si>
    <t>127.60GB</t>
  </si>
  <si>
    <t>1756.37GB</t>
  </si>
  <si>
    <t>244.45GB</t>
  </si>
  <si>
    <t>943.30GB</t>
  </si>
  <si>
    <t>236.26GB</t>
  </si>
  <si>
    <t>1657.58GB</t>
  </si>
  <si>
    <t>226.37GB</t>
  </si>
  <si>
    <t>PRPS-L3-1974</t>
  </si>
  <si>
    <t>580.67GB</t>
  </si>
  <si>
    <t>151.97GB</t>
  </si>
  <si>
    <t>907.04GB</t>
  </si>
  <si>
    <t>265.45GB</t>
  </si>
  <si>
    <t>PICS-MUN SIARGAO</t>
  </si>
  <si>
    <t>930.42GB</t>
  </si>
  <si>
    <t>291.65GB</t>
  </si>
  <si>
    <t>PROVINCE OF SURIGAO DEL NORTE(SIARGAO)</t>
  </si>
  <si>
    <t>1234.04GB</t>
  </si>
  <si>
    <t>276.68GB</t>
  </si>
  <si>
    <t>PRPS-L3-1975</t>
  </si>
  <si>
    <t>179.10GB</t>
  </si>
  <si>
    <t>18.38GB</t>
  </si>
  <si>
    <t>652.84GB</t>
  </si>
  <si>
    <t>154.05GB</t>
  </si>
  <si>
    <t>261.27GB</t>
  </si>
  <si>
    <t>28.67GB</t>
  </si>
  <si>
    <t>PRPS-L3-1976</t>
  </si>
  <si>
    <t>876.78GB</t>
  </si>
  <si>
    <t>195.52GB</t>
  </si>
  <si>
    <t>1527.96GB</t>
  </si>
  <si>
    <t>333.07GB</t>
  </si>
  <si>
    <t>1590.82GB</t>
  </si>
  <si>
    <t>301.96GB</t>
  </si>
  <si>
    <t>76.84GB</t>
  </si>
  <si>
    <t>5.54GB</t>
  </si>
  <si>
    <t>206.98GB</t>
  </si>
  <si>
    <t>60.36GB</t>
  </si>
  <si>
    <t>PRPS-L3-1977</t>
  </si>
  <si>
    <t>Down TIme</t>
  </si>
  <si>
    <t>462.27GB</t>
  </si>
  <si>
    <t>137.96GB</t>
  </si>
  <si>
    <t>Findings</t>
  </si>
  <si>
    <t>Recommendation</t>
  </si>
  <si>
    <t>400.56GB</t>
  </si>
  <si>
    <t>90.99GB</t>
  </si>
  <si>
    <t>1311.54GB</t>
  </si>
  <si>
    <t>439.36GB</t>
  </si>
  <si>
    <t>Contractor:</t>
  </si>
  <si>
    <t>iOne Resources Inc.</t>
  </si>
  <si>
    <t>226.05GB</t>
  </si>
  <si>
    <t xml:space="preserve">Supplier: </t>
  </si>
  <si>
    <t>28.96GB</t>
  </si>
  <si>
    <t>Links:</t>
  </si>
  <si>
    <t>103.38.173.120:8443</t>
  </si>
  <si>
    <t>944.88GB</t>
  </si>
  <si>
    <t>25.40GB</t>
  </si>
  <si>
    <t xml:space="preserve">a.AP not fully utilized : design is not followed
b. Poor crimping job on UTP cable on the AP
</t>
  </si>
  <si>
    <t>a. AP was not placed to the designated location as per the site survey given by DICT to the iONE Resources Inc. thus the capability of AP was not fully utilized. Recommended for relocation of Access Point to the intended Location as per site survey.
b. Rectify crimping issues on UTP cables to prevent
connectivity problems on the AP</t>
  </si>
  <si>
    <t>a.AP not fully utilized : design is not followed
b. Poor crimping job on UTP cable on the AP</t>
  </si>
  <si>
    <t>PRPS-L3-1978</t>
  </si>
  <si>
    <t>1085.03GB</t>
  </si>
  <si>
    <t>733.36GB</t>
  </si>
  <si>
    <t>a. Poor crimping job on UTP cable on the AP</t>
  </si>
  <si>
    <t>a. Rectify crimping issues on UTP cables to prevent
connectivity problems on the AP</t>
  </si>
  <si>
    <t>990.73GB</t>
  </si>
  <si>
    <t>51.88GB</t>
  </si>
  <si>
    <t>577.55GB</t>
  </si>
  <si>
    <t>15.88GB</t>
  </si>
  <si>
    <t>1505.28GB</t>
  </si>
  <si>
    <t>21.61GB</t>
  </si>
  <si>
    <t>1192.41GB</t>
  </si>
  <si>
    <t>8.34GB</t>
  </si>
  <si>
    <t>1722.88GB</t>
  </si>
  <si>
    <t>18.36GB</t>
  </si>
  <si>
    <t>PRPS-L3-1989</t>
  </si>
  <si>
    <t>Down</t>
  </si>
  <si>
    <t>1020.42GB</t>
  </si>
  <si>
    <t>256.12GB</t>
  </si>
  <si>
    <t>X`</t>
  </si>
  <si>
    <t>377.07GB</t>
  </si>
  <si>
    <t>85.28GB</t>
  </si>
  <si>
    <t xml:space="preserve">543.83GB	</t>
  </si>
  <si>
    <t>120.74GB</t>
  </si>
  <si>
    <t>2298.64GB</t>
  </si>
  <si>
    <t>224.52GB</t>
  </si>
  <si>
    <t>933.94GB</t>
  </si>
  <si>
    <t>99.35GB</t>
  </si>
  <si>
    <t>723.56GB</t>
  </si>
  <si>
    <t>96.99GB</t>
  </si>
  <si>
    <t>PRPS-L3-2005</t>
  </si>
  <si>
    <t>a.Poor crimping job on UTP cable on the AP
b. Signages are temporarily placed since the LGU Staff mentioned that they needed the approval of Mayor regarding the final placement location of signages</t>
  </si>
  <si>
    <t>a.Rectify crimping issues on UTP cables to prevent
connectivity problems on the AP.
b. Coordinate with the LGU for final approval and relocate signages accordingly</t>
  </si>
  <si>
    <t>358.40GB</t>
  </si>
  <si>
    <t xml:space="preserve">Lot Number: </t>
  </si>
  <si>
    <t>64.75GB</t>
  </si>
  <si>
    <t>Lot A</t>
  </si>
  <si>
    <t>Username:</t>
  </si>
  <si>
    <t>dictmainlandsdn</t>
  </si>
  <si>
    <t>Paasword:</t>
  </si>
  <si>
    <t>dictM@1nland</t>
  </si>
  <si>
    <t>Email Notif of Downtime Logs</t>
  </si>
  <si>
    <t>picsmainlandsdn@yahoo.com</t>
  </si>
  <si>
    <t>pass=picsM@1nland</t>
  </si>
  <si>
    <t>Note: Ang buhaton puhon mag duplicate ko sa Downtime Logs the e duplicate ang logs na sheet per LGU para didtu ipang butang ang daily na gi buhat ni jude para pag balhin dili mag libug; to be done after acceptance</t>
  </si>
  <si>
    <t>523.88GB</t>
  </si>
  <si>
    <t>50.38GB</t>
  </si>
  <si>
    <t>Osmeña</t>
  </si>
  <si>
    <t>Provincial Training Center- Siargao, Surigao del Norte</t>
  </si>
  <si>
    <t>Brgy: 9</t>
  </si>
  <si>
    <t>438.20GB</t>
  </si>
  <si>
    <t>182.93GB</t>
  </si>
  <si>
    <t>12.80GB</t>
  </si>
  <si>
    <t>367.99MB</t>
  </si>
  <si>
    <t>a. Some of client devices unable to connect to the FPW
b. Poor crimping job on UTP cable of the AP
c. Signages are temporarily placed since the LGU Staff mentioned that they needed the approval of Mayor regarding the final placement location of signages</t>
  </si>
  <si>
    <t>a.Investigate and resolve issues preventing client devices  from connecting to the FPW AP
b. Rectify crimping issues on UTP cables to prevent connectivity problems on the AP
c. Coordinate with the LGU for final approval and relocate signages accordingly</t>
  </si>
  <si>
    <t>3043.56GB</t>
  </si>
  <si>
    <t>457.32GB</t>
  </si>
  <si>
    <t>322.74GB</t>
  </si>
  <si>
    <t>102.83GB</t>
  </si>
  <si>
    <t>Del Carmen Municipal Hall - 1F Annex A Left Wing</t>
  </si>
  <si>
    <t>a. some of client devices unable to connect to the FPW AP
b. Poor crimping job on UTP cable of the AP</t>
  </si>
  <si>
    <t>a.Investigate and resolve issues preventing client devices from connecting to the FPW AP
b. Rectify crimping issues on UTP cables to prevent connectivity problems on the AP</t>
  </si>
  <si>
    <t>FB Name: MJ Paitan
Mat Johnson Paitan</t>
  </si>
  <si>
    <t xml:space="preserve">a. some of client devices unable to connect to the FPW AP
b. Poor crimping job on UTP cable of the AP
c. Signages are temporarily placed since the LGU Staff mentioned that they needed the approval of Mayor regarding the final placement location of signages
</t>
  </si>
  <si>
    <t>a.Investigate and resolve issues preventing client devices from connecting to the FPW AP
b. Rectify crimping issues on UTP cables to prevent connectivity problems on the AP
c. Coordinate with the LGU for final approval and relocate signages accordingly</t>
  </si>
  <si>
    <t>a. Some of client devices unable to connect to the FPW
b. Poor crimping job on UTP cable of the AP
c. AP not fully utilized : design is not followed</t>
  </si>
  <si>
    <t>a. Investigate and resolve issues preventing client devices from connecting to the FPW AP
b. Rectify crimping issues on UTP cables to prevent connectivity problems on the AP
c. AP was not placed to the designated location as per the site survey given by DICT to the iONE Resources Inc. thus the capability of AP was not fully utilized. Recommended for relocation of Access Point to the intended Location as per site survey.</t>
  </si>
  <si>
    <t>a. Poor crimping job on UTP cable of the AP
b. Signages are temporarily placed since the LGU Staff mentioned that they needed the approval of Mayor regarding the final placement location of signages</t>
  </si>
  <si>
    <t>a.Rectify crimping issues on UTP cables to prevent connectivity problems on the AP.
b. Coordinate with the LGU for final approval and relocate signages accordingly</t>
  </si>
  <si>
    <t>661.77GB</t>
  </si>
  <si>
    <t>150.47GB</t>
  </si>
  <si>
    <t>a. Poor crimping job on UTP cable of the AP</t>
  </si>
  <si>
    <t>a.Rectify crimping issues on UTP cables to prevent
connectivity problems on the AP.</t>
  </si>
  <si>
    <t xml:space="preserve">a. Poor crimping job on UTP cable of the AP
b. POE, Convenience outlet and Media Converter not yet housed in pool box for safety
</t>
  </si>
  <si>
    <t>a.Rectify crimping issues on UTP cables to prevent connectivity problems on the AP.
b.Securely house POE, convenience outlets, and Media Converters in the pool box to ensure safety</t>
  </si>
  <si>
    <t>490.19GB</t>
  </si>
  <si>
    <t>53.55GB</t>
  </si>
  <si>
    <t>a. Investigate and resolve issues preventing client devices from connecting to the FPW AP
b. Rectify crimping issues on UTP cables to prevent connectivity problems on the AP</t>
  </si>
  <si>
    <t>514.05GB</t>
  </si>
  <si>
    <t>5.80GB</t>
  </si>
  <si>
    <t>377.49GB</t>
  </si>
  <si>
    <t>122.46GB</t>
  </si>
  <si>
    <t>1661.10GB</t>
  </si>
  <si>
    <t>376.59GB</t>
  </si>
  <si>
    <t>2278.60GB</t>
  </si>
  <si>
    <t>333.56GB</t>
  </si>
  <si>
    <t>368.29GB</t>
  </si>
  <si>
    <t>34.87GB</t>
  </si>
  <si>
    <t>a. Poor crimping job on UTP cable (may lead to apparent disconnections and other failures)
b. POE, Convenience outlet and Media Converter not yet housed in pool box for safety
c. IP Conflict to RHU</t>
  </si>
  <si>
    <t>a. Rectify crimping issues on UTP cables to prevent
connectivity problems on the AP
b. POE, Convenience outlet and Media Converter should be housed in pool box for safety
c. IP Conflict to RHU</t>
  </si>
  <si>
    <t>a. Poor crimping job on UTP cable
b. IP conflict to Tourism Assistance center</t>
  </si>
  <si>
    <t>a. Rectify crimping issues on UTP cables to prevent
connectivity problems on the AP
b. IP conflict to Tourism Assistance center</t>
  </si>
  <si>
    <t xml:space="preserve">a. Poor crimping job on UTP cable of the AP
b. Signages are temporarily placed since the LGU Staff mentioned that they needed the approval of Mayor regarding the final placement location of signages
</t>
  </si>
  <si>
    <t>a.Rectify crimping issues on UTP cables to prevent connectivity problems on the AP.
b. Coordinate with the LGU for final approval and relocate signages accordingly</t>
  </si>
  <si>
    <t>a. Poor crimping job on UTP cable of the AP
b. Signages are temporarily placed since the LGU Staff mentioned that they needed the approval of Mayor regarding the final placement location of signages</t>
  </si>
  <si>
    <t xml:space="preserve"> iOne Resources Inc.</t>
  </si>
  <si>
    <t>Log in to Ruijie Cloud</t>
  </si>
  <si>
    <t>Lot B</t>
  </si>
  <si>
    <t>caragadict@gmail.com</t>
  </si>
  <si>
    <t>Password:</t>
  </si>
  <si>
    <t>i0n32023</t>
  </si>
  <si>
    <t>pics_ruijie@ioneresources.net</t>
  </si>
  <si>
    <t>"Junrey Botona
Fb name: Junrey Botona"</t>
  </si>
  <si>
    <t>Esperanza Barangay Hall</t>
  </si>
  <si>
    <t xml:space="preserve">Starlink
</t>
  </si>
  <si>
    <t>Esperanza BH-2nd Floor</t>
  </si>
  <si>
    <t>EsperanzaBH - Entrance Area</t>
  </si>
  <si>
    <t>PICS-PP Phase 2</t>
  </si>
  <si>
    <t>Ronalyn P. Consigna
Maria Lina D. Botona
FB name: Marialina Botona</t>
  </si>
  <si>
    <t>General Luna Nationa! High School_ComLab</t>
  </si>
  <si>
    <t>General Luna Nationa! High School_FacultyOfficeLobby</t>
  </si>
  <si>
    <t>Agricultural Building_Lobby</t>
  </si>
  <si>
    <t>IMR</t>
  </si>
  <si>
    <t>Mary Grace Q. Batistil: 09485750355</t>
  </si>
  <si>
    <t>to be back for AP Adaption</t>
  </si>
  <si>
    <t>Dario D. Maamo
Carmie R. Eledia
FB name: Miecarmz Ruaya Eledia</t>
  </si>
  <si>
    <t>https://cloud-as.ruijienetworks.com/macc5/adminIntl/#/monitor_overview_global_menu</t>
  </si>
  <si>
    <t>Remedios P. Madlos
FB Name: Remy A. Plaza</t>
  </si>
  <si>
    <t>fpwcaraga.dict@gmail.com</t>
  </si>
  <si>
    <t>fr33w1f1re13</t>
  </si>
  <si>
    <t>We Are IT Philippines</t>
  </si>
  <si>
    <t>DAPA_CAMBAS.AC BH.pdf</t>
  </si>
  <si>
    <t>DAPA_CAMBAS.AC BH UAT.pdf</t>
  </si>
  <si>
    <t>DEL CARMEN_KATIPUNAN BH.pdf</t>
  </si>
  <si>
    <t>DEL CARMEN_KATIPUNAN BH UAT.pdf</t>
  </si>
  <si>
    <t>SC_RIZAL BH.pdf</t>
  </si>
  <si>
    <t>SC_RIZAL BH UAT.pdf</t>
  </si>
  <si>
    <t>Ipangutana pa kung naa ba tapad</t>
  </si>
  <si>
    <t>Jadson Gamos
Jhoncy Ravelo Comon
Gerry Jr. Lazo Sullapas</t>
  </si>
  <si>
    <t>9630669399
09503043084
09301847514</t>
  </si>
  <si>
    <t>PRPS-L3-0215</t>
  </si>
  <si>
    <t>Christopher Ticmon CID</t>
  </si>
  <si>
    <t>PRPS-L3-1990</t>
  </si>
  <si>
    <t>PRPS-L3-1991</t>
  </si>
  <si>
    <t>PRPS-L3-1992</t>
  </si>
  <si>
    <t>PRPS-L3-1993</t>
  </si>
  <si>
    <t>PRPS-L3-1994</t>
  </si>
  <si>
    <t>PRPS-L3-2012</t>
  </si>
  <si>
    <t>PICS-PP Phase 3</t>
  </si>
  <si>
    <t>PRPS-L3-2027</t>
  </si>
  <si>
    <t>PRPS-L3-2028</t>
  </si>
  <si>
    <t>PCSPPP2-PHF-R13-0026</t>
  </si>
  <si>
    <t>Total Number of  Active Access Points</t>
  </si>
  <si>
    <t>FB Name: Ken Pantolla
Engr. Kent Pantolla</t>
  </si>
  <si>
    <t>TRM-Air</t>
  </si>
  <si>
    <t>Dapa New Government Center_Municipal Office</t>
  </si>
  <si>
    <t>Wireless Link</t>
  </si>
  <si>
    <t>Arceley Gallentes
FB name: Arcely Forcadilla Gellentes
FB Name: Mar Noquerra Raza Oraliza</t>
  </si>
  <si>
    <t>FB Name: Mar Noquerra Raza Oraliza</t>
  </si>
  <si>
    <t>Jineffer Amamangpang
FB name: Jineffer Amamangpang</t>
  </si>
  <si>
    <t>Monica D. Cuballes
FB Name: Monique Doligol Cuballes</t>
  </si>
  <si>
    <t>Binoacaran</t>
  </si>
  <si>
    <t>Sherrel N. Gonzales
Chadie C. Ramirez
FB: Jessica Coronel Dulguime</t>
  </si>
  <si>
    <t>Waiting for Sign by Gov</t>
  </si>
  <si>
    <t>Hazel Jean D. Dulguime
FB name: Hazel Jean Degamon Dulguime</t>
  </si>
  <si>
    <t>Eldesa E. Javier
FB Name: Eldesa Javier
Jessie B. Tokong</t>
  </si>
  <si>
    <t>PICSPP3-VSAT-0001</t>
  </si>
  <si>
    <t>Alvin R. Agudo</t>
  </si>
  <si>
    <t>PICSPP3-VSAT-0002</t>
  </si>
  <si>
    <t>Jamell Icill F. Padios</t>
  </si>
  <si>
    <t>PRPS-L3-1986</t>
  </si>
  <si>
    <t>PRPS-L3-1987</t>
  </si>
  <si>
    <t>PRPS-L3-1979</t>
  </si>
  <si>
    <t>PRPS-L3-1980</t>
  </si>
  <si>
    <t>PRPS-L3-1981</t>
  </si>
  <si>
    <t>PICS-PP  Operation Updates</t>
  </si>
  <si>
    <t>PICS SUC Operation Updates</t>
  </si>
  <si>
    <t>PRPS-L3-1982</t>
  </si>
  <si>
    <t>PRPS-L3-1983</t>
  </si>
  <si>
    <t>FB Account</t>
  </si>
  <si>
    <t>End of Service: September 4, 2025</t>
  </si>
  <si>
    <t>Arcely - 09062995902</t>
  </si>
  <si>
    <t>End of Service: October 6, 2025</t>
  </si>
  <si>
    <t>Arcely Forcadilla Gallentes</t>
  </si>
  <si>
    <t>Malinao Elementary School - AP1</t>
  </si>
  <si>
    <t>PRPS-L3-1984</t>
  </si>
  <si>
    <t>San Benito Barangay Hall</t>
  </si>
  <si>
    <t>Malinao Elementary School - AP2</t>
  </si>
  <si>
    <t>Malinao Elementary School - AP3</t>
  </si>
  <si>
    <t>Shelene Cathlyn B. Daga-as: 09064614237</t>
  </si>
  <si>
    <t>Contrator:</t>
  </si>
  <si>
    <t>Ongoing</t>
  </si>
  <si>
    <t>We are I.T Philippines, Inc.</t>
  </si>
  <si>
    <t>https://omada.tplinkcloud.com/#controller</t>
  </si>
  <si>
    <t>PRPS-L3-1985</t>
  </si>
  <si>
    <t>Juvelyn F. Calapre - 09260027256
juvelyn.calapare@deped.gov.ph</t>
  </si>
  <si>
    <t>Ken Pantolla - 09514539087</t>
  </si>
  <si>
    <t>dict.picssuc@gmail.com</t>
  </si>
  <si>
    <t>@Mindanao2023</t>
  </si>
  <si>
    <t>Jineffer Amamangpang - 09639833464</t>
  </si>
  <si>
    <t>Gemma T. Oraliza - 09488023346
gemma.oraliza01@deped.gov.ph</t>
  </si>
  <si>
    <t>PRPS-L3-1988</t>
  </si>
  <si>
    <t>Jessica C. Dulgime
Sherrel N. Gonzales</t>
  </si>
  <si>
    <t>09859686126
09666498513</t>
  </si>
  <si>
    <t>Mateo Intano: 09565569181</t>
  </si>
  <si>
    <t>Secretary: 09667625313</t>
  </si>
  <si>
    <t>Nefri Salvador</t>
  </si>
  <si>
    <t>PCSPP2-R13-0076</t>
  </si>
  <si>
    <t>FB Name: Eijyer Calo
Reyjie Calo</t>
  </si>
  <si>
    <t>CORE FW4A VSAT Operation Updates</t>
  </si>
  <si>
    <t>Total Number of Down VSAT Sites</t>
  </si>
  <si>
    <t>TOTAL NUMBER OF VSAT SITES</t>
  </si>
  <si>
    <t>STRATEGY</t>
  </si>
  <si>
    <t>Subscription expires on March 30. 2025</t>
  </si>
  <si>
    <t>PDRR Gilbert Calvadores - 09709667174
PDRR Yong - 09094140887</t>
  </si>
  <si>
    <t>MDDR Nestor - 09394466911</t>
  </si>
  <si>
    <t>FB: Raymond M. Dulpina -09055446427</t>
  </si>
  <si>
    <t>Mark Portillo - 09107798765</t>
  </si>
  <si>
    <t>MDRR Irrah Mae Sildora - 09685752331</t>
  </si>
  <si>
    <t xml:space="preserve">Mat Johnson Paitan: 09953120536
</t>
  </si>
  <si>
    <t>Brgy. Captain: 09652164303
Sec. Analyn Espino: 09658349045</t>
  </si>
  <si>
    <t>UNDP-VSAT</t>
  </si>
  <si>
    <t>No Active subscription</t>
  </si>
  <si>
    <t>Treasurer: 09750171966</t>
  </si>
  <si>
    <t>Secretary: 09306635577
fb: Eulendiza Madelo Polican-Depol</t>
  </si>
  <si>
    <t>DICT Surigao del Norte Provincial Field Office - Mobile VSAT 2</t>
  </si>
  <si>
    <t>UIS-GIDA</t>
  </si>
  <si>
    <t>Brgy.: 3</t>
  </si>
  <si>
    <t>MARLINK</t>
  </si>
  <si>
    <t>Peter Ravelo
FB Name: Peterjo Ravelo</t>
  </si>
  <si>
    <t>https://oneportal.marlink.com/</t>
  </si>
  <si>
    <t>freewifi4all.caraga@dict.gov.ph</t>
  </si>
  <si>
    <t>fre3w1f!13</t>
  </si>
  <si>
    <t>DICTP1@L30S</t>
  </si>
  <si>
    <t>FB Name: Elmark Nojepse</t>
  </si>
  <si>
    <t>Riddille T. Noynay
Joel Tesiorna
Fb Name: Joel Falcon Tesiorna</t>
  </si>
  <si>
    <t>surigaodelnorte2025@gmail.com</t>
  </si>
  <si>
    <t>Pftsurigao@22</t>
  </si>
  <si>
    <t>PICSPP3-VSAT-0004</t>
  </si>
  <si>
    <t>PICSPP3-VSAT-0005</t>
  </si>
  <si>
    <t>PRPS-L3-1995</t>
  </si>
  <si>
    <t>PROVINCE</t>
  </si>
  <si>
    <t>LOCALITY</t>
  </si>
  <si>
    <t>DISTRICT</t>
  </si>
  <si>
    <t>BARANGAY</t>
  </si>
  <si>
    <t>SITE TYPE</t>
  </si>
  <si>
    <t>Longitude</t>
  </si>
  <si>
    <t>Current Connectivity Status:</t>
  </si>
  <si>
    <t>Area Classification</t>
  </si>
  <si>
    <t>With DICT Free Wifi</t>
  </si>
  <si>
    <t>Surigao del Norte</t>
  </si>
  <si>
    <t>Alipao</t>
  </si>
  <si>
    <t>PRPS-L3-1996</t>
  </si>
  <si>
    <t>Alipao Barangay Hall</t>
  </si>
  <si>
    <t>With SMS only (no data)</t>
  </si>
  <si>
    <t>NON-GIDA</t>
  </si>
  <si>
    <t>Anahaw</t>
  </si>
  <si>
    <t>Anahaw Barangay Hall</t>
  </si>
  <si>
    <t>No Signal/No Coverage</t>
  </si>
  <si>
    <t>GIDA</t>
  </si>
  <si>
    <t>Budlingin</t>
  </si>
  <si>
    <t>Budlingin Barangay Hall</t>
  </si>
  <si>
    <t>Camp Eduard</t>
  </si>
  <si>
    <t>Camp Eduard Barangay Hall</t>
  </si>
  <si>
    <t>Ferlda</t>
  </si>
  <si>
    <t>Ferlda Barangay Hall</t>
  </si>
  <si>
    <t>PRPS-L3-1997</t>
  </si>
  <si>
    <t>Gamuton Barangay Hall</t>
  </si>
  <si>
    <t>PROVINCE/HUC</t>
  </si>
  <si>
    <t>Julio Ouano</t>
  </si>
  <si>
    <t>Julio Ouano Barangay Hall</t>
  </si>
  <si>
    <t xml:space="preserve">With Data/Internet Coverage </t>
  </si>
  <si>
    <t>SITE CODE</t>
  </si>
  <si>
    <t>SITE NAME</t>
  </si>
  <si>
    <t>Ombong</t>
  </si>
  <si>
    <t>Ombong Barangay Hall</t>
  </si>
  <si>
    <t>CURRENT SITE STATUS</t>
  </si>
  <si>
    <t>PROJECT STATUS</t>
  </si>
  <si>
    <t>Poblacion Barangay Hall</t>
  </si>
  <si>
    <t>ACTIVE</t>
  </si>
  <si>
    <t>ON-GOING</t>
  </si>
  <si>
    <t>Pongtud</t>
  </si>
  <si>
    <t>Pongtud Barangay Hall</t>
  </si>
  <si>
    <t>San Pedro Barangay Hall</t>
  </si>
  <si>
    <t>DRRM Building</t>
  </si>
  <si>
    <t>Surigao Del Norte</t>
  </si>
  <si>
    <t>Surigao del Norte State University-Del Carmen 1</t>
  </si>
  <si>
    <t>Cambuayon</t>
  </si>
  <si>
    <t>Cambuayon Barangay Hall</t>
  </si>
  <si>
    <t>Surigao del Norte State University-Del Carmen 2</t>
  </si>
  <si>
    <t>Campo</t>
  </si>
  <si>
    <t>Campo Barangay Hall</t>
  </si>
  <si>
    <t>Surigao del Norte State University-Del Carmen 3</t>
  </si>
  <si>
    <t>Dugsangon</t>
  </si>
  <si>
    <t>PRPS-L3-1998</t>
  </si>
  <si>
    <t>Dugsangon Barangay Hall</t>
  </si>
  <si>
    <t>Pautao Barangay Hall</t>
  </si>
  <si>
    <t>Payapag Barangay Hall</t>
  </si>
  <si>
    <t>Pungtod</t>
  </si>
  <si>
    <t>Esperanza Barangay Hall - Lobby</t>
  </si>
  <si>
    <t>Pungtod Barangay Hall</t>
  </si>
  <si>
    <t>Santo Rosario</t>
  </si>
  <si>
    <t>Santo Rosario Barangay Hall</t>
  </si>
  <si>
    <t>Baybay Barangay Hall</t>
  </si>
  <si>
    <t>Bitaug</t>
  </si>
  <si>
    <t>Bitaug Barangay Hall</t>
  </si>
  <si>
    <t>Matin-ao</t>
  </si>
  <si>
    <t>Poblacion 2 Barangay Hall</t>
  </si>
  <si>
    <t>San Mateo</t>
  </si>
  <si>
    <t>San Mateo Barangay Hall</t>
  </si>
  <si>
    <t>Cabugo</t>
  </si>
  <si>
    <t>Cabugo Barangay Hall</t>
  </si>
  <si>
    <t>Cagdianao</t>
  </si>
  <si>
    <t>Cagdianao Barangay Hall</t>
  </si>
  <si>
    <t>PRPS-L3-1999</t>
  </si>
  <si>
    <t>Daywan Barangay Hall</t>
  </si>
  <si>
    <t>Hayanggabon</t>
  </si>
  <si>
    <t>Hayanggabon Barangay Hall</t>
  </si>
  <si>
    <t>Ladgaron</t>
  </si>
  <si>
    <t>Ladgaron Barangay Hall</t>
  </si>
  <si>
    <t>Lapinigan Barangay Hall</t>
  </si>
  <si>
    <t>Magallanes Barangay Hall</t>
  </si>
  <si>
    <t>Panatao</t>
  </si>
  <si>
    <t>Panatao Barangay Hall</t>
  </si>
  <si>
    <t>Sapa Barangay Hall</t>
  </si>
  <si>
    <t>Taganito</t>
  </si>
  <si>
    <t>Taganito Barangay Hall</t>
  </si>
  <si>
    <t>Tayaga Barangay Hall</t>
  </si>
  <si>
    <t>Urbiztondo</t>
  </si>
  <si>
    <t>Urbiztondo Barangay Hall</t>
  </si>
  <si>
    <t>Wangke</t>
  </si>
  <si>
    <t>Wangke Barangay Hall</t>
  </si>
  <si>
    <t>PRPS-L3-2000</t>
  </si>
  <si>
    <t>Barangay 1 Barangay Hall</t>
  </si>
  <si>
    <t>Barangay 10</t>
  </si>
  <si>
    <t>Barangay 10 Barangay Hall</t>
  </si>
  <si>
    <t>Barangay 11</t>
  </si>
  <si>
    <t>Barangay 11 Barangay Hall</t>
  </si>
  <si>
    <t>Barangay 12 Barangay Hall</t>
  </si>
  <si>
    <t>TOTAL NUMBER OF DOWN LOCATION</t>
  </si>
  <si>
    <t>Barangay 13</t>
  </si>
  <si>
    <t>Barangay 13 Barangay Hall</t>
  </si>
  <si>
    <t>Barangay 2 Barangay Hall</t>
  </si>
  <si>
    <t>Barangay 3 Barangay Hall</t>
  </si>
  <si>
    <t>Barangay 4</t>
  </si>
  <si>
    <t>Barangay 4 Barangay Hall</t>
  </si>
  <si>
    <t>Barangay 5</t>
  </si>
  <si>
    <t>Barangay 5 Barangay Hall</t>
  </si>
  <si>
    <t>Barangay 6 Barangay Hall</t>
  </si>
  <si>
    <t>TOTAL NUMBER OF LOCATION</t>
  </si>
  <si>
    <t>Barangay 7</t>
  </si>
  <si>
    <t>Barangay 7 Barangay Hall</t>
  </si>
  <si>
    <t>Barangay 8</t>
  </si>
  <si>
    <t>Barangay 8 Barangay Hall</t>
  </si>
  <si>
    <t>Barangay 9 Barangay Hall</t>
  </si>
  <si>
    <t>PRPS-L3-2001</t>
  </si>
  <si>
    <t>Buenavista Barangay Hall</t>
  </si>
  <si>
    <t>Corregidor Barangay Hall</t>
  </si>
  <si>
    <t>Dagohoy Barangay Hall</t>
  </si>
  <si>
    <t>Don Paulino</t>
  </si>
  <si>
    <t>Don Paulino Barangay Hall</t>
  </si>
  <si>
    <t>Montserrat Barangay Hall</t>
  </si>
  <si>
    <t>Osmeña Barangay Hall</t>
  </si>
  <si>
    <t>San Carlos Barangay Hall</t>
  </si>
  <si>
    <t>Surigao State College of Technology - Main Campus</t>
  </si>
  <si>
    <t>PRPS-L3-2002</t>
  </si>
  <si>
    <t>Santa Fe</t>
  </si>
  <si>
    <t>Surigao State College of Technology - Main Campus_Engineering Laboratory</t>
  </si>
  <si>
    <t>Santa Fe Barangay Hall</t>
  </si>
  <si>
    <t>1667-02A</t>
  </si>
  <si>
    <t>Santa Felomina</t>
  </si>
  <si>
    <t>Santa Felomina Barangay Hall</t>
  </si>
  <si>
    <t>Union Barangay Hall</t>
  </si>
  <si>
    <t>Surigao State College of Technology - Main Campus_Second Floor Hallway</t>
  </si>
  <si>
    <t>1667-02B</t>
  </si>
  <si>
    <t>Antipolo Barangay Hall</t>
  </si>
  <si>
    <t>Surigao State College of Technology - Main Campus_Gymnasium</t>
  </si>
  <si>
    <t>1667-02C</t>
  </si>
  <si>
    <t>Surigao State College of Technology - Main Campus_Third Floor Drafting Building</t>
  </si>
  <si>
    <t>1667-02D</t>
  </si>
  <si>
    <t>PLDT, Inc.</t>
  </si>
  <si>
    <t>https://app-apaceast.central.arubanetworks.com</t>
  </si>
  <si>
    <t>Cancohoy</t>
  </si>
  <si>
    <t>Cancohoy Barangay Hall</t>
  </si>
  <si>
    <t>Caub Barangay Hall</t>
  </si>
  <si>
    <t>Del Carmen Barangay Hall</t>
  </si>
  <si>
    <t>Domoyog Barangay Hall</t>
  </si>
  <si>
    <t>Halian</t>
  </si>
  <si>
    <t>Halian Barangay Hall</t>
  </si>
  <si>
    <t>PRPS-L3-2003</t>
  </si>
  <si>
    <t>johanna.beringuel@dict.gov.ph</t>
  </si>
  <si>
    <t>Jamoyaon</t>
  </si>
  <si>
    <t>Jamoyaon Barangay Hall</t>
  </si>
  <si>
    <t>Fpw-region13*2024</t>
  </si>
  <si>
    <t>Lobogon Barangay Hall</t>
  </si>
  <si>
    <t>Mahayahay Barangay Hall</t>
  </si>
  <si>
    <t>Quezon Barangay Hall</t>
  </si>
  <si>
    <t>San Fernando</t>
  </si>
  <si>
    <t>San Fernando Barangay Hall</t>
  </si>
  <si>
    <t>San Jose Barangay Hall</t>
  </si>
  <si>
    <t>PRPS-L3-2004</t>
  </si>
  <si>
    <t>Sayak Barangay Hall</t>
  </si>
  <si>
    <t>Tuboran Barangay Hall</t>
  </si>
  <si>
    <t>Anajawan</t>
  </si>
  <si>
    <t>Anajawan Barangay Hall</t>
  </si>
  <si>
    <t>Cabitoonan Barangay Hall</t>
  </si>
  <si>
    <t>Downtime Logs Link</t>
  </si>
  <si>
    <t>Consuelo Barangay Hall</t>
  </si>
  <si>
    <t>Corazon Barangay Hall</t>
  </si>
  <si>
    <t>Daku Barangay Hall</t>
  </si>
  <si>
    <t>La Januza</t>
  </si>
  <si>
    <t>La Januza Barangay Hall</t>
  </si>
  <si>
    <t>Libertad</t>
  </si>
  <si>
    <t>Libertad Barangay Hall</t>
  </si>
  <si>
    <t>Malinao Barangay Hall</t>
  </si>
  <si>
    <t>Poblacion I</t>
  </si>
  <si>
    <t>FB Name: Ren Saroay Menil
Renagen Menil</t>
  </si>
  <si>
    <t>Poblacion I Barangay Hall</t>
  </si>
  <si>
    <t>Poblacion II</t>
  </si>
  <si>
    <t>Poblacion II Barangay Hall</t>
  </si>
  <si>
    <t>Poblacion III</t>
  </si>
  <si>
    <t>Poblacion III Barangay Hall</t>
  </si>
  <si>
    <t>Poblacion IV</t>
  </si>
  <si>
    <t>Poblacion IV Barangay Hall</t>
  </si>
  <si>
    <t>To Implement</t>
  </si>
  <si>
    <t>Poblacion V</t>
  </si>
  <si>
    <t>Poblacion V Barangay Hall</t>
  </si>
  <si>
    <t>Santa Cruz Barangay Hall</t>
  </si>
  <si>
    <t>Suyangan</t>
  </si>
  <si>
    <t>Suyangan Barangay Hall</t>
  </si>
  <si>
    <t>Tawin-tawin</t>
  </si>
  <si>
    <t>Tawin-tawin Barangay Hall</t>
  </si>
  <si>
    <t>Alambique</t>
  </si>
  <si>
    <t>Alambique Barangay Hall</t>
  </si>
  <si>
    <t>Anibongan</t>
  </si>
  <si>
    <t>Anibongan Barangay Hall</t>
  </si>
  <si>
    <t>Cam-boayon</t>
  </si>
  <si>
    <t>Cam-boayon Barangay Hall</t>
  </si>
  <si>
    <t>Camam-onan</t>
  </si>
  <si>
    <t>Camam-onan Barangay Hall</t>
  </si>
  <si>
    <t>Ipil Barangay Hall</t>
  </si>
  <si>
    <t>Lahi</t>
  </si>
  <si>
    <t>Lahi Barangay Hall</t>
  </si>
  <si>
    <t>Mahanub Barangay Hall</t>
  </si>
  <si>
    <t>Poniente</t>
  </si>
  <si>
    <t>Poniente Barangay Hall</t>
  </si>
  <si>
    <t>EQUIPMENT NAME</t>
  </si>
  <si>
    <t>UNIT NUMBER</t>
  </si>
  <si>
    <t>San Antonio</t>
  </si>
  <si>
    <t>San Antonio Barangay Hall</t>
  </si>
  <si>
    <t>UISP (PBE 5AC) Airmax AC Bridge with 420mm Dish IP Radio (Serviceable)</t>
  </si>
  <si>
    <t>6 PCS</t>
  </si>
  <si>
    <t>Ubiquiti 5AC-LR (IP Radio Lite Beamac) (Serviceable)</t>
  </si>
  <si>
    <t>San Isidro Barangay Hall</t>
  </si>
  <si>
    <t>11 PCS</t>
  </si>
  <si>
    <t>Ubiquiti 5AC-LR (IP Radio Lite Beamac) (Serviceable) (NO POE)</t>
  </si>
  <si>
    <t>2 PCS</t>
  </si>
  <si>
    <t>TOTAL AP:</t>
  </si>
  <si>
    <t>Sico-sico</t>
  </si>
  <si>
    <t>Sico-sico Barangay Hall</t>
  </si>
  <si>
    <t>Ubiquiti 5AC-LR (IP Radio Lite Beamac) (Defective) (Event in DOST time na damage)</t>
  </si>
  <si>
    <t>1 Pc</t>
  </si>
  <si>
    <t>available:</t>
  </si>
  <si>
    <t>Access Point - Outdoor Ruije WiFi6/ AX1800 RG-RAP6260(G)</t>
  </si>
  <si>
    <t>4 PCS</t>
  </si>
  <si>
    <t>Villaflor</t>
  </si>
  <si>
    <t>Villaflor Barangay Hall</t>
  </si>
  <si>
    <t>Access Point - Indoor Ruije WiFi6/ AX1800 RG-RAP2260(G)</t>
  </si>
  <si>
    <t>7 PCS</t>
  </si>
  <si>
    <t xml:space="preserve">Outdoor Access Point / ICS No. 2023-05-027
Brand: Unifi UAP-AC-PRO (Serviceable)
</t>
  </si>
  <si>
    <t>17 pcs</t>
  </si>
  <si>
    <t>Outdoor Access Point / ICS No. 2023-05-027
Brand: Unifi UAP-AC-PRO (Serviceable) (NO POE)
)</t>
  </si>
  <si>
    <t>1 PC</t>
  </si>
  <si>
    <t>Villafranca</t>
  </si>
  <si>
    <t>Router
 Brand: LINKSYS MAX-STREAM AC2200 TRI-BAND MESH WIFI 5 ROUTER (MR8300)</t>
  </si>
  <si>
    <t>Villafranca Barangay Hall</t>
  </si>
  <si>
    <t>Switch
 Brand: Linksys 8-Port Business Dekstop Gigabit PoE+ Switch LGS108P (LGS108P-AP) / ICS No. 2023-05-026</t>
  </si>
  <si>
    <t>3 PCS</t>
  </si>
  <si>
    <t>Binga</t>
  </si>
  <si>
    <t>Binga Barangay Hall</t>
  </si>
  <si>
    <t>Bobona-on</t>
  </si>
  <si>
    <t>Bobona-on Barangay Hall</t>
  </si>
  <si>
    <t xml:space="preserve">Laina Dagala </t>
  </si>
  <si>
    <t>Cantugas</t>
  </si>
  <si>
    <t>Cantugas Barangay Hall</t>
  </si>
  <si>
    <t>Dayano</t>
  </si>
  <si>
    <t>Dayano Barangay Hall</t>
  </si>
  <si>
    <t>Mabini Barangay Hall</t>
  </si>
  <si>
    <t>Magpayang Barangay Hall</t>
  </si>
  <si>
    <t>Dapa Public Market AP1</t>
  </si>
  <si>
    <t>Ruella Rulete</t>
  </si>
  <si>
    <t>Dapa Passenger Area Port</t>
  </si>
  <si>
    <t>Mansayao</t>
  </si>
  <si>
    <t>Mansayao Barangay Hall</t>
  </si>
  <si>
    <t>Marayag</t>
  </si>
  <si>
    <t>Marayag Barangay Hall</t>
  </si>
  <si>
    <t>Dapa New Government Center AP1</t>
  </si>
  <si>
    <t>Leah Mae D. Mecompal
Albert Pomoy
FB Name: Albert R. Pomoy</t>
  </si>
  <si>
    <t>Dapa New Government Center AP2</t>
  </si>
  <si>
    <t>Paco</t>
  </si>
  <si>
    <t>Dapa New Government Center AP3</t>
  </si>
  <si>
    <t>Paco Barangay Hall</t>
  </si>
  <si>
    <t>International Cruise Ship Port</t>
  </si>
  <si>
    <t>FB Name: Benglenn Rocula Dagala</t>
  </si>
  <si>
    <t>International Cargo Port</t>
  </si>
  <si>
    <t>International Terminal</t>
  </si>
  <si>
    <t>San Francisco Barangay Hall</t>
  </si>
  <si>
    <t>Siana</t>
  </si>
  <si>
    <t>Siana Barangay Hall</t>
  </si>
  <si>
    <t>Reysan J. Tesiorna
Enrique T. Deluja
FB Name: Quen Delula</t>
  </si>
  <si>
    <t>Silop Barangay Hall</t>
  </si>
  <si>
    <t>Tagbuyawan</t>
  </si>
  <si>
    <t>Tagbuyawan Barangay Hall</t>
  </si>
  <si>
    <t>Tapi-an</t>
  </si>
  <si>
    <t>Tapi-an Barangay Hall</t>
  </si>
  <si>
    <t>Tolingon</t>
  </si>
  <si>
    <t>Tolingon Barangay Hall</t>
  </si>
  <si>
    <t>Bunyasan</t>
  </si>
  <si>
    <t>Bunyasan Barangay Hall</t>
  </si>
  <si>
    <t>PRPS-L3-2023</t>
  </si>
  <si>
    <t>Cagtinae Barangay Hall</t>
  </si>
  <si>
    <t>Can-aga</t>
  </si>
  <si>
    <t>Can-aga Barangay Hall</t>
  </si>
  <si>
    <t>Site Name</t>
  </si>
  <si>
    <t>Cansayong</t>
  </si>
  <si>
    <t>Cansayong Barangay Hall</t>
  </si>
  <si>
    <t>Status of Pole</t>
  </si>
  <si>
    <t>Plans</t>
  </si>
  <si>
    <t>CATABAAN ELEMENTARY SCHOOL</t>
  </si>
  <si>
    <t>Cantapoy</t>
  </si>
  <si>
    <t>Cantapoy Barangay Hall</t>
  </si>
  <si>
    <t>Last update is waiting for Budget for the Procurement of Materials</t>
  </si>
  <si>
    <t>BARANGAY BUHING CALIPAY</t>
  </si>
  <si>
    <t>ready</t>
  </si>
  <si>
    <t>CAMBAS-AC BARANGAY HALL</t>
  </si>
  <si>
    <t>Not answering calls and messages, last update this July as per Brgy. Captain</t>
  </si>
  <si>
    <t>BARANGAY 3 HALL</t>
  </si>
  <si>
    <t>Cayawan</t>
  </si>
  <si>
    <t>Ready; dependent on PICS-Mun Dapa</t>
  </si>
  <si>
    <t>Cayawan Barangay Hall</t>
  </si>
  <si>
    <t>BAGACAY BRGY. HALL</t>
  </si>
  <si>
    <t>DEL PILAR BRGY. HALL</t>
  </si>
  <si>
    <t>no response</t>
  </si>
  <si>
    <t>SAN MIGUEL BRGY. HALL</t>
  </si>
  <si>
    <t>ongoing</t>
  </si>
  <si>
    <t>Pilaring</t>
  </si>
  <si>
    <t>Pilaring Multipurpose Bldng.</t>
  </si>
  <si>
    <t>Change Out</t>
  </si>
  <si>
    <t>Not Included for PICS-PP</t>
  </si>
  <si>
    <t>Doro (Binocaran) Barangay Hall</t>
  </si>
  <si>
    <t>San Juan Tech4ED DTC</t>
  </si>
  <si>
    <t>Hanagdong</t>
  </si>
  <si>
    <t>San Juan Elementary School</t>
  </si>
  <si>
    <t>Hanagdong Barangay Hall</t>
  </si>
  <si>
    <t>Karihatag</t>
  </si>
  <si>
    <t>Karihatag Barangay Hall</t>
  </si>
  <si>
    <t>Masgad</t>
  </si>
  <si>
    <t>Masgad Barangay Hall</t>
  </si>
  <si>
    <t>FB Name: Kevin Galaroza Opaon</t>
  </si>
  <si>
    <t>Pili</t>
  </si>
  <si>
    <t>Pili Barangay Hall</t>
  </si>
  <si>
    <t>Tinago Barangay Hall</t>
  </si>
  <si>
    <t>Villariza</t>
  </si>
  <si>
    <t>Villariza Barangay Hall</t>
  </si>
  <si>
    <t>Asinan Barangay Hall</t>
  </si>
  <si>
    <t>Centro</t>
  </si>
  <si>
    <t>Centro Barangay Hall</t>
  </si>
  <si>
    <t>CORE/UNDP VSAT Operation Updates</t>
  </si>
  <si>
    <t>Datu Barangay Hall</t>
  </si>
  <si>
    <t>PROVINCE OF DINAGAT ISLANDS</t>
  </si>
  <si>
    <t>Dayaohay Barangay Hall</t>
  </si>
  <si>
    <t>TOTAL NUMBER OF ACTIVE SITES</t>
  </si>
  <si>
    <t>Jaboy</t>
  </si>
  <si>
    <t>Jaboy Barangay Hall</t>
  </si>
  <si>
    <t>TOTAL NUMBER OF V-SAT SITES</t>
  </si>
  <si>
    <t>EOD SPEED TEST RESULTS</t>
  </si>
  <si>
    <t>TOTAL USERS</t>
  </si>
  <si>
    <t>Maasin Barangay Hall</t>
  </si>
  <si>
    <t>PDRRMC PDI</t>
  </si>
  <si>
    <t>36 Mbps</t>
  </si>
  <si>
    <t>No Updates</t>
  </si>
  <si>
    <t>Bongdo</t>
  </si>
  <si>
    <t>Bongdo Barangay Hall</t>
  </si>
  <si>
    <t>BASILISA MDRRMC</t>
  </si>
  <si>
    <t>5.67 Mbps</t>
  </si>
  <si>
    <t>CAGDIANAO MDRRMC</t>
  </si>
  <si>
    <t>Mbps</t>
  </si>
  <si>
    <t>LIBJO MDRRMC</t>
  </si>
  <si>
    <t>LORETO MDRRMC</t>
  </si>
  <si>
    <t>8.72 Mbps</t>
  </si>
  <si>
    <t>Pilaring Barangay Hall</t>
  </si>
  <si>
    <t>SAN JOSE YOUTH HUB</t>
  </si>
  <si>
    <t>CAGDIANAO (DICT PFO)</t>
  </si>
  <si>
    <t>Punta</t>
  </si>
  <si>
    <t>Punta Barangay Hall</t>
  </si>
  <si>
    <t>No updates from the C.O. and UNDP</t>
  </si>
  <si>
    <t>Amoslog</t>
  </si>
  <si>
    <t>Amoslog Barangay Hall</t>
  </si>
  <si>
    <t>Anislagan</t>
  </si>
  <si>
    <t>Anislagan Barangay Hall</t>
  </si>
  <si>
    <t>Bad-as</t>
  </si>
  <si>
    <t>Bad-as Barangay Hall</t>
  </si>
  <si>
    <t>Boyongan</t>
  </si>
  <si>
    <t>Boyongan Barangay Hall</t>
  </si>
  <si>
    <t>Bugas-bugas</t>
  </si>
  <si>
    <t>Bugas-bugas Barangay Hall</t>
  </si>
  <si>
    <t>Central Barangay Hall</t>
  </si>
  <si>
    <t>Ellaperal</t>
  </si>
  <si>
    <t>Ellaperal Barangay Hall</t>
  </si>
  <si>
    <t>"Gilbert Berceles
Fb Name: Berceles Generose"</t>
  </si>
  <si>
    <t>Lakandula</t>
  </si>
  <si>
    <t>Lakandula Barangay Hall</t>
  </si>
  <si>
    <t>Macalaya</t>
  </si>
  <si>
    <t>Macalaya Barangay Hall</t>
  </si>
  <si>
    <t>Magupange</t>
  </si>
  <si>
    <t>Salog Community Health Center</t>
  </si>
  <si>
    <t>Magupange Barangay Hall</t>
  </si>
  <si>
    <t>Pananay-an</t>
  </si>
  <si>
    <t>Pananay-an Barangay Hall</t>
  </si>
  <si>
    <t>Sani-sani</t>
  </si>
  <si>
    <t>Sani-sani Barangay Hall</t>
  </si>
  <si>
    <t>Suyoc Barangay Hall</t>
  </si>
  <si>
    <t>Tagbongabong</t>
  </si>
  <si>
    <t>Tagbongabong Barangay Hall</t>
  </si>
  <si>
    <t>Maribojoc</t>
  </si>
  <si>
    <t>Maribojoc Barangay Hall</t>
  </si>
  <si>
    <t>Nuevo Campo Barangay Hall</t>
  </si>
  <si>
    <t>Amontay</t>
  </si>
  <si>
    <t>Amontay Barangay Hall</t>
  </si>
  <si>
    <t>Balite</t>
  </si>
  <si>
    <t>Balite Barangay Hall</t>
  </si>
  <si>
    <t>Banbanon Barangay Hall</t>
  </si>
  <si>
    <t>Diaz</t>
  </si>
  <si>
    <t>Diaz Barangay Hall</t>
  </si>
  <si>
    <t>Honrado Barangay Hall</t>
  </si>
  <si>
    <t>, 125.42597003395801</t>
  </si>
  <si>
    <t>Jubgan</t>
  </si>
  <si>
    <t>Jubgan Barangay Hall</t>
  </si>
  <si>
    <t>Linongganan</t>
  </si>
  <si>
    <t>Linongganan Barangay Hall</t>
  </si>
  <si>
    <t>Macopa</t>
  </si>
  <si>
    <t>Macopa Barangay Hall</t>
  </si>
  <si>
    <t>, 125.43256044717393</t>
  </si>
  <si>
    <t>Magtangale Barangay Hall</t>
  </si>
  <si>
    <t>Oslao</t>
  </si>
  <si>
    <t>Oslao Barangay Hall</t>
  </si>
  <si>
    <t>Buhing Calipay</t>
  </si>
  <si>
    <t>Del Pilar Barangay Hall</t>
  </si>
  <si>
    <t>Macapagal Barangay Hall</t>
  </si>
  <si>
    <t>Pacifico Barangay Hall</t>
  </si>
  <si>
    <t>Pelaez</t>
  </si>
  <si>
    <t>Pelaez Barangay Hall</t>
  </si>
  <si>
    <t>Santa Paz</t>
  </si>
  <si>
    <t>Santa Paz Barangay Hall</t>
  </si>
  <si>
    <t>Santo Niño</t>
  </si>
  <si>
    <t>Santo Niño Barangay Hall</t>
  </si>
  <si>
    <t>Tambacan Barangay Hall</t>
  </si>
  <si>
    <t>Tigasao Barangay Hall</t>
  </si>
  <si>
    <t>Abad Santos Barangay Hall</t>
  </si>
  <si>
    <t>Alegria Barangay Hall</t>
  </si>
  <si>
    <t>Bailan</t>
  </si>
  <si>
    <t>Bailan Barangay Hall</t>
  </si>
  <si>
    <t>INTEGRATED FREE WIFI SITES</t>
  </si>
  <si>
    <t>Garcia</t>
  </si>
  <si>
    <t>Garcia Barangay Hall</t>
  </si>
  <si>
    <t>Number of Down Locations</t>
  </si>
  <si>
    <t>T. Arlan Barangay Hall</t>
  </si>
  <si>
    <t>Number of Down Hotspots/APs</t>
  </si>
  <si>
    <t>Tangbo</t>
  </si>
  <si>
    <t>Tangbo Barangay Hall</t>
  </si>
  <si>
    <t>Biyabid</t>
  </si>
  <si>
    <t>Biyabid Barangay Hall</t>
  </si>
  <si>
    <t>Total Number of Site Locations</t>
  </si>
  <si>
    <t>Gacepan Barangay Hall</t>
  </si>
  <si>
    <t>Ima</t>
  </si>
  <si>
    <t>Ima Barangay Hall</t>
  </si>
  <si>
    <t>Total Number of Hotspots/APs</t>
  </si>
  <si>
    <t>Lower Patag</t>
  </si>
  <si>
    <t>Lower Patag Barangay Hall</t>
  </si>
  <si>
    <t>MPOP</t>
  </si>
  <si>
    <t>LOCATION OF AP</t>
  </si>
  <si>
    <t>Initiatives</t>
  </si>
  <si>
    <t>Uptime</t>
  </si>
  <si>
    <t>Mayag</t>
  </si>
  <si>
    <t>Mayag Barangay Hall</t>
  </si>
  <si>
    <t>Poblacion (San Pedro)</t>
  </si>
  <si>
    <t>Poblacion (San Pedro) Barangay Hall</t>
  </si>
  <si>
    <t>San Pablo Barangay Hall</t>
  </si>
  <si>
    <t>Tagbayani</t>
  </si>
  <si>
    <t>Tagbayani Barangay Hall</t>
  </si>
  <si>
    <t>Tinogpahan</t>
  </si>
  <si>
    <t>Tinogpahan Barangay Hall</t>
  </si>
  <si>
    <t>Antonio J. Compra Jr.
FB Name: Antonio Jarligo Compra</t>
  </si>
  <si>
    <t>Capitol</t>
  </si>
  <si>
    <t>Upper Patag</t>
  </si>
  <si>
    <t>Upper Patag Barangay Hall</t>
  </si>
  <si>
    <t>San_Jose_Capitol_Garage_Exit</t>
  </si>
  <si>
    <t>PIC'S MUN</t>
  </si>
  <si>
    <t>Albino Taruc</t>
  </si>
  <si>
    <t>Albino Taruc Barangay Hall</t>
  </si>
  <si>
    <t>Melinda C. Buyain
FB Name: Melinda C. Buyain</t>
  </si>
  <si>
    <t>Helene Barangay Hall</t>
  </si>
  <si>
    <t>Navarro Barangay Hall</t>
  </si>
  <si>
    <t>Nueva Estrella Barangay Hall</t>
  </si>
  <si>
    <t>Possible RFO: Device Hang-up</t>
  </si>
  <si>
    <t>Pamosaingan Barangay Hall</t>
  </si>
  <si>
    <t>Amor E. Valenzuela
Gerna B. Liscano
FB Name: Gerna Liscano</t>
  </si>
  <si>
    <t>PICSPP3-VSAT-0003A</t>
  </si>
  <si>
    <t>Songkoy</t>
  </si>
  <si>
    <t>Songkoy Barangay Hall</t>
  </si>
  <si>
    <t>Sudlon Barangay Hall</t>
  </si>
  <si>
    <t>Alang-alang</t>
  </si>
  <si>
    <t>Alang-alang Barangay Hall</t>
  </si>
  <si>
    <t>Anomar</t>
  </si>
  <si>
    <t>Anomar Barangay Hall</t>
  </si>
  <si>
    <t>Aurora Barangay Hall</t>
  </si>
  <si>
    <t>Balibayon</t>
  </si>
  <si>
    <t>Balibayon Barangay Hall</t>
  </si>
  <si>
    <t>San_Jose_Capitol_Tabo-an</t>
  </si>
  <si>
    <t>Bilabid</t>
  </si>
  <si>
    <t>Bilabid Barangay Hall</t>
  </si>
  <si>
    <t>Bitaugan</t>
  </si>
  <si>
    <t>Bitaugan Barangay Hall</t>
  </si>
  <si>
    <t>Bonifacio Barangay Hall</t>
  </si>
  <si>
    <t>Cabongbongan Barangay Hall</t>
  </si>
  <si>
    <t>DICT CORE VSAT Operation</t>
  </si>
  <si>
    <t>Cagniog</t>
  </si>
  <si>
    <t>Cagniog Barangay Hall</t>
  </si>
  <si>
    <t>Cagutsan</t>
  </si>
  <si>
    <t>Cagutsan Barangay Hall</t>
  </si>
  <si>
    <t>SIARGAO ISLANDS, MAINLAND SDN AND PROVINCE OF DINAGAT ISLANDS</t>
  </si>
  <si>
    <t>Canlanipa Barangay Hall</t>
  </si>
  <si>
    <t>San_Jose_Capitol_Garage_Entrance</t>
  </si>
  <si>
    <t>PICSPP3-VSAT-0003B</t>
  </si>
  <si>
    <t>Cantiasay Barangay Hall</t>
  </si>
  <si>
    <t>Capalayan Barangay Hall</t>
  </si>
  <si>
    <t>Catadman Barangay Hall</t>
  </si>
  <si>
    <t>Danao</t>
  </si>
  <si>
    <t>Danao Barangay Hall</t>
  </si>
  <si>
    <t>Danawan</t>
  </si>
  <si>
    <t>Danawan Barangay Hall</t>
  </si>
  <si>
    <t>Day-asan</t>
  </si>
  <si>
    <t>VSAT TYPE</t>
  </si>
  <si>
    <t>Day-asan Barangay Hall</t>
  </si>
  <si>
    <t>VSAT  FROM</t>
  </si>
  <si>
    <t>San_Jose_Provincial_ICT_Bldg</t>
  </si>
  <si>
    <t>MODEM S/N</t>
  </si>
  <si>
    <t>TRANSCEIVER S/N</t>
  </si>
  <si>
    <t>Libuac</t>
  </si>
  <si>
    <t>Libuac Barangay Hall</t>
  </si>
  <si>
    <t>PDRRMO PDI</t>
  </si>
  <si>
    <t>Lipata Barangay Hall</t>
  </si>
  <si>
    <t>Fixed Kacific Ka</t>
  </si>
  <si>
    <t>DICT MC2</t>
  </si>
  <si>
    <t>Disconnected</t>
  </si>
  <si>
    <t>PRPS-L3-2006</t>
  </si>
  <si>
    <t>Expired subscription as of 03/31/2023</t>
  </si>
  <si>
    <t>CONGRESSIONAL OFFICE PDI</t>
  </si>
  <si>
    <t>Lisondra Barangay Hall</t>
  </si>
  <si>
    <t>WFP</t>
  </si>
  <si>
    <t>Expired subscription as of 02/28/2023</t>
  </si>
  <si>
    <t>SAN JOSE MDRRMO</t>
  </si>
  <si>
    <t>San_Jose_Capitol_OPARCH</t>
  </si>
  <si>
    <t>Expired subscription as of 02/28/2024</t>
  </si>
  <si>
    <t>BASILISA</t>
  </si>
  <si>
    <t>Expired subscription as of 02/28/2025</t>
  </si>
  <si>
    <t>LIBJO</t>
  </si>
  <si>
    <t>UNDP</t>
  </si>
  <si>
    <t>Connected</t>
  </si>
  <si>
    <t>LORETO</t>
  </si>
  <si>
    <t>Mabua Barangay Hall</t>
  </si>
  <si>
    <t>SIARGAO ISLANDS and MAINLAND SDN</t>
  </si>
  <si>
    <t>Manyagao</t>
  </si>
  <si>
    <t>Manyagao Barangay Hall</t>
  </si>
  <si>
    <t>Mapawa</t>
  </si>
  <si>
    <t>Mapawa Barangay Hall</t>
  </si>
  <si>
    <t>Mat-i Barangay Hall</t>
  </si>
  <si>
    <t>Nabago</t>
  </si>
  <si>
    <t>Nabago Barangay Hall</t>
  </si>
  <si>
    <t>San_Jose_Provincial_Legislative_Bldg</t>
  </si>
  <si>
    <t>DICT SDN PFO</t>
  </si>
  <si>
    <t>Nonoc</t>
  </si>
  <si>
    <t>Nonoc Barangay Hall</t>
  </si>
  <si>
    <t>Orok</t>
  </si>
  <si>
    <t>Orok Barangay Hall</t>
  </si>
  <si>
    <t>Poctoy</t>
  </si>
  <si>
    <t>Poctoy Barangay Hall</t>
  </si>
  <si>
    <t>PRPS-L3-2007</t>
  </si>
  <si>
    <t>Punta Bilar</t>
  </si>
  <si>
    <t>Punta Bilar Barangay Hall</t>
  </si>
  <si>
    <t>Sabang Barangay Hall</t>
  </si>
  <si>
    <t>Dinagat</t>
  </si>
  <si>
    <t>Dinagat_Lobby_2F</t>
  </si>
  <si>
    <t>PRPS-L3-2008</t>
  </si>
  <si>
    <t>Serna</t>
  </si>
  <si>
    <t>Serna Barangay Hall</t>
  </si>
  <si>
    <t>Sidlakan</t>
  </si>
  <si>
    <t>Sidlakan Barangay Hall</t>
  </si>
  <si>
    <t>Sugbay</t>
  </si>
  <si>
    <t>Sugbay Barangay Hall</t>
  </si>
  <si>
    <t>Sukailang Barangay Hall</t>
  </si>
  <si>
    <t>Taft Barangay Hall</t>
  </si>
  <si>
    <t>Dinagat_Legislative_Bldg</t>
  </si>
  <si>
    <t>Togbongon</t>
  </si>
  <si>
    <t>Togbongon Barangay Hall</t>
  </si>
  <si>
    <t>Trinidad</t>
  </si>
  <si>
    <t>Trinidad Barangay Hall</t>
  </si>
  <si>
    <t>PRPS-L3-2009</t>
  </si>
  <si>
    <t>Washington Barangay Hall</t>
  </si>
  <si>
    <t>Zaragoza</t>
  </si>
  <si>
    <t>Zaragoza Barangay Hall</t>
  </si>
  <si>
    <t>Azucena</t>
  </si>
  <si>
    <t>Josepf Bonono</t>
  </si>
  <si>
    <t>Azucena Barangay Hall</t>
  </si>
  <si>
    <t>Banban</t>
  </si>
  <si>
    <t>Banban Barangay Hall</t>
  </si>
  <si>
    <t>Cawilan Barangay Hall</t>
  </si>
  <si>
    <t>Fabio Barangay Hall</t>
  </si>
  <si>
    <t>Himamaug</t>
  </si>
  <si>
    <t>Himamaug Barangay Hall</t>
  </si>
  <si>
    <t>Laurel</t>
  </si>
  <si>
    <t>Laurel Barangay Hall</t>
  </si>
  <si>
    <t>Lower Libas</t>
  </si>
  <si>
    <t>Lower Libas Barangay Hall</t>
  </si>
  <si>
    <t>Opong Barangay Hall</t>
  </si>
  <si>
    <t>Dinagat_Gym</t>
  </si>
  <si>
    <t>Sampaguita Barangay Hall</t>
  </si>
  <si>
    <t>Talavera Barangay Hall</t>
  </si>
  <si>
    <t>Upper Libas</t>
  </si>
  <si>
    <t>Upper Libas Barangay Hall</t>
  </si>
  <si>
    <t>PRPS-L3-2010</t>
  </si>
  <si>
    <t>Capayahan Barangay Hall</t>
  </si>
  <si>
    <t>Del Rosario</t>
  </si>
  <si>
    <t>Del Rosario Barangay Hall</t>
  </si>
  <si>
    <t>Marga</t>
  </si>
  <si>
    <t>Marga Barangay Hall</t>
  </si>
  <si>
    <t>Motorpool</t>
  </si>
  <si>
    <t>Motorpool Barangay Hall</t>
  </si>
  <si>
    <t>Timamana</t>
  </si>
  <si>
    <t>Timamana Barangay Hall</t>
  </si>
  <si>
    <t>Dinagat_RHU</t>
  </si>
  <si>
    <t>PRPS-L3-2011</t>
  </si>
  <si>
    <t xml:space="preserve">Dinagat_DepEd_Division_Office
</t>
  </si>
  <si>
    <t>PRPS-L3-2013</t>
  </si>
  <si>
    <t>PRPS-L3-2014</t>
  </si>
  <si>
    <t>Dinagat_Lobby_1F</t>
  </si>
  <si>
    <t xml:space="preserve">FB Name: Mark Portillo
Mark Portillo
</t>
  </si>
  <si>
    <t>Socorro Womens Center</t>
  </si>
  <si>
    <t>Cagdianao_Lobby_2F</t>
  </si>
  <si>
    <t>Cagdianao_Kayaw_Bldg_DICT_PFO</t>
  </si>
  <si>
    <t>Cagdianao_Gym</t>
  </si>
  <si>
    <t xml:space="preserve">Cagdianao_Plaza
</t>
  </si>
  <si>
    <t>Cagdianao_Lobby_1F</t>
  </si>
  <si>
    <t>Cagdianao_Legilative_Bldg</t>
  </si>
  <si>
    <t>Loreto</t>
  </si>
  <si>
    <t xml:space="preserve">Loreto_Municipal_Library
</t>
  </si>
  <si>
    <t xml:space="preserve">Loreto_Lobby_1F
</t>
  </si>
  <si>
    <t>Jayrel P. Elandang
Deonita G. Sangco
Geniza G. Rivas
Fb Name: Deonita Sangco</t>
  </si>
  <si>
    <t>Loreto_District_Hospital</t>
  </si>
  <si>
    <t xml:space="preserve">Loreto_Lobby_2F
</t>
  </si>
  <si>
    <t>Loreto_CES</t>
  </si>
  <si>
    <t>Jerwin Caindoy
FB Name: Jerwin Caindoy</t>
  </si>
  <si>
    <t xml:space="preserve">Loreto_NHS
</t>
  </si>
  <si>
    <t>Tubajon</t>
  </si>
  <si>
    <t xml:space="preserve">Tubajon_Legislative_Bldg
</t>
  </si>
  <si>
    <t>PRPS-L3-2020</t>
  </si>
  <si>
    <t>Tubajon_CES</t>
  </si>
  <si>
    <t>Tubajon_Lobby_1F</t>
  </si>
  <si>
    <t>PRPS-L3-2021</t>
  </si>
  <si>
    <t>Tubajon_Lobby_2F</t>
  </si>
  <si>
    <t>PRPS-L3-2024</t>
  </si>
  <si>
    <t>Tubajon_Mayors_Office</t>
  </si>
  <si>
    <t>Tubajon_RHU</t>
  </si>
  <si>
    <t>PRPS-L3-2025</t>
  </si>
  <si>
    <t>Libjo</t>
  </si>
  <si>
    <t>Libjo_RHU</t>
  </si>
  <si>
    <t>PRPS-L3-2026</t>
  </si>
  <si>
    <t>Libjo_Boulevard</t>
  </si>
  <si>
    <t>Santa Monica Municipal Hall - 1F Rightwing Hallway</t>
  </si>
  <si>
    <t>FB Name: Gsu Gilbert Samontina Ursua
Gilbert Samontina</t>
  </si>
  <si>
    <t>09501542760 / 09176344427</t>
  </si>
  <si>
    <t>Libjo_Leftwing_Hallway_2F</t>
  </si>
  <si>
    <t xml:space="preserve">Libjo_Lobby_1F
</t>
  </si>
  <si>
    <t>Libjo_Plaza</t>
  </si>
  <si>
    <t>Generalito M. Longos, Jr.</t>
  </si>
  <si>
    <t>Libjo_Rightwing_Hallway_2F</t>
  </si>
  <si>
    <t>Basilisa</t>
  </si>
  <si>
    <t xml:space="preserve">Basilisa_Lobby_1F
</t>
  </si>
  <si>
    <t>Jean Tan
"Gilbert Samontina
Fb Name: Gsu Gilbert Samonitan Ursua"</t>
  </si>
  <si>
    <t>Basilisa_Lobby_2F</t>
  </si>
  <si>
    <t>Basilisa_RHU</t>
  </si>
  <si>
    <t>Gilbert Samontina
Fb Name: Gsu Gilbert Samonitan Ursua</t>
  </si>
  <si>
    <t>Basilisa_3F</t>
  </si>
  <si>
    <t xml:space="preserve">Basilisa_Tag_abaca_NHS
</t>
  </si>
  <si>
    <t xml:space="preserve">Basilisa_Tourism_Office
</t>
  </si>
  <si>
    <t>PRPS-L3-2016</t>
  </si>
  <si>
    <t>San_Jose_Congressional_Office</t>
  </si>
  <si>
    <t>PCSPPP2-PHF-R13-0030</t>
  </si>
  <si>
    <t>Dr, Mario Vertudazo</t>
  </si>
  <si>
    <t>San_Jose_Lobby_1F</t>
  </si>
  <si>
    <t>San_Jose_PDRRMC_Lobby_GF</t>
  </si>
  <si>
    <t>San_Jose_PDRRMC_Lobby_1F</t>
  </si>
  <si>
    <t>San_Jose_Lobby_2F</t>
  </si>
  <si>
    <t>San_Jose_MDRRMC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</si>
</sst>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mmm\ d\ yyyy\ h:mm\ AM/PM"/>
    <numFmt numFmtId="165" formatCode="mmm\ dd\ yyyy\ h:mm\ AM/PM"/>
    <numFmt numFmtId="166" formatCode="mmmm\ d\,\ yyyy"/>
    <numFmt numFmtId="167" formatCode="mmm\.\ d\,\ yyyy\ h:mm"/>
    <numFmt numFmtId="168" formatCode="mmm\ d\,\ yyyy\ h:mm"/>
    <numFmt numFmtId="169" formatCode="mmmm\ dd\ yyyy\ h:mm\ AM/PM"/>
    <numFmt numFmtId="170" formatCode="yyyy/mm/dd\ h:mm:ss"/>
    <numFmt numFmtId="171" formatCode="m/d/yyyy\ h:mm:ss"/>
    <numFmt numFmtId="172" formatCode="mmmm\ d\,yyyy"/>
    <numFmt numFmtId="173" formatCode="m/d"/>
    <numFmt numFmtId="174" formatCode="mmmm&quot; &quot;d&quot;, &quot;yyyy"/>
    <numFmt numFmtId="175" formatCode="yyyy\-mm\-dd\ h:mm:ss"/>
  </numFmts>
  <fonts count="83">
    <font>
      <sz val="10"/>
      <color rgb="FF000000"/>
      <name val="Arial"/>
      <scheme val="minor"/>
    </font>
    <font>
      <b/>
      <sz val="10"/>
      <color theme="1"/>
      <name val="Arial"/>
      <family val="2"/>
      <scheme val="minor"/>
    </font>
    <font>
      <sz val="10"/>
      <color theme="1"/>
      <name val="Arial"/>
      <family val="2"/>
      <scheme val="minor"/>
    </font>
    <font>
      <b/>
      <sz val="10"/>
      <color rgb="FFFFFFFF"/>
      <name val="Arial"/>
      <family val="2"/>
      <scheme val="minor"/>
    </font>
    <font>
      <sz val="10"/>
      <name val="Arial"/>
      <family val="2"/>
    </font>
    <font>
      <b/>
      <sz val="10"/>
      <color theme="1"/>
      <name val="Arial"/>
      <family val="2"/>
    </font>
    <font>
      <sz val="10"/>
      <color theme="1"/>
      <name val="Arial"/>
      <family val="2"/>
    </font>
    <font>
      <b/>
      <sz val="10"/>
      <color rgb="FFFFFFFF"/>
      <name val="Palatino Linotype"/>
      <family val="1"/>
    </font>
    <font>
      <sz val="10"/>
      <color theme="1"/>
      <name val="Palatino Linotype"/>
      <family val="1"/>
    </font>
    <font>
      <sz val="10"/>
      <color rgb="FF000000"/>
      <name val="Arial"/>
      <family val="2"/>
      <scheme val="minor"/>
    </font>
    <font>
      <sz val="10"/>
      <color theme="1"/>
      <name val="Arial"/>
      <family val="2"/>
    </font>
    <font>
      <sz val="9"/>
      <color theme="1"/>
      <name val="Cambria"/>
      <family val="1"/>
    </font>
    <font>
      <b/>
      <sz val="10"/>
      <color theme="1"/>
      <name val="Arial"/>
      <family val="2"/>
      <scheme val="minor"/>
    </font>
    <font>
      <sz val="9"/>
      <color rgb="FF000000"/>
      <name val="Lato"/>
    </font>
    <font>
      <sz val="10"/>
      <color theme="1"/>
      <name val="Arial"/>
      <family val="2"/>
      <scheme val="minor"/>
    </font>
    <font>
      <sz val="9"/>
      <color theme="1"/>
      <name val="Arial"/>
      <family val="2"/>
      <scheme val="minor"/>
    </font>
    <font>
      <u/>
      <sz val="10"/>
      <color rgb="FF0000FF"/>
      <name val="Arial"/>
      <family val="2"/>
    </font>
    <font>
      <u/>
      <sz val="10"/>
      <color rgb="FF0000FF"/>
      <name val="Arial"/>
      <family val="2"/>
    </font>
    <font>
      <u/>
      <sz val="10"/>
      <color rgb="FF0000FF"/>
      <name val="Arial"/>
      <family val="2"/>
    </font>
    <font>
      <u/>
      <sz val="10"/>
      <color rgb="FF0000FF"/>
      <name val="Arial"/>
      <family val="2"/>
    </font>
    <font>
      <b/>
      <sz val="18"/>
      <color theme="1"/>
      <name val="Arial"/>
      <family val="2"/>
      <scheme val="minor"/>
    </font>
    <font>
      <b/>
      <sz val="12"/>
      <color theme="1"/>
      <name val="Arial"/>
      <family val="2"/>
      <scheme val="minor"/>
    </font>
    <font>
      <b/>
      <sz val="10"/>
      <color rgb="FFEA4335"/>
      <name val="Arial"/>
      <family val="2"/>
      <scheme val="minor"/>
    </font>
    <font>
      <u/>
      <sz val="10"/>
      <color rgb="FF0000FF"/>
      <name val="Arial"/>
      <family val="2"/>
    </font>
    <font>
      <u/>
      <sz val="10"/>
      <color rgb="FF0000FF"/>
      <name val="Arial"/>
      <family val="2"/>
    </font>
    <font>
      <u/>
      <sz val="10"/>
      <color rgb="FF0000FF"/>
      <name val="Arial"/>
      <family val="2"/>
    </font>
    <font>
      <u/>
      <sz val="10"/>
      <color rgb="FF0000FF"/>
      <name val="Arial"/>
      <family val="2"/>
    </font>
    <font>
      <b/>
      <u/>
      <sz val="10"/>
      <color theme="1"/>
      <name val="Arial"/>
      <family val="2"/>
      <scheme val="minor"/>
    </font>
    <font>
      <u/>
      <sz val="10"/>
      <color theme="1"/>
      <name val="Arial"/>
      <family val="2"/>
      <scheme val="minor"/>
    </font>
    <font>
      <u/>
      <sz val="10"/>
      <color rgb="FF0000FF"/>
      <name val="Arial"/>
      <family val="2"/>
    </font>
    <font>
      <u/>
      <sz val="10"/>
      <color theme="1"/>
      <name val="Arial"/>
      <family val="2"/>
      <scheme val="minor"/>
    </font>
    <font>
      <u/>
      <sz val="10"/>
      <color theme="1"/>
      <name val="Arial"/>
      <family val="2"/>
      <scheme val="minor"/>
    </font>
    <font>
      <u/>
      <sz val="10"/>
      <color theme="1"/>
      <name val="Arial"/>
      <family val="2"/>
      <scheme val="minor"/>
    </font>
    <font>
      <u/>
      <sz val="10"/>
      <color rgb="FF0000FF"/>
      <name val="Arial"/>
      <family val="2"/>
    </font>
    <font>
      <u/>
      <sz val="10"/>
      <color theme="1"/>
      <name val="Arial"/>
      <family val="2"/>
      <scheme val="minor"/>
    </font>
    <font>
      <u/>
      <sz val="10"/>
      <color theme="1"/>
      <name val="Arial"/>
      <family val="2"/>
      <scheme val="minor"/>
    </font>
    <font>
      <u/>
      <sz val="10"/>
      <color theme="1"/>
      <name val="Arial"/>
      <family val="2"/>
      <scheme val="minor"/>
    </font>
    <font>
      <u/>
      <sz val="10"/>
      <color theme="1"/>
      <name val="Arial"/>
      <family val="2"/>
      <scheme val="minor"/>
    </font>
    <font>
      <u/>
      <sz val="10"/>
      <color rgb="FF0000FF"/>
      <name val="Arial"/>
      <family val="2"/>
    </font>
    <font>
      <b/>
      <sz val="11"/>
      <color rgb="FFFFFFFF"/>
      <name val="Arial"/>
      <family val="2"/>
    </font>
    <font>
      <b/>
      <sz val="10"/>
      <color rgb="FFFFFFFF"/>
      <name val="Arial"/>
      <family val="2"/>
    </font>
    <font>
      <b/>
      <sz val="11"/>
      <color rgb="FF000000"/>
      <name val="Arial"/>
      <family val="2"/>
    </font>
    <font>
      <sz val="10"/>
      <color rgb="FF1A1E26"/>
      <name val="Arial"/>
      <family val="2"/>
    </font>
    <font>
      <u/>
      <sz val="10"/>
      <color rgb="FF0000FF"/>
      <name val="Arial"/>
      <family val="2"/>
    </font>
    <font>
      <sz val="10"/>
      <color rgb="FF000000"/>
      <name val="&quot;Palatino Linotype&quot;"/>
    </font>
    <font>
      <u/>
      <sz val="10"/>
      <color theme="1"/>
      <name val="Arial"/>
      <family val="2"/>
      <scheme val="minor"/>
    </font>
    <font>
      <sz val="10"/>
      <color theme="1"/>
      <name val="Work Sans"/>
    </font>
    <font>
      <u/>
      <sz val="10"/>
      <color rgb="FF0000FF"/>
      <name val="Arial"/>
      <family val="2"/>
    </font>
    <font>
      <b/>
      <sz val="10"/>
      <color rgb="FFFFFFFF"/>
      <name val="Arial"/>
      <family val="2"/>
    </font>
    <font>
      <b/>
      <sz val="10"/>
      <color theme="1"/>
      <name val="Work Sans"/>
    </font>
    <font>
      <u/>
      <sz val="10"/>
      <color rgb="FF1155CC"/>
      <name val="Arial"/>
      <family val="2"/>
    </font>
    <font>
      <u/>
      <sz val="10"/>
      <color rgb="FF1155CC"/>
      <name val="Arial"/>
      <family val="2"/>
    </font>
    <font>
      <u/>
      <sz val="10"/>
      <color rgb="FF0000FF"/>
      <name val="Arial"/>
      <family val="2"/>
    </font>
    <font>
      <u/>
      <sz val="10"/>
      <color rgb="FF0000FF"/>
      <name val="Arial"/>
      <family val="2"/>
    </font>
    <font>
      <u/>
      <sz val="10"/>
      <color rgb="FF0000FF"/>
      <name val="Arial"/>
      <family val="2"/>
    </font>
    <font>
      <b/>
      <sz val="24"/>
      <color theme="1"/>
      <name val="Arial"/>
      <family val="2"/>
      <scheme val="minor"/>
    </font>
    <font>
      <b/>
      <sz val="10"/>
      <color rgb="FFEA4335"/>
      <name val="Arial"/>
      <family val="2"/>
    </font>
    <font>
      <sz val="11"/>
      <color rgb="FF595959"/>
      <name val="-apple-system"/>
    </font>
    <font>
      <u/>
      <sz val="10"/>
      <color rgb="FF0000FF"/>
      <name val="Arial"/>
      <family val="2"/>
    </font>
    <font>
      <sz val="10"/>
      <color rgb="FF000000"/>
      <name val="Roboto"/>
    </font>
    <font>
      <sz val="11"/>
      <color rgb="FF595959"/>
      <name val="Arial"/>
      <family val="2"/>
    </font>
    <font>
      <sz val="10"/>
      <color rgb="FF000000"/>
      <name val="Arial"/>
      <family val="2"/>
    </font>
    <font>
      <u/>
      <sz val="10"/>
      <color theme="1"/>
      <name val="Arial"/>
      <family val="2"/>
      <scheme val="minor"/>
    </font>
    <font>
      <u/>
      <sz val="10"/>
      <color theme="1"/>
      <name val="Arial"/>
      <family val="2"/>
      <scheme val="minor"/>
    </font>
    <font>
      <u/>
      <sz val="10"/>
      <color theme="1"/>
      <name val="Arial"/>
      <family val="2"/>
      <scheme val="minor"/>
    </font>
    <font>
      <u/>
      <sz val="10"/>
      <color rgb="FF0000FF"/>
      <name val="Arial"/>
      <family val="2"/>
    </font>
    <font>
      <u/>
      <sz val="10"/>
      <color theme="1"/>
      <name val="Arial"/>
      <family val="2"/>
      <scheme val="minor"/>
    </font>
    <font>
      <sz val="10"/>
      <color rgb="FF000000"/>
      <name val="Arial"/>
      <family val="2"/>
    </font>
    <font>
      <u/>
      <sz val="10"/>
      <color rgb="FF0000FF"/>
      <name val="Arial"/>
      <family val="2"/>
    </font>
    <font>
      <sz val="10"/>
      <color rgb="FFFF0000"/>
      <name val="Arial"/>
      <family val="2"/>
    </font>
    <font>
      <b/>
      <sz val="10"/>
      <color rgb="FFFFFFFF"/>
      <name val="Montserrat"/>
    </font>
    <font>
      <sz val="11"/>
      <color theme="1"/>
      <name val="Arial"/>
      <family val="2"/>
    </font>
    <font>
      <b/>
      <sz val="13"/>
      <color theme="1"/>
      <name val="Arial"/>
      <family val="2"/>
      <scheme val="minor"/>
    </font>
    <font>
      <u/>
      <sz val="10"/>
      <color rgb="FF0000FF"/>
      <name val="Arial"/>
      <family val="2"/>
    </font>
    <font>
      <sz val="11"/>
      <color rgb="FF000000"/>
      <name val="Arial"/>
      <family val="2"/>
    </font>
    <font>
      <u/>
      <sz val="10"/>
      <color rgb="FF0000FF"/>
      <name val="Arial"/>
      <family val="2"/>
    </font>
    <font>
      <b/>
      <sz val="12"/>
      <color rgb="FFF3F3F3"/>
      <name val="Arial"/>
      <family val="2"/>
      <scheme val="minor"/>
    </font>
    <font>
      <sz val="9"/>
      <color rgb="FF000000"/>
      <name val="Arial"/>
      <family val="2"/>
      <scheme val="minor"/>
    </font>
    <font>
      <b/>
      <sz val="12"/>
      <color rgb="FFFF0000"/>
      <name val="&quot;Google Sans Mono&quot;"/>
    </font>
    <font>
      <u/>
      <sz val="10"/>
      <color rgb="FF1155CC"/>
      <name val="Arial"/>
      <family val="2"/>
    </font>
    <font>
      <u/>
      <sz val="10"/>
      <color rgb="FF1155CC"/>
      <name val="Arial"/>
      <family val="2"/>
    </font>
    <font>
      <b/>
      <sz val="10"/>
      <color theme="1"/>
      <name val="Palatino Linotype"/>
      <family val="1"/>
    </font>
    <font>
      <sz val="9"/>
      <color theme="1"/>
      <name val="Arial"/>
      <family val="2"/>
    </font>
  </fonts>
  <fills count="42">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38761D"/>
        <bgColor rgb="FF38761D"/>
      </patternFill>
    </fill>
    <fill>
      <patternFill patternType="solid">
        <fgColor rgb="FFFFFF00"/>
        <bgColor rgb="FFFFFF00"/>
      </patternFill>
    </fill>
    <fill>
      <patternFill patternType="solid">
        <fgColor rgb="FF1C4587"/>
        <bgColor rgb="FF1C4587"/>
      </patternFill>
    </fill>
    <fill>
      <patternFill patternType="solid">
        <fgColor rgb="FFB7E1CD"/>
        <bgColor rgb="FFB7E1CD"/>
      </patternFill>
    </fill>
    <fill>
      <patternFill patternType="solid">
        <fgColor rgb="FFF3F3F3"/>
        <bgColor rgb="FFF3F3F3"/>
      </patternFill>
    </fill>
    <fill>
      <patternFill patternType="solid">
        <fgColor rgb="FFFBBC04"/>
        <bgColor rgb="FFFBBC04"/>
      </patternFill>
    </fill>
    <fill>
      <patternFill patternType="solid">
        <fgColor rgb="FFE06666"/>
        <bgColor rgb="FFE06666"/>
      </patternFill>
    </fill>
    <fill>
      <patternFill patternType="solid">
        <fgColor theme="8"/>
        <bgColor theme="8"/>
      </patternFill>
    </fill>
    <fill>
      <patternFill patternType="solid">
        <fgColor rgb="FFFFF2CC"/>
        <bgColor rgb="FFFFF2CC"/>
      </patternFill>
    </fill>
    <fill>
      <patternFill patternType="solid">
        <fgColor rgb="FFF4CCCC"/>
        <bgColor rgb="FFF4CCCC"/>
      </patternFill>
    </fill>
    <fill>
      <patternFill patternType="solid">
        <fgColor rgb="FFFF0000"/>
        <bgColor rgb="FFFF0000"/>
      </patternFill>
    </fill>
    <fill>
      <patternFill patternType="solid">
        <fgColor rgb="FF666666"/>
        <bgColor rgb="FF666666"/>
      </patternFill>
    </fill>
    <fill>
      <patternFill patternType="solid">
        <fgColor theme="4"/>
        <bgColor theme="4"/>
      </patternFill>
    </fill>
    <fill>
      <patternFill patternType="solid">
        <fgColor rgb="FF134F5C"/>
        <bgColor rgb="FF134F5C"/>
      </patternFill>
    </fill>
    <fill>
      <patternFill patternType="solid">
        <fgColor rgb="FFC27BA0"/>
        <bgColor rgb="FFC27BA0"/>
      </patternFill>
    </fill>
    <fill>
      <patternFill patternType="solid">
        <fgColor rgb="FFD9EAD3"/>
        <bgColor rgb="FFD9EAD3"/>
      </patternFill>
    </fill>
    <fill>
      <patternFill patternType="solid">
        <fgColor rgb="FFD0E0E3"/>
        <bgColor rgb="FFD0E0E3"/>
      </patternFill>
    </fill>
    <fill>
      <patternFill patternType="solid">
        <fgColor rgb="FFCFE2F3"/>
        <bgColor rgb="FFCFE2F3"/>
      </patternFill>
    </fill>
    <fill>
      <patternFill patternType="solid">
        <fgColor rgb="FF073763"/>
        <bgColor rgb="FF073763"/>
      </patternFill>
    </fill>
    <fill>
      <patternFill patternType="solid">
        <fgColor rgb="FFC9DAF8"/>
        <bgColor rgb="FFC9DAF8"/>
      </patternFill>
    </fill>
    <fill>
      <patternFill patternType="solid">
        <fgColor rgb="FF6D9EEB"/>
        <bgColor rgb="FF6D9EEB"/>
      </patternFill>
    </fill>
    <fill>
      <patternFill patternType="solid">
        <fgColor rgb="FFEAD1DC"/>
        <bgColor rgb="FFEAD1DC"/>
      </patternFill>
    </fill>
    <fill>
      <patternFill patternType="solid">
        <fgColor rgb="FFD9D9D9"/>
        <bgColor rgb="FFD9D9D9"/>
      </patternFill>
    </fill>
    <fill>
      <patternFill patternType="solid">
        <fgColor rgb="FFA4C2F4"/>
        <bgColor rgb="FFA4C2F4"/>
      </patternFill>
    </fill>
    <fill>
      <patternFill patternType="solid">
        <fgColor rgb="FF3D85C6"/>
        <bgColor rgb="FF3D85C6"/>
      </patternFill>
    </fill>
    <fill>
      <patternFill patternType="solid">
        <fgColor rgb="FF0C343D"/>
        <bgColor rgb="FF0C343D"/>
      </patternFill>
    </fill>
    <fill>
      <patternFill patternType="solid">
        <fgColor rgb="FF45818E"/>
        <bgColor rgb="FF45818E"/>
      </patternFill>
    </fill>
    <fill>
      <patternFill patternType="solid">
        <fgColor rgb="FFFF9900"/>
        <bgColor rgb="FFFF9900"/>
      </patternFill>
    </fill>
    <fill>
      <patternFill patternType="solid">
        <fgColor rgb="FFF1C232"/>
        <bgColor rgb="FFF1C232"/>
      </patternFill>
    </fill>
    <fill>
      <patternFill patternType="solid">
        <fgColor rgb="FFF0F7FF"/>
        <bgColor rgb="FFF0F7FF"/>
      </patternFill>
    </fill>
    <fill>
      <patternFill patternType="solid">
        <fgColor rgb="FFB7B7B7"/>
        <bgColor rgb="FFB7B7B7"/>
      </patternFill>
    </fill>
    <fill>
      <patternFill patternType="solid">
        <fgColor rgb="FF999999"/>
        <bgColor rgb="FF999999"/>
      </patternFill>
    </fill>
    <fill>
      <patternFill patternType="solid">
        <fgColor rgb="FF00FF00"/>
        <bgColor rgb="FF00FF00"/>
      </patternFill>
    </fill>
    <fill>
      <patternFill patternType="solid">
        <fgColor rgb="FFB4A7D6"/>
        <bgColor rgb="FFB4A7D6"/>
      </patternFill>
    </fill>
    <fill>
      <patternFill patternType="solid">
        <fgColor theme="0"/>
        <bgColor rgb="FFFFFFFF"/>
      </patternFill>
    </fill>
    <fill>
      <patternFill patternType="solid">
        <fgColor theme="0"/>
        <bgColor rgb="FFFF9900"/>
      </patternFill>
    </fill>
    <fill>
      <patternFill patternType="solid">
        <fgColor theme="0"/>
        <bgColor rgb="FF00FF00"/>
      </patternFill>
    </fill>
    <fill>
      <patternFill patternType="solid">
        <fgColor theme="0"/>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999999"/>
      </left>
      <right style="thin">
        <color rgb="FF999999"/>
      </right>
      <top style="thin">
        <color rgb="FF999999"/>
      </top>
      <bottom style="thin">
        <color rgb="FF999999"/>
      </bottom>
      <diagonal/>
    </border>
    <border>
      <left style="thin">
        <color rgb="FF000000"/>
      </left>
      <right/>
      <top/>
      <bottom style="thin">
        <color rgb="FF000000"/>
      </bottom>
      <diagonal/>
    </border>
    <border>
      <left/>
      <right/>
      <top/>
      <bottom style="thin">
        <color rgb="FF000000"/>
      </bottom>
      <diagonal/>
    </border>
    <border>
      <left style="thick">
        <color rgb="FF000000"/>
      </left>
      <right style="thin">
        <color rgb="FF000000"/>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diagonal/>
    </border>
    <border>
      <left style="thick">
        <color rgb="FF000000"/>
      </left>
      <right style="thin">
        <color rgb="FF000000"/>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n">
        <color rgb="FF000000"/>
      </left>
      <right style="thick">
        <color rgb="FF000000"/>
      </right>
      <top style="thin">
        <color rgb="FF000000"/>
      </top>
      <bottom style="thick">
        <color rgb="FF000000"/>
      </bottom>
      <diagonal/>
    </border>
    <border>
      <left style="thin">
        <color rgb="FF999999"/>
      </left>
      <right/>
      <top style="thin">
        <color rgb="FF999999"/>
      </top>
      <bottom style="thin">
        <color rgb="FF999999"/>
      </bottom>
      <diagonal/>
    </border>
  </borders>
  <cellStyleXfs count="1">
    <xf numFmtId="0" fontId="0" fillId="0" borderId="0"/>
  </cellStyleXfs>
  <cellXfs count="641">
    <xf numFmtId="0" fontId="0" fillId="0" borderId="0" xfId="0" applyFont="1" applyAlignment="1"/>
    <xf numFmtId="3"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10" fontId="1" fillId="2" borderId="1" xfId="0" applyNumberFormat="1" applyFont="1" applyFill="1" applyBorder="1" applyAlignment="1">
      <alignment horizontal="center" vertical="center"/>
    </xf>
    <xf numFmtId="0" fontId="2" fillId="3" borderId="1" xfId="0" applyFont="1" applyFill="1" applyBorder="1" applyAlignment="1">
      <alignment horizontal="center"/>
    </xf>
    <xf numFmtId="0" fontId="3" fillId="4" borderId="1" xfId="0" applyFont="1" applyFill="1" applyBorder="1" applyAlignment="1">
      <alignment horizontal="center" vertical="center"/>
    </xf>
    <xf numFmtId="3" fontId="2" fillId="3" borderId="1" xfId="0" applyNumberFormat="1" applyFont="1" applyFill="1" applyBorder="1" applyAlignment="1">
      <alignment horizontal="center" vertical="center"/>
    </xf>
    <xf numFmtId="0" fontId="2" fillId="3" borderId="1" xfId="0" applyFont="1" applyFill="1" applyBorder="1" applyAlignment="1"/>
    <xf numFmtId="10" fontId="2" fillId="3" borderId="1" xfId="0" applyNumberFormat="1" applyFont="1" applyFill="1" applyBorder="1" applyAlignment="1">
      <alignment horizontal="center"/>
    </xf>
    <xf numFmtId="10" fontId="3" fillId="4" borderId="1" xfId="0" applyNumberFormat="1" applyFont="1" applyFill="1" applyBorder="1" applyAlignment="1">
      <alignment horizontal="center" vertical="center"/>
    </xf>
    <xf numFmtId="0" fontId="2" fillId="3" borderId="2" xfId="0" applyFont="1" applyFill="1" applyBorder="1" applyAlignment="1">
      <alignment horizontal="center" vertical="center"/>
    </xf>
    <xf numFmtId="10" fontId="2" fillId="3" borderId="1" xfId="0" applyNumberFormat="1" applyFont="1" applyFill="1" applyBorder="1" applyAlignment="1"/>
    <xf numFmtId="0" fontId="3" fillId="4" borderId="1" xfId="0" applyFont="1" applyFill="1" applyBorder="1" applyAlignment="1">
      <alignment horizontal="center" vertical="center" wrapText="1"/>
    </xf>
    <xf numFmtId="0" fontId="2" fillId="3" borderId="1" xfId="0" applyFont="1" applyFill="1" applyBorder="1" applyAlignment="1">
      <alignment horizontal="center" vertical="center"/>
    </xf>
    <xf numFmtId="10" fontId="2" fillId="3" borderId="1" xfId="0" applyNumberFormat="1" applyFont="1" applyFill="1" applyBorder="1" applyAlignment="1">
      <alignment horizontal="left" vertical="center"/>
    </xf>
    <xf numFmtId="10" fontId="2" fillId="3" borderId="1" xfId="0" applyNumberFormat="1" applyFont="1" applyFill="1" applyBorder="1" applyAlignment="1">
      <alignment horizontal="center" vertical="center"/>
    </xf>
    <xf numFmtId="0" fontId="2" fillId="0" borderId="1" xfId="0" applyFont="1" applyBorder="1" applyAlignment="1">
      <alignment horizontal="center"/>
    </xf>
    <xf numFmtId="10" fontId="2" fillId="0" borderId="1" xfId="0" applyNumberFormat="1" applyFont="1" applyBorder="1" applyAlignment="1">
      <alignment horizontal="center"/>
    </xf>
    <xf numFmtId="0" fontId="2" fillId="0" borderId="1" xfId="0" applyFont="1" applyBorder="1"/>
    <xf numFmtId="0" fontId="5" fillId="3" borderId="0" xfId="0" applyFont="1" applyFill="1" applyAlignment="1">
      <alignment horizontal="center"/>
    </xf>
    <xf numFmtId="0" fontId="2" fillId="0" borderId="1" xfId="0" applyFont="1" applyBorder="1" applyAlignment="1">
      <alignment horizontal="left"/>
    </xf>
    <xf numFmtId="0" fontId="5" fillId="3" borderId="1" xfId="0" applyFont="1" applyFill="1" applyBorder="1" applyAlignment="1">
      <alignment horizontal="center"/>
    </xf>
    <xf numFmtId="10" fontId="5" fillId="3" borderId="1" xfId="0" applyNumberFormat="1" applyFont="1" applyFill="1" applyBorder="1" applyAlignment="1">
      <alignment horizontal="center"/>
    </xf>
    <xf numFmtId="0" fontId="2" fillId="0" borderId="1" xfId="0" applyFont="1" applyBorder="1" applyAlignment="1">
      <alignment horizontal="center" vertical="center"/>
    </xf>
    <xf numFmtId="0" fontId="5" fillId="3" borderId="1" xfId="0" applyFont="1" applyFill="1" applyBorder="1" applyAlignment="1">
      <alignment horizontal="center" wrapText="1"/>
    </xf>
    <xf numFmtId="3" fontId="6" fillId="3" borderId="1" xfId="0" applyNumberFormat="1" applyFont="1" applyFill="1" applyBorder="1" applyAlignment="1">
      <alignment horizontal="center"/>
    </xf>
    <xf numFmtId="10" fontId="6" fillId="3" borderId="1" xfId="0" applyNumberFormat="1" applyFont="1" applyFill="1" applyBorder="1" applyAlignment="1">
      <alignment horizontal="center"/>
    </xf>
    <xf numFmtId="10" fontId="6" fillId="3" borderId="1" xfId="0" applyNumberFormat="1" applyFont="1" applyFill="1" applyBorder="1" applyAlignment="1"/>
    <xf numFmtId="0" fontId="6" fillId="0" borderId="1" xfId="0" applyFont="1" applyBorder="1" applyAlignment="1">
      <alignment horizontal="center"/>
    </xf>
    <xf numFmtId="0" fontId="6" fillId="3" borderId="1" xfId="0" applyFont="1" applyFill="1" applyBorder="1" applyAlignment="1">
      <alignment horizontal="center" wrapText="1"/>
    </xf>
    <xf numFmtId="0" fontId="6" fillId="3" borderId="1" xfId="0" applyFont="1" applyFill="1" applyBorder="1"/>
    <xf numFmtId="0" fontId="2" fillId="0" borderId="0" xfId="0" applyFont="1" applyAlignment="1"/>
    <xf numFmtId="3" fontId="6" fillId="3" borderId="1" xfId="0" applyNumberFormat="1" applyFont="1" applyFill="1" applyBorder="1" applyAlignment="1">
      <alignment horizontal="center"/>
    </xf>
    <xf numFmtId="10" fontId="6" fillId="0" borderId="1" xfId="0" applyNumberFormat="1" applyFont="1" applyBorder="1" applyAlignment="1">
      <alignment horizontal="center"/>
    </xf>
    <xf numFmtId="10" fontId="6" fillId="0" borderId="1" xfId="0" applyNumberFormat="1" applyFont="1" applyBorder="1" applyAlignment="1"/>
    <xf numFmtId="0" fontId="6" fillId="3" borderId="1" xfId="0" applyFont="1" applyFill="1" applyBorder="1" applyAlignment="1">
      <alignment horizontal="center"/>
    </xf>
    <xf numFmtId="0" fontId="6" fillId="0" borderId="1" xfId="0" applyFont="1" applyBorder="1"/>
    <xf numFmtId="0" fontId="6" fillId="3" borderId="1" xfId="0" applyFont="1" applyFill="1" applyBorder="1" applyAlignment="1"/>
    <xf numFmtId="0" fontId="2" fillId="0" borderId="0" xfId="0" applyFont="1"/>
    <xf numFmtId="0" fontId="6" fillId="3" borderId="1" xfId="0" applyFont="1" applyFill="1" applyBorder="1" applyAlignment="1">
      <alignment horizontal="center"/>
    </xf>
    <xf numFmtId="0" fontId="6" fillId="3" borderId="1" xfId="0" applyFont="1" applyFill="1" applyBorder="1" applyAlignment="1"/>
    <xf numFmtId="0" fontId="2" fillId="3" borderId="4" xfId="0" applyFont="1" applyFill="1" applyBorder="1" applyAlignment="1">
      <alignment horizontal="center" vertical="center"/>
    </xf>
    <xf numFmtId="10" fontId="6" fillId="3" borderId="1" xfId="0" applyNumberFormat="1" applyFont="1" applyFill="1" applyBorder="1" applyAlignment="1">
      <alignment horizontal="center"/>
    </xf>
    <xf numFmtId="0" fontId="6" fillId="0" borderId="1" xfId="0" applyFont="1" applyBorder="1" applyAlignment="1">
      <alignment horizontal="center"/>
    </xf>
    <xf numFmtId="0" fontId="6" fillId="0" borderId="1" xfId="0" applyFont="1" applyBorder="1" applyAlignment="1">
      <alignment horizontal="center"/>
    </xf>
    <xf numFmtId="0" fontId="2" fillId="0" borderId="0" xfId="0" applyFont="1" applyAlignment="1">
      <alignment horizontal="center" vertical="center"/>
    </xf>
    <xf numFmtId="0" fontId="1" fillId="5" borderId="0" xfId="0" applyFont="1" applyFill="1" applyAlignment="1">
      <alignment horizontal="center"/>
    </xf>
    <xf numFmtId="0" fontId="7" fillId="6" borderId="1" xfId="0" applyFont="1" applyFill="1" applyBorder="1" applyAlignment="1">
      <alignment horizontal="center" wrapText="1"/>
    </xf>
    <xf numFmtId="3" fontId="2" fillId="0" borderId="1" xfId="0" applyNumberFormat="1" applyFont="1" applyBorder="1" applyAlignment="1">
      <alignment horizontal="center"/>
    </xf>
    <xf numFmtId="0" fontId="2" fillId="0" borderId="0" xfId="0" applyFont="1" applyAlignment="1">
      <alignment horizontal="center"/>
    </xf>
    <xf numFmtId="0" fontId="2" fillId="3" borderId="1" xfId="0" applyFont="1" applyFill="1" applyBorder="1" applyAlignment="1">
      <alignment horizontal="left" vertical="center"/>
    </xf>
    <xf numFmtId="0" fontId="2" fillId="0" borderId="0" xfId="0" applyFont="1" applyAlignment="1">
      <alignment wrapText="1"/>
    </xf>
    <xf numFmtId="0" fontId="8" fillId="7" borderId="1" xfId="0" applyFont="1" applyFill="1" applyBorder="1" applyAlignment="1">
      <alignment wrapText="1"/>
    </xf>
    <xf numFmtId="0" fontId="8" fillId="7" borderId="1" xfId="0" applyFont="1" applyFill="1" applyBorder="1"/>
    <xf numFmtId="0" fontId="2" fillId="0" borderId="1" xfId="0" applyFont="1" applyBorder="1" applyAlignment="1">
      <alignment horizontal="left" vertical="center" wrapText="1"/>
    </xf>
    <xf numFmtId="0" fontId="9" fillId="0" borderId="1" xfId="0" applyFont="1" applyBorder="1" applyAlignment="1">
      <alignment horizontal="left" vertical="center" wrapText="1"/>
    </xf>
    <xf numFmtId="0" fontId="6" fillId="3" borderId="0" xfId="0" applyFont="1" applyFill="1" applyAlignment="1">
      <alignment wrapText="1"/>
    </xf>
    <xf numFmtId="0" fontId="6" fillId="8" borderId="0" xfId="0" applyFont="1" applyFill="1" applyAlignment="1">
      <alignment horizontal="center" wrapText="1"/>
    </xf>
    <xf numFmtId="0" fontId="6" fillId="8" borderId="0" xfId="0" applyFont="1" applyFill="1" applyAlignment="1">
      <alignment wrapText="1"/>
    </xf>
    <xf numFmtId="0" fontId="6" fillId="3" borderId="0" xfId="0" applyFont="1" applyFill="1" applyAlignment="1">
      <alignment wrapText="1"/>
    </xf>
    <xf numFmtId="0" fontId="6" fillId="8" borderId="0" xfId="0" applyFont="1" applyFill="1" applyAlignment="1">
      <alignment wrapText="1"/>
    </xf>
    <xf numFmtId="0" fontId="2" fillId="0" borderId="1" xfId="0" applyFont="1" applyBorder="1" applyAlignment="1">
      <alignment horizontal="center" vertical="center" wrapText="1"/>
    </xf>
    <xf numFmtId="0" fontId="9" fillId="0" borderId="1" xfId="0" applyFont="1" applyBorder="1" applyAlignment="1">
      <alignment horizontal="center" vertical="center" wrapText="1"/>
    </xf>
    <xf numFmtId="0" fontId="6" fillId="0" borderId="1" xfId="0" applyFont="1" applyBorder="1" applyAlignment="1">
      <alignment horizontal="center"/>
    </xf>
    <xf numFmtId="10" fontId="2" fillId="0" borderId="0" xfId="0" applyNumberFormat="1" applyFont="1"/>
    <xf numFmtId="3" fontId="2" fillId="0" borderId="0" xfId="0" applyNumberFormat="1" applyFont="1"/>
    <xf numFmtId="0" fontId="6" fillId="3" borderId="0" xfId="0" applyFont="1" applyFill="1" applyAlignment="1">
      <alignment wrapText="1"/>
    </xf>
    <xf numFmtId="0" fontId="6" fillId="0" borderId="0" xfId="0" applyFont="1" applyAlignment="1">
      <alignment wrapText="1"/>
    </xf>
    <xf numFmtId="0" fontId="6" fillId="0" borderId="0" xfId="0" applyFont="1" applyAlignment="1">
      <alignment wrapText="1"/>
    </xf>
    <xf numFmtId="0" fontId="2" fillId="8" borderId="0" xfId="0" applyFont="1" applyFill="1" applyAlignment="1">
      <alignment horizontal="center"/>
    </xf>
    <xf numFmtId="0" fontId="2" fillId="0" borderId="1" xfId="0" applyFont="1" applyBorder="1" applyAlignment="1">
      <alignment horizontal="left" vertical="center"/>
    </xf>
    <xf numFmtId="0" fontId="6" fillId="7" borderId="1" xfId="0" applyFont="1" applyFill="1" applyBorder="1"/>
    <xf numFmtId="0" fontId="2" fillId="0" borderId="2" xfId="0" applyFont="1" applyBorder="1" applyAlignment="1">
      <alignment horizontal="center" vertical="center"/>
    </xf>
    <xf numFmtId="0" fontId="8" fillId="7" borderId="1" xfId="0" applyFont="1" applyFill="1" applyBorder="1" applyAlignment="1"/>
    <xf numFmtId="0" fontId="6" fillId="0" borderId="1" xfId="0" applyFont="1" applyBorder="1"/>
    <xf numFmtId="0" fontId="6" fillId="3" borderId="1" xfId="0" applyFont="1" applyFill="1" applyBorder="1" applyAlignment="1">
      <alignment vertical="center" wrapText="1"/>
    </xf>
    <xf numFmtId="0" fontId="8" fillId="3" borderId="1" xfId="0" applyFont="1" applyFill="1" applyBorder="1" applyAlignment="1">
      <alignment wrapText="1"/>
    </xf>
    <xf numFmtId="10" fontId="2" fillId="3" borderId="1" xfId="0" applyNumberFormat="1" applyFont="1" applyFill="1" applyBorder="1" applyAlignment="1">
      <alignment vertical="center"/>
    </xf>
    <xf numFmtId="0" fontId="8" fillId="9" borderId="1" xfId="0" applyFont="1" applyFill="1" applyBorder="1" applyAlignment="1">
      <alignment wrapText="1"/>
    </xf>
    <xf numFmtId="0" fontId="6" fillId="9" borderId="1" xfId="0" applyFont="1" applyFill="1" applyBorder="1"/>
    <xf numFmtId="0" fontId="2" fillId="0" borderId="2" xfId="0" applyFont="1" applyBorder="1" applyAlignment="1">
      <alignment horizontal="center"/>
    </xf>
    <xf numFmtId="0" fontId="8" fillId="10" borderId="1" xfId="0" applyFont="1" applyFill="1" applyBorder="1" applyAlignment="1">
      <alignment wrapText="1"/>
    </xf>
    <xf numFmtId="0" fontId="8" fillId="10" borderId="1" xfId="0" applyFont="1" applyFill="1" applyBorder="1"/>
    <xf numFmtId="0" fontId="8" fillId="7" borderId="1" xfId="0" applyFont="1" applyFill="1" applyBorder="1" applyAlignment="1">
      <alignment wrapText="1"/>
    </xf>
    <xf numFmtId="10" fontId="2" fillId="0" borderId="1" xfId="0" applyNumberFormat="1" applyFont="1" applyBorder="1" applyAlignment="1">
      <alignment horizontal="left"/>
    </xf>
    <xf numFmtId="0" fontId="8" fillId="7" borderId="7" xfId="0" applyFont="1" applyFill="1" applyBorder="1" applyAlignment="1">
      <alignment wrapText="1"/>
    </xf>
    <xf numFmtId="10" fontId="10" fillId="0" borderId="1" xfId="0" applyNumberFormat="1" applyFont="1" applyBorder="1" applyAlignment="1">
      <alignment horizontal="center" vertical="center" wrapText="1"/>
    </xf>
    <xf numFmtId="0" fontId="8" fillId="0" borderId="1" xfId="0" applyFont="1" applyBorder="1" applyAlignment="1">
      <alignment wrapText="1"/>
    </xf>
    <xf numFmtId="0" fontId="8" fillId="0" borderId="1" xfId="0" applyFont="1" applyBorder="1"/>
    <xf numFmtId="0" fontId="11" fillId="0" borderId="1" xfId="0" applyFont="1" applyBorder="1" applyAlignment="1"/>
    <xf numFmtId="0" fontId="1"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14" fontId="2" fillId="3" borderId="1" xfId="0" applyNumberFormat="1" applyFont="1" applyFill="1" applyBorder="1" applyAlignment="1">
      <alignment horizontal="center" vertical="center"/>
    </xf>
    <xf numFmtId="164" fontId="2" fillId="3" borderId="1" xfId="0" applyNumberFormat="1" applyFont="1" applyFill="1" applyBorder="1" applyAlignment="1">
      <alignment horizontal="center" vertical="center"/>
    </xf>
    <xf numFmtId="0" fontId="13" fillId="3" borderId="0" xfId="0" applyFont="1" applyFill="1" applyAlignment="1">
      <alignment horizontal="center" vertical="center"/>
    </xf>
    <xf numFmtId="0" fontId="13"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10" fillId="0" borderId="1" xfId="0" applyFont="1" applyBorder="1" applyAlignment="1">
      <alignment horizontal="center" vertical="center" wrapText="1"/>
    </xf>
    <xf numFmtId="165" fontId="2" fillId="3" borderId="1" xfId="0" applyNumberFormat="1" applyFont="1" applyFill="1" applyBorder="1" applyAlignment="1">
      <alignment horizontal="center" vertical="center"/>
    </xf>
    <xf numFmtId="166" fontId="14" fillId="3" borderId="1" xfId="0" applyNumberFormat="1" applyFont="1" applyFill="1" applyBorder="1" applyAlignment="1">
      <alignment horizontal="center" vertical="center"/>
    </xf>
    <xf numFmtId="167" fontId="13" fillId="3" borderId="1" xfId="0" applyNumberFormat="1" applyFont="1" applyFill="1" applyBorder="1" applyAlignment="1">
      <alignment horizontal="center" vertical="center"/>
    </xf>
    <xf numFmtId="0" fontId="15" fillId="3" borderId="1" xfId="0" applyFont="1" applyFill="1" applyBorder="1" applyAlignment="1">
      <alignment horizontal="center" vertical="center"/>
    </xf>
    <xf numFmtId="0" fontId="2" fillId="0" borderId="1" xfId="0" applyFont="1" applyBorder="1" applyAlignment="1"/>
    <xf numFmtId="0" fontId="2" fillId="3" borderId="1" xfId="0" applyFont="1" applyFill="1" applyBorder="1" applyAlignment="1">
      <alignment horizontal="center" vertical="center"/>
    </xf>
    <xf numFmtId="0" fontId="1" fillId="2" borderId="0" xfId="0" applyFont="1" applyFill="1" applyAlignment="1">
      <alignment horizontal="center" vertical="center"/>
    </xf>
    <xf numFmtId="0" fontId="2" fillId="3" borderId="2" xfId="0" applyFont="1" applyFill="1" applyBorder="1" applyAlignment="1">
      <alignment horizontal="center" vertical="center" wrapText="1"/>
    </xf>
    <xf numFmtId="0" fontId="2" fillId="3" borderId="0" xfId="0" applyFont="1" applyFill="1" applyAlignment="1">
      <alignment horizontal="center" vertical="center"/>
    </xf>
    <xf numFmtId="166" fontId="2" fillId="3" borderId="1" xfId="0" applyNumberFormat="1" applyFont="1" applyFill="1" applyBorder="1" applyAlignment="1">
      <alignment horizontal="center" vertical="center"/>
    </xf>
    <xf numFmtId="168" fontId="2" fillId="3" borderId="1" xfId="0" applyNumberFormat="1" applyFont="1" applyFill="1" applyBorder="1" applyAlignment="1">
      <alignment horizontal="center" vertical="center" wrapText="1"/>
    </xf>
    <xf numFmtId="168" fontId="2" fillId="0" borderId="1" xfId="0" applyNumberFormat="1" applyFont="1" applyBorder="1" applyAlignment="1">
      <alignment horizontal="center" vertical="center" wrapText="1"/>
    </xf>
    <xf numFmtId="22" fontId="2" fillId="0" borderId="1" xfId="0" applyNumberFormat="1" applyFont="1" applyBorder="1" applyAlignment="1">
      <alignment horizontal="center" vertical="center"/>
    </xf>
    <xf numFmtId="169" fontId="2" fillId="3" borderId="1" xfId="0" applyNumberFormat="1" applyFont="1" applyFill="1" applyBorder="1" applyAlignment="1">
      <alignment horizontal="center" vertical="center"/>
    </xf>
    <xf numFmtId="0" fontId="2" fillId="0" borderId="1" xfId="0" applyFont="1" applyBorder="1" applyAlignment="1">
      <alignment horizontal="center" vertical="center"/>
    </xf>
    <xf numFmtId="166" fontId="2" fillId="0" borderId="1" xfId="0" applyNumberFormat="1" applyFont="1" applyBorder="1" applyAlignment="1">
      <alignment horizontal="center" vertical="center"/>
    </xf>
    <xf numFmtId="168" fontId="2" fillId="0" borderId="1" xfId="0" applyNumberFormat="1" applyFont="1" applyBorder="1" applyAlignment="1">
      <alignment horizontal="center" vertical="center"/>
    </xf>
    <xf numFmtId="168" fontId="2" fillId="0" borderId="1" xfId="0" applyNumberFormat="1" applyFont="1" applyBorder="1" applyAlignment="1"/>
    <xf numFmtId="0" fontId="14" fillId="0" borderId="1" xfId="0" applyFont="1" applyBorder="1" applyAlignment="1">
      <alignment horizontal="center"/>
    </xf>
    <xf numFmtId="0" fontId="2" fillId="0" borderId="1" xfId="0" applyFont="1" applyBorder="1" applyAlignment="1">
      <alignment horizontal="left" vertical="center"/>
    </xf>
    <xf numFmtId="0" fontId="2" fillId="8" borderId="1" xfId="0" applyFont="1" applyFill="1" applyBorder="1" applyAlignment="1">
      <alignment horizontal="left" vertic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49" fontId="16" fillId="0" borderId="1" xfId="0" applyNumberFormat="1" applyFont="1" applyBorder="1" applyAlignment="1">
      <alignment horizontal="center" vertical="center"/>
    </xf>
    <xf numFmtId="0" fontId="2" fillId="0" borderId="1" xfId="0" applyFont="1" applyBorder="1" applyAlignment="1">
      <alignment horizontal="center" vertical="center"/>
    </xf>
    <xf numFmtId="0" fontId="17" fillId="0" borderId="1" xfId="0" applyFont="1" applyBorder="1" applyAlignment="1">
      <alignment horizontal="center" vertical="center"/>
    </xf>
    <xf numFmtId="170" fontId="2" fillId="0" borderId="1" xfId="0" applyNumberFormat="1" applyFont="1" applyBorder="1" applyAlignment="1">
      <alignment horizontal="center"/>
    </xf>
    <xf numFmtId="0" fontId="20" fillId="0" borderId="0" xfId="0" applyFont="1" applyAlignment="1">
      <alignment horizontal="center"/>
    </xf>
    <xf numFmtId="0" fontId="21" fillId="0" borderId="0" xfId="0" applyFont="1" applyAlignment="1">
      <alignment horizontal="center"/>
    </xf>
    <xf numFmtId="0" fontId="1" fillId="11" borderId="1" xfId="0" applyFont="1" applyFill="1" applyBorder="1" applyAlignment="1">
      <alignment horizontal="center" vertical="center" wrapText="1"/>
    </xf>
    <xf numFmtId="0" fontId="23" fillId="0" borderId="1" xfId="0" applyFont="1" applyBorder="1" applyAlignment="1">
      <alignment horizontal="center" vertical="center"/>
    </xf>
    <xf numFmtId="0" fontId="9" fillId="5" borderId="1" xfId="0" applyFont="1" applyFill="1" applyBorder="1" applyAlignment="1">
      <alignment horizontal="center" vertical="center" wrapText="1"/>
    </xf>
    <xf numFmtId="166" fontId="2" fillId="0" borderId="1" xfId="0" applyNumberFormat="1" applyFont="1" applyBorder="1" applyAlignment="1">
      <alignment horizontal="center" vertical="center" wrapText="1"/>
    </xf>
    <xf numFmtId="0" fontId="24" fillId="0" borderId="1" xfId="0" applyFont="1" applyBorder="1" applyAlignment="1">
      <alignment horizontal="center" vertical="center" wrapText="1"/>
    </xf>
    <xf numFmtId="0" fontId="9" fillId="1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0" xfId="0" applyFont="1" applyAlignment="1">
      <alignment horizontal="center" vertical="center"/>
    </xf>
    <xf numFmtId="0" fontId="2" fillId="13" borderId="1" xfId="0" applyFont="1" applyFill="1" applyBorder="1" applyAlignment="1"/>
    <xf numFmtId="0" fontId="2" fillId="3" borderId="1" xfId="0" applyFont="1" applyFill="1" applyBorder="1" applyAlignment="1">
      <alignment vertical="center" wrapText="1"/>
    </xf>
    <xf numFmtId="49" fontId="2" fillId="0" borderId="6" xfId="0" applyNumberFormat="1" applyFont="1" applyBorder="1" applyAlignment="1">
      <alignment horizontal="center" vertical="center"/>
    </xf>
    <xf numFmtId="14" fontId="2" fillId="0" borderId="1" xfId="0" applyNumberFormat="1" applyFont="1" applyBorder="1" applyAlignment="1">
      <alignment horizontal="center" vertical="center" wrapText="1"/>
    </xf>
    <xf numFmtId="0" fontId="2" fillId="0" borderId="6" xfId="0" applyFont="1" applyBorder="1" applyAlignment="1">
      <alignment horizontal="center" vertical="center"/>
    </xf>
    <xf numFmtId="0" fontId="2" fillId="0" borderId="1" xfId="0" applyFont="1" applyBorder="1" applyAlignment="1">
      <alignment horizontal="center" vertical="center" wrapText="1"/>
    </xf>
    <xf numFmtId="0" fontId="2" fillId="8" borderId="1" xfId="0" applyFont="1" applyFill="1" applyBorder="1" applyAlignment="1">
      <alignment horizontal="center"/>
    </xf>
    <xf numFmtId="0" fontId="2" fillId="1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3" borderId="1" xfId="0" applyFont="1" applyFill="1" applyBorder="1" applyAlignment="1">
      <alignment horizontal="left" vertical="center" wrapText="1"/>
    </xf>
    <xf numFmtId="0" fontId="27"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2" fillId="13" borderId="1" xfId="0" applyFont="1" applyFill="1" applyBorder="1" applyAlignment="1">
      <alignment horizontal="left" vertical="center"/>
    </xf>
    <xf numFmtId="168" fontId="2" fillId="3" borderId="1" xfId="0" applyNumberFormat="1" applyFont="1" applyFill="1" applyBorder="1" applyAlignment="1"/>
    <xf numFmtId="0" fontId="9" fillId="0" borderId="1" xfId="0" applyFont="1" applyBorder="1" applyAlignment="1">
      <alignment horizontal="center" vertical="center" wrapText="1"/>
    </xf>
    <xf numFmtId="0" fontId="28" fillId="0" borderId="1" xfId="0" applyFont="1" applyBorder="1" applyAlignment="1">
      <alignment horizontal="center" vertical="center" wrapText="1"/>
    </xf>
    <xf numFmtId="166" fontId="2" fillId="3" borderId="1" xfId="0" applyNumberFormat="1" applyFont="1" applyFill="1" applyBorder="1" applyAlignment="1">
      <alignment horizontal="center" vertical="center" wrapText="1"/>
    </xf>
    <xf numFmtId="49" fontId="29" fillId="3" borderId="6" xfId="0" applyNumberFormat="1" applyFont="1" applyFill="1" applyBorder="1" applyAlignment="1">
      <alignment horizontal="center" vertical="center"/>
    </xf>
    <xf numFmtId="0" fontId="30" fillId="3" borderId="1" xfId="0" applyFont="1" applyFill="1" applyBorder="1" applyAlignment="1">
      <alignment horizontal="center" vertical="center" wrapText="1"/>
    </xf>
    <xf numFmtId="168" fontId="2" fillId="8" borderId="1" xfId="0" applyNumberFormat="1" applyFont="1" applyFill="1" applyBorder="1" applyAlignment="1"/>
    <xf numFmtId="49" fontId="2" fillId="8" borderId="6" xfId="0" applyNumberFormat="1" applyFont="1" applyFill="1" applyBorder="1" applyAlignment="1">
      <alignment horizontal="center" vertical="center"/>
    </xf>
    <xf numFmtId="49" fontId="2" fillId="3" borderId="6" xfId="0" applyNumberFormat="1" applyFont="1" applyFill="1" applyBorder="1" applyAlignment="1">
      <alignment horizontal="center" vertical="center"/>
    </xf>
    <xf numFmtId="0" fontId="2" fillId="3" borderId="1" xfId="0" applyFont="1" applyFill="1" applyBorder="1" applyAlignment="1">
      <alignment horizontal="center" vertical="center" wrapText="1"/>
    </xf>
    <xf numFmtId="0" fontId="33" fillId="3" borderId="1" xfId="0" applyFont="1" applyFill="1" applyBorder="1" applyAlignment="1">
      <alignment horizontal="center" vertical="center" wrapText="1"/>
    </xf>
    <xf numFmtId="49" fontId="34" fillId="0" borderId="1" xfId="0" applyNumberFormat="1" applyFont="1" applyBorder="1" applyAlignment="1">
      <alignment horizontal="center" vertical="center"/>
    </xf>
    <xf numFmtId="0" fontId="35" fillId="0" borderId="1" xfId="0" applyFont="1" applyBorder="1" applyAlignment="1">
      <alignment horizontal="center" vertical="center"/>
    </xf>
    <xf numFmtId="168" fontId="2" fillId="0" borderId="1" xfId="0" applyNumberFormat="1" applyFont="1" applyBorder="1" applyAlignment="1">
      <alignment vertical="center"/>
    </xf>
    <xf numFmtId="0" fontId="9" fillId="15" borderId="1" xfId="0" applyFont="1" applyFill="1" applyBorder="1" applyAlignment="1">
      <alignment horizontal="center" vertical="center" wrapText="1"/>
    </xf>
    <xf numFmtId="0" fontId="36" fillId="0" borderId="1" xfId="0" applyFont="1" applyBorder="1" applyAlignment="1">
      <alignment horizontal="center"/>
    </xf>
    <xf numFmtId="0" fontId="2" fillId="0" borderId="1" xfId="0" applyFont="1" applyBorder="1" applyAlignment="1">
      <alignment horizontal="center"/>
    </xf>
    <xf numFmtId="14" fontId="2" fillId="0" borderId="1" xfId="0" applyNumberFormat="1" applyFont="1" applyBorder="1" applyAlignment="1">
      <alignment horizontal="center"/>
    </xf>
    <xf numFmtId="0" fontId="37" fillId="0" borderId="1" xfId="0" applyFont="1" applyBorder="1" applyAlignment="1">
      <alignment horizontal="center" vertical="center"/>
    </xf>
    <xf numFmtId="172" fontId="2" fillId="0" borderId="1" xfId="0" applyNumberFormat="1" applyFont="1" applyBorder="1" applyAlignment="1">
      <alignment horizontal="center" vertical="center"/>
    </xf>
    <xf numFmtId="0" fontId="39" fillId="17" borderId="2" xfId="0" applyFont="1" applyFill="1" applyBorder="1" applyAlignment="1">
      <alignment horizontal="center" vertical="center" wrapText="1"/>
    </xf>
    <xf numFmtId="0" fontId="39" fillId="17" borderId="2" xfId="0" applyFont="1" applyFill="1" applyBorder="1" applyAlignment="1">
      <alignment horizontal="center" vertical="center" wrapText="1"/>
    </xf>
    <xf numFmtId="170" fontId="2" fillId="0" borderId="1" xfId="0" applyNumberFormat="1" applyFont="1" applyBorder="1" applyAlignment="1">
      <alignment horizontal="center" vertical="center"/>
    </xf>
    <xf numFmtId="0" fontId="39" fillId="17" borderId="1" xfId="0" applyFont="1" applyFill="1" applyBorder="1" applyAlignment="1">
      <alignment horizontal="center" vertical="center" wrapText="1"/>
    </xf>
    <xf numFmtId="0" fontId="39" fillId="17" borderId="1" xfId="0" applyFont="1" applyFill="1" applyBorder="1" applyAlignment="1">
      <alignment horizontal="center" vertical="center"/>
    </xf>
    <xf numFmtId="0" fontId="1" fillId="5" borderId="1" xfId="0" applyFont="1" applyFill="1" applyBorder="1" applyAlignment="1">
      <alignment horizontal="center" vertical="center" wrapText="1"/>
    </xf>
    <xf numFmtId="10" fontId="6" fillId="3" borderId="1" xfId="0" applyNumberFormat="1" applyFont="1" applyFill="1" applyBorder="1" applyAlignment="1">
      <alignment horizontal="center" vertical="center" wrapText="1"/>
    </xf>
    <xf numFmtId="3" fontId="6" fillId="3" borderId="1" xfId="0" applyNumberFormat="1" applyFont="1" applyFill="1" applyBorder="1" applyAlignment="1">
      <alignment horizontal="center" vertical="center" wrapText="1"/>
    </xf>
    <xf numFmtId="10" fontId="6" fillId="3" borderId="1" xfId="0" applyNumberFormat="1" applyFont="1" applyFill="1" applyBorder="1" applyAlignment="1">
      <alignment vertical="center" wrapText="1"/>
    </xf>
    <xf numFmtId="0" fontId="10" fillId="3" borderId="1" xfId="0" applyFont="1" applyFill="1" applyBorder="1" applyAlignment="1">
      <alignment horizontal="center" vertical="center" wrapText="1"/>
    </xf>
    <xf numFmtId="14" fontId="6"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3" borderId="2" xfId="0" applyFont="1" applyFill="1" applyBorder="1" applyAlignment="1">
      <alignment horizontal="center" vertical="center" wrapText="1"/>
    </xf>
    <xf numFmtId="0" fontId="10"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3" fontId="6" fillId="0" borderId="1" xfId="0" applyNumberFormat="1" applyFont="1" applyBorder="1" applyAlignment="1">
      <alignment horizontal="center" vertical="center" wrapText="1"/>
    </xf>
    <xf numFmtId="0" fontId="6" fillId="3" borderId="1" xfId="0" applyFont="1" applyFill="1" applyBorder="1" applyAlignment="1">
      <alignment vertical="center" wrapText="1"/>
    </xf>
    <xf numFmtId="3" fontId="6" fillId="3" borderId="1" xfId="0" applyNumberFormat="1" applyFont="1" applyFill="1" applyBorder="1" applyAlignment="1">
      <alignment horizontal="center" wrapText="1"/>
    </xf>
    <xf numFmtId="0" fontId="10" fillId="3" borderId="1" xfId="0" applyFont="1" applyFill="1" applyBorder="1" applyAlignment="1">
      <alignment horizontal="left" vertical="center"/>
    </xf>
    <xf numFmtId="0" fontId="42" fillId="3" borderId="1" xfId="0" applyFont="1" applyFill="1" applyBorder="1" applyAlignment="1">
      <alignment horizontal="center" vertical="center"/>
    </xf>
    <xf numFmtId="0" fontId="10" fillId="3" borderId="1" xfId="0" applyFont="1" applyFill="1" applyBorder="1" applyAlignment="1">
      <alignment horizontal="center" vertical="center" wrapText="1"/>
    </xf>
    <xf numFmtId="14" fontId="6" fillId="3" borderId="1" xfId="0" applyNumberFormat="1" applyFont="1" applyFill="1" applyBorder="1" applyAlignment="1">
      <alignment vertical="center" wrapText="1"/>
    </xf>
    <xf numFmtId="0" fontId="11" fillId="0" borderId="1" xfId="0" applyFont="1" applyBorder="1" applyAlignment="1">
      <alignment vertical="center" wrapText="1"/>
    </xf>
    <xf numFmtId="0" fontId="1" fillId="2" borderId="1" xfId="0" applyFont="1" applyFill="1" applyBorder="1" applyAlignment="1">
      <alignment horizontal="center" vertical="center" wrapText="1"/>
    </xf>
    <xf numFmtId="10" fontId="1" fillId="2" borderId="1" xfId="0" applyNumberFormat="1" applyFont="1" applyFill="1" applyBorder="1" applyAlignment="1">
      <alignment horizontal="center" vertical="center" wrapText="1"/>
    </xf>
    <xf numFmtId="3" fontId="1" fillId="2" borderId="1" xfId="0" applyNumberFormat="1" applyFont="1" applyFill="1" applyBorder="1" applyAlignment="1">
      <alignment horizontal="center" vertical="center" wrapText="1"/>
    </xf>
    <xf numFmtId="0" fontId="2" fillId="0" borderId="0" xfId="0" applyFont="1" applyAlignment="1">
      <alignment vertical="center" wrapText="1"/>
    </xf>
    <xf numFmtId="10" fontId="2" fillId="0" borderId="0" xfId="0" applyNumberFormat="1" applyFont="1" applyAlignment="1">
      <alignment vertical="center" wrapText="1"/>
    </xf>
    <xf numFmtId="10" fontId="2" fillId="3" borderId="1" xfId="0" applyNumberFormat="1" applyFont="1" applyFill="1" applyBorder="1" applyAlignment="1">
      <alignment horizontal="center" vertical="center" wrapText="1"/>
    </xf>
    <xf numFmtId="3" fontId="2" fillId="3" borderId="1" xfId="0" applyNumberFormat="1" applyFont="1" applyFill="1" applyBorder="1" applyAlignment="1">
      <alignment horizontal="center" vertical="center" wrapText="1"/>
    </xf>
    <xf numFmtId="0" fontId="2" fillId="0" borderId="1" xfId="0" applyFont="1" applyBorder="1" applyAlignment="1">
      <alignment wrapText="1"/>
    </xf>
    <xf numFmtId="0" fontId="2" fillId="3" borderId="1" xfId="0" applyFont="1" applyFill="1" applyBorder="1" applyAlignment="1">
      <alignment horizontal="left" vertical="center" wrapText="1"/>
    </xf>
    <xf numFmtId="0" fontId="2" fillId="0" borderId="0" xfId="0" applyFont="1" applyAlignment="1">
      <alignment vertical="center" wrapText="1"/>
    </xf>
    <xf numFmtId="0" fontId="2" fillId="0" borderId="1" xfId="0" applyFont="1" applyBorder="1" applyAlignment="1">
      <alignment horizontal="center" wrapText="1"/>
    </xf>
    <xf numFmtId="0" fontId="6" fillId="0" borderId="2" xfId="0" applyFont="1" applyBorder="1" applyAlignment="1">
      <alignment horizontal="center" vertical="center" wrapText="1"/>
    </xf>
    <xf numFmtId="0" fontId="6" fillId="0" borderId="1" xfId="0" applyFont="1" applyBorder="1" applyAlignment="1">
      <alignment vertical="center" wrapText="1"/>
    </xf>
    <xf numFmtId="10" fontId="2" fillId="3" borderId="0" xfId="0" applyNumberFormat="1" applyFont="1" applyFill="1" applyAlignment="1">
      <alignment vertical="center" wrapText="1"/>
    </xf>
    <xf numFmtId="0" fontId="2" fillId="3" borderId="0" xfId="0" applyFont="1" applyFill="1" applyAlignment="1">
      <alignment vertical="center" wrapText="1"/>
    </xf>
    <xf numFmtId="0" fontId="2" fillId="0" borderId="1" xfId="0" applyFont="1" applyBorder="1" applyAlignment="1">
      <alignment wrapText="1"/>
    </xf>
    <xf numFmtId="0" fontId="6" fillId="0" borderId="1" xfId="0" applyFont="1" applyBorder="1" applyAlignment="1">
      <alignment vertical="center" wrapText="1"/>
    </xf>
    <xf numFmtId="14" fontId="6" fillId="3" borderId="1" xfId="0" applyNumberFormat="1" applyFont="1" applyFill="1" applyBorder="1" applyAlignment="1">
      <alignment horizontal="center" vertical="center" wrapText="1"/>
    </xf>
    <xf numFmtId="0" fontId="2" fillId="3" borderId="0" xfId="0" applyFont="1" applyFill="1" applyAlignment="1">
      <alignment vertical="center" wrapText="1"/>
    </xf>
    <xf numFmtId="0" fontId="2" fillId="0" borderId="1" xfId="0" applyFont="1" applyBorder="1" applyAlignment="1">
      <alignment horizontal="left"/>
    </xf>
    <xf numFmtId="0" fontId="2" fillId="0" borderId="1" xfId="0" applyFont="1" applyBorder="1" applyAlignment="1">
      <alignment horizontal="center"/>
    </xf>
    <xf numFmtId="0" fontId="6" fillId="3" borderId="1" xfId="0" applyFont="1" applyFill="1" applyBorder="1" applyAlignment="1">
      <alignment horizontal="left" wrapText="1"/>
    </xf>
    <xf numFmtId="0" fontId="9" fillId="8" borderId="1" xfId="0" applyFont="1" applyFill="1" applyBorder="1" applyAlignment="1">
      <alignment horizontal="center" vertical="center" wrapText="1"/>
    </xf>
    <xf numFmtId="0" fontId="2" fillId="8" borderId="1" xfId="0" applyFont="1" applyFill="1" applyBorder="1" applyAlignment="1">
      <alignment horizontal="center" vertical="center"/>
    </xf>
    <xf numFmtId="0" fontId="2" fillId="8" borderId="1" xfId="0" applyFont="1" applyFill="1" applyBorder="1" applyAlignment="1">
      <alignment horizontal="center" vertical="center" wrapText="1"/>
    </xf>
    <xf numFmtId="10" fontId="6" fillId="14" borderId="1" xfId="0" applyNumberFormat="1" applyFont="1" applyFill="1" applyBorder="1" applyAlignment="1">
      <alignment vertical="center" wrapText="1"/>
    </xf>
    <xf numFmtId="10" fontId="10" fillId="3" borderId="1" xfId="0" applyNumberFormat="1" applyFont="1" applyFill="1" applyBorder="1" applyAlignment="1">
      <alignment horizontal="center" vertical="center" wrapText="1"/>
    </xf>
    <xf numFmtId="3" fontId="2" fillId="0" borderId="0" xfId="0" applyNumberFormat="1" applyFont="1" applyAlignment="1">
      <alignment vertical="center" wrapText="1"/>
    </xf>
    <xf numFmtId="0" fontId="6" fillId="0" borderId="4" xfId="0" applyFont="1" applyBorder="1" applyAlignment="1">
      <alignment horizontal="center" vertical="center"/>
    </xf>
    <xf numFmtId="0" fontId="2" fillId="3" borderId="1" xfId="0" quotePrefix="1" applyFont="1" applyFill="1" applyBorder="1" applyAlignment="1">
      <alignment horizontal="center" vertical="center" wrapText="1"/>
    </xf>
    <xf numFmtId="10" fontId="6" fillId="3" borderId="2" xfId="0" applyNumberFormat="1" applyFont="1" applyFill="1" applyBorder="1" applyAlignment="1">
      <alignment horizontal="center" vertical="center" wrapText="1"/>
    </xf>
    <xf numFmtId="0" fontId="6" fillId="3" borderId="1" xfId="0" applyFont="1" applyFill="1" applyBorder="1" applyAlignment="1">
      <alignment horizontal="center"/>
    </xf>
    <xf numFmtId="0" fontId="6" fillId="3" borderId="1" xfId="0" applyFont="1" applyFill="1" applyBorder="1" applyAlignment="1">
      <alignment horizontal="center" vertical="center" wrapText="1"/>
    </xf>
    <xf numFmtId="0" fontId="44" fillId="0" borderId="1" xfId="0" applyFont="1" applyBorder="1" applyAlignment="1">
      <alignment horizontal="center" wrapText="1"/>
    </xf>
    <xf numFmtId="0" fontId="45" fillId="0" borderId="1" xfId="0" applyFont="1" applyBorder="1" applyAlignment="1">
      <alignment horizontal="center" vertical="center"/>
    </xf>
    <xf numFmtId="0" fontId="6" fillId="3" borderId="1" xfId="0" applyFont="1" applyFill="1" applyBorder="1" applyAlignment="1">
      <alignment horizontal="center" vertical="center"/>
    </xf>
    <xf numFmtId="14" fontId="46" fillId="0" borderId="13" xfId="0" applyNumberFormat="1" applyFont="1" applyBorder="1" applyAlignment="1">
      <alignment horizontal="center" vertical="center" wrapText="1"/>
    </xf>
    <xf numFmtId="0" fontId="44" fillId="3" borderId="1" xfId="0" applyFont="1" applyFill="1" applyBorder="1" applyAlignment="1">
      <alignment horizontal="center" wrapText="1"/>
    </xf>
    <xf numFmtId="0" fontId="6" fillId="14" borderId="1" xfId="0" applyFont="1" applyFill="1" applyBorder="1" applyAlignment="1">
      <alignment vertical="center" wrapText="1"/>
    </xf>
    <xf numFmtId="49" fontId="47" fillId="0" borderId="6" xfId="0" applyNumberFormat="1" applyFont="1" applyBorder="1" applyAlignment="1">
      <alignment horizontal="center" vertical="center"/>
    </xf>
    <xf numFmtId="0" fontId="48" fillId="22" borderId="1" xfId="0" applyFont="1" applyFill="1" applyBorder="1" applyAlignment="1">
      <alignment horizontal="center"/>
    </xf>
    <xf numFmtId="0" fontId="6" fillId="22" borderId="0" xfId="0" applyFont="1" applyFill="1" applyAlignment="1"/>
    <xf numFmtId="0" fontId="48" fillId="22" borderId="0" xfId="0" applyFont="1" applyFill="1" applyAlignment="1">
      <alignment horizontal="center"/>
    </xf>
    <xf numFmtId="0" fontId="5" fillId="5" borderId="1" xfId="0" applyFont="1" applyFill="1" applyBorder="1" applyAlignment="1">
      <alignment horizontal="center"/>
    </xf>
    <xf numFmtId="0" fontId="6" fillId="5" borderId="1" xfId="0" applyFont="1" applyFill="1" applyBorder="1" applyAlignment="1">
      <alignment horizontal="center"/>
    </xf>
    <xf numFmtId="0" fontId="50" fillId="5" borderId="1" xfId="0" applyFont="1" applyFill="1" applyBorder="1" applyAlignment="1">
      <alignment horizontal="center"/>
    </xf>
    <xf numFmtId="0" fontId="6" fillId="5" borderId="1" xfId="0" applyFont="1" applyFill="1" applyBorder="1" applyAlignment="1">
      <alignment horizontal="center" wrapText="1"/>
    </xf>
    <xf numFmtId="0" fontId="6" fillId="0" borderId="1" xfId="0" applyFont="1" applyBorder="1" applyAlignment="1">
      <alignment horizontal="center"/>
    </xf>
    <xf numFmtId="0" fontId="51" fillId="0" borderId="1" xfId="0" applyFont="1" applyBorder="1" applyAlignment="1">
      <alignment horizontal="center"/>
    </xf>
    <xf numFmtId="0" fontId="6" fillId="3" borderId="1" xfId="0" applyFont="1" applyFill="1" applyBorder="1" applyAlignment="1">
      <alignment horizontal="center" wrapText="1"/>
    </xf>
    <xf numFmtId="0" fontId="52" fillId="0" borderId="1" xfId="0" applyFont="1" applyBorder="1" applyAlignment="1">
      <alignment horizontal="center" vertical="center"/>
    </xf>
    <xf numFmtId="10" fontId="6" fillId="0" borderId="1" xfId="0" applyNumberFormat="1" applyFont="1" applyBorder="1" applyAlignment="1">
      <alignment horizontal="center" vertical="center" wrapText="1"/>
    </xf>
    <xf numFmtId="0" fontId="6" fillId="12" borderId="1" xfId="0" applyFont="1" applyFill="1" applyBorder="1" applyAlignment="1">
      <alignment vertical="center" wrapText="1"/>
    </xf>
    <xf numFmtId="10" fontId="5" fillId="24" borderId="16" xfId="0" applyNumberFormat="1" applyFont="1" applyFill="1" applyBorder="1" applyAlignment="1">
      <alignment horizontal="center" wrapText="1"/>
    </xf>
    <xf numFmtId="0" fontId="5" fillId="24" borderId="17" xfId="0" applyFont="1" applyFill="1" applyBorder="1" applyAlignment="1">
      <alignment horizontal="center" wrapText="1"/>
    </xf>
    <xf numFmtId="0" fontId="5" fillId="24" borderId="18" xfId="0" applyFont="1" applyFill="1" applyBorder="1" applyAlignment="1">
      <alignment horizontal="center" wrapText="1"/>
    </xf>
    <xf numFmtId="3" fontId="5" fillId="24" borderId="18" xfId="0" applyNumberFormat="1" applyFont="1" applyFill="1" applyBorder="1" applyAlignment="1">
      <alignment horizontal="center" wrapText="1"/>
    </xf>
    <xf numFmtId="10" fontId="5" fillId="24" borderId="18" xfId="0" applyNumberFormat="1" applyFont="1" applyFill="1" applyBorder="1" applyAlignment="1">
      <alignment horizontal="center" wrapText="1"/>
    </xf>
    <xf numFmtId="0" fontId="5" fillId="24" borderId="19" xfId="0" applyFont="1" applyFill="1" applyBorder="1" applyAlignment="1">
      <alignment horizontal="center" wrapText="1"/>
    </xf>
    <xf numFmtId="0" fontId="5" fillId="24" borderId="20" xfId="0" applyFont="1" applyFill="1" applyBorder="1" applyAlignment="1">
      <alignment horizontal="center" wrapText="1"/>
    </xf>
    <xf numFmtId="0" fontId="6" fillId="25" borderId="21" xfId="0" applyFont="1" applyFill="1" applyBorder="1" applyAlignment="1">
      <alignment horizontal="center"/>
    </xf>
    <xf numFmtId="3" fontId="6" fillId="26" borderId="10" xfId="0" applyNumberFormat="1" applyFont="1" applyFill="1" applyBorder="1" applyAlignment="1">
      <alignment horizontal="center" wrapText="1"/>
    </xf>
    <xf numFmtId="3" fontId="6" fillId="26" borderId="1" xfId="0" applyNumberFormat="1" applyFont="1" applyFill="1" applyBorder="1" applyAlignment="1">
      <alignment horizontal="center" wrapText="1"/>
    </xf>
    <xf numFmtId="3" fontId="6" fillId="26" borderId="1" xfId="0" applyNumberFormat="1" applyFont="1" applyFill="1" applyBorder="1" applyAlignment="1">
      <alignment horizontal="center" wrapText="1"/>
    </xf>
    <xf numFmtId="3" fontId="6" fillId="26" borderId="1" xfId="0" applyNumberFormat="1" applyFont="1" applyFill="1" applyBorder="1" applyAlignment="1">
      <alignment horizontal="center"/>
    </xf>
    <xf numFmtId="3" fontId="6" fillId="26" borderId="1" xfId="0" applyNumberFormat="1" applyFont="1" applyFill="1" applyBorder="1" applyAlignment="1">
      <alignment horizontal="center"/>
    </xf>
    <xf numFmtId="3" fontId="6" fillId="26" borderId="8" xfId="0" applyNumberFormat="1" applyFont="1" applyFill="1" applyBorder="1" applyAlignment="1">
      <alignment horizontal="center"/>
    </xf>
    <xf numFmtId="3" fontId="5" fillId="26" borderId="8" xfId="0" applyNumberFormat="1" applyFont="1" applyFill="1" applyBorder="1" applyAlignment="1">
      <alignment horizontal="center" wrapText="1"/>
    </xf>
    <xf numFmtId="3" fontId="5" fillId="26" borderId="22" xfId="0" applyNumberFormat="1" applyFont="1" applyFill="1" applyBorder="1" applyAlignment="1">
      <alignment horizontal="center" wrapText="1"/>
    </xf>
    <xf numFmtId="3" fontId="6" fillId="26" borderId="8" xfId="0" applyNumberFormat="1" applyFont="1" applyFill="1" applyBorder="1" applyAlignment="1">
      <alignment horizontal="center" wrapText="1"/>
    </xf>
    <xf numFmtId="3" fontId="6" fillId="26" borderId="8" xfId="0" applyNumberFormat="1" applyFont="1" applyFill="1" applyBorder="1" applyAlignment="1">
      <alignment horizontal="center"/>
    </xf>
    <xf numFmtId="0" fontId="6" fillId="25" borderId="23" xfId="0" applyFont="1" applyFill="1" applyBorder="1" applyAlignment="1">
      <alignment horizontal="center"/>
    </xf>
    <xf numFmtId="3" fontId="6" fillId="26" borderId="2" xfId="0" applyNumberFormat="1" applyFont="1" applyFill="1" applyBorder="1" applyAlignment="1">
      <alignment horizontal="center" wrapText="1"/>
    </xf>
    <xf numFmtId="3" fontId="6" fillId="26" borderId="2" xfId="0" applyNumberFormat="1" applyFont="1" applyFill="1" applyBorder="1" applyAlignment="1">
      <alignment horizontal="center"/>
    </xf>
    <xf numFmtId="3" fontId="6" fillId="26" borderId="2" xfId="0" applyNumberFormat="1" applyFont="1" applyFill="1" applyBorder="1" applyAlignment="1">
      <alignment horizontal="center" wrapText="1"/>
    </xf>
    <xf numFmtId="3" fontId="6" fillId="26" borderId="2" xfId="0" applyNumberFormat="1" applyFont="1" applyFill="1" applyBorder="1" applyAlignment="1">
      <alignment horizontal="center"/>
    </xf>
    <xf numFmtId="3" fontId="6" fillId="26" borderId="11" xfId="0" applyNumberFormat="1" applyFont="1" applyFill="1" applyBorder="1" applyAlignment="1">
      <alignment horizontal="center"/>
    </xf>
    <xf numFmtId="3" fontId="6" fillId="26" borderId="11" xfId="0" applyNumberFormat="1" applyFont="1" applyFill="1" applyBorder="1" applyAlignment="1">
      <alignment horizontal="center"/>
    </xf>
    <xf numFmtId="3" fontId="6" fillId="26" borderId="12" xfId="0" applyNumberFormat="1" applyFont="1" applyFill="1" applyBorder="1" applyAlignment="1">
      <alignment horizontal="center" wrapText="1"/>
    </xf>
    <xf numFmtId="10" fontId="5" fillId="26" borderId="24" xfId="0" applyNumberFormat="1" applyFont="1" applyFill="1" applyBorder="1" applyAlignment="1">
      <alignment horizontal="center" wrapText="1"/>
    </xf>
    <xf numFmtId="3" fontId="5" fillId="26" borderId="25" xfId="0" applyNumberFormat="1" applyFont="1" applyFill="1" applyBorder="1" applyAlignment="1">
      <alignment horizontal="center" wrapText="1"/>
    </xf>
    <xf numFmtId="3" fontId="5" fillId="26" borderId="26" xfId="0" applyNumberFormat="1" applyFont="1" applyFill="1" applyBorder="1" applyAlignment="1">
      <alignment horizontal="center" wrapText="1"/>
    </xf>
    <xf numFmtId="3" fontId="6" fillId="14" borderId="1" xfId="0" applyNumberFormat="1" applyFont="1" applyFill="1" applyBorder="1" applyAlignment="1">
      <alignment horizontal="center"/>
    </xf>
    <xf numFmtId="10" fontId="6" fillId="14" borderId="1" xfId="0" applyNumberFormat="1" applyFont="1" applyFill="1" applyBorder="1" applyAlignment="1">
      <alignment horizontal="center" vertical="center" wrapText="1"/>
    </xf>
    <xf numFmtId="3" fontId="6" fillId="14" borderId="1" xfId="0" applyNumberFormat="1" applyFont="1" applyFill="1" applyBorder="1" applyAlignment="1">
      <alignment horizontal="center" vertical="center" wrapText="1"/>
    </xf>
    <xf numFmtId="0" fontId="2" fillId="14" borderId="1" xfId="0" applyFont="1" applyFill="1" applyBorder="1" applyAlignment="1">
      <alignment horizontal="center" vertical="center"/>
    </xf>
    <xf numFmtId="14" fontId="6" fillId="14" borderId="1" xfId="0" applyNumberFormat="1" applyFont="1" applyFill="1" applyBorder="1" applyAlignment="1">
      <alignment horizontal="center" vertical="center" wrapText="1"/>
    </xf>
    <xf numFmtId="0" fontId="6" fillId="14" borderId="1" xfId="0" applyFont="1" applyFill="1" applyBorder="1" applyAlignment="1">
      <alignment horizontal="center" vertical="center" wrapText="1"/>
    </xf>
    <xf numFmtId="0" fontId="6" fillId="14" borderId="1" xfId="0" applyFont="1" applyFill="1" applyBorder="1" applyAlignment="1">
      <alignment horizontal="center" vertical="center"/>
    </xf>
    <xf numFmtId="0" fontId="6" fillId="14" borderId="1" xfId="0" applyFont="1" applyFill="1" applyBorder="1" applyAlignment="1">
      <alignment horizontal="center" vertical="center"/>
    </xf>
    <xf numFmtId="0" fontId="2" fillId="14" borderId="1" xfId="0" applyFont="1" applyFill="1" applyBorder="1"/>
    <xf numFmtId="10" fontId="5" fillId="27" borderId="21" xfId="0" applyNumberFormat="1" applyFont="1" applyFill="1" applyBorder="1" applyAlignment="1">
      <alignment horizontal="center"/>
    </xf>
    <xf numFmtId="10" fontId="5" fillId="27" borderId="1" xfId="0" applyNumberFormat="1" applyFont="1" applyFill="1" applyBorder="1" applyAlignment="1">
      <alignment horizontal="center"/>
    </xf>
    <xf numFmtId="10" fontId="5" fillId="27" borderId="22" xfId="0" applyNumberFormat="1" applyFont="1" applyFill="1" applyBorder="1" applyAlignment="1">
      <alignment horizontal="center"/>
    </xf>
    <xf numFmtId="10" fontId="6" fillId="19" borderId="21" xfId="0" applyNumberFormat="1" applyFont="1" applyFill="1" applyBorder="1" applyAlignment="1"/>
    <xf numFmtId="3" fontId="6" fillId="19" borderId="1" xfId="0" applyNumberFormat="1" applyFont="1" applyFill="1" applyBorder="1" applyAlignment="1">
      <alignment horizontal="center"/>
    </xf>
    <xf numFmtId="3" fontId="6" fillId="19" borderId="22" xfId="0" applyNumberFormat="1" applyFont="1" applyFill="1" applyBorder="1" applyAlignment="1">
      <alignment horizontal="center"/>
    </xf>
    <xf numFmtId="0" fontId="54" fillId="14" borderId="1" xfId="0" applyFont="1" applyFill="1" applyBorder="1" applyAlignment="1">
      <alignment horizontal="center" vertical="center"/>
    </xf>
    <xf numFmtId="10" fontId="6" fillId="19" borderId="21" xfId="0" applyNumberFormat="1" applyFont="1" applyFill="1" applyBorder="1" applyAlignment="1">
      <alignment horizontal="left"/>
    </xf>
    <xf numFmtId="10" fontId="5" fillId="28" borderId="24" xfId="0" applyNumberFormat="1" applyFont="1" applyFill="1" applyBorder="1" applyAlignment="1"/>
    <xf numFmtId="3" fontId="5" fillId="28" borderId="26" xfId="0" applyNumberFormat="1" applyFont="1" applyFill="1" applyBorder="1" applyAlignment="1">
      <alignment horizontal="center"/>
    </xf>
    <xf numFmtId="3" fontId="5" fillId="28" borderId="30" xfId="0" applyNumberFormat="1" applyFont="1" applyFill="1" applyBorder="1" applyAlignment="1">
      <alignment horizontal="center"/>
    </xf>
    <xf numFmtId="3" fontId="6" fillId="3" borderId="1" xfId="0" applyNumberFormat="1" applyFont="1" applyFill="1" applyBorder="1" applyAlignment="1">
      <alignment horizontal="center" vertical="center"/>
    </xf>
    <xf numFmtId="0" fontId="3" fillId="3" borderId="0" xfId="0" applyFont="1" applyFill="1" applyAlignment="1">
      <alignment horizontal="center" vertical="center"/>
    </xf>
    <xf numFmtId="0" fontId="3" fillId="17" borderId="0" xfId="0" applyFont="1" applyFill="1" applyAlignment="1">
      <alignment horizontal="center" vertical="center"/>
    </xf>
    <xf numFmtId="0" fontId="3" fillId="29" borderId="1" xfId="0" applyFont="1" applyFill="1" applyBorder="1" applyAlignment="1">
      <alignment horizontal="center"/>
    </xf>
    <xf numFmtId="0" fontId="3" fillId="29" borderId="1" xfId="0" applyFont="1" applyFill="1" applyBorder="1" applyAlignment="1">
      <alignment horizontal="center" vertical="center"/>
    </xf>
    <xf numFmtId="0" fontId="3" fillId="29" borderId="1" xfId="0" applyFont="1" applyFill="1" applyBorder="1" applyAlignment="1">
      <alignment horizontal="center" vertical="center" wrapText="1"/>
    </xf>
    <xf numFmtId="10" fontId="2" fillId="0" borderId="1" xfId="0" applyNumberFormat="1" applyFont="1" applyBorder="1" applyAlignment="1">
      <alignment horizontal="center"/>
    </xf>
    <xf numFmtId="0" fontId="2" fillId="14" borderId="1" xfId="0" applyFont="1" applyFill="1" applyBorder="1" applyAlignment="1">
      <alignment horizontal="center"/>
    </xf>
    <xf numFmtId="0" fontId="2" fillId="14" borderId="1" xfId="0" applyFont="1" applyFill="1" applyBorder="1" applyAlignment="1">
      <alignment horizontal="center"/>
    </xf>
    <xf numFmtId="173" fontId="2" fillId="0" borderId="1" xfId="0" applyNumberFormat="1" applyFont="1" applyBorder="1" applyAlignment="1">
      <alignment horizontal="center"/>
    </xf>
    <xf numFmtId="10" fontId="2" fillId="0" borderId="0" xfId="0" applyNumberFormat="1" applyFont="1" applyAlignment="1"/>
    <xf numFmtId="0" fontId="2" fillId="5" borderId="1" xfId="0" applyFont="1" applyFill="1" applyBorder="1" applyAlignment="1">
      <alignment horizontal="center"/>
    </xf>
    <xf numFmtId="0" fontId="2" fillId="5" borderId="1" xfId="0" applyFont="1" applyFill="1" applyBorder="1" applyAlignment="1">
      <alignment horizontal="center"/>
    </xf>
    <xf numFmtId="0" fontId="2" fillId="0" borderId="0" xfId="0" applyFont="1" applyAlignment="1">
      <alignment horizontal="center"/>
    </xf>
    <xf numFmtId="0" fontId="2" fillId="0" borderId="0" xfId="0" applyFont="1" applyAlignment="1">
      <alignment wrapText="1"/>
    </xf>
    <xf numFmtId="0" fontId="6" fillId="0" borderId="1" xfId="0" applyFont="1" applyBorder="1" applyAlignment="1">
      <alignment horizontal="center" vertical="center"/>
    </xf>
    <xf numFmtId="0" fontId="6" fillId="0" borderId="1" xfId="0" applyFont="1" applyBorder="1" applyAlignment="1">
      <alignment horizontal="center" vertical="center"/>
    </xf>
    <xf numFmtId="0" fontId="6" fillId="8" borderId="1" xfId="0" applyFont="1" applyFill="1" applyBorder="1" applyAlignment="1">
      <alignment vertical="center" wrapText="1"/>
    </xf>
    <xf numFmtId="0" fontId="1" fillId="2" borderId="4" xfId="0" applyFont="1" applyFill="1" applyBorder="1" applyAlignment="1">
      <alignment horizontal="center" vertical="center" wrapText="1"/>
    </xf>
    <xf numFmtId="3" fontId="1" fillId="31" borderId="0" xfId="0" applyNumberFormat="1" applyFont="1" applyFill="1" applyAlignment="1">
      <alignment horizontal="left" vertical="center"/>
    </xf>
    <xf numFmtId="174" fontId="2" fillId="3" borderId="1" xfId="0" applyNumberFormat="1" applyFont="1" applyFill="1" applyBorder="1" applyAlignment="1">
      <alignment horizontal="center" vertical="center"/>
    </xf>
    <xf numFmtId="0" fontId="6" fillId="0" borderId="0" xfId="0" applyFont="1" applyAlignment="1"/>
    <xf numFmtId="0" fontId="48" fillId="29" borderId="1" xfId="0" applyFont="1" applyFill="1" applyBorder="1" applyAlignment="1">
      <alignment horizontal="center"/>
    </xf>
    <xf numFmtId="0" fontId="48" fillId="29" borderId="1" xfId="0" applyFont="1" applyFill="1" applyBorder="1" applyAlignment="1">
      <alignment horizontal="center"/>
    </xf>
    <xf numFmtId="0" fontId="48" fillId="29" borderId="1" xfId="0" applyFont="1" applyFill="1" applyBorder="1" applyAlignment="1">
      <alignment horizontal="center" wrapText="1"/>
    </xf>
    <xf numFmtId="173" fontId="6" fillId="0" borderId="1" xfId="0" applyNumberFormat="1" applyFont="1" applyBorder="1" applyAlignment="1">
      <alignment horizontal="center"/>
    </xf>
    <xf numFmtId="0" fontId="6" fillId="0" borderId="2" xfId="0" applyFont="1" applyBorder="1" applyAlignment="1">
      <alignment horizontal="center"/>
    </xf>
    <xf numFmtId="0" fontId="6" fillId="0" borderId="2" xfId="0" applyFont="1" applyBorder="1" applyAlignment="1">
      <alignment horizontal="center"/>
    </xf>
    <xf numFmtId="0" fontId="6" fillId="0" borderId="1" xfId="0" applyFont="1" applyBorder="1" applyAlignment="1"/>
    <xf numFmtId="0" fontId="10" fillId="14" borderId="1" xfId="0" applyFont="1" applyFill="1" applyBorder="1" applyAlignment="1">
      <alignment horizontal="center" vertical="center" wrapText="1"/>
    </xf>
    <xf numFmtId="0" fontId="1" fillId="31" borderId="1" xfId="0" applyFont="1" applyFill="1" applyBorder="1" applyAlignment="1">
      <alignment horizontal="center"/>
    </xf>
    <xf numFmtId="0" fontId="2" fillId="14" borderId="0" xfId="0" applyFont="1" applyFill="1"/>
    <xf numFmtId="0" fontId="10" fillId="14" borderId="0" xfId="0" applyFont="1" applyFill="1" applyAlignment="1">
      <alignment horizontal="center" vertical="center" wrapText="1"/>
    </xf>
    <xf numFmtId="0" fontId="1" fillId="24" borderId="1" xfId="0" applyFont="1" applyFill="1" applyBorder="1" applyAlignment="1">
      <alignment horizontal="center"/>
    </xf>
    <xf numFmtId="172" fontId="2" fillId="0" borderId="1" xfId="0" applyNumberFormat="1" applyFont="1" applyBorder="1" applyAlignment="1">
      <alignment horizontal="center"/>
    </xf>
    <xf numFmtId="170" fontId="2" fillId="0" borderId="1" xfId="0" applyNumberFormat="1" applyFont="1" applyBorder="1" applyAlignment="1"/>
    <xf numFmtId="0" fontId="2" fillId="2" borderId="1" xfId="0" applyFont="1" applyFill="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3" fillId="3" borderId="1" xfId="0" applyFont="1" applyFill="1" applyBorder="1" applyAlignment="1">
      <alignment vertical="center"/>
    </xf>
    <xf numFmtId="165" fontId="2" fillId="0" borderId="0" xfId="0" applyNumberFormat="1" applyFont="1" applyAlignment="1"/>
    <xf numFmtId="166" fontId="14" fillId="3" borderId="1" xfId="0" applyNumberFormat="1" applyFont="1" applyFill="1" applyBorder="1" applyAlignment="1">
      <alignment horizontal="left" vertical="center"/>
    </xf>
    <xf numFmtId="167" fontId="13" fillId="3" borderId="1" xfId="0" applyNumberFormat="1" applyFont="1" applyFill="1" applyBorder="1" applyAlignment="1">
      <alignment horizontal="left" vertical="center"/>
    </xf>
    <xf numFmtId="170" fontId="6" fillId="0" borderId="1" xfId="0" applyNumberFormat="1" applyFont="1" applyBorder="1" applyAlignment="1">
      <alignment horizontal="center" vertical="center" wrapText="1"/>
    </xf>
    <xf numFmtId="0" fontId="14" fillId="3" borderId="1" xfId="0" applyFont="1" applyFill="1" applyBorder="1" applyAlignment="1">
      <alignment horizontal="left" vertical="center"/>
    </xf>
    <xf numFmtId="0" fontId="2" fillId="3" borderId="1" xfId="0" applyFont="1" applyFill="1" applyBorder="1"/>
    <xf numFmtId="168" fontId="2" fillId="3" borderId="1" xfId="0" applyNumberFormat="1" applyFont="1" applyFill="1" applyBorder="1" applyAlignment="1">
      <alignment wrapText="1"/>
    </xf>
    <xf numFmtId="168" fontId="2" fillId="0" borderId="1" xfId="0" applyNumberFormat="1" applyFont="1" applyBorder="1" applyAlignment="1">
      <alignment wrapText="1"/>
    </xf>
    <xf numFmtId="22" fontId="2" fillId="0" borderId="1" xfId="0" applyNumberFormat="1" applyFont="1" applyBorder="1" applyAlignment="1"/>
    <xf numFmtId="0" fontId="2" fillId="31" borderId="1" xfId="0" applyFont="1" applyFill="1" applyBorder="1" applyAlignment="1"/>
    <xf numFmtId="0" fontId="2" fillId="24" borderId="0" xfId="0" applyFont="1" applyFill="1" applyAlignment="1"/>
    <xf numFmtId="164" fontId="2" fillId="0" borderId="1" xfId="0" applyNumberFormat="1" applyFont="1" applyBorder="1" applyAlignment="1"/>
    <xf numFmtId="0" fontId="1" fillId="3" borderId="1" xfId="0" applyFont="1" applyFill="1" applyBorder="1" applyAlignment="1">
      <alignment horizontal="center" vertical="center"/>
    </xf>
    <xf numFmtId="0" fontId="1" fillId="0" borderId="1" xfId="0" applyFont="1" applyBorder="1" applyAlignment="1">
      <alignment horizontal="center" vertical="center"/>
    </xf>
    <xf numFmtId="175" fontId="13" fillId="3" borderId="1" xfId="0" applyNumberFormat="1" applyFont="1" applyFill="1" applyBorder="1" applyAlignment="1">
      <alignment horizontal="center" vertical="center"/>
    </xf>
    <xf numFmtId="170" fontId="15" fillId="3" borderId="1" xfId="0" applyNumberFormat="1" applyFont="1" applyFill="1" applyBorder="1" applyAlignment="1">
      <alignment horizontal="center" vertical="center"/>
    </xf>
    <xf numFmtId="170" fontId="57" fillId="3" borderId="1" xfId="0" applyNumberFormat="1" applyFont="1" applyFill="1" applyBorder="1" applyAlignment="1">
      <alignment horizontal="center"/>
    </xf>
    <xf numFmtId="0" fontId="2" fillId="3" borderId="1" xfId="0" applyFont="1" applyFill="1" applyBorder="1" applyAlignment="1">
      <alignment vertical="center"/>
    </xf>
    <xf numFmtId="0" fontId="58" fillId="0" borderId="0" xfId="0" applyFont="1" applyAlignment="1"/>
    <xf numFmtId="170" fontId="2" fillId="3" borderId="1" xfId="0" applyNumberFormat="1" applyFont="1" applyFill="1" applyBorder="1" applyAlignment="1">
      <alignment horizontal="center" vertical="center"/>
    </xf>
    <xf numFmtId="0" fontId="59" fillId="3" borderId="0" xfId="0" applyFont="1" applyFill="1" applyAlignment="1">
      <alignment horizontal="left" wrapText="1"/>
    </xf>
    <xf numFmtId="166" fontId="2" fillId="0" borderId="0" xfId="0" applyNumberFormat="1" applyFont="1" applyAlignment="1"/>
    <xf numFmtId="170" fontId="57" fillId="3" borderId="0" xfId="0" applyNumberFormat="1" applyFont="1" applyFill="1" applyAlignment="1">
      <alignment horizontal="center"/>
    </xf>
    <xf numFmtId="0" fontId="2" fillId="3" borderId="1" xfId="0" applyFont="1" applyFill="1" applyBorder="1" applyAlignment="1">
      <alignment wrapText="1"/>
    </xf>
    <xf numFmtId="170" fontId="57" fillId="33" borderId="1" xfId="0" applyNumberFormat="1" applyFont="1" applyFill="1" applyBorder="1" applyAlignment="1">
      <alignment horizontal="center"/>
    </xf>
    <xf numFmtId="0" fontId="60" fillId="33" borderId="1" xfId="0" applyFont="1" applyFill="1" applyBorder="1" applyAlignment="1">
      <alignment horizontal="center"/>
    </xf>
    <xf numFmtId="0" fontId="60" fillId="3" borderId="1" xfId="0" applyFont="1" applyFill="1" applyBorder="1" applyAlignment="1">
      <alignment horizontal="center"/>
    </xf>
    <xf numFmtId="0" fontId="61" fillId="3" borderId="0" xfId="0" applyFont="1" applyFill="1" applyAlignment="1">
      <alignment horizontal="left"/>
    </xf>
    <xf numFmtId="0" fontId="2" fillId="3" borderId="0" xfId="0" applyFont="1" applyFill="1" applyAlignment="1">
      <alignment horizontal="center" vertical="center"/>
    </xf>
    <xf numFmtId="0" fontId="2" fillId="3" borderId="0" xfId="0" applyFont="1" applyFill="1" applyAlignment="1">
      <alignment horizontal="center" vertical="center"/>
    </xf>
    <xf numFmtId="10" fontId="6" fillId="0" borderId="1" xfId="0" applyNumberFormat="1" applyFont="1" applyBorder="1"/>
    <xf numFmtId="14" fontId="6" fillId="3" borderId="1" xfId="0" applyNumberFormat="1" applyFont="1" applyFill="1" applyBorder="1" applyAlignment="1">
      <alignment horizontal="center"/>
    </xf>
    <xf numFmtId="0" fontId="2" fillId="0" borderId="10" xfId="0" applyFont="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xf>
    <xf numFmtId="14" fontId="2" fillId="5" borderId="1" xfId="0" applyNumberFormat="1" applyFont="1" applyFill="1" applyBorder="1" applyAlignment="1">
      <alignment horizontal="center" vertical="center"/>
    </xf>
    <xf numFmtId="165" fontId="46" fillId="5" borderId="31" xfId="0" applyNumberFormat="1" applyFont="1" applyFill="1" applyBorder="1" applyAlignment="1">
      <alignment horizontal="center" vertical="center" wrapText="1"/>
    </xf>
    <xf numFmtId="0" fontId="2" fillId="5" borderId="1" xfId="0" applyFont="1" applyFill="1" applyBorder="1" applyAlignment="1">
      <alignment wrapText="1"/>
    </xf>
    <xf numFmtId="0" fontId="13" fillId="5" borderId="0" xfId="0" applyFont="1" applyFill="1" applyAlignment="1">
      <alignment horizontal="center" vertical="center"/>
    </xf>
    <xf numFmtId="0" fontId="13" fillId="5" borderId="1" xfId="0" applyFont="1" applyFill="1" applyBorder="1" applyAlignment="1">
      <alignment horizontal="center" vertical="center"/>
    </xf>
    <xf numFmtId="0" fontId="2" fillId="5" borderId="0" xfId="0" applyFont="1" applyFill="1"/>
    <xf numFmtId="166" fontId="14" fillId="5" borderId="1" xfId="0" applyNumberFormat="1" applyFont="1" applyFill="1" applyBorder="1" applyAlignment="1">
      <alignment horizontal="left" vertical="center"/>
    </xf>
    <xf numFmtId="166" fontId="14" fillId="5" borderId="1" xfId="0" applyNumberFormat="1" applyFont="1" applyFill="1" applyBorder="1" applyAlignment="1">
      <alignment horizontal="center" vertical="center"/>
    </xf>
    <xf numFmtId="0" fontId="2" fillId="5" borderId="1" xfId="0" applyFont="1" applyFill="1" applyBorder="1" applyAlignment="1"/>
    <xf numFmtId="166" fontId="2" fillId="5" borderId="1" xfId="0" applyNumberFormat="1" applyFont="1" applyFill="1" applyBorder="1" applyAlignment="1"/>
    <xf numFmtId="166" fontId="2" fillId="5" borderId="1" xfId="0" applyNumberFormat="1" applyFont="1" applyFill="1" applyBorder="1" applyAlignment="1">
      <alignment horizontal="center" vertical="center"/>
    </xf>
    <xf numFmtId="168" fontId="2" fillId="5" borderId="1" xfId="0" applyNumberFormat="1" applyFont="1" applyFill="1" applyBorder="1" applyAlignment="1">
      <alignment wrapText="1"/>
    </xf>
    <xf numFmtId="168" fontId="2" fillId="5" borderId="1" xfId="0" applyNumberFormat="1" applyFont="1" applyFill="1" applyBorder="1" applyAlignment="1">
      <alignment horizontal="center" vertical="center" wrapText="1"/>
    </xf>
    <xf numFmtId="22" fontId="2" fillId="5" borderId="1" xfId="0" applyNumberFormat="1" applyFont="1" applyFill="1" applyBorder="1" applyAlignment="1"/>
    <xf numFmtId="22" fontId="2" fillId="5" borderId="1" xfId="0" applyNumberFormat="1" applyFont="1" applyFill="1" applyBorder="1" applyAlignment="1">
      <alignment horizontal="center" vertical="center"/>
    </xf>
    <xf numFmtId="0" fontId="2" fillId="5" borderId="1" xfId="0" applyFont="1" applyFill="1" applyBorder="1"/>
    <xf numFmtId="0" fontId="2" fillId="5" borderId="1" xfId="0" applyFont="1" applyFill="1" applyBorder="1" applyAlignment="1">
      <alignment horizontal="center" vertical="center"/>
    </xf>
    <xf numFmtId="168" fontId="2" fillId="5" borderId="1" xfId="0" applyNumberFormat="1" applyFont="1" applyFill="1" applyBorder="1" applyAlignment="1"/>
    <xf numFmtId="168" fontId="2" fillId="5" borderId="1" xfId="0" applyNumberFormat="1" applyFont="1" applyFill="1" applyBorder="1" applyAlignment="1">
      <alignment horizontal="center" vertical="center"/>
    </xf>
    <xf numFmtId="170" fontId="2" fillId="5" borderId="1" xfId="0" applyNumberFormat="1" applyFont="1" applyFill="1" applyBorder="1" applyAlignment="1">
      <alignment horizontal="center" vertical="center"/>
    </xf>
    <xf numFmtId="49" fontId="2" fillId="5"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49" fontId="62" fillId="5" borderId="1" xfId="0" applyNumberFormat="1" applyFont="1" applyFill="1" applyBorder="1" applyAlignment="1">
      <alignment horizontal="center" vertical="center"/>
    </xf>
    <xf numFmtId="0" fontId="63"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1" xfId="0" applyFont="1" applyFill="1" applyBorder="1" applyAlignment="1">
      <alignment vertical="center" wrapText="1"/>
    </xf>
    <xf numFmtId="0" fontId="64" fillId="5" borderId="1" xfId="0" applyFont="1" applyFill="1" applyBorder="1" applyAlignment="1">
      <alignment horizontal="center"/>
    </xf>
    <xf numFmtId="0" fontId="2" fillId="34" borderId="1" xfId="0" applyFont="1" applyFill="1" applyBorder="1" applyAlignment="1">
      <alignment horizontal="center"/>
    </xf>
    <xf numFmtId="174" fontId="6" fillId="3" borderId="1" xfId="0" applyNumberFormat="1" applyFont="1" applyFill="1" applyBorder="1" applyAlignment="1">
      <alignment horizontal="center" vertical="center"/>
    </xf>
    <xf numFmtId="10" fontId="10" fillId="5"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xf>
    <xf numFmtId="0" fontId="65" fillId="5" borderId="1" xfId="0" applyFont="1" applyFill="1" applyBorder="1" applyAlignment="1">
      <alignment horizontal="center" vertical="center"/>
    </xf>
    <xf numFmtId="0" fontId="2" fillId="35" borderId="1" xfId="0" applyFont="1" applyFill="1" applyBorder="1" applyAlignment="1">
      <alignment horizontal="center"/>
    </xf>
    <xf numFmtId="0" fontId="6" fillId="36" borderId="1" xfId="0" applyFont="1" applyFill="1" applyBorder="1" applyAlignment="1">
      <alignment vertical="center" wrapText="1"/>
    </xf>
    <xf numFmtId="0" fontId="66" fillId="5" borderId="1" xfId="0" applyFont="1" applyFill="1" applyBorder="1" applyAlignment="1">
      <alignment horizontal="center" vertical="center"/>
    </xf>
    <xf numFmtId="166" fontId="2" fillId="3" borderId="1" xfId="0" applyNumberFormat="1" applyFont="1" applyFill="1" applyBorder="1" applyAlignment="1"/>
    <xf numFmtId="0" fontId="2" fillId="31" borderId="1" xfId="0" applyFont="1" applyFill="1" applyBorder="1" applyAlignment="1">
      <alignment horizontal="center" vertical="center"/>
    </xf>
    <xf numFmtId="0" fontId="6" fillId="14" borderId="1" xfId="0" applyFont="1" applyFill="1" applyBorder="1" applyAlignment="1">
      <alignment horizontal="center" vertical="center" wrapText="1"/>
    </xf>
    <xf numFmtId="166" fontId="2" fillId="0" borderId="1" xfId="0" applyNumberFormat="1" applyFont="1" applyBorder="1" applyAlignment="1"/>
    <xf numFmtId="0" fontId="2" fillId="0" borderId="0" xfId="0"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horizontal="center" vertical="center" wrapText="1"/>
    </xf>
    <xf numFmtId="164" fontId="2" fillId="3" borderId="0" xfId="0" applyNumberFormat="1" applyFont="1" applyFill="1" applyAlignment="1">
      <alignment horizontal="center" vertical="center"/>
    </xf>
    <xf numFmtId="0" fontId="22" fillId="0" borderId="0" xfId="0" applyFont="1" applyAlignment="1">
      <alignment horizontal="center"/>
    </xf>
    <xf numFmtId="0" fontId="1" fillId="11" borderId="0" xfId="0" applyFont="1" applyFill="1" applyAlignment="1">
      <alignment horizontal="center" vertical="center" wrapText="1"/>
    </xf>
    <xf numFmtId="0" fontId="10" fillId="0" borderId="1" xfId="0" applyFont="1" applyBorder="1" applyAlignment="1">
      <alignment horizontal="center" vertical="center"/>
    </xf>
    <xf numFmtId="0" fontId="61" fillId="3" borderId="1" xfId="0" applyFont="1" applyFill="1" applyBorder="1" applyAlignment="1">
      <alignment horizontal="center" wrapText="1"/>
    </xf>
    <xf numFmtId="0" fontId="2" fillId="0" borderId="1" xfId="0" applyFont="1" applyBorder="1" applyAlignment="1">
      <alignment horizontal="left" wrapText="1"/>
    </xf>
    <xf numFmtId="0" fontId="2" fillId="0" borderId="4" xfId="0" applyFont="1" applyBorder="1" applyAlignment="1">
      <alignment horizontal="center" vertical="center"/>
    </xf>
    <xf numFmtId="0" fontId="67" fillId="0" borderId="1" xfId="0" applyFont="1" applyBorder="1" applyAlignment="1">
      <alignment horizontal="center" vertical="center"/>
    </xf>
    <xf numFmtId="0" fontId="2" fillId="0" borderId="0" xfId="0" applyFont="1" applyAlignment="1">
      <alignment horizontal="center" vertical="center"/>
    </xf>
    <xf numFmtId="0" fontId="1" fillId="3" borderId="0" xfId="0" applyFont="1" applyFill="1" applyAlignment="1">
      <alignment horizontal="center"/>
    </xf>
    <xf numFmtId="0" fontId="2" fillId="33" borderId="1" xfId="0" applyFont="1" applyFill="1" applyBorder="1" applyAlignment="1">
      <alignment horizontal="center" vertical="center"/>
    </xf>
    <xf numFmtId="0" fontId="6" fillId="36" borderId="1" xfId="0" applyFont="1" applyFill="1" applyBorder="1" applyAlignment="1">
      <alignment vertical="center" wrapText="1"/>
    </xf>
    <xf numFmtId="0" fontId="1" fillId="0" borderId="1" xfId="0" applyFont="1" applyBorder="1" applyAlignment="1">
      <alignment horizontal="center" vertical="center" wrapText="1"/>
    </xf>
    <xf numFmtId="0" fontId="1" fillId="3" borderId="0" xfId="0" applyFont="1" applyFill="1" applyAlignment="1"/>
    <xf numFmtId="0" fontId="68" fillId="0" borderId="0" xfId="0" applyFont="1" applyAlignment="1"/>
    <xf numFmtId="0" fontId="14" fillId="0" borderId="0" xfId="0" applyFont="1" applyAlignment="1"/>
    <xf numFmtId="0" fontId="69" fillId="0" borderId="0" xfId="0" applyFont="1" applyAlignment="1"/>
    <xf numFmtId="0" fontId="70" fillId="2" borderId="1" xfId="0" applyFont="1" applyFill="1" applyBorder="1" applyAlignment="1">
      <alignment horizontal="center" wrapText="1"/>
    </xf>
    <xf numFmtId="0" fontId="70" fillId="22" borderId="0" xfId="0" applyFont="1" applyFill="1" applyAlignment="1">
      <alignment horizontal="center" wrapText="1"/>
    </xf>
    <xf numFmtId="0" fontId="70" fillId="22" borderId="0" xfId="0" applyFont="1" applyFill="1" applyAlignment="1">
      <alignment horizontal="center"/>
    </xf>
    <xf numFmtId="0" fontId="6" fillId="0" borderId="1" xfId="0" applyFont="1" applyBorder="1" applyAlignment="1"/>
    <xf numFmtId="0" fontId="6" fillId="0" borderId="1" xfId="0" applyFont="1" applyBorder="1" applyAlignment="1">
      <alignment horizontal="right"/>
    </xf>
    <xf numFmtId="0" fontId="71" fillId="0" borderId="0" xfId="0" applyFont="1" applyAlignment="1"/>
    <xf numFmtId="0" fontId="6" fillId="0" borderId="0" xfId="0" applyFont="1" applyAlignment="1">
      <alignment horizontal="center"/>
    </xf>
    <xf numFmtId="0" fontId="72" fillId="5" borderId="1" xfId="0" applyFont="1" applyFill="1" applyBorder="1" applyAlignment="1"/>
    <xf numFmtId="0" fontId="72" fillId="5" borderId="1" xfId="0" applyFont="1" applyFill="1" applyBorder="1"/>
    <xf numFmtId="0" fontId="1" fillId="11" borderId="1" xfId="0" applyFont="1" applyFill="1" applyBorder="1" applyAlignment="1">
      <alignment horizontal="center"/>
    </xf>
    <xf numFmtId="0" fontId="1" fillId="5" borderId="1" xfId="0" applyFont="1" applyFill="1" applyBorder="1" applyAlignment="1">
      <alignment horizontal="center"/>
    </xf>
    <xf numFmtId="0" fontId="73" fillId="0" borderId="1" xfId="0" applyFont="1" applyBorder="1" applyAlignment="1"/>
    <xf numFmtId="10" fontId="6" fillId="36" borderId="1" xfId="0" applyNumberFormat="1" applyFont="1" applyFill="1" applyBorder="1" applyAlignment="1">
      <alignment vertical="center" wrapText="1"/>
    </xf>
    <xf numFmtId="0" fontId="74" fillId="3" borderId="0" xfId="0" applyFont="1" applyFill="1" applyAlignment="1">
      <alignment horizontal="left" wrapText="1"/>
    </xf>
    <xf numFmtId="0" fontId="2"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left" vertical="center"/>
    </xf>
    <xf numFmtId="0" fontId="75" fillId="0" borderId="1" xfId="0" applyFont="1" applyBorder="1" applyAlignment="1">
      <alignment horizontal="center"/>
    </xf>
    <xf numFmtId="0" fontId="2" fillId="0" borderId="10" xfId="0" applyFont="1" applyBorder="1" applyAlignment="1">
      <alignment horizontal="left" vertical="center"/>
    </xf>
    <xf numFmtId="0" fontId="76" fillId="17" borderId="0" xfId="0" applyFont="1" applyFill="1" applyAlignment="1">
      <alignment vertical="center"/>
    </xf>
    <xf numFmtId="0" fontId="61" fillId="3" borderId="1" xfId="0" applyFont="1" applyFill="1" applyBorder="1" applyAlignment="1">
      <alignment horizontal="center"/>
    </xf>
    <xf numFmtId="0" fontId="2" fillId="0" borderId="1" xfId="0" applyFont="1" applyBorder="1" applyAlignment="1">
      <alignment horizontal="left"/>
    </xf>
    <xf numFmtId="0" fontId="2" fillId="0" borderId="15" xfId="0" applyFont="1" applyBorder="1" applyAlignment="1">
      <alignment horizontal="center" vertical="center"/>
    </xf>
    <xf numFmtId="10" fontId="6" fillId="0" borderId="1" xfId="0" applyNumberFormat="1" applyFont="1" applyBorder="1" applyAlignment="1">
      <alignment horizontal="center" vertical="center"/>
    </xf>
    <xf numFmtId="0" fontId="1" fillId="32" borderId="1" xfId="0" applyFont="1" applyFill="1" applyBorder="1" applyAlignment="1">
      <alignment horizontal="center"/>
    </xf>
    <xf numFmtId="0" fontId="2" fillId="3" borderId="2" xfId="0" applyFont="1" applyFill="1" applyBorder="1" applyAlignment="1">
      <alignment horizontal="left" vertical="center"/>
    </xf>
    <xf numFmtId="175" fontId="77" fillId="3" borderId="1" xfId="0" applyNumberFormat="1" applyFont="1" applyFill="1" applyBorder="1" applyAlignment="1">
      <alignment horizontal="center" vertical="center"/>
    </xf>
    <xf numFmtId="170" fontId="77" fillId="3" borderId="1" xfId="0" applyNumberFormat="1" applyFont="1" applyFill="1" applyBorder="1" applyAlignment="1">
      <alignment horizontal="center" vertical="center"/>
    </xf>
    <xf numFmtId="175" fontId="15" fillId="3" borderId="1" xfId="0" applyNumberFormat="1" applyFont="1" applyFill="1" applyBorder="1" applyAlignment="1">
      <alignment horizontal="center" vertical="center"/>
    </xf>
    <xf numFmtId="0" fontId="6" fillId="3" borderId="1" xfId="0" applyFont="1" applyFill="1" applyBorder="1" applyAlignment="1">
      <alignment wrapText="1"/>
    </xf>
    <xf numFmtId="0" fontId="6" fillId="3" borderId="4" xfId="0" applyFont="1" applyFill="1" applyBorder="1" applyAlignment="1">
      <alignment wrapText="1"/>
    </xf>
    <xf numFmtId="0" fontId="6" fillId="3" borderId="4" xfId="0" applyFont="1" applyFill="1" applyBorder="1" applyAlignment="1">
      <alignment vertical="center" wrapText="1"/>
    </xf>
    <xf numFmtId="0" fontId="1" fillId="0" borderId="1" xfId="0" applyFont="1" applyBorder="1" applyAlignment="1">
      <alignment horizontal="center"/>
    </xf>
    <xf numFmtId="0" fontId="61" fillId="3" borderId="2" xfId="0" applyFont="1" applyFill="1" applyBorder="1" applyAlignment="1">
      <alignment horizontal="left" vertical="center" wrapText="1"/>
    </xf>
    <xf numFmtId="0" fontId="2" fillId="3" borderId="3" xfId="0" applyFont="1" applyFill="1" applyBorder="1" applyAlignment="1">
      <alignment horizontal="center" vertical="center"/>
    </xf>
    <xf numFmtId="0" fontId="6" fillId="3" borderId="4" xfId="0" applyFont="1" applyFill="1" applyBorder="1" applyAlignment="1">
      <alignment wrapText="1"/>
    </xf>
    <xf numFmtId="10" fontId="6" fillId="0" borderId="2" xfId="0" applyNumberFormat="1" applyFont="1" applyBorder="1" applyAlignment="1">
      <alignment horizontal="center" vertical="center" wrapText="1"/>
    </xf>
    <xf numFmtId="14" fontId="6" fillId="0" borderId="1" xfId="0" applyNumberFormat="1" applyFont="1" applyBorder="1" applyAlignment="1">
      <alignment horizontal="center" vertical="center" wrapText="1"/>
    </xf>
    <xf numFmtId="0" fontId="2" fillId="3" borderId="0" xfId="0" applyFont="1" applyFill="1" applyAlignment="1">
      <alignment horizontal="center" vertical="center" wrapText="1"/>
    </xf>
    <xf numFmtId="175" fontId="2" fillId="0" borderId="1" xfId="0" applyNumberFormat="1" applyFont="1" applyBorder="1" applyAlignment="1">
      <alignment horizontal="center"/>
    </xf>
    <xf numFmtId="0" fontId="2" fillId="0" borderId="1" xfId="0" applyFont="1" applyBorder="1" applyAlignment="1">
      <alignment vertical="center"/>
    </xf>
    <xf numFmtId="4" fontId="6" fillId="0" borderId="0" xfId="0" applyNumberFormat="1" applyFont="1" applyAlignment="1"/>
    <xf numFmtId="0" fontId="6" fillId="0" borderId="0" xfId="0" applyFont="1" applyAlignment="1">
      <alignment vertical="center" wrapText="1"/>
    </xf>
    <xf numFmtId="0" fontId="6" fillId="3" borderId="0" xfId="0" applyFont="1" applyFill="1" applyAlignment="1">
      <alignment vertical="center"/>
    </xf>
    <xf numFmtId="0" fontId="6" fillId="3" borderId="0" xfId="0" applyFont="1" applyFill="1" applyAlignment="1">
      <alignment vertical="center" wrapText="1"/>
    </xf>
    <xf numFmtId="0" fontId="10" fillId="3" borderId="0" xfId="0" applyFont="1" applyFill="1" applyAlignment="1">
      <alignment horizontal="center" vertical="center" wrapText="1"/>
    </xf>
    <xf numFmtId="0" fontId="6" fillId="3" borderId="0" xfId="0" applyFont="1" applyFill="1" applyAlignment="1">
      <alignment vertical="center" wrapText="1"/>
    </xf>
    <xf numFmtId="0" fontId="6" fillId="3" borderId="0" xfId="0" applyFont="1" applyFill="1" applyAlignment="1">
      <alignment horizontal="center" vertical="center" wrapText="1"/>
    </xf>
    <xf numFmtId="3" fontId="2" fillId="3" borderId="0" xfId="0" applyNumberFormat="1" applyFont="1" applyFill="1"/>
    <xf numFmtId="0" fontId="6" fillId="0" borderId="0" xfId="0" applyFont="1" applyAlignment="1">
      <alignment wrapText="1"/>
    </xf>
    <xf numFmtId="0" fontId="79" fillId="0" borderId="0" xfId="0" applyFont="1" applyAlignment="1">
      <alignment wrapText="1"/>
    </xf>
    <xf numFmtId="0" fontId="2" fillId="3" borderId="0" xfId="0" applyFont="1" applyFill="1" applyAlignment="1"/>
    <xf numFmtId="0" fontId="6" fillId="0" borderId="0" xfId="0" applyFont="1"/>
    <xf numFmtId="0" fontId="2" fillId="3" borderId="0" xfId="0" applyFont="1" applyFill="1" applyAlignment="1">
      <alignment vertical="center"/>
    </xf>
    <xf numFmtId="0" fontId="2" fillId="3" borderId="0" xfId="0" applyFont="1" applyFill="1"/>
    <xf numFmtId="10" fontId="2" fillId="3" borderId="0" xfId="0" applyNumberFormat="1" applyFont="1" applyFill="1"/>
    <xf numFmtId="0" fontId="2" fillId="0" borderId="0" xfId="0" applyFont="1" applyAlignment="1">
      <alignment vertical="center"/>
    </xf>
    <xf numFmtId="0" fontId="10" fillId="3" borderId="0" xfId="0" applyFont="1" applyFill="1" applyAlignment="1">
      <alignment horizontal="center" vertical="center" wrapText="1"/>
    </xf>
    <xf numFmtId="0" fontId="5" fillId="3" borderId="0" xfId="0" applyFont="1" applyFill="1" applyAlignment="1">
      <alignment vertical="center" wrapText="1"/>
    </xf>
    <xf numFmtId="0" fontId="6" fillId="0" borderId="0" xfId="0" applyFont="1" applyAlignment="1">
      <alignment vertical="center"/>
    </xf>
    <xf numFmtId="0" fontId="6" fillId="0" borderId="0" xfId="0" applyFont="1" applyAlignment="1">
      <alignment vertical="center" wrapText="1"/>
    </xf>
    <xf numFmtId="0" fontId="6" fillId="0" borderId="0" xfId="0" applyFont="1" applyAlignment="1">
      <alignment vertical="center"/>
    </xf>
    <xf numFmtId="0" fontId="21" fillId="0" borderId="0" xfId="0" applyFont="1" applyAlignment="1"/>
    <xf numFmtId="0" fontId="10" fillId="38" borderId="0" xfId="0" applyFont="1" applyFill="1" applyAlignment="1">
      <alignment horizontal="center" vertical="center" wrapText="1"/>
    </xf>
    <xf numFmtId="0" fontId="6" fillId="38" borderId="0" xfId="0" applyFont="1" applyFill="1" applyAlignment="1">
      <alignment vertical="center" wrapText="1"/>
    </xf>
    <xf numFmtId="0" fontId="5" fillId="39" borderId="0" xfId="0" applyFont="1" applyFill="1" applyAlignment="1"/>
    <xf numFmtId="0" fontId="5" fillId="40" borderId="0" xfId="0" applyFont="1" applyFill="1" applyAlignment="1"/>
    <xf numFmtId="3" fontId="6" fillId="41" borderId="0" xfId="0" applyNumberFormat="1" applyFont="1" applyFill="1" applyAlignment="1"/>
    <xf numFmtId="0" fontId="6" fillId="41" borderId="0" xfId="0" applyFont="1" applyFill="1" applyAlignment="1">
      <alignment wrapText="1"/>
    </xf>
    <xf numFmtId="0" fontId="79" fillId="41" borderId="0" xfId="0" applyFont="1" applyFill="1" applyAlignment="1">
      <alignment wrapText="1"/>
    </xf>
    <xf numFmtId="0" fontId="6" fillId="41" borderId="0" xfId="0" applyFont="1" applyFill="1" applyAlignment="1"/>
    <xf numFmtId="0" fontId="6" fillId="40" borderId="0" xfId="0" applyFont="1" applyFill="1" applyAlignment="1"/>
    <xf numFmtId="0" fontId="6" fillId="41" borderId="0" xfId="0" applyFont="1" applyFill="1"/>
    <xf numFmtId="0" fontId="80" fillId="41" borderId="0" xfId="0" applyFont="1" applyFill="1" applyAlignment="1">
      <alignment wrapText="1"/>
    </xf>
    <xf numFmtId="0" fontId="6" fillId="40" borderId="0" xfId="0" applyFont="1" applyFill="1"/>
    <xf numFmtId="0" fontId="6" fillId="40" borderId="0" xfId="0" applyFont="1" applyFill="1" applyAlignment="1">
      <alignment wrapText="1"/>
    </xf>
    <xf numFmtId="0" fontId="6" fillId="3" borderId="2" xfId="0" applyFont="1" applyFill="1" applyBorder="1" applyAlignment="1">
      <alignment horizontal="center" wrapText="1"/>
    </xf>
    <xf numFmtId="0" fontId="4" fillId="0" borderId="3" xfId="0" applyFont="1" applyBorder="1"/>
    <xf numFmtId="0" fontId="4" fillId="0" borderId="4" xfId="0" applyFont="1" applyBorder="1"/>
    <xf numFmtId="0" fontId="6" fillId="3" borderId="2" xfId="0" applyFont="1" applyFill="1" applyBorder="1"/>
    <xf numFmtId="0" fontId="2" fillId="3" borderId="2" xfId="0" applyFont="1" applyFill="1" applyBorder="1" applyAlignment="1">
      <alignment horizontal="center" vertical="center"/>
    </xf>
    <xf numFmtId="10" fontId="2" fillId="3" borderId="2" xfId="0" applyNumberFormat="1" applyFont="1" applyFill="1" applyBorder="1" applyAlignment="1">
      <alignment horizontal="center" vertical="center"/>
    </xf>
    <xf numFmtId="0" fontId="2" fillId="0" borderId="0" xfId="0" applyFont="1" applyAlignment="1">
      <alignment horizontal="center" vertical="center"/>
    </xf>
    <xf numFmtId="0" fontId="0" fillId="0" borderId="0" xfId="0" applyFont="1" applyAlignment="1"/>
    <xf numFmtId="0" fontId="2" fillId="3" borderId="5" xfId="0" applyFont="1" applyFill="1" applyBorder="1" applyAlignment="1">
      <alignment horizontal="center" vertical="center"/>
    </xf>
    <xf numFmtId="0" fontId="4" fillId="0" borderId="5" xfId="0" applyFont="1" applyBorder="1"/>
    <xf numFmtId="0" fontId="4" fillId="0" borderId="6" xfId="0" applyFont="1" applyBorder="1"/>
    <xf numFmtId="0" fontId="2" fillId="0" borderId="2" xfId="0" applyFont="1" applyBorder="1"/>
    <xf numFmtId="0" fontId="2" fillId="0" borderId="2" xfId="0" applyFont="1" applyBorder="1" applyAlignment="1">
      <alignment horizontal="center" vertical="center"/>
    </xf>
    <xf numFmtId="0" fontId="2" fillId="0" borderId="2" xfId="0" applyFont="1" applyBorder="1" applyAlignment="1">
      <alignment horizontal="center"/>
    </xf>
    <xf numFmtId="0" fontId="10" fillId="0" borderId="2" xfId="0" applyFont="1" applyBorder="1" applyAlignment="1">
      <alignment horizontal="center" vertical="center" wrapText="1"/>
    </xf>
    <xf numFmtId="0" fontId="2" fillId="3" borderId="2" xfId="0" applyFont="1" applyFill="1" applyBorder="1" applyAlignment="1">
      <alignment horizontal="center" vertical="center" wrapText="1"/>
    </xf>
    <xf numFmtId="0" fontId="19" fillId="0" borderId="2" xfId="0" applyFont="1" applyBorder="1" applyAlignment="1">
      <alignment horizontal="center" vertical="center"/>
    </xf>
    <xf numFmtId="0" fontId="38" fillId="0" borderId="2" xfId="0" applyFont="1" applyBorder="1" applyAlignment="1">
      <alignment horizontal="center" vertical="center"/>
    </xf>
    <xf numFmtId="0" fontId="2" fillId="3" borderId="2" xfId="0" quotePrefix="1" applyFont="1" applyFill="1" applyBorder="1" applyAlignment="1">
      <alignment horizontal="center" vertical="center" wrapText="1"/>
    </xf>
    <xf numFmtId="49" fontId="18" fillId="0" borderId="2" xfId="0" applyNumberFormat="1" applyFont="1" applyBorder="1" applyAlignment="1">
      <alignment horizontal="center" vertical="center"/>
    </xf>
    <xf numFmtId="49" fontId="25" fillId="0" borderId="5" xfId="0" applyNumberFormat="1" applyFont="1" applyBorder="1" applyAlignment="1">
      <alignment horizontal="center" vertical="center"/>
    </xf>
    <xf numFmtId="0" fontId="26" fillId="0" borderId="5" xfId="0" applyFont="1" applyBorder="1" applyAlignment="1">
      <alignment horizontal="center" vertical="center"/>
    </xf>
    <xf numFmtId="49" fontId="31" fillId="0" borderId="5" xfId="0" applyNumberFormat="1" applyFont="1" applyBorder="1" applyAlignment="1">
      <alignment horizontal="center" vertical="center"/>
    </xf>
    <xf numFmtId="0" fontId="32" fillId="0" borderId="5" xfId="0" applyFont="1" applyBorder="1" applyAlignment="1">
      <alignment horizontal="center" vertical="center"/>
    </xf>
    <xf numFmtId="0" fontId="2" fillId="0" borderId="0" xfId="0" applyFont="1" applyAlignment="1"/>
    <xf numFmtId="0" fontId="43" fillId="3" borderId="2" xfId="0" applyFont="1" applyFill="1" applyBorder="1" applyAlignment="1">
      <alignment horizontal="center" vertical="center"/>
    </xf>
    <xf numFmtId="168" fontId="2" fillId="0" borderId="2" xfId="0" applyNumberFormat="1" applyFont="1" applyBorder="1" applyAlignment="1">
      <alignment horizontal="center" vertical="center"/>
    </xf>
    <xf numFmtId="0" fontId="2" fillId="0" borderId="0" xfId="0" applyFont="1"/>
    <xf numFmtId="0" fontId="2" fillId="0" borderId="2" xfId="0" applyFont="1" applyBorder="1" applyAlignment="1">
      <alignment horizontal="center" vertical="center" wrapText="1"/>
    </xf>
    <xf numFmtId="0" fontId="20" fillId="0" borderId="0" xfId="0" applyFont="1" applyAlignment="1">
      <alignment horizontal="center"/>
    </xf>
    <xf numFmtId="0" fontId="21" fillId="0" borderId="0" xfId="0" applyFont="1" applyAlignment="1">
      <alignment horizontal="center"/>
    </xf>
    <xf numFmtId="171" fontId="22" fillId="0" borderId="0" xfId="0" applyNumberFormat="1" applyFont="1" applyAlignment="1">
      <alignment horizontal="center"/>
    </xf>
    <xf numFmtId="0" fontId="1" fillId="16" borderId="8" xfId="0" applyFont="1" applyFill="1" applyBorder="1" applyAlignment="1"/>
    <xf numFmtId="0" fontId="4" fillId="0" borderId="9" xfId="0" applyFont="1" applyBorder="1"/>
    <xf numFmtId="0" fontId="4" fillId="0" borderId="10" xfId="0" applyFont="1" applyBorder="1"/>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10" fontId="6" fillId="3" borderId="2" xfId="0" applyNumberFormat="1" applyFont="1" applyFill="1" applyBorder="1" applyAlignment="1">
      <alignment horizontal="center" vertical="center" wrapText="1"/>
    </xf>
    <xf numFmtId="10" fontId="6" fillId="3" borderId="3" xfId="0" applyNumberFormat="1" applyFont="1" applyFill="1" applyBorder="1" applyAlignment="1">
      <alignment horizontal="center" vertical="center" wrapText="1"/>
    </xf>
    <xf numFmtId="10" fontId="6" fillId="3" borderId="4" xfId="0"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6" fillId="14" borderId="2" xfId="0" applyFont="1" applyFill="1" applyBorder="1" applyAlignment="1">
      <alignment horizontal="center" vertical="center" wrapText="1"/>
    </xf>
    <xf numFmtId="0" fontId="6" fillId="14" borderId="3" xfId="0" applyFont="1" applyFill="1" applyBorder="1" applyAlignment="1">
      <alignment horizontal="center" vertical="center" wrapText="1"/>
    </xf>
    <xf numFmtId="0" fontId="6" fillId="14" borderId="4" xfId="0" applyFont="1" applyFill="1" applyBorder="1" applyAlignment="1">
      <alignment horizontal="center" vertical="center" wrapText="1"/>
    </xf>
    <xf numFmtId="0" fontId="6" fillId="3" borderId="2" xfId="0" applyFont="1" applyFill="1" applyBorder="1" applyAlignment="1">
      <alignment vertical="center" wrapText="1"/>
    </xf>
    <xf numFmtId="0" fontId="6" fillId="3" borderId="4" xfId="0" applyFont="1" applyFill="1" applyBorder="1" applyAlignment="1">
      <alignment vertical="center" wrapText="1"/>
    </xf>
    <xf numFmtId="0" fontId="6" fillId="3" borderId="3" xfId="0" applyFont="1" applyFill="1" applyBorder="1" applyAlignment="1">
      <alignment vertical="center" wrapText="1"/>
    </xf>
    <xf numFmtId="0" fontId="53" fillId="14" borderId="2" xfId="0" applyFont="1" applyFill="1" applyBorder="1" applyAlignment="1">
      <alignment horizontal="center" vertical="center"/>
    </xf>
    <xf numFmtId="0" fontId="2" fillId="14" borderId="2" xfId="0" applyFont="1" applyFill="1" applyBorder="1" applyAlignment="1">
      <alignment horizontal="center" vertical="center" wrapText="1"/>
    </xf>
    <xf numFmtId="0" fontId="2" fillId="14" borderId="2" xfId="0" quotePrefix="1" applyFont="1" applyFill="1" applyBorder="1" applyAlignment="1">
      <alignment horizontal="center" vertical="center" wrapText="1"/>
    </xf>
    <xf numFmtId="0" fontId="2" fillId="14" borderId="2" xfId="0" applyFont="1" applyFill="1" applyBorder="1" applyAlignment="1">
      <alignment horizontal="center" vertical="center"/>
    </xf>
    <xf numFmtId="0" fontId="39" fillId="17" borderId="2" xfId="0" applyFont="1" applyFill="1" applyBorder="1" applyAlignment="1">
      <alignment horizontal="center" vertical="center" wrapText="1"/>
    </xf>
    <xf numFmtId="0" fontId="39" fillId="18" borderId="2" xfId="0" applyFont="1" applyFill="1" applyBorder="1" applyAlignment="1">
      <alignment horizontal="center" vertical="center" wrapText="1"/>
    </xf>
    <xf numFmtId="0" fontId="12" fillId="12" borderId="2" xfId="0" applyFont="1" applyFill="1" applyBorder="1" applyAlignment="1">
      <alignment horizontal="center" vertical="center" wrapText="1"/>
    </xf>
    <xf numFmtId="0" fontId="12" fillId="19" borderId="2" xfId="0" applyFont="1" applyFill="1" applyBorder="1" applyAlignment="1">
      <alignment horizontal="center" vertical="center" wrapText="1"/>
    </xf>
    <xf numFmtId="0" fontId="12" fillId="20" borderId="2" xfId="0" applyFont="1" applyFill="1" applyBorder="1" applyAlignment="1">
      <alignment horizontal="center" vertical="center" wrapText="1"/>
    </xf>
    <xf numFmtId="0" fontId="12" fillId="21" borderId="2"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2" fillId="0" borderId="2" xfId="0" applyFont="1" applyBorder="1" applyAlignment="1">
      <alignment horizontal="center" vertical="top"/>
    </xf>
    <xf numFmtId="0" fontId="39" fillId="17" borderId="3" xfId="0" applyFont="1" applyFill="1" applyBorder="1" applyAlignment="1">
      <alignment horizontal="center" vertical="center"/>
    </xf>
    <xf numFmtId="0" fontId="39" fillId="17" borderId="4" xfId="0" applyFont="1" applyFill="1" applyBorder="1" applyAlignment="1">
      <alignment horizontal="center" vertical="center"/>
    </xf>
    <xf numFmtId="0" fontId="39" fillId="17" borderId="4" xfId="0" applyFont="1" applyFill="1" applyBorder="1" applyAlignment="1">
      <alignment horizontal="center" vertical="center" wrapText="1"/>
    </xf>
    <xf numFmtId="0" fontId="39" fillId="17" borderId="8" xfId="0" applyFont="1" applyFill="1" applyBorder="1" applyAlignment="1">
      <alignment horizontal="center" vertical="center" wrapText="1"/>
    </xf>
    <xf numFmtId="0" fontId="39" fillId="17" borderId="10" xfId="0" applyFont="1" applyFill="1" applyBorder="1" applyAlignment="1">
      <alignment horizontal="center" vertical="center" wrapText="1"/>
    </xf>
    <xf numFmtId="0" fontId="41" fillId="5" borderId="8" xfId="0" applyFont="1" applyFill="1" applyBorder="1" applyAlignment="1">
      <alignment horizontal="center" vertical="center" wrapText="1"/>
    </xf>
    <xf numFmtId="0" fontId="41" fillId="5" borderId="10" xfId="0" applyFont="1" applyFill="1" applyBorder="1" applyAlignment="1">
      <alignment horizontal="center" vertical="center" wrapText="1"/>
    </xf>
    <xf numFmtId="10" fontId="39" fillId="17" borderId="2" xfId="0" applyNumberFormat="1" applyFont="1" applyFill="1" applyBorder="1" applyAlignment="1">
      <alignment horizontal="center" vertical="center" wrapText="1"/>
    </xf>
    <xf numFmtId="0" fontId="40" fillId="17" borderId="2" xfId="0" applyFont="1" applyFill="1" applyBorder="1" applyAlignment="1">
      <alignment horizontal="center" vertical="center" wrapText="1"/>
    </xf>
    <xf numFmtId="0" fontId="39" fillId="17" borderId="5" xfId="0" applyFont="1" applyFill="1" applyBorder="1" applyAlignment="1">
      <alignment horizontal="center" vertical="center" wrapText="1"/>
    </xf>
    <xf numFmtId="0" fontId="39" fillId="17" borderId="6" xfId="0" applyFont="1" applyFill="1" applyBorder="1" applyAlignment="1">
      <alignment horizontal="center" vertical="center" wrapText="1"/>
    </xf>
    <xf numFmtId="10" fontId="39" fillId="17" borderId="4" xfId="0" applyNumberFormat="1" applyFont="1" applyFill="1" applyBorder="1" applyAlignment="1">
      <alignment horizontal="center" vertical="center" wrapText="1"/>
    </xf>
    <xf numFmtId="3" fontId="39" fillId="17" borderId="2" xfId="0" applyNumberFormat="1" applyFont="1" applyFill="1" applyBorder="1" applyAlignment="1">
      <alignment horizontal="center" vertical="center" wrapText="1"/>
    </xf>
    <xf numFmtId="3" fontId="39" fillId="17" borderId="4" xfId="0" applyNumberFormat="1"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6" fillId="0" borderId="2" xfId="0" applyFont="1" applyBorder="1" applyAlignment="1">
      <alignment vertical="center" wrapText="1"/>
    </xf>
    <xf numFmtId="0" fontId="6" fillId="0" borderId="4" xfId="0" applyFont="1" applyBorder="1" applyAlignment="1">
      <alignment vertical="center" wrapText="1"/>
    </xf>
    <xf numFmtId="3" fontId="6" fillId="3" borderId="2" xfId="0" applyNumberFormat="1" applyFont="1" applyFill="1" applyBorder="1" applyAlignment="1">
      <alignment horizontal="center" vertical="center"/>
    </xf>
    <xf numFmtId="3" fontId="6" fillId="3" borderId="3" xfId="0" applyNumberFormat="1" applyFont="1" applyFill="1" applyBorder="1" applyAlignment="1">
      <alignment horizontal="center" vertical="center"/>
    </xf>
    <xf numFmtId="3" fontId="6" fillId="3" borderId="4" xfId="0" applyNumberFormat="1" applyFont="1" applyFill="1" applyBorder="1" applyAlignment="1">
      <alignment horizontal="center" vertical="center"/>
    </xf>
    <xf numFmtId="3" fontId="6" fillId="0" borderId="2" xfId="0" applyNumberFormat="1" applyFont="1" applyBorder="1" applyAlignment="1">
      <alignment horizontal="center" vertical="center" wrapText="1"/>
    </xf>
    <xf numFmtId="3" fontId="6" fillId="0" borderId="3" xfId="0" applyNumberFormat="1" applyFont="1" applyBorder="1" applyAlignment="1">
      <alignment horizontal="center" vertical="center" wrapText="1"/>
    </xf>
    <xf numFmtId="3" fontId="6" fillId="0" borderId="4" xfId="0" applyNumberFormat="1" applyFont="1" applyBorder="1" applyAlignment="1">
      <alignment horizontal="center" vertical="center" wrapText="1"/>
    </xf>
    <xf numFmtId="10" fontId="2" fillId="3" borderId="2" xfId="0" applyNumberFormat="1" applyFont="1" applyFill="1" applyBorder="1" applyAlignment="1">
      <alignment horizontal="center" vertical="center" wrapText="1"/>
    </xf>
    <xf numFmtId="0" fontId="4" fillId="8" borderId="3" xfId="0" applyFont="1" applyFill="1" applyBorder="1"/>
    <xf numFmtId="0" fontId="4" fillId="3" borderId="4" xfId="0" applyFont="1" applyFill="1" applyBorder="1"/>
    <xf numFmtId="0" fontId="2" fillId="3" borderId="2" xfId="0" applyFont="1" applyFill="1" applyBorder="1" applyAlignment="1">
      <alignment vertical="center"/>
    </xf>
    <xf numFmtId="0" fontId="9" fillId="0" borderId="2" xfId="0" applyFont="1" applyBorder="1" applyAlignment="1">
      <alignment horizontal="center" vertical="center" wrapText="1"/>
    </xf>
    <xf numFmtId="0" fontId="48" fillId="22" borderId="14" xfId="0" applyFont="1" applyFill="1" applyBorder="1" applyAlignment="1">
      <alignment horizontal="center"/>
    </xf>
    <xf numFmtId="0" fontId="4" fillId="0" borderId="15" xfId="0" applyFont="1" applyBorder="1"/>
    <xf numFmtId="0" fontId="49" fillId="23" borderId="8" xfId="0" applyFont="1" applyFill="1" applyBorder="1" applyAlignment="1"/>
    <xf numFmtId="0" fontId="48" fillId="17" borderId="0" xfId="0" applyFont="1" applyFill="1" applyAlignment="1">
      <alignment horizontal="center"/>
    </xf>
    <xf numFmtId="10" fontId="48" fillId="17" borderId="27" xfId="0" applyNumberFormat="1" applyFont="1" applyFill="1" applyBorder="1" applyAlignment="1">
      <alignment horizontal="center"/>
    </xf>
    <xf numFmtId="0" fontId="4" fillId="0" borderId="28" xfId="0" applyFont="1" applyBorder="1"/>
    <xf numFmtId="0" fontId="4" fillId="0" borderId="29" xfId="0" applyFont="1" applyBorder="1"/>
    <xf numFmtId="0" fontId="3" fillId="17" borderId="0" xfId="0" applyFont="1" applyFill="1" applyAlignment="1">
      <alignment horizontal="center" vertical="center"/>
    </xf>
    <xf numFmtId="0" fontId="3" fillId="30" borderId="0" xfId="0" applyFont="1" applyFill="1" applyAlignment="1">
      <alignment horizontal="center"/>
    </xf>
    <xf numFmtId="0" fontId="48" fillId="30" borderId="0" xfId="0" applyFont="1" applyFill="1" applyAlignment="1">
      <alignment horizontal="center"/>
    </xf>
    <xf numFmtId="174" fontId="2" fillId="3" borderId="2" xfId="0" applyNumberFormat="1" applyFont="1" applyFill="1" applyBorder="1" applyAlignment="1">
      <alignment horizontal="center" vertical="center"/>
    </xf>
    <xf numFmtId="3" fontId="2" fillId="3" borderId="2"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8" xfId="0" applyFont="1" applyFill="1" applyBorder="1" applyAlignment="1">
      <alignment horizontal="center" vertical="center" wrapText="1"/>
    </xf>
    <xf numFmtId="0" fontId="1" fillId="2" borderId="8" xfId="0" applyFont="1" applyFill="1" applyBorder="1" applyAlignment="1">
      <alignment horizontal="center" vertical="center"/>
    </xf>
    <xf numFmtId="0" fontId="1" fillId="2" borderId="2" xfId="0" applyFont="1" applyFill="1" applyBorder="1" applyAlignment="1">
      <alignment horizontal="center" vertical="center" wrapText="1"/>
    </xf>
    <xf numFmtId="3" fontId="1" fillId="31" borderId="8" xfId="0" applyNumberFormat="1" applyFont="1" applyFill="1" applyBorder="1" applyAlignment="1">
      <alignment horizontal="left" vertical="center"/>
    </xf>
    <xf numFmtId="0" fontId="1" fillId="2" borderId="0" xfId="0" applyFont="1" applyFill="1" applyAlignment="1">
      <alignment horizontal="center" vertical="center"/>
    </xf>
    <xf numFmtId="10" fontId="2" fillId="3" borderId="3" xfId="0" applyNumberFormat="1" applyFont="1" applyFill="1" applyBorder="1" applyAlignment="1">
      <alignment horizontal="center" vertical="center"/>
    </xf>
    <xf numFmtId="174" fontId="6" fillId="3" borderId="2" xfId="0" applyNumberFormat="1" applyFont="1" applyFill="1" applyBorder="1" applyAlignment="1">
      <alignment horizontal="center" vertical="center"/>
    </xf>
    <xf numFmtId="0" fontId="1" fillId="5" borderId="8" xfId="0" applyFont="1" applyFill="1" applyBorder="1" applyAlignment="1"/>
    <xf numFmtId="0" fontId="1" fillId="24" borderId="8" xfId="0" applyFont="1" applyFill="1" applyBorder="1" applyAlignment="1"/>
    <xf numFmtId="0" fontId="1" fillId="11" borderId="8" xfId="0" applyFont="1" applyFill="1" applyBorder="1" applyAlignment="1"/>
    <xf numFmtId="0" fontId="1" fillId="31" borderId="8" xfId="0" applyFont="1" applyFill="1" applyBorder="1" applyAlignment="1"/>
    <xf numFmtId="0" fontId="1" fillId="32" borderId="8" xfId="0" applyFont="1" applyFill="1" applyBorder="1" applyAlignment="1"/>
    <xf numFmtId="0" fontId="55" fillId="0" borderId="0" xfId="0" quotePrefix="1" applyFont="1" applyAlignment="1">
      <alignment horizontal="center"/>
    </xf>
    <xf numFmtId="0" fontId="1" fillId="0" borderId="0" xfId="0" applyFont="1" applyAlignment="1">
      <alignment horizontal="center"/>
    </xf>
    <xf numFmtId="171" fontId="56" fillId="0" borderId="0" xfId="0" applyNumberFormat="1" applyFont="1" applyAlignment="1">
      <alignment horizontal="center"/>
    </xf>
    <xf numFmtId="0" fontId="55" fillId="0" borderId="0" xfId="0" applyFont="1" applyAlignment="1">
      <alignment horizontal="center"/>
    </xf>
    <xf numFmtId="0" fontId="12" fillId="0" borderId="0" xfId="0" applyFont="1" applyAlignment="1">
      <alignment horizontal="center"/>
    </xf>
    <xf numFmtId="0" fontId="1" fillId="5" borderId="8" xfId="0" applyFont="1" applyFill="1" applyBorder="1" applyAlignment="1">
      <alignment horizontal="center"/>
    </xf>
    <xf numFmtId="0" fontId="1" fillId="11" borderId="8" xfId="0" applyFont="1" applyFill="1" applyBorder="1" applyAlignment="1">
      <alignment horizontal="center"/>
    </xf>
    <xf numFmtId="0" fontId="2" fillId="3" borderId="2" xfId="0" applyFont="1" applyFill="1" applyBorder="1" applyAlignment="1">
      <alignment horizontal="left" vertical="center"/>
    </xf>
    <xf numFmtId="0" fontId="6" fillId="3" borderId="2" xfId="0" applyFont="1" applyFill="1" applyBorder="1" applyAlignment="1">
      <alignment wrapText="1"/>
    </xf>
    <xf numFmtId="0" fontId="6" fillId="3" borderId="3" xfId="0" applyFont="1" applyFill="1" applyBorder="1" applyAlignment="1">
      <alignment wrapText="1"/>
    </xf>
    <xf numFmtId="0" fontId="61" fillId="3" borderId="2" xfId="0" applyFont="1" applyFill="1" applyBorder="1" applyAlignment="1">
      <alignment horizontal="left" vertical="center" wrapText="1"/>
    </xf>
    <xf numFmtId="0" fontId="2" fillId="0" borderId="2" xfId="0" applyFont="1" applyBorder="1" applyAlignment="1">
      <alignment vertical="center"/>
    </xf>
    <xf numFmtId="0" fontId="1" fillId="37" borderId="8" xfId="0" applyFont="1" applyFill="1" applyBorder="1" applyAlignment="1"/>
    <xf numFmtId="171" fontId="78" fillId="3" borderId="0" xfId="0" applyNumberFormat="1" applyFont="1" applyFill="1" applyAlignment="1">
      <alignment horizontal="center"/>
    </xf>
  </cellXfs>
  <cellStyles count="1">
    <cellStyle name="Normal" xfId="0" builtinId="0"/>
  </cellStyles>
  <dxfs count="17">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5">
    <tableStyle name="Sheet17-style" pivot="0" count="2" xr9:uid="{00000000-0011-0000-FFFF-FFFF00000000}">
      <tableStyleElement type="firstRowStripe" dxfId="16"/>
      <tableStyleElement type="secondRowStripe" dxfId="15"/>
    </tableStyle>
    <tableStyle name="FW4A - Updated SDN Monitoring-style" pivot="0" count="2" xr9:uid="{00000000-0011-0000-FFFF-FFFF01000000}">
      <tableStyleElement type="firstRowStripe" dxfId="14"/>
      <tableStyleElement type="secondRowStripe" dxfId="13"/>
    </tableStyle>
    <tableStyle name="FW4A - Updated SDN Monitoring-style 2" pivot="0" count="2" xr9:uid="{00000000-0011-0000-FFFF-FFFF02000000}">
      <tableStyleElement type="firstRowStripe" dxfId="12"/>
      <tableStyleElement type="secondRowStripe" dxfId="11"/>
    </tableStyle>
    <tableStyle name="PICS-PP P2-style" pivot="0" count="2" xr9:uid="{00000000-0011-0000-FFFF-FFFF03000000}">
      <tableStyleElement type="firstRowStripe" dxfId="10"/>
      <tableStyleElement type="secondRowStripe" dxfId="9"/>
    </tableStyle>
    <tableStyle name="PICS-PP P2-style 2" pivot="0" count="2" xr9:uid="{00000000-0011-0000-FFFF-FFFF04000000}">
      <tableStyleElement type="firstRowStripe"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worksheet" Target="worksheets/sheet41.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H57:J71" headerRowCount="0">
  <tableColumns count="3">
    <tableColumn id="1" xr3:uid="{00000000-0010-0000-0000-000001000000}" name="Column1"/>
    <tableColumn id="2" xr3:uid="{00000000-0010-0000-0000-000002000000}" name="Column2"/>
    <tableColumn id="3" xr3:uid="{00000000-0010-0000-0000-000003000000}" name="Column3"/>
  </tableColumns>
  <tableStyleInfo name="Sheet17-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X148:X154" headerRowCount="0">
  <tableColumns count="1">
    <tableColumn id="1" xr3:uid="{00000000-0010-0000-0100-000001000000}" name="Column1"/>
  </tableColumns>
  <tableStyleInfo name="FW4A - Updated SDN Monitoring-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Q283:R285" headerRowCount="0">
  <tableColumns count="2">
    <tableColumn id="1" xr3:uid="{00000000-0010-0000-0200-000001000000}" name="Column1"/>
    <tableColumn id="2" xr3:uid="{00000000-0010-0000-0200-000002000000}" name="Column2"/>
  </tableColumns>
  <tableStyleInfo name="FW4A - Updated SDN Monitoring-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G31:G32" headerRowCount="0">
  <tableColumns count="1">
    <tableColumn id="1" xr3:uid="{00000000-0010-0000-0300-000001000000}" name="Column1"/>
  </tableColumns>
  <tableStyleInfo name="PICS-PP P2-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E34:E36" headerRowCount="0">
  <tableColumns count="1">
    <tableColumn id="1" xr3:uid="{00000000-0010-0000-0400-000001000000}" name="Column1"/>
  </tableColumns>
  <tableStyleInfo name="PICS-PP P2-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17" Type="http://schemas.openxmlformats.org/officeDocument/2006/relationships/hyperlink" Target="https://drive.google.com/file/d/1pv8dWzcA6BpznG4iTrbGzflQMjoJ9CEb/view?usp=drive_link" TargetMode="External"/><Relationship Id="rId21" Type="http://schemas.openxmlformats.org/officeDocument/2006/relationships/hyperlink" Target="https://drive.google.com/file/d/1xh_pKWfJ4XttG5WlznS1BWjOFPMoG7g0/view?usp=sharing" TargetMode="External"/><Relationship Id="rId42" Type="http://schemas.openxmlformats.org/officeDocument/2006/relationships/hyperlink" Target="https://drive.google.com/file/d/12sHsxjCuCXcl3pPO38QzYvhtyg4FNEpA/view?usp=sharing" TargetMode="External"/><Relationship Id="rId63" Type="http://schemas.openxmlformats.org/officeDocument/2006/relationships/hyperlink" Target="https://drive.google.com/file/d/1d8d9YMTBqyQcw0ui-1JbjgeJMXId4WsZ/view?usp=drive_link" TargetMode="External"/><Relationship Id="rId84" Type="http://schemas.openxmlformats.org/officeDocument/2006/relationships/hyperlink" Target="https://drive.google.com/file/d/1tYkGWGxbZV-Cr3vj5ss3ZptioHGO3QVm/view?usp=drive_link" TargetMode="External"/><Relationship Id="rId138" Type="http://schemas.openxmlformats.org/officeDocument/2006/relationships/hyperlink" Target="https://drive.google.com/file/d/1sslNMJpC0g3GK2y1gUi2rHmP80YGNQ9e/view?usp=drive_link" TargetMode="External"/><Relationship Id="rId159" Type="http://schemas.openxmlformats.org/officeDocument/2006/relationships/hyperlink" Target="https://drive.google.com/file/d/1qPkb4lkS5cgvhGzF9UeBMft5s_UNpC9w/view?usp=drive_link" TargetMode="External"/><Relationship Id="rId170" Type="http://schemas.openxmlformats.org/officeDocument/2006/relationships/hyperlink" Target="https://drive.google.com/file/d/1nWJeTH43CyOiZ4evsSA2JkhbBV4rIR3P/view?usp=drive_link" TargetMode="External"/><Relationship Id="rId191" Type="http://schemas.openxmlformats.org/officeDocument/2006/relationships/hyperlink" Target="https://drive.google.com/file/d/1b412ISjhL-S3ymVkParNmBziFp1udhLj/view?usp=drive_link" TargetMode="External"/><Relationship Id="rId107" Type="http://schemas.openxmlformats.org/officeDocument/2006/relationships/hyperlink" Target="https://drive.google.com/file/d/1q44ZiQVf187SCu5ClcWVcM-p_NmlFdb_/view?usp=drive_link" TargetMode="External"/><Relationship Id="rId11" Type="http://schemas.openxmlformats.org/officeDocument/2006/relationships/hyperlink" Target="https://drive.google.com/file/d/1S2DXt_sn_H8bZtA6RGLtTdJBI5HVspch/view?usp=drive_link" TargetMode="External"/><Relationship Id="rId32" Type="http://schemas.openxmlformats.org/officeDocument/2006/relationships/hyperlink" Target="https://drive.google.com/file/d/1yxYLifUDEEX7zRjOPwnY52V9YV9FEkaU/view?usp=drive_link" TargetMode="External"/><Relationship Id="rId53" Type="http://schemas.openxmlformats.org/officeDocument/2006/relationships/hyperlink" Target="https://drive.google.com/file/d/1yUAqjO8o8YbGQDyqlWhNcMVV-Qt9rKpp/view?usp=drive_link" TargetMode="External"/><Relationship Id="rId74" Type="http://schemas.openxmlformats.org/officeDocument/2006/relationships/hyperlink" Target="https://drive.google.com/file/d/1lQvbpHTGmjgj1_oYjMAESLqjCW3HrJ-i/view?usp=drive_link" TargetMode="External"/><Relationship Id="rId128" Type="http://schemas.openxmlformats.org/officeDocument/2006/relationships/hyperlink" Target="https://drive.google.com/file/d/1t1gRzY1GSjcZ1VkSt37LzMb5sJt4LJsa/view?usp=drive_link" TargetMode="External"/><Relationship Id="rId149" Type="http://schemas.openxmlformats.org/officeDocument/2006/relationships/hyperlink" Target="https://drive.google.com/file/d/1vhVUw3UrC7UUxyNU8vQ1L-J5H3waeiDF/view?usp=drive_link" TargetMode="External"/><Relationship Id="rId5" Type="http://schemas.openxmlformats.org/officeDocument/2006/relationships/hyperlink" Target="https://drive.google.com/file/d/1wrI2XZsRSLGDQ_Hus9xHPGYhQrcN19jW/view?usp=sharing" TargetMode="External"/><Relationship Id="rId95" Type="http://schemas.openxmlformats.org/officeDocument/2006/relationships/hyperlink" Target="https://drive.google.com/file/d/1rdT15E2KhuLQagkQItRQbo1TZtqwHhpv/view?usp=drive_link" TargetMode="External"/><Relationship Id="rId160" Type="http://schemas.openxmlformats.org/officeDocument/2006/relationships/hyperlink" Target="https://drive.google.com/file/d/1p1vbpu5D7IXqj3WfGnvSON19yiOnJy6f/view?usp=drive_link" TargetMode="External"/><Relationship Id="rId181" Type="http://schemas.openxmlformats.org/officeDocument/2006/relationships/hyperlink" Target="https://drive.google.com/file/d/1oGDWv_phLlW6mJscQe2g-_axuCXX3Zxl/view?usp=drive_link" TargetMode="External"/><Relationship Id="rId22" Type="http://schemas.openxmlformats.org/officeDocument/2006/relationships/hyperlink" Target="https://drive.google.com/file/d/1xelKcFoPCcuegqd2E5bMqeuT5cLKQBeJ/view?usp=drive_link" TargetMode="External"/><Relationship Id="rId43" Type="http://schemas.openxmlformats.org/officeDocument/2006/relationships/hyperlink" Target="https://drive.google.com/file/d/1zk7s1OTO3yTmbJh7SZ8_gMJ11mPVJfqS/view?usp=drive_link" TargetMode="External"/><Relationship Id="rId64" Type="http://schemas.openxmlformats.org/officeDocument/2006/relationships/hyperlink" Target="https://drive.google.com/file/d/13GWWqneplT5nuCe99k3RZ_2sdNLa1L9B/view?usp=drive_link" TargetMode="External"/><Relationship Id="rId118" Type="http://schemas.openxmlformats.org/officeDocument/2006/relationships/hyperlink" Target="https://drive.google.com/file/d/1A3x9gN6Yz517RJrhaXG_gXnthhp4FoBV/view?usp=drive_link" TargetMode="External"/><Relationship Id="rId139" Type="http://schemas.openxmlformats.org/officeDocument/2006/relationships/hyperlink" Target="https://drive.google.com/file/d/1qiDrML6S6ixrq-b-E0DnAUOkVg45oafU/view?usp=drive_link" TargetMode="External"/><Relationship Id="rId85" Type="http://schemas.openxmlformats.org/officeDocument/2006/relationships/hyperlink" Target="https://drive.google.com/file/d/1fwVCctyK11ktsfygGHSQRpVK2cD-34yc/view?usp=drive_link" TargetMode="External"/><Relationship Id="rId150" Type="http://schemas.openxmlformats.org/officeDocument/2006/relationships/hyperlink" Target="https://drive.google.com/file/d/1pCbYdX8pLQEWNJ_2WPvbO3ra7jB13Z5L/view?usp=drive_link" TargetMode="External"/><Relationship Id="rId171" Type="http://schemas.openxmlformats.org/officeDocument/2006/relationships/hyperlink" Target="https://drive.google.com/file/d/1oESOgvxDkbAjjZCPJJpHl2ENNoqMLD9I/view?usp=drive_link" TargetMode="External"/><Relationship Id="rId192" Type="http://schemas.openxmlformats.org/officeDocument/2006/relationships/hyperlink" Target="https://drive.google.com/file/d/1Yv5hZ9POAEq6VBvr8IW6-u6bO6tyqstq/view?usp=sharing" TargetMode="External"/><Relationship Id="rId12" Type="http://schemas.openxmlformats.org/officeDocument/2006/relationships/hyperlink" Target="https://drive.google.com/file/d/1wKWxGDF51oxBl0Ib-vWO4CEnowt1ahV8/view?usp=drive_link" TargetMode="External"/><Relationship Id="rId33" Type="http://schemas.openxmlformats.org/officeDocument/2006/relationships/hyperlink" Target="https://drive.google.com/file/d/1yxR3Tcq9_rDclJO4ilWEcH9PXbUTmtBv/view?usp=drive_link" TargetMode="External"/><Relationship Id="rId108" Type="http://schemas.openxmlformats.org/officeDocument/2006/relationships/hyperlink" Target="https://drive.google.com/file/d/1ZJPgD8acdrsaufYfNkmcruvzRVSFddrS/view?usp=drive_link" TargetMode="External"/><Relationship Id="rId129" Type="http://schemas.openxmlformats.org/officeDocument/2006/relationships/hyperlink" Target="https://drive.google.com/file/d/1tTYQXJpMZFHFuAGSaRPxsOs48Qbq75JT/view?usp=drive_link" TargetMode="External"/><Relationship Id="rId54" Type="http://schemas.openxmlformats.org/officeDocument/2006/relationships/hyperlink" Target="https://drive.google.com/file/d/1yX1ZRruVeqhVJry0sOYJKKIgB13IF6-F/view?usp=drive_link" TargetMode="External"/><Relationship Id="rId75" Type="http://schemas.openxmlformats.org/officeDocument/2006/relationships/hyperlink" Target="https://drive.google.com/file/d/19nOGJZjzDHimLSYfNOjfsldnx0VtDP9v/view?usp=drive_link" TargetMode="External"/><Relationship Id="rId96" Type="http://schemas.openxmlformats.org/officeDocument/2006/relationships/hyperlink" Target="https://drive.google.com/file/d/1rnOLBJG7VxSP7f1rJi3bmynvB_wd-7T3/view?usp=drive_link" TargetMode="External"/><Relationship Id="rId140" Type="http://schemas.openxmlformats.org/officeDocument/2006/relationships/hyperlink" Target="https://drive.google.com/file/d/1rC_Xz06z-Mqv4XRIMLCLQe1BxKhKqkma/view?usp=drive_link" TargetMode="External"/><Relationship Id="rId161" Type="http://schemas.openxmlformats.org/officeDocument/2006/relationships/hyperlink" Target="https://drive.google.com/file/d/1pTv-C51pcOsL0pWXp_SEAyZs6_ZF8Pdl/view?usp=drive_link" TargetMode="External"/><Relationship Id="rId182" Type="http://schemas.openxmlformats.org/officeDocument/2006/relationships/hyperlink" Target="https://drive.google.com/file/d/1qMsSVCTwSkT0uY__HqAVnlE82D_CxAoL/view?usp=drive_link" TargetMode="External"/><Relationship Id="rId6" Type="http://schemas.openxmlformats.org/officeDocument/2006/relationships/hyperlink" Target="https://drive.google.com/file/d/1wcLuxiol-5OApDmQQOviCeAJejwPYtdL/view?usp=sharing" TargetMode="External"/><Relationship Id="rId23" Type="http://schemas.openxmlformats.org/officeDocument/2006/relationships/hyperlink" Target="https://drive.google.com/file/d/1x54KDgar7ijeJtP_6673NWPUSZdjJ3z7/view?usp=drive_link" TargetMode="External"/><Relationship Id="rId119" Type="http://schemas.openxmlformats.org/officeDocument/2006/relationships/hyperlink" Target="https://drive.google.com/file/d/1piOM89YMIdUDIi83tgR9iO17v5JfWTcR/view?usp=drive_link" TargetMode="External"/><Relationship Id="rId44" Type="http://schemas.openxmlformats.org/officeDocument/2006/relationships/hyperlink" Target="https://drive.google.com/file/d/1zk5JBzKnaiP4lXR1ppz4m34MUaGw7q5e/view?usp=drive_link" TargetMode="External"/><Relationship Id="rId65" Type="http://schemas.openxmlformats.org/officeDocument/2006/relationships/hyperlink" Target="https://drive.google.com/file/d/1FJolfwNo_X3x5ftZ-jw4y_LBw8LehdAc/view?usp=drive_link" TargetMode="External"/><Relationship Id="rId86" Type="http://schemas.openxmlformats.org/officeDocument/2006/relationships/hyperlink" Target="https://drive.google.com/file/d/1KBJwMeGEUaeeOGPgYNaCKmdJhyuPv1SB/view?usp=drive_link" TargetMode="External"/><Relationship Id="rId130" Type="http://schemas.openxmlformats.org/officeDocument/2006/relationships/hyperlink" Target="https://drive.google.com/file/d/1fMMH2r51UrQTznsOyKdUATEKCU4W1VPW/view?usp=drive_link" TargetMode="External"/><Relationship Id="rId151" Type="http://schemas.openxmlformats.org/officeDocument/2006/relationships/hyperlink" Target="https://drive.google.com/file/d/1pKJNGhSJVdGb13Bw-KXGJplcc_PD3R4l/view?usp=drive_link" TargetMode="External"/><Relationship Id="rId172" Type="http://schemas.openxmlformats.org/officeDocument/2006/relationships/hyperlink" Target="https://drive.google.com/file/d/1nZA7Xq-fk-3k4-Nan4sE2n2n7r8pVeKN/view?usp=drive_link" TargetMode="External"/><Relationship Id="rId193" Type="http://schemas.openxmlformats.org/officeDocument/2006/relationships/hyperlink" Target="https://drive.google.com/file/d/1fphf91ARqNlc0LfcTHvHpLybBIJoQfbA/view?usp=drive_link" TargetMode="External"/><Relationship Id="rId13" Type="http://schemas.openxmlformats.org/officeDocument/2006/relationships/hyperlink" Target="https://drive.google.com/file/d/1wGDJUUN7uff6AF2IInt4wTnJwlv_HMaq/view?usp=drive_link" TargetMode="External"/><Relationship Id="rId109" Type="http://schemas.openxmlformats.org/officeDocument/2006/relationships/hyperlink" Target="https://drive.google.com/file/d/1pmoi0cyHtdqIJujCGcknf8IEWDx-MJJM/view?usp=drive_link" TargetMode="External"/><Relationship Id="rId34" Type="http://schemas.openxmlformats.org/officeDocument/2006/relationships/hyperlink" Target="https://drive.google.com/file/d/1zMcZT8GrxhSfzecj3q0iVr9-Vv_Wct0Y/view?usp=drive_link" TargetMode="External"/><Relationship Id="rId55" Type="http://schemas.openxmlformats.org/officeDocument/2006/relationships/hyperlink" Target="https://drive.google.com/file/d/1yOUyjiDO82VpyCtURxDE8eFpPGfTlM4Q/view?usp=drive_link" TargetMode="External"/><Relationship Id="rId76" Type="http://schemas.openxmlformats.org/officeDocument/2006/relationships/hyperlink" Target="https://drive.google.com/file/d/1Lxx5sPexyrFsPVe0Lx0kTW_jocxf550W/view?usp=drive_link" TargetMode="External"/><Relationship Id="rId97" Type="http://schemas.openxmlformats.org/officeDocument/2006/relationships/hyperlink" Target="https://drive.google.com/file/d/1oQpxgVx7KP7gvVozEMBzSgB7Z3vlPLWM/view?usp=drive_link" TargetMode="External"/><Relationship Id="rId120" Type="http://schemas.openxmlformats.org/officeDocument/2006/relationships/hyperlink" Target="https://drive.google.com/file/d/1pxGdR1pr8kzvYoxkKknpO5uozN39xqca/view?usp=drive_link" TargetMode="External"/><Relationship Id="rId141" Type="http://schemas.openxmlformats.org/officeDocument/2006/relationships/hyperlink" Target="https://drive.google.com/file/d/1qtXunb8MXEwIVGwNXtw8OGKAgQ7kPzZP/view?usp=drive_link" TargetMode="External"/><Relationship Id="rId7" Type="http://schemas.openxmlformats.org/officeDocument/2006/relationships/hyperlink" Target="https://drive.google.com/file/d/1DUrz7Dwe27iF9Sqd-9Gl8J3Uux6Jr_IS/view?usp=drive_link" TargetMode="External"/><Relationship Id="rId162" Type="http://schemas.openxmlformats.org/officeDocument/2006/relationships/hyperlink" Target="https://drive.google.com/file/d/1sb5IKHvNkGPsNbOqjyEsaQEFs1Jn2F3X/view?usp=drive_link" TargetMode="External"/><Relationship Id="rId183" Type="http://schemas.openxmlformats.org/officeDocument/2006/relationships/hyperlink" Target="https://drive.google.com/file/d/1C2f1URgMC8sK1XXsvAMxuAQhN5Qhdhqi/view?usp=drive_link" TargetMode="External"/><Relationship Id="rId2" Type="http://schemas.openxmlformats.org/officeDocument/2006/relationships/hyperlink" Target="https://drive.google.com/file/d/1C6WOrc-HYTbMm5vSA1CqMTVZ2j6ehrPF/view?usp=drive_link" TargetMode="External"/><Relationship Id="rId29" Type="http://schemas.openxmlformats.org/officeDocument/2006/relationships/hyperlink" Target="https://drive.google.com/file/d/1xk6lhEbhtlH3fABQP7eYWF8cJPQx4Xk2/view?usp=drive_link" TargetMode="External"/><Relationship Id="rId24" Type="http://schemas.openxmlformats.org/officeDocument/2006/relationships/hyperlink" Target="https://drive.google.com/file/d/1x2suH5coweWf-UsQ2h5grLcI10XN1TMx/view?usp=drive_link" TargetMode="External"/><Relationship Id="rId40" Type="http://schemas.openxmlformats.org/officeDocument/2006/relationships/hyperlink" Target="https://drive.google.com/file/d/1zMcZT8GrxhSfzecj3q0iVr9-Vv_Wct0Y/view?usp=drive_link" TargetMode="External"/><Relationship Id="rId45" Type="http://schemas.openxmlformats.org/officeDocument/2006/relationships/hyperlink" Target="https://drive.google.com/file/d/1zvgH-q6RYlxavR5mSaDVzfJr_oNj_LmY/view?usp=drive_link" TargetMode="External"/><Relationship Id="rId66" Type="http://schemas.openxmlformats.org/officeDocument/2006/relationships/hyperlink" Target="https://drive.google.com/file/d/1Elv5Y3XCJaL7JF5JkMCIWRKu6p_oDBut/view?usp=drive_link" TargetMode="External"/><Relationship Id="rId87" Type="http://schemas.openxmlformats.org/officeDocument/2006/relationships/hyperlink" Target="https://drive.google.com/file/d/1rk2I1rc-VqkZFljbSxhHVbNaZL0QSGI_/view?usp=drive_link" TargetMode="External"/><Relationship Id="rId110" Type="http://schemas.openxmlformats.org/officeDocument/2006/relationships/hyperlink" Target="https://drive.google.com/file/d/1ppRJjGc2Ta6scZLXG3GBcTZbnl0V8EWk/view?usp=drive_link" TargetMode="External"/><Relationship Id="rId115" Type="http://schemas.openxmlformats.org/officeDocument/2006/relationships/hyperlink" Target="https://drive.google.com/file/d/1q4z6psVGT4VOG_PNVPp37GdRBNxFr80t/view?usp=drive_link" TargetMode="External"/><Relationship Id="rId131" Type="http://schemas.openxmlformats.org/officeDocument/2006/relationships/hyperlink" Target="https://drive.google.com/file/d/1t0xt5GSj7rr-BcUZodbfdsf36aoVJjKe/view?usp=drive_link" TargetMode="External"/><Relationship Id="rId136" Type="http://schemas.openxmlformats.org/officeDocument/2006/relationships/hyperlink" Target="https://drive.google.com/file/d/1tM6NskQxvQU0tW9oz-G5RTSVQamQgaSG/view?usp=drive_link" TargetMode="External"/><Relationship Id="rId157" Type="http://schemas.openxmlformats.org/officeDocument/2006/relationships/hyperlink" Target="https://drive.google.com/file/d/16gbtSUsX6vOsJe3IVW8uRmOSrjdKAdX9/view?usp=drive_link" TargetMode="External"/><Relationship Id="rId178" Type="http://schemas.openxmlformats.org/officeDocument/2006/relationships/hyperlink" Target="https://drive.google.com/file/d/1o1NMuIve0gZNlO0GxtbYWdsD3uNa2Yed/view?usp=drive_link" TargetMode="External"/><Relationship Id="rId61" Type="http://schemas.openxmlformats.org/officeDocument/2006/relationships/hyperlink" Target="https://drive.google.com/file/d/1xwjGJj8yoGFvPzFvBId7bH9R2IwGuABS/view?usp=drive_link" TargetMode="External"/><Relationship Id="rId82" Type="http://schemas.openxmlformats.org/officeDocument/2006/relationships/hyperlink" Target="https://drive.google.com/file/d/1B5PC5ENYSYMJwdyshM5f16kBGy4OHvC7/view?usp=drive_link" TargetMode="External"/><Relationship Id="rId152" Type="http://schemas.openxmlformats.org/officeDocument/2006/relationships/hyperlink" Target="https://drive.google.com/file/d/1zEi7N2fZu40BzI0YqypkyfFLvOQALyCn/view?usp=drive_link" TargetMode="External"/><Relationship Id="rId173" Type="http://schemas.openxmlformats.org/officeDocument/2006/relationships/hyperlink" Target="https://drive.google.com/file/d/1oEmaoPjcva2K1sJVuNfhplweZl__GRWI/view?usp=drive_link" TargetMode="External"/><Relationship Id="rId194" Type="http://schemas.openxmlformats.org/officeDocument/2006/relationships/hyperlink" Target="https://drive.google.com/file/d/1u9tQYJV3AgpfCZTxXnUZqXkOXuLcWR3J/view?usp=drive_link" TargetMode="External"/><Relationship Id="rId199" Type="http://schemas.openxmlformats.org/officeDocument/2006/relationships/hyperlink" Target="https://drive.google.com/file/d/1BJBKTFATohlkdwCfPwJKaQni3X8Hm9kx/view?usp=drive_link" TargetMode="External"/><Relationship Id="rId203" Type="http://schemas.openxmlformats.org/officeDocument/2006/relationships/hyperlink" Target="https://drive.google.com/file/d/1pvwJCIKFmDoMY1uOKE2SKDp2pmGjnQSv/view?usp=sharing" TargetMode="External"/><Relationship Id="rId19" Type="http://schemas.openxmlformats.org/officeDocument/2006/relationships/hyperlink" Target="https://drive.google.com/file/d/1xCxkVib7ElX3xvR2BpyhKrNvETi9LKOX/view?usp=drive_link" TargetMode="External"/><Relationship Id="rId14" Type="http://schemas.openxmlformats.org/officeDocument/2006/relationships/hyperlink" Target="https://drive.google.com/file/d/1Co4ghLJ-z1cJBOvC6ETxdHiAVIsMphS7/view?usp=drive_link" TargetMode="External"/><Relationship Id="rId30" Type="http://schemas.openxmlformats.org/officeDocument/2006/relationships/hyperlink" Target="https://drive.google.com/file/d/1ziNvWh87VvaMYW9ky5xY5UYNqJ6k4xX7/view?usp=drive_link" TargetMode="External"/><Relationship Id="rId35" Type="http://schemas.openxmlformats.org/officeDocument/2006/relationships/hyperlink" Target="https://drive.google.com/file/d/1zMaiqz_hAwJepi2aMVgyM0MsFnyHF8CD/view?usp=drive_link" TargetMode="External"/><Relationship Id="rId56" Type="http://schemas.openxmlformats.org/officeDocument/2006/relationships/hyperlink" Target="https://drive.google.com/file/d/1yEk9r2XbZYbKcAriYLKom3uAz6U3L1xh/view?usp=drive_link" TargetMode="External"/><Relationship Id="rId77" Type="http://schemas.openxmlformats.org/officeDocument/2006/relationships/hyperlink" Target="https://drive.google.com/file/d/1_HrM-vCUKWv5PexMdbL55jhVf6mAM81_/view?usp=drive_link" TargetMode="External"/><Relationship Id="rId100" Type="http://schemas.openxmlformats.org/officeDocument/2006/relationships/hyperlink" Target="https://drive.google.com/file/d/1obvr4dvttQLqZELhzVqtg9jDpoZfnETf/view?usp=drive_link" TargetMode="External"/><Relationship Id="rId105" Type="http://schemas.openxmlformats.org/officeDocument/2006/relationships/hyperlink" Target="https://drive.google.com/file/d/1jvr0mqYX29I9bZqX48Mgd2cyEHXX1Tet/view?usp=drive_link" TargetMode="External"/><Relationship Id="rId126" Type="http://schemas.openxmlformats.org/officeDocument/2006/relationships/hyperlink" Target="https://drive.google.com/file/d/1t93GPrrBiK-TFBZ7IcxlatmR7bGSGk18/view?usp=drive_link" TargetMode="External"/><Relationship Id="rId147" Type="http://schemas.openxmlformats.org/officeDocument/2006/relationships/hyperlink" Target="https://drive.google.com/file/d/1rIdjSwMhqDzuuCFcHSdxIpqUWWDypNBH/view?usp=drive_link" TargetMode="External"/><Relationship Id="rId168" Type="http://schemas.openxmlformats.org/officeDocument/2006/relationships/hyperlink" Target="https://drive.google.com/file/d/1sffL-9DsahO_9ai1znLPj8mEzyqjWksx/view?usp=drive_link" TargetMode="External"/><Relationship Id="rId8" Type="http://schemas.openxmlformats.org/officeDocument/2006/relationships/hyperlink" Target="https://drive.google.com/file/d/1Yru5V-4j6am1i46BP0xCYIqTSSwQoMxq/view?usp=drive_link" TargetMode="External"/><Relationship Id="rId51" Type="http://schemas.openxmlformats.org/officeDocument/2006/relationships/hyperlink" Target="https://drive.google.com/file/d/1yCNKMeoOgxzXqYKCyk3yBiNtRInID9Tw/view?usp=drive_link" TargetMode="External"/><Relationship Id="rId72" Type="http://schemas.openxmlformats.org/officeDocument/2006/relationships/hyperlink" Target="https://drive.google.com/file/d/1sz_8fvQmjHs3_LrYmHztdLwb3XuQmn2v/view?usp=drive_link" TargetMode="External"/><Relationship Id="rId93" Type="http://schemas.openxmlformats.org/officeDocument/2006/relationships/hyperlink" Target="https://drive.google.com/file/d/1s8aVf6TnHv_qljOLDHVP-Zb7qnYlwySi/view?usp=drive_link" TargetMode="External"/><Relationship Id="rId98" Type="http://schemas.openxmlformats.org/officeDocument/2006/relationships/hyperlink" Target="https://drive.google.com/file/d/1oLNIMHYYQ0Q5_utsyE5SEUHMjBfzGEuv/view?usp=drive_link" TargetMode="External"/><Relationship Id="rId121" Type="http://schemas.openxmlformats.org/officeDocument/2006/relationships/hyperlink" Target="https://drive.google.com/file/d/1cmTlQpT1MvbBCvJSOIKSD_4v3qMsyDjG/view?usp=drive_link" TargetMode="External"/><Relationship Id="rId142" Type="http://schemas.openxmlformats.org/officeDocument/2006/relationships/hyperlink" Target="https://drive.google.com/file/d/1rFKACiIslc6wBPD6MTaVvXYOeLTa-NJE/view?usp=drive_link" TargetMode="External"/><Relationship Id="rId163" Type="http://schemas.openxmlformats.org/officeDocument/2006/relationships/hyperlink" Target="https://drive.google.com/file/d/1shhfjn4C1sfBP1HpDxqp3xzh2RUetuSB/view?usp=drive_link" TargetMode="External"/><Relationship Id="rId184" Type="http://schemas.openxmlformats.org/officeDocument/2006/relationships/hyperlink" Target="https://drive.google.com/file/d/1TVKx5INugC2Sv5_bYpeJoEQwehsLmn1J/view?usp=drive_link" TargetMode="External"/><Relationship Id="rId189" Type="http://schemas.openxmlformats.org/officeDocument/2006/relationships/hyperlink" Target="https://drive.google.com/file/d/1wlv6szPTib6leAQ2gyCSoWJcjBTAdHOD/view?usp=drive_link" TargetMode="External"/><Relationship Id="rId3" Type="http://schemas.openxmlformats.org/officeDocument/2006/relationships/hyperlink" Target="https://drive.google.com/file/d/1t4jLIIG-SY_5aIzZre9fCpVulXqMFSf3/view?usp=drive_link" TargetMode="External"/><Relationship Id="rId25" Type="http://schemas.openxmlformats.org/officeDocument/2006/relationships/hyperlink" Target="https://drive.google.com/file/d/1ABi4NXEeX0aXWXdkbJfDcA0ccbOBXUTi/view?usp=drive_link" TargetMode="External"/><Relationship Id="rId46" Type="http://schemas.openxmlformats.org/officeDocument/2006/relationships/hyperlink" Target="https://drive.google.com/file/d/1zwjkoFFm7rf3DVAAknHpUpl_DxY00A6L/view?usp=drive_link" TargetMode="External"/><Relationship Id="rId67" Type="http://schemas.openxmlformats.org/officeDocument/2006/relationships/hyperlink" Target="https://drive.google.com/file/d/1bcFyHD33YxrSkSD6z2ZooiEauYDwotNL/view?usp=drive_link" TargetMode="External"/><Relationship Id="rId116" Type="http://schemas.openxmlformats.org/officeDocument/2006/relationships/hyperlink" Target="https://drive.google.com/file/d/1pjRDHJCsAIesHS8I6CX114ml8zCzQyQK/view?usp=drive_link" TargetMode="External"/><Relationship Id="rId137" Type="http://schemas.openxmlformats.org/officeDocument/2006/relationships/hyperlink" Target="https://drive.google.com/file/d/1t9RMMUNqH_-TVikywL-oGt--h0Vas5Fh/view?usp=drive_link" TargetMode="External"/><Relationship Id="rId158" Type="http://schemas.openxmlformats.org/officeDocument/2006/relationships/hyperlink" Target="https://drive.google.com/file/d/1ovuwDDq-_KqelFkrVAty4n0u7qeTX3DG/view?usp=drive_link" TargetMode="External"/><Relationship Id="rId20" Type="http://schemas.openxmlformats.org/officeDocument/2006/relationships/hyperlink" Target="https://drive.google.com/file/d/1FJpfnW3vNH7_4yX_R5c0QhGrvPGV4l9O/view?usp=drive_link" TargetMode="External"/><Relationship Id="rId41" Type="http://schemas.openxmlformats.org/officeDocument/2006/relationships/hyperlink" Target="https://drive.google.com/file/d/1zMaiqz_hAwJepi2aMVgyM0MsFnyHF8CD/view?usp=drive_link" TargetMode="External"/><Relationship Id="rId62" Type="http://schemas.openxmlformats.org/officeDocument/2006/relationships/hyperlink" Target="https://drive.google.com/file/d/1yn1L0sqIyIAoJdn59WZ8s3gLiywVcIVv/view?usp=drive_link" TargetMode="External"/><Relationship Id="rId83" Type="http://schemas.openxmlformats.org/officeDocument/2006/relationships/hyperlink" Target="https://drive.google.com/file/d/1n7jS4Rxx7UBqn9qx9nFxDSmCXnPwrOQ5/view?usp=drive_link" TargetMode="External"/><Relationship Id="rId88" Type="http://schemas.openxmlformats.org/officeDocument/2006/relationships/hyperlink" Target="https://drive.google.com/file/d/1sE1IMcAPoikOfIi3eseJPAWcWLtRpFa8/view?usp=drive_link" TargetMode="External"/><Relationship Id="rId111" Type="http://schemas.openxmlformats.org/officeDocument/2006/relationships/hyperlink" Target="https://drive.google.com/file/d/1peCrecIGDPn-eyf3VqLQmLF_rrmbYL_n/view?usp=drive_link" TargetMode="External"/><Relationship Id="rId132" Type="http://schemas.openxmlformats.org/officeDocument/2006/relationships/hyperlink" Target="https://drive.google.com/file/d/1-UcYcGO4mBMzqZZN2EZ4o1Z3Q1opWReR/view?usp=drive_link" TargetMode="External"/><Relationship Id="rId153" Type="http://schemas.openxmlformats.org/officeDocument/2006/relationships/hyperlink" Target="https://drive.google.com/file/d/1p4orswt0KjpWVLMzu_5FT47473Pubf47/view?usp=drive_link" TargetMode="External"/><Relationship Id="rId174" Type="http://schemas.openxmlformats.org/officeDocument/2006/relationships/hyperlink" Target="https://drive.google.com/file/d/12KA_nKZFVaEKK5pRufVtfvgilRhXJdno/view?usp=sharing" TargetMode="External"/><Relationship Id="rId179" Type="http://schemas.openxmlformats.org/officeDocument/2006/relationships/hyperlink" Target="https://drive.google.com/file/d/1nhsQ91-DFLF5YhMus_Go5Ym4LNC7mzZI/view?usp=drive_link" TargetMode="External"/><Relationship Id="rId195" Type="http://schemas.openxmlformats.org/officeDocument/2006/relationships/hyperlink" Target="https://drive.google.com/file/d/1T9Q_egY-OqHuw2fevIGuzUQzG5B4Jy5X/view?usp=drive_link" TargetMode="External"/><Relationship Id="rId190" Type="http://schemas.openxmlformats.org/officeDocument/2006/relationships/hyperlink" Target="https://drive.google.com/file/d/1mjoKGBygpHN8lRpoKS3I9PRtgR3ceIt4/view?usp=drive_link" TargetMode="External"/><Relationship Id="rId15" Type="http://schemas.openxmlformats.org/officeDocument/2006/relationships/hyperlink" Target="https://drive.google.com/file/d/1wa10TWbQB4gJGeQCquqnBWk2ABU7zXKm/view?usp=drive_link" TargetMode="External"/><Relationship Id="rId36" Type="http://schemas.openxmlformats.org/officeDocument/2006/relationships/hyperlink" Target="https://drive.google.com/file/d/1zIAySpWsLhhyNSgLs8-6SAv6GRPa8FVQ/view?usp=drive_link" TargetMode="External"/><Relationship Id="rId57" Type="http://schemas.openxmlformats.org/officeDocument/2006/relationships/hyperlink" Target="https://drive.google.com/file/d/1y6oo8CMS5yn0bDrPqAbmKMTiWQGw9AkE/view?usp=drive_link" TargetMode="External"/><Relationship Id="rId106" Type="http://schemas.openxmlformats.org/officeDocument/2006/relationships/hyperlink" Target="https://drive.google.com/file/d/1poQN6flo-Juua57HVMBiTBE1ZUBZsYB9/view?usp=drive_link" TargetMode="External"/><Relationship Id="rId127" Type="http://schemas.openxmlformats.org/officeDocument/2006/relationships/hyperlink" Target="https://drive.google.com/file/d/1tKxOfywP_cBBmxIYjbZsMfRWBDpksX5e/view?usp=drive_link" TargetMode="External"/><Relationship Id="rId10" Type="http://schemas.openxmlformats.org/officeDocument/2006/relationships/hyperlink" Target="https://drive.google.com/file/d/1w9FjnIKnNcjgnrqNDrhFJKd_hAJ6dKpc/view?usp=drive_link" TargetMode="External"/><Relationship Id="rId31" Type="http://schemas.openxmlformats.org/officeDocument/2006/relationships/hyperlink" Target="https://drive.google.com/file/d/1zVQthzWfmidTMBdExIN_042_ntQQiONI/view?usp=drive_link" TargetMode="External"/><Relationship Id="rId52" Type="http://schemas.openxmlformats.org/officeDocument/2006/relationships/hyperlink" Target="https://drive.google.com/file/d/1yCJEM-z9d9NRX8DXD7LwcPGwrh7AVdI-/view?usp=drive_link" TargetMode="External"/><Relationship Id="rId73" Type="http://schemas.openxmlformats.org/officeDocument/2006/relationships/hyperlink" Target="https://drive.google.com/file/d/1d8d9YMTBqyQcw0ui-1JbjgeJMXId4WsZ/view?usp=drive_link" TargetMode="External"/><Relationship Id="rId78" Type="http://schemas.openxmlformats.org/officeDocument/2006/relationships/hyperlink" Target="https://drive.google.com/file/d/1ETr-jnQa1c3uxwgPY8Xq7mMXHuxm0P_x/view?usp=drive_link" TargetMode="External"/><Relationship Id="rId94" Type="http://schemas.openxmlformats.org/officeDocument/2006/relationships/hyperlink" Target="https://drive.google.com/file/d/1ovPMiqJ4knfoBz_V0oKA_fWaTy06ooni/view?usp=drive_link" TargetMode="External"/><Relationship Id="rId99" Type="http://schemas.openxmlformats.org/officeDocument/2006/relationships/hyperlink" Target="https://drive.google.com/file/d/1oQv3DaFq9v7Avv0pFKl2Xdktje-HJK8Z/view?usp=drive_link" TargetMode="External"/><Relationship Id="rId101" Type="http://schemas.openxmlformats.org/officeDocument/2006/relationships/hyperlink" Target="https://drive.google.com/file/d/1odG7-SBUbHh7d4lAuAgX0gCj7UDjqS4O/view?usp=drive_link" TargetMode="External"/><Relationship Id="rId122" Type="http://schemas.openxmlformats.org/officeDocument/2006/relationships/hyperlink" Target="https://drive.google.com/file/d/1paYYH4Ww28jbYsITEvZUko2g9dL-FyCN/view?usp=drive_link" TargetMode="External"/><Relationship Id="rId143" Type="http://schemas.openxmlformats.org/officeDocument/2006/relationships/hyperlink" Target="https://drive.google.com/file/d/18DG0N1nIR27CaQ6dR5UemUND7-Www7Hi/view?usp=sharing" TargetMode="External"/><Relationship Id="rId148" Type="http://schemas.openxmlformats.org/officeDocument/2006/relationships/hyperlink" Target="https://drive.google.com/file/d/1uGhxRL79CK1fxbifQLYCv31dehye88jo/view?usp=drive_link" TargetMode="External"/><Relationship Id="rId164" Type="http://schemas.openxmlformats.org/officeDocument/2006/relationships/hyperlink" Target="https://drive.google.com/file/d/1p_5bocrIXCgF7nYwZHSEsKQlXiNTKH1-/view?usp=drive_link" TargetMode="External"/><Relationship Id="rId169" Type="http://schemas.openxmlformats.org/officeDocument/2006/relationships/hyperlink" Target="https://drive.google.com/file/d/1Qzb2ERdiuRdqsNtMySuXKC1rh98uwQkf/view?usp=sharing" TargetMode="External"/><Relationship Id="rId185" Type="http://schemas.openxmlformats.org/officeDocument/2006/relationships/hyperlink" Target="https://drive.google.com/file/d/1ynhSPIw_1BRoDn2U0pdW6AOo4U8_O7KT/view?usp=drive_link" TargetMode="External"/><Relationship Id="rId4" Type="http://schemas.openxmlformats.org/officeDocument/2006/relationships/hyperlink" Target="https://drive.google.com/file/d/1bNDRhpJknxEDuaeeEwL8B11YQmNzRb-t/view?usp=drive_link" TargetMode="External"/><Relationship Id="rId9" Type="http://schemas.openxmlformats.org/officeDocument/2006/relationships/hyperlink" Target="https://drive.google.com/file/d/1wAwp-SsxCNIb5RZJy8SHPHsNCzR_isfg/view?usp=sharing" TargetMode="External"/><Relationship Id="rId180" Type="http://schemas.openxmlformats.org/officeDocument/2006/relationships/hyperlink" Target="https://drive.google.com/file/d/1nymhydZbUDvppldjVcz4zc0c_0JG5yfz/view?usp=drive_link" TargetMode="External"/><Relationship Id="rId26" Type="http://schemas.openxmlformats.org/officeDocument/2006/relationships/hyperlink" Target="https://drive.google.com/file/d/1xrpAZ31Gw_vH7YGZDTXnsVXL_x14ioXH/view?usp=drive_link" TargetMode="External"/><Relationship Id="rId47" Type="http://schemas.openxmlformats.org/officeDocument/2006/relationships/hyperlink" Target="http://sdngovernorsoffice.gmail.com/" TargetMode="External"/><Relationship Id="rId68" Type="http://schemas.openxmlformats.org/officeDocument/2006/relationships/hyperlink" Target="https://drive.google.com/file/d/1Qb7PJCQZf549-tAiGlNRthOMVDTR31Kb/view?usp=drive_link" TargetMode="External"/><Relationship Id="rId89" Type="http://schemas.openxmlformats.org/officeDocument/2006/relationships/hyperlink" Target="https://drive.google.com/file/d/1yRswKXBtlUaYg3p9sfVfCIt7UVrdhdq4/view?usp=drive_link" TargetMode="External"/><Relationship Id="rId112" Type="http://schemas.openxmlformats.org/officeDocument/2006/relationships/hyperlink" Target="https://drive.google.com/file/d/1q8SA_rseemGjjwEFRG6yyvCG6YmAmbuA/view?usp=drive_link" TargetMode="External"/><Relationship Id="rId133" Type="http://schemas.openxmlformats.org/officeDocument/2006/relationships/hyperlink" Target="https://drive.google.com/file/d/1tARj0vX2j-3y3pRxNADNzRMhRvjGvsjd/view?usp=drive_link" TargetMode="External"/><Relationship Id="rId154" Type="http://schemas.openxmlformats.org/officeDocument/2006/relationships/hyperlink" Target="https://drive.google.com/file/d/1pMt5fQDfnrdfI17DcnbnTRDcUsfomtqB/view?usp=drive_link" TargetMode="External"/><Relationship Id="rId175" Type="http://schemas.openxmlformats.org/officeDocument/2006/relationships/hyperlink" Target="https://drive.google.com/file/d/1nb88iy5QwYyex8-Ycq-4_zvJ6Rj2jvsT/view?usp=drive_link" TargetMode="External"/><Relationship Id="rId196" Type="http://schemas.openxmlformats.org/officeDocument/2006/relationships/hyperlink" Target="https://drive.google.com/file/d/19uZY-V-tCm25CVp5Qi9WX-aLExy3yBjI/view?usp=drive_link" TargetMode="External"/><Relationship Id="rId200" Type="http://schemas.openxmlformats.org/officeDocument/2006/relationships/hyperlink" Target="https://drive.google.com/file/d/1Gz0AzR4aTWsC5KyQDv-DVSzfIUZHdUuk/view?usp=drive_link" TargetMode="External"/><Relationship Id="rId16" Type="http://schemas.openxmlformats.org/officeDocument/2006/relationships/hyperlink" Target="https://drive.google.com/file/d/1wLCRlPKtSoekk9B66lXGaDUDYn7Y30iN/view?usp=drive_link" TargetMode="External"/><Relationship Id="rId37" Type="http://schemas.openxmlformats.org/officeDocument/2006/relationships/hyperlink" Target="https://drive.google.com/file/d/1z2_ohYciBHjAW9yk34ErAk5RMTq7e82t/view?usp=drive_link" TargetMode="External"/><Relationship Id="rId58" Type="http://schemas.openxmlformats.org/officeDocument/2006/relationships/hyperlink" Target="https://drive.google.com/file/d/1-1C4OtrqPF6t95GDpHk1ZwsPXuKUjMOt/view?usp=drive_link" TargetMode="External"/><Relationship Id="rId79" Type="http://schemas.openxmlformats.org/officeDocument/2006/relationships/hyperlink" Target="https://drive.google.com/file/d/1uv-Cy8mg9GOnL93yn6z4kPSTFIm-xO2w/view?usp=drive_link" TargetMode="External"/><Relationship Id="rId102" Type="http://schemas.openxmlformats.org/officeDocument/2006/relationships/hyperlink" Target="https://drive.google.com/file/d/1oi6ItYfYLOWzknibcCBitzz8IYdA65BT/view?usp=drive_link" TargetMode="External"/><Relationship Id="rId123" Type="http://schemas.openxmlformats.org/officeDocument/2006/relationships/hyperlink" Target="https://drive.google.com/file/d/1mUF6siSTxxa9qUWdhOqpCJ2K1ivxJeWU/view?usp=drive_link" TargetMode="External"/><Relationship Id="rId144" Type="http://schemas.openxmlformats.org/officeDocument/2006/relationships/hyperlink" Target="https://drive.google.com/file/d/1qnHiiU-3Qbkp48zn1HQmhHWXb_RbB8jH/view?usp=drive_link" TargetMode="External"/><Relationship Id="rId90" Type="http://schemas.openxmlformats.org/officeDocument/2006/relationships/hyperlink" Target="https://drive.google.com/file/d/1rmHNt5ox-mFhp5HapN61L6lkQbHOsCwe/view?usp=drive_link" TargetMode="External"/><Relationship Id="rId165" Type="http://schemas.openxmlformats.org/officeDocument/2006/relationships/hyperlink" Target="https://drive.google.com/file/d/1s_b-wqolp7JQmgFuxCxv3FAWLeIgybCZ/view?usp=drive_link" TargetMode="External"/><Relationship Id="rId186" Type="http://schemas.openxmlformats.org/officeDocument/2006/relationships/hyperlink" Target="https://drive.google.com/file/d/1-9iThPGXHKf8fKLm8_db_vahqI3ZYSLY/view?usp=drive_link" TargetMode="External"/><Relationship Id="rId27" Type="http://schemas.openxmlformats.org/officeDocument/2006/relationships/hyperlink" Target="https://drive.google.com/file/d/1xqTqvBSMBR-vyR7u20JpN_8EVczB6kqQ/view?usp=drive_link" TargetMode="External"/><Relationship Id="rId48" Type="http://schemas.openxmlformats.org/officeDocument/2006/relationships/hyperlink" Target="https://drive.google.com/file/d/1zUwntpHezN8YHGl9s3eHloBFywD4Agc0/view?usp=drive_link" TargetMode="External"/><Relationship Id="rId69" Type="http://schemas.openxmlformats.org/officeDocument/2006/relationships/hyperlink" Target="https://drive.google.com/file/d/1MLHYmYEKpg5-SzLO7sHl1zAtbCzwoIr5/view?usp=drive_link" TargetMode="External"/><Relationship Id="rId113" Type="http://schemas.openxmlformats.org/officeDocument/2006/relationships/hyperlink" Target="https://drive.google.com/file/d/1aBMIGtdIL6zo2v03r1qGIgMycDUjaFX0/view?usp=drive_link" TargetMode="External"/><Relationship Id="rId134" Type="http://schemas.openxmlformats.org/officeDocument/2006/relationships/hyperlink" Target="https://drive.google.com/file/d/1-XZq5i1xTIvgZ3p2RbgMcbvf902qPILE/view?usp=drive_link" TargetMode="External"/><Relationship Id="rId80" Type="http://schemas.openxmlformats.org/officeDocument/2006/relationships/hyperlink" Target="https://drive.google.com/file/d/1SNtD9aFTEZanFa2mbmbo0eap7hiTDGoG/view?usp=drive_link" TargetMode="External"/><Relationship Id="rId155" Type="http://schemas.openxmlformats.org/officeDocument/2006/relationships/hyperlink" Target="https://drive.google.com/file/d/1p1Vh51aWEpsa8yWh7EBFl8mF685zh494/view?usp=drive_link" TargetMode="External"/><Relationship Id="rId176" Type="http://schemas.openxmlformats.org/officeDocument/2006/relationships/hyperlink" Target="https://drive.google.com/file/d/1nymhydZbUDvppldjVcz4zc0c_0JG5yfz/view?usp=drive_link" TargetMode="External"/><Relationship Id="rId197" Type="http://schemas.openxmlformats.org/officeDocument/2006/relationships/hyperlink" Target="https://drive.google.com/file/d/1ey7N2lvNNWAKf5zRX2D1mvmaPdDfIizq/view?usp=drive_link" TargetMode="External"/><Relationship Id="rId201" Type="http://schemas.openxmlformats.org/officeDocument/2006/relationships/hyperlink" Target="https://drive.google.com/file/d/1GUrjKWAXe1uOxUmenEqKDyShrOxC2sSM/view?usp=drive_link" TargetMode="External"/><Relationship Id="rId17" Type="http://schemas.openxmlformats.org/officeDocument/2006/relationships/hyperlink" Target="https://drive.google.com/file/d/1zZeOpRi_L5VEz271CnZO9wiVmWWtmVKs/view?usp=drive_link" TargetMode="External"/><Relationship Id="rId38" Type="http://schemas.openxmlformats.org/officeDocument/2006/relationships/hyperlink" Target="https://drive.google.com/file/d/1yujV50W2nzElo-DptY5eQaxQ_2_H8DIU/view?usp=drive_link" TargetMode="External"/><Relationship Id="rId59" Type="http://schemas.openxmlformats.org/officeDocument/2006/relationships/hyperlink" Target="https://drive.google.com/file/d/1y3pZThZe-mYnAuADDXO1vDf-Xpr0ritS/view?usp=drive_link" TargetMode="External"/><Relationship Id="rId103" Type="http://schemas.openxmlformats.org/officeDocument/2006/relationships/hyperlink" Target="https://drive.google.com/file/d/1OIGs6n6PmeSmv4FKEnNgFfKtjTIDodpC/view?usp=drive_link" TargetMode="External"/><Relationship Id="rId124" Type="http://schemas.openxmlformats.org/officeDocument/2006/relationships/hyperlink" Target="https://drive.google.com/file/d/115VWpTDSxmsNq9_uCFWt4ESSRKxq9RiA/view?usp=drive_link" TargetMode="External"/><Relationship Id="rId70" Type="http://schemas.openxmlformats.org/officeDocument/2006/relationships/hyperlink" Target="https://drive.google.com/file/d/1oP55ivw3ChzYEwuyPHxwnTm5zcADcMSV/view?usp=drive_link" TargetMode="External"/><Relationship Id="rId91" Type="http://schemas.openxmlformats.org/officeDocument/2006/relationships/hyperlink" Target="https://drive.google.com/file/d/1sCnIol8uDkFnWb7Ra9Soua1Prx5yEuDq/view?usp=drive_link" TargetMode="External"/><Relationship Id="rId145" Type="http://schemas.openxmlformats.org/officeDocument/2006/relationships/hyperlink" Target="https://drive.google.com/file/d/1-JtQ7c5ubvgO9oZn3P21cTXsPuzUcMSh/view?usp=drive_link" TargetMode="External"/><Relationship Id="rId166" Type="http://schemas.openxmlformats.org/officeDocument/2006/relationships/hyperlink" Target="https://drive.google.com/file/d/1siM6PwiJ9039EXjjsKqTMWU16OkghBaE/view?usp=drive_link" TargetMode="External"/><Relationship Id="rId187" Type="http://schemas.openxmlformats.org/officeDocument/2006/relationships/hyperlink" Target="https://drive.google.com/file/d/1skR4E4thvQoS19zpwrlhH744opFV3xKw/view?usp=drive_link" TargetMode="External"/><Relationship Id="rId1" Type="http://schemas.openxmlformats.org/officeDocument/2006/relationships/hyperlink" Target="https://drive.google.com/file/d/1KjocSfr8ZD1sbQ9TmNpI9fb9dKFts33Q/view?usp=drive_link" TargetMode="External"/><Relationship Id="rId28" Type="http://schemas.openxmlformats.org/officeDocument/2006/relationships/hyperlink" Target="https://drive.google.com/file/d/1xlesoyAxYaDqCeDIhb1kXp2_hxIzh1Jt/view?usp=drive_link" TargetMode="External"/><Relationship Id="rId49" Type="http://schemas.openxmlformats.org/officeDocument/2006/relationships/hyperlink" Target="https://drive.google.com/file/d/1zSj75hIeKKIgOrPT-SDDI4o6hyxzsaw1/view?usp=drive_link" TargetMode="External"/><Relationship Id="rId114" Type="http://schemas.openxmlformats.org/officeDocument/2006/relationships/hyperlink" Target="https://drive.google.com/file/d/1peejSrdatybN-bSWyKqEZXzz-Ptk3dba/view?usp=drive_link" TargetMode="External"/><Relationship Id="rId60" Type="http://schemas.openxmlformats.org/officeDocument/2006/relationships/hyperlink" Target="https://drive.google.com/file/d/1y2pli5bkpmMxT5P4zZE2tAISeCY9sK02/view?usp=drive_link" TargetMode="External"/><Relationship Id="rId81" Type="http://schemas.openxmlformats.org/officeDocument/2006/relationships/hyperlink" Target="https://drive.google.com/file/d/10OfEB-kINQVW7wWyL2zXTIIOWImzRktr/view?usp=drive_link" TargetMode="External"/><Relationship Id="rId135" Type="http://schemas.openxmlformats.org/officeDocument/2006/relationships/hyperlink" Target="https://drive.google.com/file/d/1svUtWNJ2mMzcOKKDk1Jd-EgIl3u_Fn4g/view?usp=drive_link" TargetMode="External"/><Relationship Id="rId156" Type="http://schemas.openxmlformats.org/officeDocument/2006/relationships/hyperlink" Target="https://drive.google.com/file/d/1pRuLw48efFjNveKljsv36t1WCgIzqu81/view?usp=drive_link" TargetMode="External"/><Relationship Id="rId177" Type="http://schemas.openxmlformats.org/officeDocument/2006/relationships/hyperlink" Target="https://drive.google.com/file/d/1nc6sY_F2C3n34siCBQJ56ykVe95o9lAp/view?usp=drive_link" TargetMode="External"/><Relationship Id="rId198" Type="http://schemas.openxmlformats.org/officeDocument/2006/relationships/hyperlink" Target="https://drive.google.com/file/d/1SKazZdSIkdmXp6Jvxu3UfGd9gc5Gs3uq/view?usp=drive_link" TargetMode="External"/><Relationship Id="rId202" Type="http://schemas.openxmlformats.org/officeDocument/2006/relationships/hyperlink" Target="https://drive.google.com/file/d/1XlUaLzK6qIR8_7bjy27jtiAvgRymzG6S/view?usp=drive_link" TargetMode="External"/><Relationship Id="rId18" Type="http://schemas.openxmlformats.org/officeDocument/2006/relationships/hyperlink" Target="https://drive.google.com/file/d/1xVoNQVn-FtPROc_MBk1KJ4r_Iat1zX3V/view?usp=drive_link" TargetMode="External"/><Relationship Id="rId39" Type="http://schemas.openxmlformats.org/officeDocument/2006/relationships/hyperlink" Target="https://drive.google.com/file/d/1yw079Xfe3K7A1AvLavX_9sEAR5BJm9SQ/view?usp=drive_link" TargetMode="External"/><Relationship Id="rId50" Type="http://schemas.openxmlformats.org/officeDocument/2006/relationships/hyperlink" Target="https://drive.google.com/file/d/1zQ4fAZN38g88zTmYheOJ-BSlAxSvJVsV/view?usp=drive_link" TargetMode="External"/><Relationship Id="rId104" Type="http://schemas.openxmlformats.org/officeDocument/2006/relationships/hyperlink" Target="https://drive.google.com/file/d/1FB96IO-LzxPyD_DOS14Y1RLThU6mcawv/view?usp=drive_link" TargetMode="External"/><Relationship Id="rId125" Type="http://schemas.openxmlformats.org/officeDocument/2006/relationships/hyperlink" Target="https://drive.google.com/file/d/1pbnNjORyX8CZgt_XKHbwQkb8SA9DnZ90/view?usp=drive_link" TargetMode="External"/><Relationship Id="rId146" Type="http://schemas.openxmlformats.org/officeDocument/2006/relationships/hyperlink" Target="https://drive.google.com/file/d/1qu_4zFBLJyRoBNNExvuIzemUT4GjTlf4/view?usp=drive_link" TargetMode="External"/><Relationship Id="rId167" Type="http://schemas.openxmlformats.org/officeDocument/2006/relationships/hyperlink" Target="https://drive.google.com/file/d/1sZZujo5cVoyK0Kkas29fBREGlsILWqRm/view?usp=drive_link" TargetMode="External"/><Relationship Id="rId188" Type="http://schemas.openxmlformats.org/officeDocument/2006/relationships/hyperlink" Target="https://drive.google.com/file/d/1yefRgaW-Qxu-jRYxf7F_Hp_hyewbQB5M/view?usp=drive_link" TargetMode="External"/><Relationship Id="rId71" Type="http://schemas.openxmlformats.org/officeDocument/2006/relationships/hyperlink" Target="https://drive.google.com/file/d/1d8d9YMTBqyQcw0ui-1JbjgeJMXId4WsZ/view?usp=drive_link" TargetMode="External"/><Relationship Id="rId92" Type="http://schemas.openxmlformats.org/officeDocument/2006/relationships/hyperlink" Target="https://drive.google.com/file/d/1rlBWtQp1ePzDYrKj0vsTv6-C_UlRviOg/view?usp=drive_link"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drive.google.com/drive/folders/1_8ahTMKYfRjD94e-MqbiqKOqwxxIM-IB?usp=drive_link" TargetMode="External"/><Relationship Id="rId21" Type="http://schemas.openxmlformats.org/officeDocument/2006/relationships/hyperlink" Target="https://drive.google.com/drive/folders/1sGgqsURHlAqWIuyGRFZzdexRxW6Glwxe?usp=drive_link" TargetMode="External"/><Relationship Id="rId42" Type="http://schemas.openxmlformats.org/officeDocument/2006/relationships/hyperlink" Target="https://drive.google.com/file/d/1Pze2vGq8Jk7RxZTAncm1LnhvKchJyP_m/view?usp=drive_link" TargetMode="External"/><Relationship Id="rId47" Type="http://schemas.openxmlformats.org/officeDocument/2006/relationships/hyperlink" Target="https://drive.google.com/file/d/1p6tax_wi9_sVEdpjI_KAXagDX9ll9T1l/view?usp=drive_link" TargetMode="External"/><Relationship Id="rId63" Type="http://schemas.openxmlformats.org/officeDocument/2006/relationships/hyperlink" Target="https://docs.google.com/document/d/1Yh97zaTkeke9kb9q-tDdW7ViDIzJL1ei/edit?usp=sharing&amp;ouid=114221028130721629417&amp;rtpof=true&amp;sd=true" TargetMode="External"/><Relationship Id="rId68" Type="http://schemas.openxmlformats.org/officeDocument/2006/relationships/hyperlink" Target="https://drive.google.com/file/d/1u6GyM8sjn8VbLjxsjurptp1-aL_avUHc/view?usp=sharing" TargetMode="External"/><Relationship Id="rId84" Type="http://schemas.openxmlformats.org/officeDocument/2006/relationships/hyperlink" Target="https://drive.google.com/file/d/1VBnPXxSrGbGxBXRzFe3s9utG12hMkpf0/view?usp=sharing" TargetMode="External"/><Relationship Id="rId16" Type="http://schemas.openxmlformats.org/officeDocument/2006/relationships/hyperlink" Target="https://drive.google.com/drive/folders/1TBZ7dq-Y_QqDteN0I4ERBMdV6ilMZnAk?usp=drive_link" TargetMode="External"/><Relationship Id="rId11" Type="http://schemas.openxmlformats.org/officeDocument/2006/relationships/hyperlink" Target="https://drive.google.com/drive/folders/1S74wUpwbGdXB-058xbR4Xgzv3bI4sXrd?usp=drive_link" TargetMode="External"/><Relationship Id="rId32" Type="http://schemas.openxmlformats.org/officeDocument/2006/relationships/hyperlink" Target="https://drive.google.com/file/d/14t9Z8ib_JKJXiRscwWUiABnj7NMakOAX/view?usp=drive_link" TargetMode="External"/><Relationship Id="rId37" Type="http://schemas.openxmlformats.org/officeDocument/2006/relationships/hyperlink" Target="https://drive.google.com/file/d/1Z8KDQLGnu3RFizuHRvn_iR76Q8MSWvdC/view?usp=drive_link" TargetMode="External"/><Relationship Id="rId53" Type="http://schemas.openxmlformats.org/officeDocument/2006/relationships/hyperlink" Target="https://drive.google.com/file/d/1i8_gDqxZ82BRAkjN4iHtUuC2NIQ9Qvpz/view?usp=drive_link" TargetMode="External"/><Relationship Id="rId58" Type="http://schemas.openxmlformats.org/officeDocument/2006/relationships/hyperlink" Target="https://drive.google.com/file/d/14-D6ATBPsG9JbOQFwDPAkXDI1KvquEzu/view?usp=sharing" TargetMode="External"/><Relationship Id="rId74" Type="http://schemas.openxmlformats.org/officeDocument/2006/relationships/hyperlink" Target="https://drive.google.com/file/d/1uu599ze_JRwhunFEk4tKPBAJSIRfJ4G6/view?usp=sharing" TargetMode="External"/><Relationship Id="rId79" Type="http://schemas.openxmlformats.org/officeDocument/2006/relationships/hyperlink" Target="https://drive.google.com/file/d/1EVk_l-dirx7HUa5atnvgHnjQZvxriEvn/view?usp=sharing" TargetMode="External"/><Relationship Id="rId5" Type="http://schemas.openxmlformats.org/officeDocument/2006/relationships/hyperlink" Target="https://drive.google.com/drive/folders/1DJmH7CuUdHJNk_mocrkqGaoEY0o4RGIw?usp=drive_link" TargetMode="External"/><Relationship Id="rId19" Type="http://schemas.openxmlformats.org/officeDocument/2006/relationships/hyperlink" Target="https://drive.google.com/drive/folders/1GX2A4EFbmDcLkwfjJjFlaLVIq5waq5A_?usp=drive_link" TargetMode="External"/><Relationship Id="rId14" Type="http://schemas.openxmlformats.org/officeDocument/2006/relationships/hyperlink" Target="https://drive.google.com/drive/folders/1VMsImBxc137o6jEHQ4amg42Tg0rn-QPy?usp=drive_link" TargetMode="External"/><Relationship Id="rId22" Type="http://schemas.openxmlformats.org/officeDocument/2006/relationships/hyperlink" Target="https://drive.google.com/drive/folders/1l6gvRGAXnhyhRpwAP813n5sYdtBs_aKN?usp=drive_link" TargetMode="External"/><Relationship Id="rId27" Type="http://schemas.openxmlformats.org/officeDocument/2006/relationships/hyperlink" Target="https://drive.google.com/drive/folders/1JHDJAKD86DWHAPZW6UkOOYDTF0ozv8Wo?usp=drive_link" TargetMode="External"/><Relationship Id="rId30" Type="http://schemas.openxmlformats.org/officeDocument/2006/relationships/hyperlink" Target="https://drive.google.com/file/d/1VziAp62whOHUTmORe_x6eOL8ed42wfPm/view?usp=drive_link" TargetMode="External"/><Relationship Id="rId35" Type="http://schemas.openxmlformats.org/officeDocument/2006/relationships/hyperlink" Target="https://docs.google.com/document/d/10OQxKpfj30BqTsAxYs3E0_qD8deWQ1qo/edit?usp=drive_link&amp;ouid=114221028130721629417&amp;rtpof=true&amp;sd=true" TargetMode="External"/><Relationship Id="rId43" Type="http://schemas.openxmlformats.org/officeDocument/2006/relationships/hyperlink" Target="https://drive.google.com/file/d/1uvjL2Ld_yDX0SfyRuUmomypA1QXeBXzm/view?usp=drive_link" TargetMode="External"/><Relationship Id="rId48" Type="http://schemas.openxmlformats.org/officeDocument/2006/relationships/hyperlink" Target="https://drive.google.com/file/d/1ityjiCdvvFAF2m-tsEdz3wv_l0WVbHsT/view?usp=drive_link" TargetMode="External"/><Relationship Id="rId56" Type="http://schemas.openxmlformats.org/officeDocument/2006/relationships/hyperlink" Target="https://drive.google.com/file/d/1xPpVO5e4ruqLiwiGRt7wHtJbhLaBz2-m/view?usp=sharing" TargetMode="External"/><Relationship Id="rId64" Type="http://schemas.openxmlformats.org/officeDocument/2006/relationships/hyperlink" Target="https://drive.google.com/file/d/1p7PMRCCW35VEqKvNmmppbpUBGZuWIWyX/view?usp=drive_link" TargetMode="External"/><Relationship Id="rId69" Type="http://schemas.openxmlformats.org/officeDocument/2006/relationships/hyperlink" Target="https://drive.google.com/file/d/1zVo4a844pPM8AbYmE30M_10yd60eCvzK/view?usp=sharing" TargetMode="External"/><Relationship Id="rId77" Type="http://schemas.openxmlformats.org/officeDocument/2006/relationships/hyperlink" Target="https://drive.google.com/file/d/1dzTEUCdEksUQTPvfwaiZ8vuqh89LfsNh/view?usp=sharing" TargetMode="External"/><Relationship Id="rId8" Type="http://schemas.openxmlformats.org/officeDocument/2006/relationships/hyperlink" Target="https://drive.google.com/drive/folders/1331Z4r7rWyCRpY9mj6Ole0dEmKOZU7Nn?usp=drive_link" TargetMode="External"/><Relationship Id="rId51" Type="http://schemas.openxmlformats.org/officeDocument/2006/relationships/hyperlink" Target="https://drive.google.com/file/d/1REjp8bvKiYVpD_t52ggoLQ2RfFGRobsG/view?usp=drive_link" TargetMode="External"/><Relationship Id="rId72" Type="http://schemas.openxmlformats.org/officeDocument/2006/relationships/hyperlink" Target="https://drive.google.com/file/d/1yLhJLRInpeWJbkDXqIBDjcA2HocWmRwK/view?usp=sharing" TargetMode="External"/><Relationship Id="rId80" Type="http://schemas.openxmlformats.org/officeDocument/2006/relationships/hyperlink" Target="https://drive.google.com/file/d/1QYitoDEHybiMGkDvK9pZOmjqVsERp6TJ/view?usp=sharing" TargetMode="External"/><Relationship Id="rId85" Type="http://schemas.openxmlformats.org/officeDocument/2006/relationships/hyperlink" Target="https://drive.google.com/file/d/1zgqtVGR5PThd3Ph9Xgz8a_fuGql_4SSN/view?usp=sharing" TargetMode="External"/><Relationship Id="rId3" Type="http://schemas.openxmlformats.org/officeDocument/2006/relationships/hyperlink" Target="https://drive.google.com/file/d/1dCf5EccYQrr94fO0q54oJ6q5CQdkxS5L/view?usp=drive_link" TargetMode="External"/><Relationship Id="rId12" Type="http://schemas.openxmlformats.org/officeDocument/2006/relationships/hyperlink" Target="https://drive.google.com/drive/folders/1ccweGfC3O0eu2v473FO_i5mttbb0n_hL?usp=drive_link" TargetMode="External"/><Relationship Id="rId17" Type="http://schemas.openxmlformats.org/officeDocument/2006/relationships/hyperlink" Target="https://drive.google.com/drive/folders/1r8XX6LrTC3UgR5j4SMEYbstbPsKduuFZ?usp=drive_link" TargetMode="External"/><Relationship Id="rId25" Type="http://schemas.openxmlformats.org/officeDocument/2006/relationships/hyperlink" Target="https://drive.google.com/drive/folders/1P7617PQKE3RZbVomrMB-eyGU3g9zWt9j?usp=drive_link" TargetMode="External"/><Relationship Id="rId33" Type="http://schemas.openxmlformats.org/officeDocument/2006/relationships/hyperlink" Target="https://drive.google.com/file/d/1CPG0draJkxpp906Rk0LduXTa7Cqv1WLr/view?usp=drive_link" TargetMode="External"/><Relationship Id="rId38" Type="http://schemas.openxmlformats.org/officeDocument/2006/relationships/hyperlink" Target="https://drive.google.com/file/d/1xgz4opxJVuT4MlXIExH3izVaElI-ly6N/view?usp=drive_link" TargetMode="External"/><Relationship Id="rId46" Type="http://schemas.openxmlformats.org/officeDocument/2006/relationships/hyperlink" Target="https://drive.google.com/file/d/1R_64MCRsgDTRYkp_mh2ssttSoOZPmQoe/view?usp=drive_link" TargetMode="External"/><Relationship Id="rId59" Type="http://schemas.openxmlformats.org/officeDocument/2006/relationships/hyperlink" Target="https://drive.google.com/file/d/1TMbLD68bMNe3GAxhvFOKJ-lO2mb7Pnwm/view?usp=drive_link" TargetMode="External"/><Relationship Id="rId67" Type="http://schemas.openxmlformats.org/officeDocument/2006/relationships/hyperlink" Target="https://drive.google.com/file/d/1SPnlJFLmfvbdMa0YFqATcWNi1q2A0l-5/view?usp=sharing" TargetMode="External"/><Relationship Id="rId20" Type="http://schemas.openxmlformats.org/officeDocument/2006/relationships/hyperlink" Target="https://drive.google.com/drive/folders/1Hf85cmZH9QNBEISGjH5-yHAVbOXaBVUp?usp=drive_link" TargetMode="External"/><Relationship Id="rId41" Type="http://schemas.openxmlformats.org/officeDocument/2006/relationships/hyperlink" Target="https://drive.google.com/file/d/1s-e4HrNPUTgNwWCGL_liHAMZZwAoO-sm/view?usp=drive_link" TargetMode="External"/><Relationship Id="rId54" Type="http://schemas.openxmlformats.org/officeDocument/2006/relationships/hyperlink" Target="https://drive.google.com/file/d/1UaiWSXns6OtmyNb7tabXYKsFKn9aa9ww/view?usp=drive_link" TargetMode="External"/><Relationship Id="rId62" Type="http://schemas.openxmlformats.org/officeDocument/2006/relationships/hyperlink" Target="https://drive.google.com/file/d/1uzP9eQ6ccfv_5GZNLkavTgeQttKCG3S1/view?usp=drive_link" TargetMode="External"/><Relationship Id="rId70" Type="http://schemas.openxmlformats.org/officeDocument/2006/relationships/hyperlink" Target="https://drive.google.com/file/d/15UKBXLpyhC-lYRWfK242GeeYyrbIMZb_/view?usp=sharing" TargetMode="External"/><Relationship Id="rId75" Type="http://schemas.openxmlformats.org/officeDocument/2006/relationships/hyperlink" Target="https://drive.google.com/file/d/1nZGDVfi-9LtTefIITrNWV9lFSJDXYYB1/view?usp=sharing" TargetMode="External"/><Relationship Id="rId83" Type="http://schemas.openxmlformats.org/officeDocument/2006/relationships/hyperlink" Target="https://drive.google.com/file/d/1WeX7NqMh2OiW-cvQUbFzOWMoHuJiTiTZ/view?usp=sharing" TargetMode="External"/><Relationship Id="rId88" Type="http://schemas.openxmlformats.org/officeDocument/2006/relationships/hyperlink" Target="https://drive.google.com/file/d/1ufr4ZlcqkkLeMQ6bDL-5VwFhj2YB9ZSH/view?usp=drive_link" TargetMode="External"/><Relationship Id="rId1" Type="http://schemas.openxmlformats.org/officeDocument/2006/relationships/hyperlink" Target="https://drive.google.com/drive/folders/1uxr5xZwsM0DhHu1nXdh5M5WM3_oZvmrX?usp=drive_link" TargetMode="External"/><Relationship Id="rId6" Type="http://schemas.openxmlformats.org/officeDocument/2006/relationships/hyperlink" Target="https://drive.google.com/drive/folders/1VYZcjI1FAtWX_3yKd6W1g3SoBujVlRfG?usp=drive_link" TargetMode="External"/><Relationship Id="rId15" Type="http://schemas.openxmlformats.org/officeDocument/2006/relationships/hyperlink" Target="https://drive.google.com/drive/folders/144w-yolx5Kghq7fh-15FaX88hSh84_5F?usp=drive_link" TargetMode="External"/><Relationship Id="rId23" Type="http://schemas.openxmlformats.org/officeDocument/2006/relationships/hyperlink" Target="https://drive.google.com/drive/folders/1NCrypgmujekXQ8pMGGiXXfI7H4-HMpdo?usp=drive_link" TargetMode="External"/><Relationship Id="rId28" Type="http://schemas.openxmlformats.org/officeDocument/2006/relationships/hyperlink" Target="https://drive.google.com/drive/folders/1y7U-vT6yYZ_I3DrjVSmNTfncNpwKiI7Q?usp=drive_link" TargetMode="External"/><Relationship Id="rId36" Type="http://schemas.openxmlformats.org/officeDocument/2006/relationships/hyperlink" Target="https://drive.google.com/file/d/1If2UUTSVIbYDWBuY1wXhnw4qHLDVCngO/view?usp=drive_link" TargetMode="External"/><Relationship Id="rId49" Type="http://schemas.openxmlformats.org/officeDocument/2006/relationships/hyperlink" Target="https://drive.google.com/file/d/1DPWjfhd28OK3G1i5nvh8BVG1yD30Y2RV/view?usp=drive_link" TargetMode="External"/><Relationship Id="rId57" Type="http://schemas.openxmlformats.org/officeDocument/2006/relationships/hyperlink" Target="https://drive.google.com/file/d/1lsUcJFk-sKSR2jI481mvPvHnlCmcH0__/view?usp=sharing" TargetMode="External"/><Relationship Id="rId10" Type="http://schemas.openxmlformats.org/officeDocument/2006/relationships/hyperlink" Target="https://drive.google.com/drive/folders/1k3t59UxAqfwUaJLm9RCaNR0qhZUCvGAC?usp=drive_link" TargetMode="External"/><Relationship Id="rId31" Type="http://schemas.openxmlformats.org/officeDocument/2006/relationships/hyperlink" Target="https://drive.google.com/drive/folders/1zzt88m-xFqBk_B-VWc7lPo5LaUY7DQZQ?usp=drive_link" TargetMode="External"/><Relationship Id="rId44" Type="http://schemas.openxmlformats.org/officeDocument/2006/relationships/hyperlink" Target="https://drive.google.com/file/d/1DblstCvLSDrVdwWOVb42_zGftqg4vpqc/view?usp=drive_link" TargetMode="External"/><Relationship Id="rId52" Type="http://schemas.openxmlformats.org/officeDocument/2006/relationships/hyperlink" Target="https://drive.google.com/file/d/1u0sLDQKaXkRyomhHdR3g44fO_SNHPaip/view?usp=sharing" TargetMode="External"/><Relationship Id="rId60" Type="http://schemas.openxmlformats.org/officeDocument/2006/relationships/hyperlink" Target="https://drive.google.com/file/d/1QVLojlv_lVe55b5d4XT2mW-rqrtHE_8A/view?usp=sharing" TargetMode="External"/><Relationship Id="rId65" Type="http://schemas.openxmlformats.org/officeDocument/2006/relationships/hyperlink" Target="https://drive.google.com/file/d/1C2q8HuUMln-AG2QbGdwbzDtK5NlvAB88/view?usp=drive_link" TargetMode="External"/><Relationship Id="rId73" Type="http://schemas.openxmlformats.org/officeDocument/2006/relationships/hyperlink" Target="https://drive.google.com/file/d/1x4LadZwoRtE80KspkRR3JiZQh593kGOj/view?usp=sharing" TargetMode="External"/><Relationship Id="rId78" Type="http://schemas.openxmlformats.org/officeDocument/2006/relationships/hyperlink" Target="https://drive.google.com/file/d/1YQ73qCGUbpImEw6pqgUEo8biU63-nDeH/view?usp=sharing" TargetMode="External"/><Relationship Id="rId81" Type="http://schemas.openxmlformats.org/officeDocument/2006/relationships/hyperlink" Target="https://drive.google.com/file/d/1v1prrAemw-Y1jtg8kpIwbYsTfnZHmZSO/view?usp=sharing" TargetMode="External"/><Relationship Id="rId86" Type="http://schemas.openxmlformats.org/officeDocument/2006/relationships/hyperlink" Target="https://drive.google.com/file/d/1vG-aRxpHpX1FAcMvcvIcYnPEpfrWJj8p/view?usp=sharing" TargetMode="External"/><Relationship Id="rId4" Type="http://schemas.openxmlformats.org/officeDocument/2006/relationships/hyperlink" Target="https://drive.google.com/file/d/1LUAbGITDzyAzqiWPz7yC1cFxsQhj8WhX/view?usp=drive_link" TargetMode="External"/><Relationship Id="rId9" Type="http://schemas.openxmlformats.org/officeDocument/2006/relationships/hyperlink" Target="https://drive.google.com/drive/folders/1JoDLqX2oy9KpeFz_4aNWnfMHcb7KPRgF?usp=drive_link" TargetMode="External"/><Relationship Id="rId13" Type="http://schemas.openxmlformats.org/officeDocument/2006/relationships/hyperlink" Target="https://drive.google.com/drive/folders/1tXYZLZykr7PR8eY6LRcHsdksX6BwVTYb?usp=drive_link" TargetMode="External"/><Relationship Id="rId18" Type="http://schemas.openxmlformats.org/officeDocument/2006/relationships/hyperlink" Target="https://drive.google.com/drive/folders/1_ZYEP39qyDP8xiFUT4r5UHRrRIy86lK7?usp=drive_link" TargetMode="External"/><Relationship Id="rId39" Type="http://schemas.openxmlformats.org/officeDocument/2006/relationships/hyperlink" Target="https://drive.google.com/file/d/1Kx0rm2vRdqeXutOCNUD6dWQJrFcRT5If/view?usp=drive_link" TargetMode="External"/><Relationship Id="rId34" Type="http://schemas.openxmlformats.org/officeDocument/2006/relationships/hyperlink" Target="https://drive.google.com/file/d/1ym5YJOwA6rOb7KrZ0L9IpZCmPZKnlGPN/view?usp=drive_link" TargetMode="External"/><Relationship Id="rId50" Type="http://schemas.openxmlformats.org/officeDocument/2006/relationships/hyperlink" Target="https://drive.google.com/file/d/1UxUOMBZxmC9zG2PjOcb40zEInBZ3Bwm2/view?usp=drive_link" TargetMode="External"/><Relationship Id="rId55" Type="http://schemas.openxmlformats.org/officeDocument/2006/relationships/hyperlink" Target="https://drive.google.com/file/d/1l0LQBywBpJ0E7VMJmBoOgDe38NuJkrmv/view?usp=drive_link" TargetMode="External"/><Relationship Id="rId76" Type="http://schemas.openxmlformats.org/officeDocument/2006/relationships/hyperlink" Target="https://drive.google.com/file/d/1WIs22wxXovexblS1uURT4GxwzRsCkwFf/view?usp=sharing" TargetMode="External"/><Relationship Id="rId7" Type="http://schemas.openxmlformats.org/officeDocument/2006/relationships/hyperlink" Target="https://drive.google.com/drive/folders/15hG1DXF1P2hZUCNZpMtWuAQViRGlmHSE?usp=drive_link" TargetMode="External"/><Relationship Id="rId71" Type="http://schemas.openxmlformats.org/officeDocument/2006/relationships/hyperlink" Target="https://drive.google.com/file/d/1w1eSiMiMssD9PLUFo1TlJzmprLhyI2I3/view?usp=sharing" TargetMode="External"/><Relationship Id="rId2" Type="http://schemas.openxmlformats.org/officeDocument/2006/relationships/hyperlink" Target="https://drive.google.com/file/d/19b-FhclVrYapKgg35fYcI1C5K76ogcMI/view?usp=drive_link" TargetMode="External"/><Relationship Id="rId29" Type="http://schemas.openxmlformats.org/officeDocument/2006/relationships/hyperlink" Target="https://drive.google.com/drive/folders/1Y6zhcyTnCNjH0tDM3N42-tiScy-athvC?usp=drive_link" TargetMode="External"/><Relationship Id="rId24" Type="http://schemas.openxmlformats.org/officeDocument/2006/relationships/hyperlink" Target="https://drive.google.com/drive/folders/16yhHaTiEN7-zSIjQ2d8xT-M1CdNglEDm?usp=drive_link" TargetMode="External"/><Relationship Id="rId40" Type="http://schemas.openxmlformats.org/officeDocument/2006/relationships/hyperlink" Target="https://drive.google.com/file/d/156YUlft4yn2NzYx5h3cmS3-OluB93Uk8/view?usp=drive_link" TargetMode="External"/><Relationship Id="rId45" Type="http://schemas.openxmlformats.org/officeDocument/2006/relationships/hyperlink" Target="https://drive.google.com/file/d/1KDcCjEFmE06mSPZJ9_HkwMEA0nez_ZGL/view?usp=drive_link" TargetMode="External"/><Relationship Id="rId66" Type="http://schemas.openxmlformats.org/officeDocument/2006/relationships/hyperlink" Target="https://drive.google.com/file/d/11RvyNw8IrGOL_TKo2aFAl1YUsp5IVh-u/view?usp=sharing" TargetMode="External"/><Relationship Id="rId87" Type="http://schemas.openxmlformats.org/officeDocument/2006/relationships/hyperlink" Target="https://drive.google.com/file/d/1XAtbg3NxKXEOC9hALEl3nYxiZa5dTXdK/view?usp=drive_link" TargetMode="External"/><Relationship Id="rId61" Type="http://schemas.openxmlformats.org/officeDocument/2006/relationships/hyperlink" Target="https://drive.google.com/file/d/1alTRQ1KUDCRpzgR7ScVUHxQEk2ITaJHE/view?usp=sharing" TargetMode="External"/><Relationship Id="rId82" Type="http://schemas.openxmlformats.org/officeDocument/2006/relationships/hyperlink" Target="https://drive.google.com/file/d/1IOUWAEyq6CZ1wNU8pD0JfaoaEy8NOge5/view?usp=sharing"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drive.google.com/drive/folders/1c5Of04ZX5pw_Fs1v2uCm_ZgVmp38THbA?usp=drive_link" TargetMode="External"/><Relationship Id="rId3" Type="http://schemas.openxmlformats.org/officeDocument/2006/relationships/hyperlink" Target="https://drive.google.com/drive/folders/1kD9u9PfqXArInY9QykRTaVcLA7ig23BQ?usp=drive_link" TargetMode="External"/><Relationship Id="rId7" Type="http://schemas.openxmlformats.org/officeDocument/2006/relationships/hyperlink" Target="https://drive.google.com/file/d/1V-DCnUHa0qQg1wD58y4RSqWZmmp3lezz/view?usp=drive_link" TargetMode="External"/><Relationship Id="rId2" Type="http://schemas.openxmlformats.org/officeDocument/2006/relationships/hyperlink" Target="https://drive.google.com/drive/folders/1GtnkoIBUlXVbZSqrKbCpM1F2djfXAn8F?usp=drive_link" TargetMode="External"/><Relationship Id="rId1" Type="http://schemas.openxmlformats.org/officeDocument/2006/relationships/hyperlink" Target="https://drive.google.com/drive/folders/1CNoAn6EsDZWcUx1z_wvMW_RM2riZKmSb?usp=drive_link" TargetMode="External"/><Relationship Id="rId6" Type="http://schemas.openxmlformats.org/officeDocument/2006/relationships/hyperlink" Target="https://drive.google.com/file/d/1043795MnPo9zz-5VsBB7iv-yXauxQn-y/view?usp=drive_link" TargetMode="External"/><Relationship Id="rId11" Type="http://schemas.openxmlformats.org/officeDocument/2006/relationships/hyperlink" Target="https://drive.google.com/file/d/1w1w8LsMPa-XaWMWF1E45RQwxoHl8PY1n/view?usp=drive_link" TargetMode="External"/><Relationship Id="rId5" Type="http://schemas.openxmlformats.org/officeDocument/2006/relationships/hyperlink" Target="https://drive.google.com/drive/folders/14VHyun1zpCni1sPv9T4G8GvA2kdgw-qZ?usp=drive_link" TargetMode="External"/><Relationship Id="rId10" Type="http://schemas.openxmlformats.org/officeDocument/2006/relationships/hyperlink" Target="https://drive.google.com/drive/folders/17hM6pJISSH3py0OIyJ1x6ye7601qTGIF?usp=drive_link" TargetMode="External"/><Relationship Id="rId4" Type="http://schemas.openxmlformats.org/officeDocument/2006/relationships/hyperlink" Target="https://drive.google.com/drive/folders/1_x9RYaG3ZfkwGWP5s0JmXccbaZI0BaBq?usp=drive_link" TargetMode="External"/><Relationship Id="rId9" Type="http://schemas.openxmlformats.org/officeDocument/2006/relationships/hyperlink" Target="https://drive.google.com/file/d/1zRY2yQMIzZvjclqrvA2NGWjpvCelbxW2/view?usp=drive_link" TargetMode="External"/></Relationships>
</file>

<file path=xl/worksheets/_rels/sheet13.xml.rels><?xml version="1.0" encoding="UTF-8" standalone="yes"?>
<Relationships xmlns="http://schemas.openxmlformats.org/package/2006/relationships"><Relationship Id="rId117" Type="http://schemas.openxmlformats.org/officeDocument/2006/relationships/hyperlink" Target="https://drive.google.com/file/d/1SNtD9aFTEZanFa2mbmbo0eap7hiTDGoG/view?usp=drive_link" TargetMode="External"/><Relationship Id="rId21" Type="http://schemas.openxmlformats.org/officeDocument/2006/relationships/hyperlink" Target="https://drive.google.com/file/d/1zk7s1OTO3yTmbJh7SZ8_gMJ11mPVJfqS/view?usp=drive_link" TargetMode="External"/><Relationship Id="rId42" Type="http://schemas.openxmlformats.org/officeDocument/2006/relationships/hyperlink" Target="https://drive.google.com/file/d/1wcLuxiol-5OApDmQQOviCeAJejwPYtdL/view?usp=sharing" TargetMode="External"/><Relationship Id="rId63" Type="http://schemas.openxmlformats.org/officeDocument/2006/relationships/hyperlink" Target="https://drive.google.com/file/d/1Yv5hZ9POAEq6VBvr8IW6-u6bO6tyqstq/view?usp=sharing" TargetMode="External"/><Relationship Id="rId84" Type="http://schemas.openxmlformats.org/officeDocument/2006/relationships/hyperlink" Target="https://drive.google.com/file/d/1ppRJjGc2Ta6scZLXG3GBcTZbnl0V8EWk/view?usp=drive_link" TargetMode="External"/><Relationship Id="rId138" Type="http://schemas.openxmlformats.org/officeDocument/2006/relationships/hyperlink" Target="https://drive.google.com/file/d/1yUAqjO8o8YbGQDyqlWhNcMVV-Qt9rKpp/view?usp=drive_link" TargetMode="External"/><Relationship Id="rId159" Type="http://schemas.openxmlformats.org/officeDocument/2006/relationships/hyperlink" Target="https://drive.google.com/file/d/1y6oo8CMS5yn0bDrPqAbmKMTiWQGw9AkE/view?usp=drive_link" TargetMode="External"/><Relationship Id="rId170" Type="http://schemas.openxmlformats.org/officeDocument/2006/relationships/hyperlink" Target="https://drive.google.com/file/d/1nhsQ91-DFLF5YhMus_Go5Ym4LNC7mzZI/view?usp=drive_link" TargetMode="External"/><Relationship Id="rId107" Type="http://schemas.openxmlformats.org/officeDocument/2006/relationships/hyperlink" Target="https://drive.google.com/file/d/1oP55ivw3ChzYEwuyPHxwnTm5zcADcMSV/view?usp=drive_link" TargetMode="External"/><Relationship Id="rId11" Type="http://schemas.openxmlformats.org/officeDocument/2006/relationships/hyperlink" Target="https://drive.google.com/file/d/1yxR3Tcq9_rDclJO4ilWEcH9PXbUTmtBv/view?usp=drive_link" TargetMode="External"/><Relationship Id="rId32" Type="http://schemas.openxmlformats.org/officeDocument/2006/relationships/hyperlink" Target="https://drive.google.com/file/d/1rlBWtQp1ePzDYrKj0vsTv6-C_UlRviOg/view?usp=drive_link" TargetMode="External"/><Relationship Id="rId53" Type="http://schemas.openxmlformats.org/officeDocument/2006/relationships/hyperlink" Target="https://drive.google.com/file/d/1oQpxgVx7KP7gvVozEMBzSgB7Z3vlPLWM/view?usp=drive_link" TargetMode="External"/><Relationship Id="rId74" Type="http://schemas.openxmlformats.org/officeDocument/2006/relationships/hyperlink" Target="https://drive.google.com/file/d/1xCxkVib7ElX3xvR2BpyhKrNvETi9LKOX/view?usp=drive_link" TargetMode="External"/><Relationship Id="rId128" Type="http://schemas.openxmlformats.org/officeDocument/2006/relationships/hyperlink" Target="https://drive.google.com/file/d/1tTYQXJpMZFHFuAGSaRPxsOs48Qbq75JT/view?usp=drive_link" TargetMode="External"/><Relationship Id="rId149" Type="http://schemas.openxmlformats.org/officeDocument/2006/relationships/hyperlink" Target="https://drive.google.com/file/d/1zEi7N2fZu40BzI0YqypkyfFLvOQALyCn/view?usp=drive_link" TargetMode="External"/><Relationship Id="rId5" Type="http://schemas.openxmlformats.org/officeDocument/2006/relationships/hyperlink" Target="https://drive.google.com/file/d/1zUwntpHezN8YHGl9s3eHloBFywD4Agc0/view?usp=drive_link" TargetMode="External"/><Relationship Id="rId95" Type="http://schemas.openxmlformats.org/officeDocument/2006/relationships/hyperlink" Target="https://drive.google.com/file/d/1cmTlQpT1MvbBCvJSOIKSD_4v3qMsyDjG/view?usp=drive_link" TargetMode="External"/><Relationship Id="rId160" Type="http://schemas.openxmlformats.org/officeDocument/2006/relationships/hyperlink" Target="https://drive.google.com/file/d/1Qzb2ERdiuRdqsNtMySuXKC1rh98uwQkf/view?usp=sharing" TargetMode="External"/><Relationship Id="rId181" Type="http://schemas.openxmlformats.org/officeDocument/2006/relationships/hyperlink" Target="https://drive.google.com/file/d/1sffL-9DsahO_9ai1znLPj8mEzyqjWksx/view?usp=drive_link" TargetMode="External"/><Relationship Id="rId22" Type="http://schemas.openxmlformats.org/officeDocument/2006/relationships/hyperlink" Target="https://drive.google.com/file/d/1zk5JBzKnaiP4lXR1ppz4m34MUaGw7q5e/view?usp=drive_link" TargetMode="External"/><Relationship Id="rId43" Type="http://schemas.openxmlformats.org/officeDocument/2006/relationships/hyperlink" Target="https://drive.google.com/file/d/1DUrz7Dwe27iF9Sqd-9Gl8J3Uux6Jr_IS/view?usp=drive_link" TargetMode="External"/><Relationship Id="rId64" Type="http://schemas.openxmlformats.org/officeDocument/2006/relationships/hyperlink" Target="https://drive.google.com/file/d/1fphf91ARqNlc0LfcTHvHpLybBIJoQfbA/view?usp=drive_link" TargetMode="External"/><Relationship Id="rId118" Type="http://schemas.openxmlformats.org/officeDocument/2006/relationships/hyperlink" Target="https://drive.google.com/file/d/10OfEB-kINQVW7wWyL2zXTIIOWImzRktr/view?usp=drive_link" TargetMode="External"/><Relationship Id="rId139" Type="http://schemas.openxmlformats.org/officeDocument/2006/relationships/hyperlink" Target="https://drive.google.com/file/d/1yX1ZRruVeqhVJry0sOYJKKIgB13IF6-F/view?usp=drive_link" TargetMode="External"/><Relationship Id="rId85" Type="http://schemas.openxmlformats.org/officeDocument/2006/relationships/hyperlink" Target="https://drive.google.com/file/d/1peCrecIGDPn-eyf3VqLQmLF_rrmbYL_n/view?usp=drive_link" TargetMode="External"/><Relationship Id="rId150" Type="http://schemas.openxmlformats.org/officeDocument/2006/relationships/hyperlink" Target="https://drive.google.com/file/d/1p4orswt0KjpWVLMzu_5FT47473Pubf47/view?usp=drive_link" TargetMode="External"/><Relationship Id="rId171" Type="http://schemas.openxmlformats.org/officeDocument/2006/relationships/hyperlink" Target="https://drive.google.com/file/d/1nymhydZbUDvppldjVcz4zc0c_0JG5yfz/view?usp=drive_link" TargetMode="External"/><Relationship Id="rId12" Type="http://schemas.openxmlformats.org/officeDocument/2006/relationships/hyperlink" Target="https://drive.google.com/file/d/1zMcZT8GrxhSfzecj3q0iVr9-Vv_Wct0Y/view?usp=drive_link" TargetMode="External"/><Relationship Id="rId33" Type="http://schemas.openxmlformats.org/officeDocument/2006/relationships/hyperlink" Target="https://drive.google.com/file/d/1s8aVf6TnHv_qljOLDHVP-Zb7qnYlwySi/view?usp=drive_link" TargetMode="External"/><Relationship Id="rId108" Type="http://schemas.openxmlformats.org/officeDocument/2006/relationships/hyperlink" Target="https://drive.google.com/file/d/1d8d9YMTBqyQcw0ui-1JbjgeJMXId4WsZ/view?usp=drive_link" TargetMode="External"/><Relationship Id="rId129" Type="http://schemas.openxmlformats.org/officeDocument/2006/relationships/hyperlink" Target="https://drive.google.com/file/d/1fMMH2r51UrQTznsOyKdUATEKCU4W1VPW/view?usp=drive_link" TargetMode="External"/><Relationship Id="rId54" Type="http://schemas.openxmlformats.org/officeDocument/2006/relationships/hyperlink" Target="https://drive.google.com/file/d/1oLNIMHYYQ0Q5_utsyE5SEUHMjBfzGEuv/view?usp=drive_link" TargetMode="External"/><Relationship Id="rId75" Type="http://schemas.openxmlformats.org/officeDocument/2006/relationships/hyperlink" Target="https://drive.google.com/file/d/1FJpfnW3vNH7_4yX_R5c0QhGrvPGV4l9O/view?usp=drive_link" TargetMode="External"/><Relationship Id="rId96" Type="http://schemas.openxmlformats.org/officeDocument/2006/relationships/hyperlink" Target="https://drive.google.com/file/d/1paYYH4Ww28jbYsITEvZUko2g9dL-FyCN/view?usp=drive_link" TargetMode="External"/><Relationship Id="rId140" Type="http://schemas.openxmlformats.org/officeDocument/2006/relationships/hyperlink" Target="https://drive.google.com/file/d/1xwjGJj8yoGFvPzFvBId7bH9R2IwGuABS/view?usp=drive_link" TargetMode="External"/><Relationship Id="rId161" Type="http://schemas.openxmlformats.org/officeDocument/2006/relationships/hyperlink" Target="https://drive.google.com/file/d/1nWJeTH43CyOiZ4evsSA2JkhbBV4rIR3P/view?usp=drive_link" TargetMode="External"/><Relationship Id="rId182" Type="http://schemas.openxmlformats.org/officeDocument/2006/relationships/table" Target="../tables/table2.xml"/><Relationship Id="rId6" Type="http://schemas.openxmlformats.org/officeDocument/2006/relationships/hyperlink" Target="https://drive.google.com/file/d/1zSj75hIeKKIgOrPT-SDDI4o6hyxzsaw1/view?usp=drive_link" TargetMode="External"/><Relationship Id="rId23" Type="http://schemas.openxmlformats.org/officeDocument/2006/relationships/hyperlink" Target="https://drive.google.com/file/d/1zvgH-q6RYlxavR5mSaDVzfJr_oNj_LmY/view?usp=drive_link" TargetMode="External"/><Relationship Id="rId119" Type="http://schemas.openxmlformats.org/officeDocument/2006/relationships/hyperlink" Target="https://drive.google.com/file/d/1B5PC5ENYSYMJwdyshM5f16kBGy4OHvC7/view?usp=drive_link" TargetMode="External"/><Relationship Id="rId44" Type="http://schemas.openxmlformats.org/officeDocument/2006/relationships/hyperlink" Target="https://drive.google.com/file/d/1Yru5V-4j6am1i46BP0xCYIqTSSwQoMxq/view?usp=drive_link" TargetMode="External"/><Relationship Id="rId60" Type="http://schemas.openxmlformats.org/officeDocument/2006/relationships/hyperlink" Target="https://drive.google.com/file/d/1FB96IO-LzxPyD_DOS14Y1RLThU6mcawv/view?usp=drive_link" TargetMode="External"/><Relationship Id="rId65" Type="http://schemas.openxmlformats.org/officeDocument/2006/relationships/hyperlink" Target="https://drive.google.com/file/d/1u9tQYJV3AgpfCZTxXnUZqXkOXuLcWR3J/view?usp=drive_link" TargetMode="External"/><Relationship Id="rId81" Type="http://schemas.openxmlformats.org/officeDocument/2006/relationships/hyperlink" Target="https://drive.google.com/file/d/1q44ZiQVf187SCu5ClcWVcM-p_NmlFdb_/view?usp=drive_link" TargetMode="External"/><Relationship Id="rId86" Type="http://schemas.openxmlformats.org/officeDocument/2006/relationships/hyperlink" Target="https://drive.google.com/file/d/1q8SA_rseemGjjwEFRG6yyvCG6YmAmbuA/view?usp=drive_link" TargetMode="External"/><Relationship Id="rId130" Type="http://schemas.openxmlformats.org/officeDocument/2006/relationships/hyperlink" Target="https://drive.google.com/file/d/1t0xt5GSj7rr-BcUZodbfdsf36aoVJjKe/view?usp=drive_link" TargetMode="External"/><Relationship Id="rId135" Type="http://schemas.openxmlformats.org/officeDocument/2006/relationships/hyperlink" Target="https://drive.google.com/file/d/1tM6NskQxvQU0tW9oz-G5RTSVQamQgaSG/view?usp=drive_link" TargetMode="External"/><Relationship Id="rId151" Type="http://schemas.openxmlformats.org/officeDocument/2006/relationships/hyperlink" Target="https://drive.google.com/file/d/1pMt5fQDfnrdfI17DcnbnTRDcUsfomtqB/view?usp=drive_link" TargetMode="External"/><Relationship Id="rId156" Type="http://schemas.openxmlformats.org/officeDocument/2006/relationships/hyperlink" Target="https://drive.google.com/file/d/1qPkb4lkS5cgvhGzF9UeBMft5s_UNpC9w/view?usp=drive_link" TargetMode="External"/><Relationship Id="rId177" Type="http://schemas.openxmlformats.org/officeDocument/2006/relationships/hyperlink" Target="https://drive.google.com/file/d/1p_5bocrIXCgF7nYwZHSEsKQlXiNTKH1-/view?usp=drive_link" TargetMode="External"/><Relationship Id="rId172" Type="http://schemas.openxmlformats.org/officeDocument/2006/relationships/hyperlink" Target="https://drive.google.com/file/d/1oGDWv_phLlW6mJscQe2g-_axuCXX3Zxl/view?usp=drive_link" TargetMode="External"/><Relationship Id="rId13" Type="http://schemas.openxmlformats.org/officeDocument/2006/relationships/hyperlink" Target="https://drive.google.com/file/d/1zMaiqz_hAwJepi2aMVgyM0MsFnyHF8CD/view?usp=drive_link" TargetMode="External"/><Relationship Id="rId18" Type="http://schemas.openxmlformats.org/officeDocument/2006/relationships/hyperlink" Target="https://drive.google.com/file/d/1zMcZT8GrxhSfzecj3q0iVr9-Vv_Wct0Y/view?usp=drive_link" TargetMode="External"/><Relationship Id="rId39" Type="http://schemas.openxmlformats.org/officeDocument/2006/relationships/hyperlink" Target="https://drive.google.com/file/d/1t4jLIIG-SY_5aIzZre9fCpVulXqMFSf3/view?usp=drive_link" TargetMode="External"/><Relationship Id="rId109" Type="http://schemas.openxmlformats.org/officeDocument/2006/relationships/hyperlink" Target="https://drive.google.com/file/d/1sz_8fvQmjHs3_LrYmHztdLwb3XuQmn2v/view?usp=drive_link" TargetMode="External"/><Relationship Id="rId34" Type="http://schemas.openxmlformats.org/officeDocument/2006/relationships/hyperlink" Target="https://drive.google.com/file/d/1ovPMiqJ4knfoBz_V0oKA_fWaTy06ooni/view?usp=drive_link" TargetMode="External"/><Relationship Id="rId50" Type="http://schemas.openxmlformats.org/officeDocument/2006/relationships/hyperlink" Target="https://drive.google.com/file/d/1Co4ghLJ-z1cJBOvC6ETxdHiAVIsMphS7/view?usp=drive_link" TargetMode="External"/><Relationship Id="rId55" Type="http://schemas.openxmlformats.org/officeDocument/2006/relationships/hyperlink" Target="https://drive.google.com/file/d/1oQv3DaFq9v7Avv0pFKl2Xdktje-HJK8Z/view?usp=drive_link" TargetMode="External"/><Relationship Id="rId76" Type="http://schemas.openxmlformats.org/officeDocument/2006/relationships/hyperlink" Target="https://drive.google.com/file/d/1xh_pKWfJ4XttG5WlznS1BWjOFPMoG7g0/view?usp=sharing" TargetMode="External"/><Relationship Id="rId97" Type="http://schemas.openxmlformats.org/officeDocument/2006/relationships/hyperlink" Target="https://drive.google.com/file/d/1mUF6siSTxxa9qUWdhOqpCJ2K1ivxJeWU/view?usp=drive_link" TargetMode="External"/><Relationship Id="rId104" Type="http://schemas.openxmlformats.org/officeDocument/2006/relationships/hyperlink" Target="https://drive.google.com/file/d/1bcFyHD33YxrSkSD6z2ZooiEauYDwotNL/view?usp=drive_link" TargetMode="External"/><Relationship Id="rId120" Type="http://schemas.openxmlformats.org/officeDocument/2006/relationships/hyperlink" Target="https://drive.google.com/file/d/1n7jS4Rxx7UBqn9qx9nFxDSmCXnPwrOQ5/view?usp=drive_link" TargetMode="External"/><Relationship Id="rId125" Type="http://schemas.openxmlformats.org/officeDocument/2006/relationships/hyperlink" Target="https://drive.google.com/file/d/1t93GPrrBiK-TFBZ7IcxlatmR7bGSGk18/view?usp=drive_link" TargetMode="External"/><Relationship Id="rId141" Type="http://schemas.openxmlformats.org/officeDocument/2006/relationships/hyperlink" Target="https://drive.google.com/file/d/1ABi4NXEeX0aXWXdkbJfDcA0ccbOBXUTi/view?usp=drive_link" TargetMode="External"/><Relationship Id="rId146" Type="http://schemas.openxmlformats.org/officeDocument/2006/relationships/hyperlink" Target="https://drive.google.com/file/d/1vhVUw3UrC7UUxyNU8vQ1L-J5H3waeiDF/view?usp=drive_link" TargetMode="External"/><Relationship Id="rId167" Type="http://schemas.openxmlformats.org/officeDocument/2006/relationships/hyperlink" Target="https://drive.google.com/file/d/1nymhydZbUDvppldjVcz4zc0c_0JG5yfz/view?usp=drive_link" TargetMode="External"/><Relationship Id="rId7" Type="http://schemas.openxmlformats.org/officeDocument/2006/relationships/hyperlink" Target="https://drive.google.com/file/d/1zQ4fAZN38g88zTmYheOJ-BSlAxSvJVsV/view?usp=drive_link" TargetMode="External"/><Relationship Id="rId71" Type="http://schemas.openxmlformats.org/officeDocument/2006/relationships/hyperlink" Target="https://drive.google.com/file/d/1XlUaLzK6qIR8_7bjy27jtiAvgRymzG6S/view?usp=drive_link" TargetMode="External"/><Relationship Id="rId92" Type="http://schemas.openxmlformats.org/officeDocument/2006/relationships/hyperlink" Target="https://drive.google.com/file/d/1A3x9gN6Yz517RJrhaXG_gXnthhp4FoBV/view?usp=drive_link" TargetMode="External"/><Relationship Id="rId162" Type="http://schemas.openxmlformats.org/officeDocument/2006/relationships/hyperlink" Target="https://drive.google.com/file/d/1oESOgvxDkbAjjZCPJJpHl2ENNoqMLD9I/view?usp=drive_link" TargetMode="External"/><Relationship Id="rId183" Type="http://schemas.openxmlformats.org/officeDocument/2006/relationships/table" Target="../tables/table3.xml"/><Relationship Id="rId2" Type="http://schemas.openxmlformats.org/officeDocument/2006/relationships/hyperlink" Target="https://drive.google.com/file/d/1yEk9r2XbZYbKcAriYLKom3uAz6U3L1xh/view?usp=drive_link" TargetMode="External"/><Relationship Id="rId29" Type="http://schemas.openxmlformats.org/officeDocument/2006/relationships/hyperlink" Target="https://drive.google.com/file/d/1yRswKXBtlUaYg3p9sfVfCIt7UVrdhdq4/view?usp=drive_link" TargetMode="External"/><Relationship Id="rId24" Type="http://schemas.openxmlformats.org/officeDocument/2006/relationships/hyperlink" Target="https://drive.google.com/file/d/1zwjkoFFm7rf3DVAAknHpUpl_DxY00A6L/view?usp=drive_link" TargetMode="External"/><Relationship Id="rId40" Type="http://schemas.openxmlformats.org/officeDocument/2006/relationships/hyperlink" Target="https://drive.google.com/file/d/1bNDRhpJknxEDuaeeEwL8B11YQmNzRb-t/view?usp=drive_link" TargetMode="External"/><Relationship Id="rId45" Type="http://schemas.openxmlformats.org/officeDocument/2006/relationships/hyperlink" Target="https://drive.google.com/file/d/1wAwp-SsxCNIb5RZJy8SHPHsNCzR_isfg/view?usp=sharing" TargetMode="External"/><Relationship Id="rId66" Type="http://schemas.openxmlformats.org/officeDocument/2006/relationships/hyperlink" Target="https://drive.google.com/file/d/1T9Q_egY-OqHuw2fevIGuzUQzG5B4Jy5X/view?usp=drive_link" TargetMode="External"/><Relationship Id="rId87" Type="http://schemas.openxmlformats.org/officeDocument/2006/relationships/hyperlink" Target="https://drive.google.com/file/d/1aBMIGtdIL6zo2v03r1qGIgMycDUjaFX0/view?usp=drive_link" TargetMode="External"/><Relationship Id="rId110" Type="http://schemas.openxmlformats.org/officeDocument/2006/relationships/hyperlink" Target="https://drive.google.com/file/d/1d8d9YMTBqyQcw0ui-1JbjgeJMXId4WsZ/view?usp=drive_link" TargetMode="External"/><Relationship Id="rId115" Type="http://schemas.openxmlformats.org/officeDocument/2006/relationships/hyperlink" Target="https://drive.google.com/file/d/1ETr-jnQa1c3uxwgPY8Xq7mMXHuxm0P_x/view?usp=drive_link" TargetMode="External"/><Relationship Id="rId131" Type="http://schemas.openxmlformats.org/officeDocument/2006/relationships/hyperlink" Target="https://drive.google.com/file/d/1-UcYcGO4mBMzqZZN2EZ4o1Z3Q1opWReR/view?usp=drive_link" TargetMode="External"/><Relationship Id="rId136" Type="http://schemas.openxmlformats.org/officeDocument/2006/relationships/hyperlink" Target="https://drive.google.com/file/d/1t9RMMUNqH_-TVikywL-oGt--h0Vas5Fh/view?usp=drive_link" TargetMode="External"/><Relationship Id="rId157" Type="http://schemas.openxmlformats.org/officeDocument/2006/relationships/hyperlink" Target="https://drive.google.com/file/d/1p1vbpu5D7IXqj3WfGnvSON19yiOnJy6f/view?usp=drive_link" TargetMode="External"/><Relationship Id="rId178" Type="http://schemas.openxmlformats.org/officeDocument/2006/relationships/hyperlink" Target="https://drive.google.com/file/d/1s_b-wqolp7JQmgFuxCxv3FAWLeIgybCZ/view?usp=drive_link" TargetMode="External"/><Relationship Id="rId61" Type="http://schemas.openxmlformats.org/officeDocument/2006/relationships/hyperlink" Target="https://drive.google.com/file/d/1jvr0mqYX29I9bZqX48Mgd2cyEHXX1Tet/view?usp=drive_link" TargetMode="External"/><Relationship Id="rId82" Type="http://schemas.openxmlformats.org/officeDocument/2006/relationships/hyperlink" Target="https://drive.google.com/file/d/1ZJPgD8acdrsaufYfNkmcruvzRVSFddrS/view?usp=drive_link" TargetMode="External"/><Relationship Id="rId152" Type="http://schemas.openxmlformats.org/officeDocument/2006/relationships/hyperlink" Target="https://drive.google.com/file/d/1p1Vh51aWEpsa8yWh7EBFl8mF685zh494/view?usp=drive_link" TargetMode="External"/><Relationship Id="rId173" Type="http://schemas.openxmlformats.org/officeDocument/2006/relationships/hyperlink" Target="https://drive.google.com/file/d/1yCNKMeoOgxzXqYKCyk3yBiNtRInID9Tw/view?usp=drive_link" TargetMode="External"/><Relationship Id="rId19" Type="http://schemas.openxmlformats.org/officeDocument/2006/relationships/hyperlink" Target="https://drive.google.com/file/d/1zMaiqz_hAwJepi2aMVgyM0MsFnyHF8CD/view?usp=drive_link" TargetMode="External"/><Relationship Id="rId14" Type="http://schemas.openxmlformats.org/officeDocument/2006/relationships/hyperlink" Target="https://drive.google.com/file/d/1zIAySpWsLhhyNSgLs8-6SAv6GRPa8FVQ/view?usp=drive_link" TargetMode="External"/><Relationship Id="rId30" Type="http://schemas.openxmlformats.org/officeDocument/2006/relationships/hyperlink" Target="https://drive.google.com/file/d/1rmHNt5ox-mFhp5HapN61L6lkQbHOsCwe/view?usp=drive_link" TargetMode="External"/><Relationship Id="rId35" Type="http://schemas.openxmlformats.org/officeDocument/2006/relationships/hyperlink" Target="https://drive.google.com/file/d/1rdT15E2KhuLQagkQItRQbo1TZtqwHhpv/view?usp=drive_link" TargetMode="External"/><Relationship Id="rId56" Type="http://schemas.openxmlformats.org/officeDocument/2006/relationships/hyperlink" Target="https://drive.google.com/file/d/1obvr4dvttQLqZELhzVqtg9jDpoZfnETf/view?usp=drive_link" TargetMode="External"/><Relationship Id="rId77" Type="http://schemas.openxmlformats.org/officeDocument/2006/relationships/hyperlink" Target="https://drive.google.com/file/d/1xelKcFoPCcuegqd2E5bMqeuT5cLKQBeJ/view?usp=drive_link" TargetMode="External"/><Relationship Id="rId100" Type="http://schemas.openxmlformats.org/officeDocument/2006/relationships/hyperlink" Target="https://drive.google.com/file/d/1d8d9YMTBqyQcw0ui-1JbjgeJMXId4WsZ/view?usp=drive_link" TargetMode="External"/><Relationship Id="rId105" Type="http://schemas.openxmlformats.org/officeDocument/2006/relationships/hyperlink" Target="https://drive.google.com/file/d/1Qb7PJCQZf549-tAiGlNRthOMVDTR31Kb/view?usp=drive_link" TargetMode="External"/><Relationship Id="rId126" Type="http://schemas.openxmlformats.org/officeDocument/2006/relationships/hyperlink" Target="https://drive.google.com/file/d/1tKxOfywP_cBBmxIYjbZsMfRWBDpksX5e/view?usp=drive_link" TargetMode="External"/><Relationship Id="rId147" Type="http://schemas.openxmlformats.org/officeDocument/2006/relationships/hyperlink" Target="https://drive.google.com/file/d/1pCbYdX8pLQEWNJ_2WPvbO3ra7jB13Z5L/view?usp=drive_link" TargetMode="External"/><Relationship Id="rId168" Type="http://schemas.openxmlformats.org/officeDocument/2006/relationships/hyperlink" Target="https://drive.google.com/file/d/1nc6sY_F2C3n34siCBQJ56ykVe95o9lAp/view?usp=drive_link" TargetMode="External"/><Relationship Id="rId8" Type="http://schemas.openxmlformats.org/officeDocument/2006/relationships/hyperlink" Target="https://drive.google.com/file/d/1ziNvWh87VvaMYW9ky5xY5UYNqJ6k4xX7/view?usp=drive_link" TargetMode="External"/><Relationship Id="rId51" Type="http://schemas.openxmlformats.org/officeDocument/2006/relationships/hyperlink" Target="https://drive.google.com/file/d/1wa10TWbQB4gJGeQCquqnBWk2ABU7zXKm/view?usp=drive_link" TargetMode="External"/><Relationship Id="rId72" Type="http://schemas.openxmlformats.org/officeDocument/2006/relationships/hyperlink" Target="https://drive.google.com/file/d/1zZeOpRi_L5VEz271CnZO9wiVmWWtmVKs/view?usp=drive_link" TargetMode="External"/><Relationship Id="rId93" Type="http://schemas.openxmlformats.org/officeDocument/2006/relationships/hyperlink" Target="https://drive.google.com/file/d/1piOM89YMIdUDIi83tgR9iO17v5JfWTcR/view?usp=drive_link" TargetMode="External"/><Relationship Id="rId98" Type="http://schemas.openxmlformats.org/officeDocument/2006/relationships/hyperlink" Target="https://drive.google.com/file/d/19uZY-V-tCm25CVp5Qi9WX-aLExy3yBjI/view?usp=drive_link" TargetMode="External"/><Relationship Id="rId121" Type="http://schemas.openxmlformats.org/officeDocument/2006/relationships/hyperlink" Target="https://drive.google.com/file/d/1tYkGWGxbZV-Cr3vj5ss3ZptioHGO3QVm/view?usp=drive_link" TargetMode="External"/><Relationship Id="rId142" Type="http://schemas.openxmlformats.org/officeDocument/2006/relationships/hyperlink" Target="https://drive.google.com/file/d/1xrpAZ31Gw_vH7YGZDTXnsVXL_x14ioXH/view?usp=drive_link" TargetMode="External"/><Relationship Id="rId163" Type="http://schemas.openxmlformats.org/officeDocument/2006/relationships/hyperlink" Target="https://drive.google.com/file/d/1nZA7Xq-fk-3k4-Nan4sE2n2n7r8pVeKN/view?usp=drive_link" TargetMode="External"/><Relationship Id="rId3" Type="http://schemas.openxmlformats.org/officeDocument/2006/relationships/hyperlink" Target="https://drive.google.com/file/d/1pvwJCIKFmDoMY1uOKE2SKDp2pmGjnQSv/view?usp=sharing" TargetMode="External"/><Relationship Id="rId25" Type="http://schemas.openxmlformats.org/officeDocument/2006/relationships/hyperlink" Target="https://drive.google.com/file/d/1qMsSVCTwSkT0uY__HqAVnlE82D_CxAoL/view?usp=drive_link" TargetMode="External"/><Relationship Id="rId46" Type="http://schemas.openxmlformats.org/officeDocument/2006/relationships/hyperlink" Target="https://drive.google.com/file/d/1w9FjnIKnNcjgnrqNDrhFJKd_hAJ6dKpc/view?usp=drive_link" TargetMode="External"/><Relationship Id="rId67" Type="http://schemas.openxmlformats.org/officeDocument/2006/relationships/hyperlink" Target="https://drive.google.com/file/d/1SKazZdSIkdmXp6Jvxu3UfGd9gc5Gs3uq/view?usp=drive_link" TargetMode="External"/><Relationship Id="rId116" Type="http://schemas.openxmlformats.org/officeDocument/2006/relationships/hyperlink" Target="https://drive.google.com/file/d/1uv-Cy8mg9GOnL93yn6z4kPSTFIm-xO2w/view?usp=drive_link" TargetMode="External"/><Relationship Id="rId137" Type="http://schemas.openxmlformats.org/officeDocument/2006/relationships/hyperlink" Target="https://drive.google.com/file/d/1sslNMJpC0g3GK2y1gUi2rHmP80YGNQ9e/view?usp=drive_link" TargetMode="External"/><Relationship Id="rId158" Type="http://schemas.openxmlformats.org/officeDocument/2006/relationships/hyperlink" Target="https://drive.google.com/file/d/1pTv-C51pcOsL0pWXp_SEAyZs6_ZF8Pdl/view?usp=drive_link" TargetMode="External"/><Relationship Id="rId20" Type="http://schemas.openxmlformats.org/officeDocument/2006/relationships/hyperlink" Target="https://drive.google.com/file/d/12sHsxjCuCXcl3pPO38QzYvhtyg4FNEpA/view?usp=sharing" TargetMode="External"/><Relationship Id="rId41" Type="http://schemas.openxmlformats.org/officeDocument/2006/relationships/hyperlink" Target="https://drive.google.com/file/d/1wrI2XZsRSLGDQ_Hus9xHPGYhQrcN19jW/view?usp=sharing" TargetMode="External"/><Relationship Id="rId62" Type="http://schemas.openxmlformats.org/officeDocument/2006/relationships/hyperlink" Target="https://drive.google.com/file/d/1b412ISjhL-S3ymVkParNmBziFp1udhLj/view?usp=drive_link" TargetMode="External"/><Relationship Id="rId83" Type="http://schemas.openxmlformats.org/officeDocument/2006/relationships/hyperlink" Target="https://drive.google.com/file/d/1pmoi0cyHtdqIJujCGcknf8IEWDx-MJJM/view?usp=drive_link" TargetMode="External"/><Relationship Id="rId88" Type="http://schemas.openxmlformats.org/officeDocument/2006/relationships/hyperlink" Target="https://drive.google.com/file/d/1peejSrdatybN-bSWyKqEZXzz-Ptk3dba/view?usp=drive_link" TargetMode="External"/><Relationship Id="rId111" Type="http://schemas.openxmlformats.org/officeDocument/2006/relationships/hyperlink" Target="https://drive.google.com/file/d/1lQvbpHTGmjgj1_oYjMAESLqjCW3HrJ-i/view?usp=drive_link" TargetMode="External"/><Relationship Id="rId132" Type="http://schemas.openxmlformats.org/officeDocument/2006/relationships/hyperlink" Target="https://drive.google.com/file/d/1tARj0vX2j-3y3pRxNADNzRMhRvjGvsjd/view?usp=drive_link" TargetMode="External"/><Relationship Id="rId153" Type="http://schemas.openxmlformats.org/officeDocument/2006/relationships/hyperlink" Target="https://drive.google.com/file/d/1pRuLw48efFjNveKljsv36t1WCgIzqu81/view?usp=drive_link" TargetMode="External"/><Relationship Id="rId174" Type="http://schemas.openxmlformats.org/officeDocument/2006/relationships/hyperlink" Target="https://drive.google.com/file/d/1yCJEM-z9d9NRX8DXD7LwcPGwrh7AVdI-/view?usp=drive_link" TargetMode="External"/><Relationship Id="rId179" Type="http://schemas.openxmlformats.org/officeDocument/2006/relationships/hyperlink" Target="https://drive.google.com/file/d/1siM6PwiJ9039EXjjsKqTMWU16OkghBaE/view?usp=drive_link" TargetMode="External"/><Relationship Id="rId15" Type="http://schemas.openxmlformats.org/officeDocument/2006/relationships/hyperlink" Target="https://drive.google.com/file/d/1z2_ohYciBHjAW9yk34ErAk5RMTq7e82t/view?usp=drive_link" TargetMode="External"/><Relationship Id="rId36" Type="http://schemas.openxmlformats.org/officeDocument/2006/relationships/hyperlink" Target="https://drive.google.com/file/d/1rnOLBJG7VxSP7f1rJi3bmynvB_wd-7T3/view?usp=drive_link" TargetMode="External"/><Relationship Id="rId57" Type="http://schemas.openxmlformats.org/officeDocument/2006/relationships/hyperlink" Target="https://drive.google.com/file/d/1odG7-SBUbHh7d4lAuAgX0gCj7UDjqS4O/view?usp=drive_link" TargetMode="External"/><Relationship Id="rId106" Type="http://schemas.openxmlformats.org/officeDocument/2006/relationships/hyperlink" Target="https://drive.google.com/file/d/1MLHYmYEKpg5-SzLO7sHl1zAtbCzwoIr5/view?usp=drive_link" TargetMode="External"/><Relationship Id="rId127" Type="http://schemas.openxmlformats.org/officeDocument/2006/relationships/hyperlink" Target="https://drive.google.com/file/d/1t1gRzY1GSjcZ1VkSt37LzMb5sJt4LJsa/view?usp=drive_link" TargetMode="External"/><Relationship Id="rId10" Type="http://schemas.openxmlformats.org/officeDocument/2006/relationships/hyperlink" Target="https://drive.google.com/file/d/1yxYLifUDEEX7zRjOPwnY52V9YV9FEkaU/view?usp=drive_link" TargetMode="External"/><Relationship Id="rId31" Type="http://schemas.openxmlformats.org/officeDocument/2006/relationships/hyperlink" Target="https://drive.google.com/file/d/1sCnIol8uDkFnWb7Ra9Soua1Prx5yEuDq/view?usp=drive_link" TargetMode="External"/><Relationship Id="rId52" Type="http://schemas.openxmlformats.org/officeDocument/2006/relationships/hyperlink" Target="https://drive.google.com/file/d/1wLCRlPKtSoekk9B66lXGaDUDYn7Y30iN/view?usp=drive_link" TargetMode="External"/><Relationship Id="rId73" Type="http://schemas.openxmlformats.org/officeDocument/2006/relationships/hyperlink" Target="https://drive.google.com/file/d/1xVoNQVn-FtPROc_MBk1KJ4r_Iat1zX3V/view?usp=drive_link" TargetMode="External"/><Relationship Id="rId78" Type="http://schemas.openxmlformats.org/officeDocument/2006/relationships/hyperlink" Target="https://drive.google.com/file/d/1x54KDgar7ijeJtP_6673NWPUSZdjJ3z7/view?usp=drive_link" TargetMode="External"/><Relationship Id="rId94" Type="http://schemas.openxmlformats.org/officeDocument/2006/relationships/hyperlink" Target="https://drive.google.com/file/d/1pxGdR1pr8kzvYoxkKknpO5uozN39xqca/view?usp=drive_link" TargetMode="External"/><Relationship Id="rId99" Type="http://schemas.openxmlformats.org/officeDocument/2006/relationships/hyperlink" Target="https://drive.google.com/file/d/1ey7N2lvNNWAKf5zRX2D1mvmaPdDfIizq/view?usp=drive_link" TargetMode="External"/><Relationship Id="rId101" Type="http://schemas.openxmlformats.org/officeDocument/2006/relationships/hyperlink" Target="https://drive.google.com/file/d/13GWWqneplT5nuCe99k3RZ_2sdNLa1L9B/view?usp=drive_link" TargetMode="External"/><Relationship Id="rId122" Type="http://schemas.openxmlformats.org/officeDocument/2006/relationships/hyperlink" Target="https://drive.google.com/file/d/1fwVCctyK11ktsfygGHSQRpVK2cD-34yc/view?usp=drive_link" TargetMode="External"/><Relationship Id="rId143" Type="http://schemas.openxmlformats.org/officeDocument/2006/relationships/hyperlink" Target="https://drive.google.com/file/d/1xqTqvBSMBR-vyR7u20JpN_8EVczB6kqQ/view?usp=drive_link" TargetMode="External"/><Relationship Id="rId148" Type="http://schemas.openxmlformats.org/officeDocument/2006/relationships/hyperlink" Target="https://drive.google.com/file/d/1pKJNGhSJVdGb13Bw-KXGJplcc_PD3R4l/view?usp=drive_link" TargetMode="External"/><Relationship Id="rId164" Type="http://schemas.openxmlformats.org/officeDocument/2006/relationships/hyperlink" Target="https://drive.google.com/file/d/1oEmaoPjcva2K1sJVuNfhplweZl__GRWI/view?usp=drive_link" TargetMode="External"/><Relationship Id="rId169" Type="http://schemas.openxmlformats.org/officeDocument/2006/relationships/hyperlink" Target="https://drive.google.com/file/d/1o1NMuIve0gZNlO0GxtbYWdsD3uNa2Yed/view?usp=drive_link" TargetMode="External"/><Relationship Id="rId4" Type="http://schemas.openxmlformats.org/officeDocument/2006/relationships/hyperlink" Target="https://drive.google.com/file/d/1C2f1URgMC8sK1XXsvAMxuAQhN5Qhdhqi/view?usp=drive_link" TargetMode="External"/><Relationship Id="rId9" Type="http://schemas.openxmlformats.org/officeDocument/2006/relationships/hyperlink" Target="https://drive.google.com/file/d/1zVQthzWfmidTMBdExIN_042_ntQQiONI/view?usp=drive_link" TargetMode="External"/><Relationship Id="rId180" Type="http://schemas.openxmlformats.org/officeDocument/2006/relationships/hyperlink" Target="https://drive.google.com/file/d/1sZZujo5cVoyK0Kkas29fBREGlsILWqRm/view?usp=drive_link" TargetMode="External"/><Relationship Id="rId26" Type="http://schemas.openxmlformats.org/officeDocument/2006/relationships/hyperlink" Target="https://drive.google.com/file/d/1-1C4OtrqPF6t95GDpHk1ZwsPXuKUjMOt/view?usp=drive_link" TargetMode="External"/><Relationship Id="rId47" Type="http://schemas.openxmlformats.org/officeDocument/2006/relationships/hyperlink" Target="https://drive.google.com/file/d/1S2DXt_sn_H8bZtA6RGLtTdJBI5HVspch/view?usp=drive_link" TargetMode="External"/><Relationship Id="rId68" Type="http://schemas.openxmlformats.org/officeDocument/2006/relationships/hyperlink" Target="https://drive.google.com/file/d/1BJBKTFATohlkdwCfPwJKaQni3X8Hm9kx/view?usp=drive_link" TargetMode="External"/><Relationship Id="rId89" Type="http://schemas.openxmlformats.org/officeDocument/2006/relationships/hyperlink" Target="https://drive.google.com/file/d/1q4z6psVGT4VOG_PNVPp37GdRBNxFr80t/view?usp=drive_link" TargetMode="External"/><Relationship Id="rId112" Type="http://schemas.openxmlformats.org/officeDocument/2006/relationships/hyperlink" Target="https://drive.google.com/file/d/19nOGJZjzDHimLSYfNOjfsldnx0VtDP9v/view?usp=drive_link" TargetMode="External"/><Relationship Id="rId133" Type="http://schemas.openxmlformats.org/officeDocument/2006/relationships/hyperlink" Target="https://drive.google.com/file/d/1-XZq5i1xTIvgZ3p2RbgMcbvf902qPILE/view?usp=drive_link" TargetMode="External"/><Relationship Id="rId154" Type="http://schemas.openxmlformats.org/officeDocument/2006/relationships/hyperlink" Target="https://drive.google.com/file/d/16gbtSUsX6vOsJe3IVW8uRmOSrjdKAdX9/view?usp=drive_link" TargetMode="External"/><Relationship Id="rId175" Type="http://schemas.openxmlformats.org/officeDocument/2006/relationships/hyperlink" Target="https://drive.google.com/file/d/1sb5IKHvNkGPsNbOqjyEsaQEFs1Jn2F3X/view?usp=drive_link" TargetMode="External"/><Relationship Id="rId16" Type="http://schemas.openxmlformats.org/officeDocument/2006/relationships/hyperlink" Target="https://drive.google.com/file/d/1yujV50W2nzElo-DptY5eQaxQ_2_H8DIU/view?usp=drive_link" TargetMode="External"/><Relationship Id="rId37" Type="http://schemas.openxmlformats.org/officeDocument/2006/relationships/hyperlink" Target="https://drive.google.com/file/d/1KjocSfr8ZD1sbQ9TmNpI9fb9dKFts33Q/view?usp=drive_link" TargetMode="External"/><Relationship Id="rId58" Type="http://schemas.openxmlformats.org/officeDocument/2006/relationships/hyperlink" Target="https://drive.google.com/file/d/1oi6ItYfYLOWzknibcCBitzz8IYdA65BT/view?usp=drive_link" TargetMode="External"/><Relationship Id="rId79" Type="http://schemas.openxmlformats.org/officeDocument/2006/relationships/hyperlink" Target="https://drive.google.com/file/d/1x2suH5coweWf-UsQ2h5grLcI10XN1TMx/view?usp=drive_link" TargetMode="External"/><Relationship Id="rId102" Type="http://schemas.openxmlformats.org/officeDocument/2006/relationships/hyperlink" Target="https://drive.google.com/file/d/1FJolfwNo_X3x5ftZ-jw4y_LBw8LehdAc/view?usp=drive_link" TargetMode="External"/><Relationship Id="rId123" Type="http://schemas.openxmlformats.org/officeDocument/2006/relationships/hyperlink" Target="https://drive.google.com/file/d/1KBJwMeGEUaeeOGPgYNaCKmdJhyuPv1SB/view?usp=drive_link" TargetMode="External"/><Relationship Id="rId144" Type="http://schemas.openxmlformats.org/officeDocument/2006/relationships/hyperlink" Target="https://drive.google.com/file/d/1xlesoyAxYaDqCeDIhb1kXp2_hxIzh1Jt/view?usp=drive_link" TargetMode="External"/><Relationship Id="rId90" Type="http://schemas.openxmlformats.org/officeDocument/2006/relationships/hyperlink" Target="https://drive.google.com/file/d/1pjRDHJCsAIesHS8I6CX114ml8zCzQyQK/view?usp=drive_link" TargetMode="External"/><Relationship Id="rId165" Type="http://schemas.openxmlformats.org/officeDocument/2006/relationships/hyperlink" Target="https://drive.google.com/file/d/12KA_nKZFVaEKK5pRufVtfvgilRhXJdno/view?usp=sharing" TargetMode="External"/><Relationship Id="rId27" Type="http://schemas.openxmlformats.org/officeDocument/2006/relationships/hyperlink" Target="https://drive.google.com/file/d/1rk2I1rc-VqkZFljbSxhHVbNaZL0QSGI_/view?usp=drive_link" TargetMode="External"/><Relationship Id="rId48" Type="http://schemas.openxmlformats.org/officeDocument/2006/relationships/hyperlink" Target="https://drive.google.com/file/d/1wKWxGDF51oxBl0Ib-vWO4CEnowt1ahV8/view?usp=drive_link" TargetMode="External"/><Relationship Id="rId69" Type="http://schemas.openxmlformats.org/officeDocument/2006/relationships/hyperlink" Target="https://drive.google.com/file/d/1Gz0AzR4aTWsC5KyQDv-DVSzfIUZHdUuk/view?usp=drive_link" TargetMode="External"/><Relationship Id="rId113" Type="http://schemas.openxmlformats.org/officeDocument/2006/relationships/hyperlink" Target="https://drive.google.com/file/d/1Lxx5sPexyrFsPVe0Lx0kTW_jocxf550W/view?usp=drive_link" TargetMode="External"/><Relationship Id="rId134" Type="http://schemas.openxmlformats.org/officeDocument/2006/relationships/hyperlink" Target="https://drive.google.com/file/d/1svUtWNJ2mMzcOKKDk1Jd-EgIl3u_Fn4g/view?usp=drive_link" TargetMode="External"/><Relationship Id="rId80" Type="http://schemas.openxmlformats.org/officeDocument/2006/relationships/hyperlink" Target="https://drive.google.com/file/d/1poQN6flo-Juua57HVMBiTBE1ZUBZsYB9/view?usp=drive_link" TargetMode="External"/><Relationship Id="rId155" Type="http://schemas.openxmlformats.org/officeDocument/2006/relationships/hyperlink" Target="https://drive.google.com/file/d/1ovuwDDq-_KqelFkrVAty4n0u7qeTX3DG/view?usp=drive_link" TargetMode="External"/><Relationship Id="rId176" Type="http://schemas.openxmlformats.org/officeDocument/2006/relationships/hyperlink" Target="https://drive.google.com/file/d/1shhfjn4C1sfBP1HpDxqp3xzh2RUetuSB/view?usp=drive_link" TargetMode="External"/><Relationship Id="rId17" Type="http://schemas.openxmlformats.org/officeDocument/2006/relationships/hyperlink" Target="https://drive.google.com/file/d/1yw079Xfe3K7A1AvLavX_9sEAR5BJm9SQ/view?usp=drive_link" TargetMode="External"/><Relationship Id="rId38" Type="http://schemas.openxmlformats.org/officeDocument/2006/relationships/hyperlink" Target="https://drive.google.com/file/d/1C6WOrc-HYTbMm5vSA1CqMTVZ2j6ehrPF/view?usp=drive_link" TargetMode="External"/><Relationship Id="rId59" Type="http://schemas.openxmlformats.org/officeDocument/2006/relationships/hyperlink" Target="https://drive.google.com/file/d/1OIGs6n6PmeSmv4FKEnNgFfKtjTIDodpC/view?usp=drive_link" TargetMode="External"/><Relationship Id="rId103" Type="http://schemas.openxmlformats.org/officeDocument/2006/relationships/hyperlink" Target="https://drive.google.com/file/d/1Elv5Y3XCJaL7JF5JkMCIWRKu6p_oDBut/view?usp=drive_link" TargetMode="External"/><Relationship Id="rId124" Type="http://schemas.openxmlformats.org/officeDocument/2006/relationships/hyperlink" Target="https://drive.google.com/file/d/1yn1L0sqIyIAoJdn59WZ8s3gLiywVcIVv/view?usp=drive_link" TargetMode="External"/><Relationship Id="rId70" Type="http://schemas.openxmlformats.org/officeDocument/2006/relationships/hyperlink" Target="https://drive.google.com/file/d/1GUrjKWAXe1uOxUmenEqKDyShrOxC2sSM/view?usp=drive_link" TargetMode="External"/><Relationship Id="rId91" Type="http://schemas.openxmlformats.org/officeDocument/2006/relationships/hyperlink" Target="https://drive.google.com/file/d/1pv8dWzcA6BpznG4iTrbGzflQMjoJ9CEb/view?usp=drive_link" TargetMode="External"/><Relationship Id="rId145" Type="http://schemas.openxmlformats.org/officeDocument/2006/relationships/hyperlink" Target="https://drive.google.com/file/d/1xk6lhEbhtlH3fABQP7eYWF8cJPQx4Xk2/view?usp=drive_link" TargetMode="External"/><Relationship Id="rId166" Type="http://schemas.openxmlformats.org/officeDocument/2006/relationships/hyperlink" Target="https://drive.google.com/file/d/1nb88iy5QwYyex8-Ycq-4_zvJ6Rj2jvsT/view?usp=drive_link" TargetMode="External"/><Relationship Id="rId1" Type="http://schemas.openxmlformats.org/officeDocument/2006/relationships/hyperlink" Target="https://drive.google.com/file/d/1yOUyjiDO82VpyCtURxDE8eFpPGfTlM4Q/view?usp=drive_link" TargetMode="External"/><Relationship Id="rId28" Type="http://schemas.openxmlformats.org/officeDocument/2006/relationships/hyperlink" Target="https://drive.google.com/file/d/1sE1IMcAPoikOfIi3eseJPAWcWLtRpFa8/view?usp=drive_link" TargetMode="External"/><Relationship Id="rId49" Type="http://schemas.openxmlformats.org/officeDocument/2006/relationships/hyperlink" Target="https://drive.google.com/file/d/1wGDJUUN7uff6AF2IInt4wTnJwlv_HMaq/view?usp=drive_link" TargetMode="External"/><Relationship Id="rId114" Type="http://schemas.openxmlformats.org/officeDocument/2006/relationships/hyperlink" Target="https://drive.google.com/file/d/1_HrM-vCUKWv5PexMdbL55jhVf6mAM81_/view?usp=drive_link"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mystarlink.ph/portal/" TargetMode="External"/><Relationship Id="rId2" Type="http://schemas.openxmlformats.org/officeDocument/2006/relationships/hyperlink" Target="https://cloud-as.ruijienetworks.com/admin3/" TargetMode="External"/><Relationship Id="rId1" Type="http://schemas.openxmlformats.org/officeDocument/2006/relationships/hyperlink" Target="https://installationportal.datalake.ph/auth"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103.38.173.120:8443/"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cloud-as.ruijienetworks.com/macc5/adminIntl/"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cloud-as.ruijienetworks.com/macc5/adminIntl/"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drive.google.com/file/d/1yCNKMeoOgxzXqYKCyk3yBiNtRInID9Tw/view?usp=drive_link" TargetMode="External"/><Relationship Id="rId13" Type="http://schemas.openxmlformats.org/officeDocument/2006/relationships/hyperlink" Target="https://drive.google.com/file/d/1y2pli5bkpmMxT5P4zZE2tAISeCY9sK02/view?usp=drive_link" TargetMode="External"/><Relationship Id="rId18" Type="http://schemas.openxmlformats.org/officeDocument/2006/relationships/hyperlink" Target="https://drive.google.com/file/d/1rlBWtQp1ePzDYrKj0vsTv6-C_UlRviOg/view?usp=drive_link" TargetMode="External"/><Relationship Id="rId26" Type="http://schemas.openxmlformats.org/officeDocument/2006/relationships/hyperlink" Target="https://drive.google.com/file/d/1ynhSPIw_1BRoDn2U0pdW6AOo4U8_O7KT/view?usp=drive_link" TargetMode="External"/><Relationship Id="rId3" Type="http://schemas.openxmlformats.org/officeDocument/2006/relationships/hyperlink" Target="https://drive.google.com/file/d/1xVoNQVn-FtPROc_MBk1KJ4r_Iat1zX3V/view?usp=drive_link" TargetMode="External"/><Relationship Id="rId21" Type="http://schemas.openxmlformats.org/officeDocument/2006/relationships/hyperlink" Target="https://drive.google.com/file/d/1oLNIMHYYQ0Q5_utsyE5SEUHMjBfzGEuv/view?usp=drive_link" TargetMode="External"/><Relationship Id="rId7" Type="http://schemas.openxmlformats.org/officeDocument/2006/relationships/hyperlink" Target="https://drive.google.com/file/d/1zQ4fAZN38g88zTmYheOJ-BSlAxSvJVsV/view?usp=drive_link" TargetMode="External"/><Relationship Id="rId12" Type="http://schemas.openxmlformats.org/officeDocument/2006/relationships/hyperlink" Target="https://drive.google.com/file/d/1y3pZThZe-mYnAuADDXO1vDf-Xpr0ritS/view?usp=drive_link" TargetMode="External"/><Relationship Id="rId17" Type="http://schemas.openxmlformats.org/officeDocument/2006/relationships/hyperlink" Target="https://drive.google.com/file/d/1KBJwMeGEUaeeOGPgYNaCKmdJhyuPv1SB/view?usp=drive_link" TargetMode="External"/><Relationship Id="rId25" Type="http://schemas.openxmlformats.org/officeDocument/2006/relationships/hyperlink" Target="https://drive.google.com/file/d/1shhfjn4C1sfBP1HpDxqp3xzh2RUetuSB/view?usp=drive_link" TargetMode="External"/><Relationship Id="rId2" Type="http://schemas.openxmlformats.org/officeDocument/2006/relationships/hyperlink" Target="https://drive.google.com/file/d/1wGDJUUN7uff6AF2IInt4wTnJwlv_HMaq/view?usp=drive_link" TargetMode="External"/><Relationship Id="rId16" Type="http://schemas.openxmlformats.org/officeDocument/2006/relationships/hyperlink" Target="https://drive.google.com/file/d/1fwVCctyK11ktsfygGHSQRpVK2cD-34yc/view?usp=drive_link" TargetMode="External"/><Relationship Id="rId20" Type="http://schemas.openxmlformats.org/officeDocument/2006/relationships/hyperlink" Target="https://drive.google.com/file/d/1oQpxgVx7KP7gvVozEMBzSgB7Z3vlPLWM/view?usp=drive_link" TargetMode="External"/><Relationship Id="rId1" Type="http://schemas.openxmlformats.org/officeDocument/2006/relationships/hyperlink" Target="https://drive.google.com/file/d/1wKWxGDF51oxBl0Ib-vWO4CEnowt1ahV8/view?usp=drive_link" TargetMode="External"/><Relationship Id="rId6" Type="http://schemas.openxmlformats.org/officeDocument/2006/relationships/hyperlink" Target="https://drive.google.com/file/d/1z2_ohYciBHjAW9yk34ErAk5RMTq7e82t/view?usp=drive_link" TargetMode="External"/><Relationship Id="rId11" Type="http://schemas.openxmlformats.org/officeDocument/2006/relationships/hyperlink" Target="https://drive.google.com/file/d/1yEk9r2XbZYbKcAriYLKom3uAz6U3L1xh/view?usp=drive_link" TargetMode="External"/><Relationship Id="rId24" Type="http://schemas.openxmlformats.org/officeDocument/2006/relationships/hyperlink" Target="https://drive.google.com/file/d/1sb5IKHvNkGPsNbOqjyEsaQEFs1Jn2F3X/view?usp=drive_link" TargetMode="External"/><Relationship Id="rId5" Type="http://schemas.openxmlformats.org/officeDocument/2006/relationships/hyperlink" Target="https://drive.google.com/file/d/1zIAySpWsLhhyNSgLs8-6SAv6GRPa8FVQ/view?usp=drive_link" TargetMode="External"/><Relationship Id="rId15" Type="http://schemas.openxmlformats.org/officeDocument/2006/relationships/hyperlink" Target="https://drive.google.com/file/d/1Lxx5sPexyrFsPVe0Lx0kTW_jocxf550W/view?usp=drive_link" TargetMode="External"/><Relationship Id="rId23" Type="http://schemas.openxmlformats.org/officeDocument/2006/relationships/hyperlink" Target="https://drive.google.com/file/d/1pTv-C51pcOsL0pWXp_SEAyZs6_ZF8Pdl/view?usp=drive_link" TargetMode="External"/><Relationship Id="rId10" Type="http://schemas.openxmlformats.org/officeDocument/2006/relationships/hyperlink" Target="https://drive.google.com/file/d/1yOUyjiDO82VpyCtURxDE8eFpPGfTlM4Q/view?usp=drive_link" TargetMode="External"/><Relationship Id="rId19" Type="http://schemas.openxmlformats.org/officeDocument/2006/relationships/hyperlink" Target="https://drive.google.com/file/d/1s8aVf6TnHv_qljOLDHVP-Zb7qnYlwySi/view?usp=drive_link" TargetMode="External"/><Relationship Id="rId4" Type="http://schemas.openxmlformats.org/officeDocument/2006/relationships/hyperlink" Target="https://drive.google.com/file/d/1xCxkVib7ElX3xvR2BpyhKrNvETi9LKOX/view?usp=drive_link" TargetMode="External"/><Relationship Id="rId9" Type="http://schemas.openxmlformats.org/officeDocument/2006/relationships/hyperlink" Target="https://drive.google.com/file/d/1yCJEM-z9d9NRX8DXD7LwcPGwrh7AVdI-/view?usp=drive_link" TargetMode="External"/><Relationship Id="rId14" Type="http://schemas.openxmlformats.org/officeDocument/2006/relationships/hyperlink" Target="https://drive.google.com/file/d/19nOGJZjzDHimLSYfNOjfsldnx0VtDP9v/view?usp=drive_link" TargetMode="External"/><Relationship Id="rId22" Type="http://schemas.openxmlformats.org/officeDocument/2006/relationships/hyperlink" Target="https://drive.google.com/file/d/1p1vbpu5D7IXqj3WfGnvSON19yiOnJy6f/view?usp=drive_link"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cloud-as.ruijienetworks.com/macc5/adminIntl/"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cloud-as.ruijienetworks.com/macc5/adminIntl/"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s://cloud-as.ruijienetworks.com/macc5/adminIntl/" TargetMode="External"/><Relationship Id="rId2" Type="http://schemas.openxmlformats.org/officeDocument/2006/relationships/hyperlink" Target="http://matin.ao/" TargetMode="External"/><Relationship Id="rId1" Type="http://schemas.openxmlformats.org/officeDocument/2006/relationships/hyperlink" Target="http://matin.ao/" TargetMode="External"/><Relationship Id="rId5" Type="http://schemas.openxmlformats.org/officeDocument/2006/relationships/table" Target="../tables/table5.xml"/><Relationship Id="rId4" Type="http://schemas.openxmlformats.org/officeDocument/2006/relationships/table" Target="../tables/table4.xml"/></Relationships>
</file>

<file path=xl/worksheets/_rels/sheet30.xml.rels><?xml version="1.0" encoding="UTF-8" standalone="yes"?>
<Relationships xmlns="http://schemas.openxmlformats.org/package/2006/relationships"><Relationship Id="rId1" Type="http://schemas.openxmlformats.org/officeDocument/2006/relationships/hyperlink" Target="https://omada.tplinkcloud.com/"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oneportal.marlink.com/"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app-apaceast.central.arubanetworks.com/"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cloud-as.ruijienetworks.com/macc5/adminIntl/" TargetMode="External"/><Relationship Id="rId2" Type="http://schemas.openxmlformats.org/officeDocument/2006/relationships/hyperlink" Target="http://matin.ao/" TargetMode="External"/><Relationship Id="rId1" Type="http://schemas.openxmlformats.org/officeDocument/2006/relationships/hyperlink" Target="http://matin.a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J139"/>
  <sheetViews>
    <sheetView workbookViewId="0"/>
  </sheetViews>
  <sheetFormatPr defaultColWidth="12.5703125" defaultRowHeight="15.75" customHeight="1"/>
  <cols>
    <col min="1" max="1" width="24" customWidth="1"/>
    <col min="3" max="3" width="43.5703125" customWidth="1"/>
    <col min="4" max="4" width="10.42578125" customWidth="1"/>
    <col min="5" max="5" width="19.7109375" customWidth="1"/>
    <col min="6" max="6" width="21.42578125" customWidth="1"/>
    <col min="7" max="7" width="19.42578125" customWidth="1"/>
    <col min="8" max="8" width="35.42578125" customWidth="1"/>
    <col min="9" max="9" width="28" customWidth="1"/>
  </cols>
  <sheetData>
    <row r="2" spans="1:8" ht="12.75">
      <c r="A2" s="19" t="s">
        <v>63</v>
      </c>
      <c r="B2" s="21" t="s">
        <v>2</v>
      </c>
      <c r="C2" s="22" t="s">
        <v>3</v>
      </c>
      <c r="D2" s="21" t="s">
        <v>7</v>
      </c>
      <c r="E2" s="24" t="s">
        <v>71</v>
      </c>
      <c r="F2" s="24" t="s">
        <v>72</v>
      </c>
      <c r="G2" s="24" t="s">
        <v>75</v>
      </c>
    </row>
    <row r="3" spans="1:8" ht="25.5">
      <c r="A3" s="25">
        <v>1</v>
      </c>
      <c r="B3" s="26" t="s">
        <v>79</v>
      </c>
      <c r="C3" s="27" t="s">
        <v>83</v>
      </c>
      <c r="D3" s="28" t="s">
        <v>89</v>
      </c>
      <c r="E3" s="29" t="s">
        <v>93</v>
      </c>
      <c r="F3" s="29" t="s">
        <v>95</v>
      </c>
      <c r="G3" s="30"/>
      <c r="H3" s="31" t="b">
        <v>1</v>
      </c>
    </row>
    <row r="4" spans="1:8" ht="12.75">
      <c r="A4" s="25">
        <v>2</v>
      </c>
      <c r="B4" s="26" t="s">
        <v>67</v>
      </c>
      <c r="C4" s="27" t="s">
        <v>110</v>
      </c>
      <c r="D4" s="28" t="s">
        <v>89</v>
      </c>
      <c r="E4" s="510" t="s">
        <v>112</v>
      </c>
      <c r="F4" s="510">
        <v>9951552647</v>
      </c>
      <c r="G4" s="513"/>
      <c r="H4" s="31" t="b">
        <v>1</v>
      </c>
    </row>
    <row r="5" spans="1:8" ht="12.75">
      <c r="A5" s="25"/>
      <c r="B5" s="26" t="s">
        <v>67</v>
      </c>
      <c r="C5" s="27" t="s">
        <v>129</v>
      </c>
      <c r="D5" s="28" t="s">
        <v>89</v>
      </c>
      <c r="E5" s="511"/>
      <c r="F5" s="511"/>
      <c r="G5" s="511"/>
      <c r="H5" s="31" t="b">
        <v>1</v>
      </c>
    </row>
    <row r="6" spans="1:8" ht="12.75">
      <c r="A6" s="25"/>
      <c r="B6" s="26" t="s">
        <v>67</v>
      </c>
      <c r="C6" s="27" t="s">
        <v>135</v>
      </c>
      <c r="D6" s="28" t="s">
        <v>89</v>
      </c>
      <c r="E6" s="512"/>
      <c r="F6" s="512"/>
      <c r="G6" s="512"/>
      <c r="H6" s="31" t="b">
        <v>1</v>
      </c>
    </row>
    <row r="7" spans="1:8" ht="38.25">
      <c r="A7" s="25">
        <v>3</v>
      </c>
      <c r="B7" s="26" t="s">
        <v>81</v>
      </c>
      <c r="C7" s="27" t="s">
        <v>137</v>
      </c>
      <c r="D7" s="28" t="s">
        <v>89</v>
      </c>
      <c r="E7" s="29" t="s">
        <v>139</v>
      </c>
      <c r="F7" s="29" t="s">
        <v>142</v>
      </c>
      <c r="G7" s="37" t="s">
        <v>144</v>
      </c>
      <c r="H7" s="38" t="b">
        <v>0</v>
      </c>
    </row>
    <row r="8" spans="1:8" ht="25.5">
      <c r="A8" s="25">
        <v>4</v>
      </c>
      <c r="B8" s="26" t="s">
        <v>81</v>
      </c>
      <c r="C8" s="27" t="s">
        <v>149</v>
      </c>
      <c r="D8" s="28" t="s">
        <v>89</v>
      </c>
      <c r="E8" s="29" t="s">
        <v>152</v>
      </c>
      <c r="F8" s="29">
        <v>9465892518</v>
      </c>
      <c r="G8" s="30"/>
      <c r="H8" s="31" t="b">
        <v>1</v>
      </c>
    </row>
    <row r="9" spans="1:8" ht="12.75">
      <c r="A9" s="25">
        <v>5</v>
      </c>
      <c r="B9" s="26" t="s">
        <v>113</v>
      </c>
      <c r="C9" s="27" t="s">
        <v>156</v>
      </c>
      <c r="D9" s="28" t="s">
        <v>89</v>
      </c>
      <c r="E9" s="30"/>
      <c r="F9" s="30"/>
      <c r="G9" s="30"/>
      <c r="H9" s="31" t="b">
        <v>1</v>
      </c>
    </row>
    <row r="10" spans="1:8" ht="25.5" customHeight="1">
      <c r="A10" s="25">
        <v>6</v>
      </c>
      <c r="B10" s="26" t="s">
        <v>113</v>
      </c>
      <c r="C10" s="27" t="s">
        <v>161</v>
      </c>
      <c r="D10" s="28" t="s">
        <v>89</v>
      </c>
      <c r="E10" s="29" t="s">
        <v>162</v>
      </c>
      <c r="F10" s="29" t="s">
        <v>163</v>
      </c>
      <c r="G10" s="30"/>
      <c r="H10" s="31" t="b">
        <v>1</v>
      </c>
    </row>
    <row r="11" spans="1:8" ht="12.75">
      <c r="A11" s="25">
        <v>7</v>
      </c>
      <c r="B11" s="26" t="s">
        <v>165</v>
      </c>
      <c r="C11" s="27" t="s">
        <v>166</v>
      </c>
      <c r="D11" s="28" t="s">
        <v>89</v>
      </c>
      <c r="E11" s="30"/>
      <c r="F11" s="30"/>
      <c r="G11" s="30"/>
      <c r="H11" s="38" t="b">
        <v>0</v>
      </c>
    </row>
    <row r="12" spans="1:8" ht="12.75">
      <c r="A12" s="25">
        <v>8</v>
      </c>
      <c r="B12" s="26" t="s">
        <v>165</v>
      </c>
      <c r="C12" s="27" t="s">
        <v>170</v>
      </c>
      <c r="D12" s="28" t="s">
        <v>89</v>
      </c>
      <c r="E12" s="29" t="s">
        <v>171</v>
      </c>
      <c r="F12" s="29">
        <v>9704543112</v>
      </c>
      <c r="G12" s="30"/>
      <c r="H12" s="38" t="b">
        <v>0</v>
      </c>
    </row>
    <row r="13" spans="1:8" ht="12.75">
      <c r="A13" s="25">
        <v>9</v>
      </c>
      <c r="B13" s="39" t="s">
        <v>176</v>
      </c>
      <c r="C13" s="40" t="s">
        <v>179</v>
      </c>
      <c r="D13" s="28" t="s">
        <v>89</v>
      </c>
      <c r="E13" s="29" t="s">
        <v>185</v>
      </c>
      <c r="F13" s="29">
        <v>9666083729</v>
      </c>
      <c r="G13" s="30"/>
      <c r="H13" s="38" t="b">
        <v>0</v>
      </c>
    </row>
    <row r="14" spans="1:8" ht="12.75">
      <c r="A14" s="25">
        <v>10</v>
      </c>
      <c r="B14" s="39" t="s">
        <v>176</v>
      </c>
      <c r="C14" s="40" t="s">
        <v>189</v>
      </c>
      <c r="D14" s="28" t="s">
        <v>89</v>
      </c>
      <c r="E14" s="30"/>
      <c r="F14" s="30"/>
      <c r="G14" s="30"/>
      <c r="H14" s="38" t="b">
        <v>0</v>
      </c>
    </row>
    <row r="15" spans="1:8" ht="12.75">
      <c r="A15" s="25">
        <v>11</v>
      </c>
      <c r="B15" s="39" t="s">
        <v>176</v>
      </c>
      <c r="C15" s="40" t="s">
        <v>193</v>
      </c>
      <c r="D15" s="28" t="s">
        <v>89</v>
      </c>
      <c r="E15" s="29" t="s">
        <v>194</v>
      </c>
      <c r="F15" s="29">
        <v>9176344427</v>
      </c>
      <c r="G15" s="30"/>
      <c r="H15" s="38" t="b">
        <v>0</v>
      </c>
    </row>
    <row r="16" spans="1:8" ht="12.75">
      <c r="A16" s="25">
        <v>12</v>
      </c>
      <c r="B16" s="26" t="s">
        <v>196</v>
      </c>
      <c r="C16" s="27" t="s">
        <v>197</v>
      </c>
      <c r="D16" s="28" t="s">
        <v>199</v>
      </c>
      <c r="E16" s="29" t="s">
        <v>200</v>
      </c>
      <c r="F16" s="29">
        <v>9104424991</v>
      </c>
      <c r="G16" s="30"/>
      <c r="H16" s="38" t="b">
        <v>0</v>
      </c>
    </row>
    <row r="17" spans="1:8" ht="12.75">
      <c r="A17" s="25">
        <v>13</v>
      </c>
      <c r="B17" s="26" t="s">
        <v>196</v>
      </c>
      <c r="C17" s="27" t="s">
        <v>202</v>
      </c>
      <c r="D17" s="28" t="s">
        <v>89</v>
      </c>
      <c r="E17" s="30"/>
      <c r="F17" s="30"/>
      <c r="G17" s="30"/>
      <c r="H17" s="38" t="b">
        <v>0</v>
      </c>
    </row>
    <row r="55" spans="2:10" ht="12.75">
      <c r="G55" s="46">
        <f>COUNTIF(G57:G125, FALSE)</f>
        <v>21</v>
      </c>
    </row>
    <row r="56" spans="2:10" ht="15">
      <c r="E56" s="47" t="s">
        <v>232</v>
      </c>
      <c r="G56" s="49" t="s">
        <v>235</v>
      </c>
      <c r="H56" s="51"/>
      <c r="I56" s="49" t="s">
        <v>240</v>
      </c>
    </row>
    <row r="57" spans="2:10" ht="27">
      <c r="B57" s="49">
        <v>1</v>
      </c>
      <c r="C57" s="52" t="s">
        <v>244</v>
      </c>
      <c r="D57" s="31" t="b">
        <v>1</v>
      </c>
      <c r="E57" s="53" t="s">
        <v>268</v>
      </c>
      <c r="G57" s="31" t="b">
        <v>1</v>
      </c>
      <c r="H57" s="56" t="s">
        <v>244</v>
      </c>
      <c r="I57" s="56"/>
      <c r="J57" s="57" t="s">
        <v>288</v>
      </c>
    </row>
    <row r="58" spans="2:10" ht="39.75">
      <c r="B58" s="49">
        <v>2</v>
      </c>
      <c r="C58" s="52" t="s">
        <v>296</v>
      </c>
      <c r="D58" s="31" t="b">
        <v>1</v>
      </c>
      <c r="E58" s="53" t="s">
        <v>140</v>
      </c>
      <c r="G58" s="31" t="b">
        <v>1</v>
      </c>
      <c r="H58" s="58" t="s">
        <v>296</v>
      </c>
      <c r="I58" s="58"/>
      <c r="J58" s="57" t="s">
        <v>288</v>
      </c>
    </row>
    <row r="59" spans="2:10" ht="15">
      <c r="B59" s="49">
        <v>3</v>
      </c>
      <c r="C59" s="52" t="s">
        <v>318</v>
      </c>
      <c r="D59" s="31" t="b">
        <v>1</v>
      </c>
      <c r="E59" s="53" t="s">
        <v>140</v>
      </c>
      <c r="G59" s="31" t="b">
        <v>1</v>
      </c>
      <c r="H59" s="59" t="s">
        <v>318</v>
      </c>
      <c r="I59" s="59"/>
      <c r="J59" s="57" t="s">
        <v>288</v>
      </c>
    </row>
    <row r="60" spans="2:10" ht="15">
      <c r="B60" s="49">
        <v>4</v>
      </c>
      <c r="C60" s="52" t="s">
        <v>330</v>
      </c>
      <c r="D60" s="31" t="b">
        <v>1</v>
      </c>
      <c r="E60" s="53" t="s">
        <v>81</v>
      </c>
      <c r="G60" s="31" t="b">
        <v>1</v>
      </c>
      <c r="H60" s="60" t="s">
        <v>330</v>
      </c>
      <c r="I60" s="60"/>
      <c r="J60" s="57" t="s">
        <v>288</v>
      </c>
    </row>
    <row r="61" spans="2:10" ht="15">
      <c r="B61" s="49">
        <v>5</v>
      </c>
      <c r="C61" s="52" t="s">
        <v>342</v>
      </c>
      <c r="D61" s="31" t="b">
        <v>1</v>
      </c>
      <c r="E61" s="53" t="s">
        <v>113</v>
      </c>
      <c r="F61" s="31" t="s">
        <v>346</v>
      </c>
      <c r="G61" s="31" t="b">
        <v>1</v>
      </c>
      <c r="H61" s="56" t="s">
        <v>342</v>
      </c>
      <c r="I61" s="56"/>
      <c r="J61" s="57" t="s">
        <v>288</v>
      </c>
    </row>
    <row r="62" spans="2:10" ht="15">
      <c r="B62" s="49">
        <v>6</v>
      </c>
      <c r="C62" s="52" t="s">
        <v>352</v>
      </c>
      <c r="D62" s="31" t="b">
        <v>1</v>
      </c>
      <c r="E62" s="53" t="s">
        <v>67</v>
      </c>
      <c r="G62" s="31" t="b">
        <v>1</v>
      </c>
      <c r="H62" s="60" t="s">
        <v>352</v>
      </c>
      <c r="I62" s="60"/>
      <c r="J62" s="57" t="s">
        <v>288</v>
      </c>
    </row>
    <row r="63" spans="2:10" ht="15">
      <c r="B63" s="49">
        <v>7</v>
      </c>
      <c r="C63" s="52" t="s">
        <v>359</v>
      </c>
      <c r="D63" s="31" t="b">
        <v>0</v>
      </c>
      <c r="E63" s="53" t="s">
        <v>67</v>
      </c>
      <c r="G63" s="31" t="b">
        <v>1</v>
      </c>
      <c r="H63" s="56" t="s">
        <v>366</v>
      </c>
      <c r="I63" s="56"/>
      <c r="J63" s="57" t="s">
        <v>288</v>
      </c>
    </row>
    <row r="64" spans="2:10" ht="15">
      <c r="B64" s="49">
        <v>8</v>
      </c>
      <c r="C64" s="52" t="s">
        <v>370</v>
      </c>
      <c r="D64" s="31" t="b">
        <v>1</v>
      </c>
      <c r="E64" s="53" t="s">
        <v>67</v>
      </c>
      <c r="G64" s="31" t="b">
        <v>1</v>
      </c>
      <c r="H64" s="60" t="s">
        <v>372</v>
      </c>
      <c r="I64" s="60"/>
      <c r="J64" s="57" t="s">
        <v>288</v>
      </c>
    </row>
    <row r="65" spans="2:10" ht="30">
      <c r="B65" s="49">
        <v>9</v>
      </c>
      <c r="C65" s="52" t="s">
        <v>375</v>
      </c>
      <c r="D65" s="31" t="b">
        <v>1</v>
      </c>
      <c r="E65" s="53" t="s">
        <v>196</v>
      </c>
      <c r="G65" s="31" t="b">
        <v>1</v>
      </c>
      <c r="H65" s="56" t="s">
        <v>375</v>
      </c>
      <c r="I65" s="56"/>
      <c r="J65" s="57" t="s">
        <v>288</v>
      </c>
    </row>
    <row r="66" spans="2:10" ht="30">
      <c r="B66" s="49">
        <v>10</v>
      </c>
      <c r="C66" s="52" t="s">
        <v>380</v>
      </c>
      <c r="D66" s="31" t="b">
        <v>1</v>
      </c>
      <c r="E66" s="53" t="s">
        <v>196</v>
      </c>
      <c r="F66" s="31" t="s">
        <v>382</v>
      </c>
      <c r="G66" s="31" t="b">
        <v>1</v>
      </c>
      <c r="H66" s="58" t="s">
        <v>380</v>
      </c>
      <c r="I66" s="58"/>
      <c r="J66" s="57" t="s">
        <v>288</v>
      </c>
    </row>
    <row r="67" spans="2:10" ht="27">
      <c r="B67" s="49">
        <v>11</v>
      </c>
      <c r="C67" s="52" t="s">
        <v>384</v>
      </c>
      <c r="D67" s="31" t="b">
        <v>1</v>
      </c>
      <c r="E67" s="53" t="s">
        <v>196</v>
      </c>
      <c r="F67" s="31" t="s">
        <v>386</v>
      </c>
      <c r="G67" s="31" t="b">
        <v>1</v>
      </c>
      <c r="H67" s="59" t="s">
        <v>384</v>
      </c>
      <c r="I67" s="66" t="s">
        <v>389</v>
      </c>
      <c r="J67" s="57" t="s">
        <v>288</v>
      </c>
    </row>
    <row r="68" spans="2:10" ht="30">
      <c r="B68" s="49">
        <v>12</v>
      </c>
      <c r="C68" s="52" t="s">
        <v>392</v>
      </c>
      <c r="D68" s="38" t="b">
        <v>0</v>
      </c>
      <c r="E68" s="53" t="s">
        <v>196</v>
      </c>
      <c r="G68" s="31" t="b">
        <v>1</v>
      </c>
      <c r="H68" s="58" t="s">
        <v>392</v>
      </c>
      <c r="I68" s="66" t="s">
        <v>389</v>
      </c>
      <c r="J68" s="57" t="s">
        <v>288</v>
      </c>
    </row>
    <row r="69" spans="2:10" ht="30">
      <c r="B69" s="49">
        <v>13</v>
      </c>
      <c r="C69" s="52" t="s">
        <v>393</v>
      </c>
      <c r="D69" s="38" t="b">
        <v>0</v>
      </c>
      <c r="E69" s="53" t="s">
        <v>67</v>
      </c>
      <c r="G69" s="31" t="b">
        <v>0</v>
      </c>
      <c r="H69" s="59" t="s">
        <v>393</v>
      </c>
      <c r="I69" s="66" t="s">
        <v>395</v>
      </c>
      <c r="J69" s="57" t="s">
        <v>288</v>
      </c>
    </row>
    <row r="70" spans="2:10" ht="30">
      <c r="B70" s="49">
        <v>14</v>
      </c>
      <c r="C70" s="52" t="s">
        <v>396</v>
      </c>
      <c r="D70" s="38" t="b">
        <v>0</v>
      </c>
      <c r="E70" s="53" t="s">
        <v>67</v>
      </c>
      <c r="G70" s="31" t="b">
        <v>1</v>
      </c>
      <c r="H70" s="58" t="s">
        <v>396</v>
      </c>
      <c r="I70" s="58"/>
      <c r="J70" s="57" t="s">
        <v>288</v>
      </c>
    </row>
    <row r="71" spans="2:10" ht="45">
      <c r="B71" s="49">
        <v>15</v>
      </c>
      <c r="C71" s="52" t="s">
        <v>398</v>
      </c>
      <c r="D71" s="38" t="b">
        <v>0</v>
      </c>
      <c r="E71" s="53" t="s">
        <v>67</v>
      </c>
      <c r="G71" s="31" t="b">
        <v>1</v>
      </c>
      <c r="H71" s="59" t="s">
        <v>399</v>
      </c>
      <c r="I71" s="59"/>
      <c r="J71" s="57" t="s">
        <v>288</v>
      </c>
    </row>
    <row r="72" spans="2:10" ht="30">
      <c r="B72" s="49">
        <v>16</v>
      </c>
      <c r="C72" s="52" t="s">
        <v>400</v>
      </c>
      <c r="D72" s="38" t="b">
        <v>0</v>
      </c>
      <c r="E72" s="53" t="s">
        <v>401</v>
      </c>
      <c r="G72" s="31" t="b">
        <v>1</v>
      </c>
      <c r="H72" s="67" t="s">
        <v>402</v>
      </c>
      <c r="J72" s="57" t="s">
        <v>288</v>
      </c>
    </row>
    <row r="73" spans="2:10" ht="39.75">
      <c r="B73" s="49">
        <v>17</v>
      </c>
      <c r="C73" s="52" t="s">
        <v>404</v>
      </c>
      <c r="D73" s="38" t="b">
        <v>0</v>
      </c>
      <c r="E73" s="53" t="s">
        <v>216</v>
      </c>
      <c r="G73" s="31" t="b">
        <v>1</v>
      </c>
      <c r="H73" s="68" t="s">
        <v>406</v>
      </c>
      <c r="J73" s="57" t="s">
        <v>288</v>
      </c>
    </row>
    <row r="74" spans="2:10" ht="45">
      <c r="B74" s="49">
        <v>18</v>
      </c>
      <c r="C74" s="52" t="s">
        <v>407</v>
      </c>
      <c r="D74" s="38" t="b">
        <v>0</v>
      </c>
      <c r="E74" s="53" t="s">
        <v>79</v>
      </c>
      <c r="G74" s="31" t="b">
        <v>0</v>
      </c>
      <c r="H74" s="67" t="s">
        <v>400</v>
      </c>
      <c r="I74" s="66" t="s">
        <v>395</v>
      </c>
      <c r="J74" s="69" t="s">
        <v>409</v>
      </c>
    </row>
    <row r="75" spans="2:10" ht="30">
      <c r="B75" s="49">
        <v>19</v>
      </c>
      <c r="C75" s="52" t="s">
        <v>410</v>
      </c>
      <c r="D75" s="38" t="b">
        <v>0</v>
      </c>
      <c r="E75" s="53" t="s">
        <v>67</v>
      </c>
      <c r="G75" s="31" t="b">
        <v>0</v>
      </c>
      <c r="H75" s="67" t="s">
        <v>410</v>
      </c>
      <c r="I75" s="66" t="s">
        <v>395</v>
      </c>
      <c r="J75" s="69" t="s">
        <v>409</v>
      </c>
    </row>
    <row r="76" spans="2:10" ht="52.5">
      <c r="B76" s="49">
        <v>20</v>
      </c>
      <c r="C76" s="52" t="s">
        <v>412</v>
      </c>
      <c r="D76" s="38" t="b">
        <v>0</v>
      </c>
      <c r="E76" s="53" t="s">
        <v>140</v>
      </c>
      <c r="G76" s="31" t="b">
        <v>0</v>
      </c>
      <c r="H76" s="67" t="s">
        <v>407</v>
      </c>
      <c r="I76" s="66" t="s">
        <v>395</v>
      </c>
      <c r="J76" s="57" t="s">
        <v>288</v>
      </c>
    </row>
    <row r="77" spans="2:10" ht="30">
      <c r="B77" s="49">
        <v>21</v>
      </c>
      <c r="C77" s="52" t="s">
        <v>413</v>
      </c>
      <c r="D77" s="38" t="b">
        <v>0</v>
      </c>
      <c r="E77" s="53" t="s">
        <v>140</v>
      </c>
      <c r="G77" s="31" t="b">
        <v>1</v>
      </c>
      <c r="H77" s="67" t="s">
        <v>412</v>
      </c>
      <c r="J77" s="57" t="s">
        <v>288</v>
      </c>
    </row>
    <row r="78" spans="2:10" ht="27">
      <c r="B78" s="49">
        <v>22</v>
      </c>
      <c r="C78" s="52" t="s">
        <v>414</v>
      </c>
      <c r="D78" s="38" t="b">
        <v>0</v>
      </c>
      <c r="E78" s="53" t="s">
        <v>140</v>
      </c>
      <c r="G78" s="31" t="b">
        <v>1</v>
      </c>
      <c r="H78" s="67" t="s">
        <v>413</v>
      </c>
      <c r="J78" s="57" t="s">
        <v>288</v>
      </c>
    </row>
    <row r="79" spans="2:10" ht="21" customHeight="1">
      <c r="B79" s="49">
        <v>23</v>
      </c>
      <c r="C79" s="52" t="s">
        <v>416</v>
      </c>
      <c r="D79" s="38" t="b">
        <v>0</v>
      </c>
      <c r="E79" s="53" t="s">
        <v>140</v>
      </c>
      <c r="G79" s="31" t="b">
        <v>0</v>
      </c>
      <c r="H79" s="67" t="s">
        <v>414</v>
      </c>
      <c r="I79" s="31" t="s">
        <v>417</v>
      </c>
      <c r="J79" s="69" t="s">
        <v>409</v>
      </c>
    </row>
    <row r="80" spans="2:10" ht="39.75">
      <c r="B80" s="49">
        <v>24</v>
      </c>
      <c r="C80" s="52" t="s">
        <v>418</v>
      </c>
      <c r="D80" s="38" t="b">
        <v>0</v>
      </c>
      <c r="E80" s="53" t="s">
        <v>81</v>
      </c>
      <c r="G80" s="31" t="b">
        <v>1</v>
      </c>
      <c r="H80" s="67" t="s">
        <v>416</v>
      </c>
      <c r="J80" s="57" t="s">
        <v>288</v>
      </c>
    </row>
    <row r="81" spans="2:10" ht="30">
      <c r="B81" s="49">
        <v>25</v>
      </c>
      <c r="C81" s="52" t="s">
        <v>419</v>
      </c>
      <c r="D81" s="38" t="b">
        <v>0</v>
      </c>
      <c r="E81" s="53" t="s">
        <v>140</v>
      </c>
      <c r="G81" s="31" t="b">
        <v>1</v>
      </c>
      <c r="H81" s="67" t="s">
        <v>418</v>
      </c>
      <c r="J81" s="57" t="s">
        <v>288</v>
      </c>
    </row>
    <row r="82" spans="2:10" ht="45">
      <c r="B82" s="49">
        <v>26</v>
      </c>
      <c r="C82" s="52" t="s">
        <v>420</v>
      </c>
      <c r="D82" s="38" t="b">
        <v>0</v>
      </c>
      <c r="E82" s="53" t="s">
        <v>81</v>
      </c>
      <c r="G82" s="31" t="b">
        <v>1</v>
      </c>
      <c r="H82" s="67" t="s">
        <v>419</v>
      </c>
      <c r="J82" s="57" t="s">
        <v>288</v>
      </c>
    </row>
    <row r="83" spans="2:10" ht="39.75">
      <c r="B83" s="49">
        <v>27</v>
      </c>
      <c r="C83" s="52" t="s">
        <v>421</v>
      </c>
      <c r="D83" s="38" t="b">
        <v>0</v>
      </c>
      <c r="E83" s="53" t="s">
        <v>81</v>
      </c>
      <c r="G83" s="31" t="b">
        <v>1</v>
      </c>
      <c r="H83" s="67" t="s">
        <v>420</v>
      </c>
      <c r="J83" s="57" t="s">
        <v>288</v>
      </c>
    </row>
    <row r="84" spans="2:10" ht="45">
      <c r="B84" s="49">
        <v>28</v>
      </c>
      <c r="C84" s="52" t="s">
        <v>422</v>
      </c>
      <c r="D84" s="38" t="b">
        <v>0</v>
      </c>
      <c r="E84" s="53" t="s">
        <v>81</v>
      </c>
      <c r="G84" s="31" t="b">
        <v>1</v>
      </c>
      <c r="H84" s="67" t="s">
        <v>421</v>
      </c>
      <c r="J84" s="57" t="s">
        <v>288</v>
      </c>
    </row>
    <row r="85" spans="2:10" ht="39.75">
      <c r="B85" s="49">
        <v>29</v>
      </c>
      <c r="C85" s="52" t="s">
        <v>424</v>
      </c>
      <c r="D85" s="38" t="b">
        <v>0</v>
      </c>
      <c r="E85" s="53" t="s">
        <v>81</v>
      </c>
      <c r="G85" s="31" t="b">
        <v>1</v>
      </c>
      <c r="H85" s="67" t="s">
        <v>422</v>
      </c>
      <c r="J85" s="57" t="s">
        <v>288</v>
      </c>
    </row>
    <row r="86" spans="2:10" ht="30">
      <c r="B86" s="49">
        <v>30</v>
      </c>
      <c r="C86" s="52" t="s">
        <v>426</v>
      </c>
      <c r="D86" s="38" t="b">
        <v>0</v>
      </c>
      <c r="E86" s="53" t="s">
        <v>79</v>
      </c>
      <c r="G86" s="31" t="b">
        <v>1</v>
      </c>
      <c r="H86" s="67" t="s">
        <v>424</v>
      </c>
      <c r="J86" s="57" t="s">
        <v>288</v>
      </c>
    </row>
    <row r="87" spans="2:10" ht="39.75">
      <c r="B87" s="49">
        <v>31</v>
      </c>
      <c r="C87" s="52" t="s">
        <v>427</v>
      </c>
      <c r="D87" s="38" t="b">
        <v>0</v>
      </c>
      <c r="E87" s="53" t="s">
        <v>79</v>
      </c>
      <c r="G87" s="31" t="b">
        <v>1</v>
      </c>
      <c r="H87" s="67" t="s">
        <v>426</v>
      </c>
      <c r="J87" s="57" t="s">
        <v>288</v>
      </c>
    </row>
    <row r="88" spans="2:10" ht="30">
      <c r="B88" s="49">
        <v>32</v>
      </c>
      <c r="C88" s="52" t="s">
        <v>430</v>
      </c>
      <c r="D88" s="38" t="b">
        <v>0</v>
      </c>
      <c r="E88" s="53" t="s">
        <v>79</v>
      </c>
      <c r="G88" s="31" t="b">
        <v>1</v>
      </c>
      <c r="H88" s="67" t="s">
        <v>427</v>
      </c>
      <c r="J88" s="57" t="s">
        <v>288</v>
      </c>
    </row>
    <row r="89" spans="2:10" ht="45">
      <c r="B89" s="49">
        <v>33</v>
      </c>
      <c r="C89" s="52" t="s">
        <v>431</v>
      </c>
      <c r="D89" s="38" t="b">
        <v>0</v>
      </c>
      <c r="E89" s="53" t="s">
        <v>67</v>
      </c>
      <c r="G89" s="31" t="b">
        <v>1</v>
      </c>
      <c r="H89" s="67" t="s">
        <v>430</v>
      </c>
      <c r="J89" s="57" t="s">
        <v>288</v>
      </c>
    </row>
    <row r="90" spans="2:10" ht="39.75">
      <c r="B90" s="49">
        <v>34</v>
      </c>
      <c r="C90" s="52" t="s">
        <v>432</v>
      </c>
      <c r="D90" s="38" t="b">
        <v>0</v>
      </c>
      <c r="E90" s="71"/>
      <c r="G90" s="31" t="b">
        <v>1</v>
      </c>
      <c r="H90" s="67" t="s">
        <v>431</v>
      </c>
      <c r="J90" s="57" t="s">
        <v>288</v>
      </c>
    </row>
    <row r="91" spans="2:10" ht="30">
      <c r="B91" s="49">
        <v>35</v>
      </c>
      <c r="C91" s="52" t="s">
        <v>433</v>
      </c>
      <c r="D91" s="38" t="b">
        <v>0</v>
      </c>
      <c r="E91" s="53" t="s">
        <v>67</v>
      </c>
      <c r="G91" s="31" t="b">
        <v>1</v>
      </c>
      <c r="H91" s="67" t="s">
        <v>433</v>
      </c>
      <c r="J91" s="57" t="s">
        <v>288</v>
      </c>
    </row>
    <row r="92" spans="2:10" ht="30">
      <c r="B92" s="49">
        <v>36</v>
      </c>
      <c r="C92" s="52" t="s">
        <v>434</v>
      </c>
      <c r="D92" s="38" t="b">
        <v>0</v>
      </c>
      <c r="E92" s="53" t="s">
        <v>79</v>
      </c>
      <c r="G92" s="31" t="b">
        <v>1</v>
      </c>
      <c r="H92" s="67" t="s">
        <v>434</v>
      </c>
      <c r="J92" s="57" t="s">
        <v>288</v>
      </c>
    </row>
    <row r="93" spans="2:10" ht="30">
      <c r="B93" s="49">
        <v>37</v>
      </c>
      <c r="C93" s="52" t="s">
        <v>435</v>
      </c>
      <c r="D93" s="38" t="b">
        <v>0</v>
      </c>
      <c r="E93" s="53" t="s">
        <v>13</v>
      </c>
      <c r="G93" s="31" t="b">
        <v>1</v>
      </c>
      <c r="H93" s="67" t="s">
        <v>435</v>
      </c>
      <c r="J93" s="57" t="s">
        <v>288</v>
      </c>
    </row>
    <row r="94" spans="2:10" ht="30">
      <c r="B94" s="49">
        <v>38</v>
      </c>
      <c r="C94" s="52" t="s">
        <v>436</v>
      </c>
      <c r="D94" s="38" t="b">
        <v>0</v>
      </c>
      <c r="E94" s="53" t="s">
        <v>13</v>
      </c>
      <c r="G94" s="31" t="b">
        <v>1</v>
      </c>
      <c r="H94" s="67" t="s">
        <v>436</v>
      </c>
      <c r="J94" s="57" t="s">
        <v>288</v>
      </c>
    </row>
    <row r="95" spans="2:10" ht="39.75">
      <c r="B95" s="49">
        <v>39</v>
      </c>
      <c r="C95" s="52" t="s">
        <v>437</v>
      </c>
      <c r="D95" s="38" t="b">
        <v>0</v>
      </c>
      <c r="E95" s="73" t="s">
        <v>176</v>
      </c>
      <c r="G95" s="31" t="b">
        <v>1</v>
      </c>
      <c r="H95" s="67" t="s">
        <v>437</v>
      </c>
      <c r="I95" s="31" t="s">
        <v>438</v>
      </c>
      <c r="J95" s="57" t="s">
        <v>288</v>
      </c>
    </row>
    <row r="96" spans="2:10" ht="30">
      <c r="B96" s="49">
        <v>40</v>
      </c>
      <c r="C96" s="52" t="s">
        <v>439</v>
      </c>
      <c r="D96" s="38" t="b">
        <v>0</v>
      </c>
      <c r="E96" s="73" t="s">
        <v>176</v>
      </c>
      <c r="G96" s="31" t="b">
        <v>1</v>
      </c>
      <c r="H96" s="67" t="s">
        <v>439</v>
      </c>
      <c r="J96" s="57" t="s">
        <v>288</v>
      </c>
    </row>
    <row r="97" spans="2:10" ht="30">
      <c r="B97" s="49">
        <v>41</v>
      </c>
      <c r="C97" s="52" t="s">
        <v>441</v>
      </c>
      <c r="D97" s="38" t="b">
        <v>0</v>
      </c>
      <c r="E97" s="53" t="s">
        <v>165</v>
      </c>
      <c r="G97" s="31" t="b">
        <v>1</v>
      </c>
      <c r="H97" s="67" t="s">
        <v>441</v>
      </c>
      <c r="J97" s="57" t="s">
        <v>288</v>
      </c>
    </row>
    <row r="98" spans="2:10" ht="30">
      <c r="B98" s="49">
        <v>42</v>
      </c>
      <c r="C98" s="52" t="s">
        <v>442</v>
      </c>
      <c r="D98" s="38" t="b">
        <v>0</v>
      </c>
      <c r="E98" s="53" t="s">
        <v>165</v>
      </c>
      <c r="G98" s="31" t="b">
        <v>1</v>
      </c>
      <c r="H98" s="67" t="s">
        <v>442</v>
      </c>
      <c r="J98" s="57" t="s">
        <v>288</v>
      </c>
    </row>
    <row r="99" spans="2:10" ht="30">
      <c r="B99" s="49">
        <v>43</v>
      </c>
      <c r="C99" s="52" t="s">
        <v>446</v>
      </c>
      <c r="D99" s="38" t="b">
        <v>0</v>
      </c>
      <c r="E99" s="53" t="s">
        <v>113</v>
      </c>
      <c r="G99" s="31" t="b">
        <v>1</v>
      </c>
      <c r="H99" s="67" t="s">
        <v>446</v>
      </c>
      <c r="J99" s="57" t="s">
        <v>288</v>
      </c>
    </row>
    <row r="100" spans="2:10" ht="30">
      <c r="B100" s="49">
        <v>44</v>
      </c>
      <c r="C100" s="52" t="s">
        <v>448</v>
      </c>
      <c r="D100" s="38" t="b">
        <v>0</v>
      </c>
      <c r="E100" s="53" t="s">
        <v>113</v>
      </c>
      <c r="G100" s="31" t="b">
        <v>0</v>
      </c>
      <c r="H100" s="67" t="s">
        <v>448</v>
      </c>
      <c r="I100" s="31" t="s">
        <v>450</v>
      </c>
      <c r="J100" s="57" t="s">
        <v>288</v>
      </c>
    </row>
    <row r="101" spans="2:10" ht="39.75">
      <c r="B101" s="49">
        <v>45</v>
      </c>
      <c r="C101" s="52" t="s">
        <v>451</v>
      </c>
      <c r="D101" s="38" t="b">
        <v>0</v>
      </c>
      <c r="E101" s="53" t="s">
        <v>67</v>
      </c>
      <c r="G101" s="31" t="b">
        <v>1</v>
      </c>
      <c r="H101" s="67" t="s">
        <v>451</v>
      </c>
      <c r="J101" s="57" t="s">
        <v>288</v>
      </c>
    </row>
    <row r="102" spans="2:10" ht="39.75">
      <c r="B102" s="49">
        <v>46</v>
      </c>
      <c r="C102" s="52" t="s">
        <v>453</v>
      </c>
      <c r="D102" s="38" t="b">
        <v>0</v>
      </c>
      <c r="E102" s="71"/>
      <c r="G102" s="31" t="b">
        <v>1</v>
      </c>
      <c r="H102" s="67" t="s">
        <v>455</v>
      </c>
      <c r="J102" s="57" t="s">
        <v>288</v>
      </c>
    </row>
    <row r="103" spans="2:10" ht="39.75">
      <c r="B103" s="49">
        <v>47</v>
      </c>
      <c r="C103" s="52" t="s">
        <v>457</v>
      </c>
      <c r="D103" s="38" t="b">
        <v>0</v>
      </c>
      <c r="E103" s="71"/>
      <c r="G103" s="31" t="b">
        <v>1</v>
      </c>
      <c r="H103" s="67" t="s">
        <v>458</v>
      </c>
      <c r="J103" s="57" t="s">
        <v>288</v>
      </c>
    </row>
    <row r="104" spans="2:10" ht="39.75">
      <c r="B104" s="49">
        <v>48</v>
      </c>
      <c r="C104" s="52" t="s">
        <v>460</v>
      </c>
      <c r="D104" s="38" t="b">
        <v>0</v>
      </c>
      <c r="E104" s="71"/>
      <c r="G104" s="31" t="b">
        <v>1</v>
      </c>
      <c r="H104" s="67" t="s">
        <v>461</v>
      </c>
      <c r="J104" s="57" t="s">
        <v>288</v>
      </c>
    </row>
    <row r="105" spans="2:10" ht="25.5">
      <c r="B105" s="49">
        <v>49</v>
      </c>
      <c r="C105" s="30"/>
      <c r="D105" s="38" t="b">
        <v>0</v>
      </c>
      <c r="E105" s="74"/>
      <c r="G105" s="31" t="b">
        <v>0</v>
      </c>
      <c r="H105" s="67" t="s">
        <v>462</v>
      </c>
      <c r="I105" s="31" t="s">
        <v>395</v>
      </c>
      <c r="J105" s="69" t="s">
        <v>409</v>
      </c>
    </row>
    <row r="106" spans="2:10" ht="30">
      <c r="B106" s="49">
        <v>50</v>
      </c>
      <c r="C106" s="52" t="s">
        <v>464</v>
      </c>
      <c r="D106" s="38" t="b">
        <v>0</v>
      </c>
      <c r="E106" s="71"/>
      <c r="G106" s="31" t="b">
        <v>0</v>
      </c>
      <c r="H106" s="67" t="s">
        <v>465</v>
      </c>
      <c r="I106" s="31" t="s">
        <v>395</v>
      </c>
      <c r="J106" s="69" t="s">
        <v>409</v>
      </c>
    </row>
    <row r="107" spans="2:10" ht="39.75">
      <c r="B107" s="49">
        <v>51</v>
      </c>
      <c r="C107" s="76" t="s">
        <v>468</v>
      </c>
      <c r="D107" s="38" t="b">
        <v>0</v>
      </c>
      <c r="E107" s="74"/>
      <c r="G107" s="31" t="b">
        <v>1</v>
      </c>
      <c r="H107" s="67" t="s">
        <v>470</v>
      </c>
      <c r="J107" s="57" t="s">
        <v>288</v>
      </c>
    </row>
    <row r="108" spans="2:10" ht="39.75">
      <c r="B108" s="49">
        <v>52</v>
      </c>
      <c r="C108" s="52" t="s">
        <v>455</v>
      </c>
      <c r="D108" s="38" t="b">
        <v>0</v>
      </c>
      <c r="E108" s="53" t="s">
        <v>67</v>
      </c>
      <c r="G108" s="31" t="b">
        <v>1</v>
      </c>
      <c r="H108" s="67" t="s">
        <v>473</v>
      </c>
      <c r="J108" s="57" t="s">
        <v>288</v>
      </c>
    </row>
    <row r="109" spans="2:10" ht="39.75">
      <c r="B109" s="49">
        <v>53</v>
      </c>
      <c r="C109" s="52" t="s">
        <v>458</v>
      </c>
      <c r="D109" s="38" t="b">
        <v>0</v>
      </c>
      <c r="E109" s="53" t="s">
        <v>67</v>
      </c>
      <c r="G109" s="31" t="b">
        <v>0</v>
      </c>
      <c r="H109" s="67" t="s">
        <v>475</v>
      </c>
      <c r="I109" s="31" t="s">
        <v>395</v>
      </c>
      <c r="J109" s="69" t="s">
        <v>409</v>
      </c>
    </row>
    <row r="110" spans="2:10" ht="30">
      <c r="B110" s="49">
        <v>54</v>
      </c>
      <c r="C110" s="52" t="s">
        <v>461</v>
      </c>
      <c r="D110" s="38" t="b">
        <v>0</v>
      </c>
      <c r="E110" s="53" t="s">
        <v>81</v>
      </c>
      <c r="G110" s="31" t="b">
        <v>0</v>
      </c>
      <c r="H110" s="67" t="s">
        <v>476</v>
      </c>
      <c r="I110" s="31" t="s">
        <v>395</v>
      </c>
      <c r="J110" s="69" t="s">
        <v>409</v>
      </c>
    </row>
    <row r="111" spans="2:10" ht="52.5">
      <c r="B111" s="49">
        <v>55</v>
      </c>
      <c r="C111" s="52" t="s">
        <v>462</v>
      </c>
      <c r="D111" s="38" t="b">
        <v>0</v>
      </c>
      <c r="E111" s="53" t="s">
        <v>67</v>
      </c>
      <c r="G111" s="31" t="b">
        <v>1</v>
      </c>
      <c r="H111" s="67" t="s">
        <v>477</v>
      </c>
      <c r="J111" s="57" t="s">
        <v>288</v>
      </c>
    </row>
    <row r="112" spans="2:10" ht="39.75">
      <c r="B112" s="49">
        <v>56</v>
      </c>
      <c r="C112" s="52" t="s">
        <v>465</v>
      </c>
      <c r="D112" s="38" t="b">
        <v>0</v>
      </c>
      <c r="E112" s="53" t="s">
        <v>81</v>
      </c>
      <c r="G112" s="31" t="b">
        <v>1</v>
      </c>
      <c r="H112" s="67" t="s">
        <v>478</v>
      </c>
      <c r="J112" s="57" t="s">
        <v>288</v>
      </c>
    </row>
    <row r="113" spans="2:10" ht="39.75">
      <c r="B113" s="49">
        <v>57</v>
      </c>
      <c r="C113" s="52" t="s">
        <v>470</v>
      </c>
      <c r="D113" s="38" t="b">
        <v>0</v>
      </c>
      <c r="E113" s="53" t="s">
        <v>67</v>
      </c>
      <c r="G113" s="31" t="b">
        <v>1</v>
      </c>
      <c r="H113" s="67" t="s">
        <v>478</v>
      </c>
      <c r="J113" s="57" t="s">
        <v>288</v>
      </c>
    </row>
    <row r="114" spans="2:10" ht="52.5">
      <c r="B114" s="49">
        <v>58</v>
      </c>
      <c r="C114" s="52" t="s">
        <v>473</v>
      </c>
      <c r="D114" s="38" t="b">
        <v>0</v>
      </c>
      <c r="E114" s="53" t="s">
        <v>67</v>
      </c>
      <c r="G114" s="31" t="b">
        <v>0</v>
      </c>
      <c r="H114" s="67" t="s">
        <v>479</v>
      </c>
      <c r="I114" s="31" t="s">
        <v>395</v>
      </c>
      <c r="J114" s="57" t="s">
        <v>288</v>
      </c>
    </row>
    <row r="115" spans="2:10" ht="52.5">
      <c r="B115" s="49">
        <v>59</v>
      </c>
      <c r="C115" s="78" t="s">
        <v>481</v>
      </c>
      <c r="D115" s="38" t="b">
        <v>0</v>
      </c>
      <c r="E115" s="79"/>
      <c r="G115" s="31" t="b">
        <v>0</v>
      </c>
      <c r="H115" s="67" t="s">
        <v>483</v>
      </c>
      <c r="I115" s="31" t="s">
        <v>395</v>
      </c>
      <c r="J115" s="57" t="s">
        <v>288</v>
      </c>
    </row>
    <row r="116" spans="2:10" ht="30">
      <c r="B116" s="49">
        <v>60</v>
      </c>
      <c r="C116" s="52" t="s">
        <v>484</v>
      </c>
      <c r="D116" s="31" t="b">
        <v>1</v>
      </c>
      <c r="E116" s="53" t="s">
        <v>79</v>
      </c>
      <c r="G116" s="31" t="b">
        <v>1</v>
      </c>
      <c r="H116" s="67" t="s">
        <v>485</v>
      </c>
      <c r="J116" s="57" t="s">
        <v>288</v>
      </c>
    </row>
    <row r="117" spans="2:10" ht="30">
      <c r="B117" s="49">
        <v>61</v>
      </c>
      <c r="C117" s="52" t="s">
        <v>486</v>
      </c>
      <c r="D117" s="31" t="b">
        <v>1</v>
      </c>
      <c r="E117" s="53" t="s">
        <v>268</v>
      </c>
      <c r="G117" s="31" t="b">
        <v>0</v>
      </c>
      <c r="H117" s="67" t="s">
        <v>487</v>
      </c>
      <c r="I117" s="31" t="s">
        <v>395</v>
      </c>
      <c r="J117" s="57" t="s">
        <v>288</v>
      </c>
    </row>
    <row r="118" spans="2:10" ht="45">
      <c r="B118" s="49">
        <v>62</v>
      </c>
      <c r="C118" s="52" t="s">
        <v>483</v>
      </c>
      <c r="D118" s="31" t="b">
        <v>1</v>
      </c>
      <c r="E118" s="53" t="s">
        <v>67</v>
      </c>
      <c r="G118" s="31" t="b">
        <v>0</v>
      </c>
      <c r="H118" s="67" t="s">
        <v>487</v>
      </c>
      <c r="I118" s="31" t="s">
        <v>395</v>
      </c>
      <c r="J118" s="57" t="s">
        <v>288</v>
      </c>
    </row>
    <row r="119" spans="2:10" ht="39.75">
      <c r="B119" s="49">
        <v>63</v>
      </c>
      <c r="C119" s="52" t="s">
        <v>485</v>
      </c>
      <c r="D119" s="38" t="b">
        <v>0</v>
      </c>
      <c r="E119" s="53" t="s">
        <v>81</v>
      </c>
      <c r="G119" s="31" t="b">
        <v>0</v>
      </c>
      <c r="H119" s="67" t="s">
        <v>488</v>
      </c>
      <c r="I119" s="31" t="s">
        <v>395</v>
      </c>
      <c r="J119" s="57" t="s">
        <v>288</v>
      </c>
    </row>
    <row r="120" spans="2:10" ht="27">
      <c r="B120" s="49">
        <v>64</v>
      </c>
      <c r="C120" s="52" t="s">
        <v>487</v>
      </c>
      <c r="D120" s="38" t="b">
        <v>0</v>
      </c>
      <c r="E120" s="53" t="s">
        <v>140</v>
      </c>
      <c r="G120" s="31" t="b">
        <v>0</v>
      </c>
      <c r="H120" s="67" t="s">
        <v>489</v>
      </c>
      <c r="I120" s="31" t="s">
        <v>395</v>
      </c>
      <c r="J120" s="57" t="s">
        <v>288</v>
      </c>
    </row>
    <row r="121" spans="2:10" ht="39.75">
      <c r="B121" s="49">
        <v>65</v>
      </c>
      <c r="C121" s="52" t="s">
        <v>487</v>
      </c>
      <c r="D121" s="38" t="b">
        <v>0</v>
      </c>
      <c r="E121" s="53" t="s">
        <v>216</v>
      </c>
      <c r="G121" s="31" t="b">
        <v>0</v>
      </c>
      <c r="H121" s="67" t="s">
        <v>490</v>
      </c>
      <c r="I121" s="31" t="s">
        <v>395</v>
      </c>
      <c r="J121" s="57" t="s">
        <v>288</v>
      </c>
    </row>
    <row r="122" spans="2:10" ht="39.75">
      <c r="B122" s="49">
        <v>66</v>
      </c>
      <c r="C122" s="81" t="s">
        <v>492</v>
      </c>
      <c r="D122" s="38" t="b">
        <v>0</v>
      </c>
      <c r="E122" s="82" t="s">
        <v>67</v>
      </c>
      <c r="G122" s="31" t="b">
        <v>0</v>
      </c>
      <c r="H122" s="67" t="s">
        <v>494</v>
      </c>
      <c r="I122" s="31" t="s">
        <v>417</v>
      </c>
      <c r="J122" s="57" t="s">
        <v>288</v>
      </c>
    </row>
    <row r="123" spans="2:10" ht="30">
      <c r="B123" s="49">
        <v>67</v>
      </c>
      <c r="C123" s="52" t="s">
        <v>488</v>
      </c>
      <c r="D123" s="38" t="b">
        <v>0</v>
      </c>
      <c r="E123" s="53" t="s">
        <v>495</v>
      </c>
      <c r="G123" s="31" t="b">
        <v>0</v>
      </c>
      <c r="H123" s="67" t="s">
        <v>496</v>
      </c>
      <c r="I123" s="31" t="s">
        <v>417</v>
      </c>
      <c r="J123" s="57" t="s">
        <v>288</v>
      </c>
    </row>
    <row r="124" spans="2:10" ht="39.75">
      <c r="B124" s="49">
        <v>68</v>
      </c>
      <c r="C124" s="52" t="s">
        <v>489</v>
      </c>
      <c r="D124" s="38" t="b">
        <v>0</v>
      </c>
      <c r="E124" s="53" t="s">
        <v>401</v>
      </c>
      <c r="G124" s="31" t="b">
        <v>0</v>
      </c>
      <c r="H124" s="67" t="s">
        <v>497</v>
      </c>
      <c r="I124" s="31" t="s">
        <v>417</v>
      </c>
      <c r="J124" s="57" t="s">
        <v>288</v>
      </c>
    </row>
    <row r="125" spans="2:10" ht="30">
      <c r="B125" s="49">
        <v>69</v>
      </c>
      <c r="C125" s="83" t="s">
        <v>490</v>
      </c>
      <c r="D125" s="38" t="b">
        <v>0</v>
      </c>
      <c r="E125" s="53" t="s">
        <v>401</v>
      </c>
      <c r="G125" s="31" t="b">
        <v>0</v>
      </c>
      <c r="H125" s="67" t="s">
        <v>498</v>
      </c>
      <c r="I125" s="31" t="s">
        <v>417</v>
      </c>
      <c r="J125" s="57" t="s">
        <v>288</v>
      </c>
    </row>
    <row r="126" spans="2:10" ht="45">
      <c r="B126" s="49">
        <v>70</v>
      </c>
      <c r="C126" s="52" t="s">
        <v>494</v>
      </c>
      <c r="D126" s="38" t="b">
        <v>0</v>
      </c>
      <c r="E126" s="53" t="s">
        <v>381</v>
      </c>
      <c r="H126" s="51"/>
    </row>
    <row r="127" spans="2:10" ht="30">
      <c r="B127" s="49">
        <v>71</v>
      </c>
      <c r="C127" s="52" t="s">
        <v>496</v>
      </c>
      <c r="D127" s="38" t="b">
        <v>0</v>
      </c>
      <c r="E127" s="53" t="s">
        <v>67</v>
      </c>
    </row>
    <row r="128" spans="2:10" ht="30">
      <c r="B128" s="49">
        <v>72</v>
      </c>
      <c r="C128" s="52" t="s">
        <v>497</v>
      </c>
      <c r="D128" s="38" t="b">
        <v>0</v>
      </c>
      <c r="E128" s="53" t="s">
        <v>67</v>
      </c>
    </row>
    <row r="129" spans="2:8" ht="30">
      <c r="B129" s="49">
        <v>73</v>
      </c>
      <c r="C129" s="85" t="s">
        <v>498</v>
      </c>
      <c r="D129" s="38" t="b">
        <v>0</v>
      </c>
      <c r="E129" s="53" t="s">
        <v>495</v>
      </c>
    </row>
    <row r="130" spans="2:8" ht="30">
      <c r="B130" s="49">
        <v>74</v>
      </c>
      <c r="C130" s="87" t="s">
        <v>503</v>
      </c>
      <c r="D130" s="38" t="b">
        <v>0</v>
      </c>
      <c r="E130" s="88" t="s">
        <v>268</v>
      </c>
    </row>
    <row r="131" spans="2:8" ht="30">
      <c r="B131" s="49">
        <v>75</v>
      </c>
      <c r="C131" s="87" t="s">
        <v>504</v>
      </c>
      <c r="D131" s="38" t="b">
        <v>0</v>
      </c>
      <c r="E131" s="88" t="s">
        <v>268</v>
      </c>
    </row>
    <row r="132" spans="2:8" ht="30">
      <c r="B132" s="49">
        <v>76</v>
      </c>
      <c r="C132" s="87" t="s">
        <v>505</v>
      </c>
      <c r="D132" s="38" t="b">
        <v>0</v>
      </c>
      <c r="E132" s="88" t="s">
        <v>216</v>
      </c>
    </row>
    <row r="133" spans="2:8" ht="30">
      <c r="B133" s="49">
        <v>77</v>
      </c>
      <c r="C133" s="87" t="s">
        <v>506</v>
      </c>
      <c r="D133" s="38" t="b">
        <v>0</v>
      </c>
      <c r="E133" s="88" t="s">
        <v>268</v>
      </c>
    </row>
    <row r="134" spans="2:8" ht="30">
      <c r="B134" s="49">
        <v>78</v>
      </c>
      <c r="C134" s="87" t="s">
        <v>507</v>
      </c>
      <c r="D134" s="38" t="b">
        <v>0</v>
      </c>
      <c r="E134" s="88" t="s">
        <v>216</v>
      </c>
      <c r="H134" s="31" t="s">
        <v>508</v>
      </c>
    </row>
    <row r="135" spans="2:8" ht="30">
      <c r="B135" s="49">
        <v>79</v>
      </c>
      <c r="C135" s="87" t="s">
        <v>509</v>
      </c>
      <c r="D135" s="38" t="b">
        <v>0</v>
      </c>
      <c r="E135" s="88" t="s">
        <v>401</v>
      </c>
    </row>
    <row r="136" spans="2:8" ht="60">
      <c r="B136" s="49">
        <v>80</v>
      </c>
      <c r="C136" s="87" t="s">
        <v>512</v>
      </c>
      <c r="D136" s="38" t="b">
        <v>0</v>
      </c>
      <c r="E136" s="74"/>
    </row>
    <row r="137" spans="2:8" ht="30">
      <c r="B137" s="49">
        <v>81</v>
      </c>
      <c r="C137" s="76" t="s">
        <v>514</v>
      </c>
      <c r="D137" s="38" t="b">
        <v>0</v>
      </c>
      <c r="E137" s="74"/>
    </row>
    <row r="138" spans="2:8" ht="30">
      <c r="B138" s="49">
        <v>82</v>
      </c>
      <c r="C138" s="87" t="s">
        <v>515</v>
      </c>
      <c r="D138" s="38" t="b">
        <v>0</v>
      </c>
      <c r="E138" s="74"/>
    </row>
    <row r="139" spans="2:8" ht="30">
      <c r="B139" s="49">
        <v>83</v>
      </c>
      <c r="C139" s="76" t="s">
        <v>516</v>
      </c>
      <c r="D139" s="38" t="b">
        <v>0</v>
      </c>
      <c r="E139" s="74"/>
    </row>
  </sheetData>
  <mergeCells count="3">
    <mergeCell ref="E4:E6"/>
    <mergeCell ref="F4:F6"/>
    <mergeCell ref="G4:G6"/>
  </mergeCells>
  <dataValidations count="3">
    <dataValidation type="list" allowBlank="1" showErrorMessage="1" sqref="E57:E139" xr:uid="{00000000-0002-0000-0100-000000000000}">
      <formula1>"Alegria,Bacuag,Burgos,Claver,Dapa,Del Carmen,General Luna,Gigaquit,Mainit,Malimono,Pilar,Placer,San Benito,San Francisco,San Isidro,Santa Monica,Sison,Socorro,Surigao City,Tagana-an,Tubod,Basilisa,Cagdianao,Dinagat,Loreto,San Jose,Tubajon,Mainland Surigao"&amp;",Mainland Siargao,Entire Dinagat Islands,Entire Surigao del Norte,Province of Agusan del Norte,Province of Agusan del Sur,Province of Surigao del Sur,Regionwide"</formula1>
    </dataValidation>
    <dataValidation type="list" allowBlank="1" showErrorMessage="1" sqref="D3:D17" xr:uid="{00000000-0002-0000-0100-000001000000}">
      <formula1>"Active,Inactive,Ongoing,Assist,Terminated"</formula1>
    </dataValidation>
    <dataValidation type="list" allowBlank="1" showErrorMessage="1" sqref="J57:J125" xr:uid="{00000000-0002-0000-0100-000002000000}">
      <formula1>"No,Yes"</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285"/>
  <sheetViews>
    <sheetView workbookViewId="0">
      <pane ySplit="1" topLeftCell="A2" activePane="bottomLeft" state="frozen"/>
      <selection pane="bottomLeft" activeCell="B3" sqref="B3"/>
    </sheetView>
  </sheetViews>
  <sheetFormatPr defaultColWidth="12.5703125" defaultRowHeight="15.75" customHeight="1"/>
  <cols>
    <col min="1" max="1" width="53.5703125" customWidth="1"/>
    <col min="2" max="2" width="43.85546875" customWidth="1"/>
    <col min="3" max="3" width="12.85546875" customWidth="1"/>
    <col min="4" max="4" width="21.7109375" customWidth="1"/>
    <col min="5" max="5" width="29.42578125" customWidth="1"/>
    <col min="8" max="8" width="26" hidden="1" customWidth="1"/>
  </cols>
  <sheetData>
    <row r="1" spans="1:8" ht="12.75">
      <c r="A1" s="5" t="s">
        <v>8</v>
      </c>
      <c r="B1" s="5" t="s">
        <v>12</v>
      </c>
      <c r="C1" s="9" t="s">
        <v>14</v>
      </c>
      <c r="D1" s="5" t="s">
        <v>7</v>
      </c>
      <c r="E1" s="12" t="s">
        <v>20</v>
      </c>
      <c r="H1" s="5" t="s">
        <v>2</v>
      </c>
    </row>
    <row r="2" spans="1:8" ht="12.75">
      <c r="A2" s="14" t="s">
        <v>26</v>
      </c>
      <c r="B2" s="15" t="s">
        <v>26</v>
      </c>
      <c r="C2" s="16" t="s">
        <v>31</v>
      </c>
      <c r="D2" s="514" t="s">
        <v>22</v>
      </c>
      <c r="E2" s="18"/>
      <c r="H2" s="514" t="s">
        <v>57</v>
      </c>
    </row>
    <row r="3" spans="1:8" ht="12.75">
      <c r="A3" s="14" t="s">
        <v>61</v>
      </c>
      <c r="B3" s="515" t="s">
        <v>62</v>
      </c>
      <c r="C3" s="515" t="s">
        <v>65</v>
      </c>
      <c r="D3" s="511"/>
      <c r="E3" s="521"/>
      <c r="H3" s="511"/>
    </row>
    <row r="4" spans="1:8" ht="12.75">
      <c r="A4" s="14" t="s">
        <v>87</v>
      </c>
      <c r="B4" s="511"/>
      <c r="C4" s="511"/>
      <c r="D4" s="511"/>
      <c r="E4" s="511"/>
      <c r="H4" s="511"/>
    </row>
    <row r="5" spans="1:8" ht="12.75">
      <c r="A5" s="14" t="s">
        <v>91</v>
      </c>
      <c r="B5" s="512"/>
      <c r="C5" s="512"/>
      <c r="D5" s="511"/>
      <c r="E5" s="512"/>
      <c r="H5" s="511"/>
    </row>
    <row r="6" spans="1:8" ht="12.75">
      <c r="A6" s="14" t="s">
        <v>96</v>
      </c>
      <c r="B6" s="15" t="s">
        <v>96</v>
      </c>
      <c r="C6" s="16" t="s">
        <v>99</v>
      </c>
      <c r="D6" s="511"/>
      <c r="E6" s="18"/>
      <c r="H6" s="511"/>
    </row>
    <row r="7" spans="1:8" ht="12.75">
      <c r="A7" s="14" t="s">
        <v>102</v>
      </c>
      <c r="B7" s="15" t="s">
        <v>102</v>
      </c>
      <c r="C7" s="16" t="s">
        <v>103</v>
      </c>
      <c r="D7" s="511"/>
      <c r="E7" s="18"/>
      <c r="H7" s="512"/>
    </row>
    <row r="8" spans="1:8" ht="12.75">
      <c r="A8" s="14" t="s">
        <v>105</v>
      </c>
      <c r="B8" s="515" t="s">
        <v>108</v>
      </c>
      <c r="C8" s="515" t="s">
        <v>65</v>
      </c>
      <c r="D8" s="511"/>
      <c r="E8" s="515"/>
      <c r="H8" s="514" t="s">
        <v>117</v>
      </c>
    </row>
    <row r="9" spans="1:8" ht="12.75">
      <c r="A9" s="14" t="s">
        <v>120</v>
      </c>
      <c r="B9" s="511"/>
      <c r="C9" s="511"/>
      <c r="D9" s="511"/>
      <c r="E9" s="511"/>
      <c r="H9" s="511"/>
    </row>
    <row r="10" spans="1:8" ht="12.75">
      <c r="A10" s="14" t="s">
        <v>124</v>
      </c>
      <c r="B10" s="512"/>
      <c r="C10" s="512"/>
      <c r="D10" s="511"/>
      <c r="E10" s="512"/>
      <c r="H10" s="511"/>
    </row>
    <row r="11" spans="1:8" ht="12.75">
      <c r="A11" s="14" t="s">
        <v>126</v>
      </c>
      <c r="B11" s="15" t="s">
        <v>126</v>
      </c>
      <c r="C11" s="15" t="s">
        <v>128</v>
      </c>
      <c r="D11" s="511"/>
      <c r="E11" s="18"/>
      <c r="H11" s="511"/>
    </row>
    <row r="12" spans="1:8" ht="12.75">
      <c r="A12" s="14" t="s">
        <v>130</v>
      </c>
      <c r="B12" s="15" t="s">
        <v>130</v>
      </c>
      <c r="C12" s="15" t="s">
        <v>31</v>
      </c>
      <c r="D12" s="511"/>
      <c r="E12" s="18"/>
      <c r="H12" s="511"/>
    </row>
    <row r="13" spans="1:8" ht="12.75">
      <c r="A13" s="14" t="s">
        <v>131</v>
      </c>
      <c r="B13" s="15" t="s">
        <v>131</v>
      </c>
      <c r="C13" s="15" t="s">
        <v>103</v>
      </c>
      <c r="D13" s="511"/>
      <c r="E13" s="18"/>
      <c r="H13" s="512"/>
    </row>
    <row r="14" spans="1:8" ht="12.75">
      <c r="A14" s="14" t="s">
        <v>133</v>
      </c>
      <c r="B14" s="515" t="s">
        <v>134</v>
      </c>
      <c r="C14" s="515" t="s">
        <v>65</v>
      </c>
      <c r="D14" s="511"/>
      <c r="E14" s="515"/>
      <c r="H14" s="514" t="s">
        <v>136</v>
      </c>
    </row>
    <row r="15" spans="1:8" ht="12.75">
      <c r="A15" s="14" t="s">
        <v>138</v>
      </c>
      <c r="B15" s="511"/>
      <c r="C15" s="511"/>
      <c r="D15" s="511"/>
      <c r="E15" s="511"/>
      <c r="H15" s="511"/>
    </row>
    <row r="16" spans="1:8" ht="12.75">
      <c r="A16" s="14" t="s">
        <v>145</v>
      </c>
      <c r="B16" s="512"/>
      <c r="C16" s="512"/>
      <c r="D16" s="511"/>
      <c r="E16" s="512"/>
      <c r="H16" s="511"/>
    </row>
    <row r="17" spans="1:8" ht="12.75">
      <c r="A17" s="14" t="s">
        <v>147</v>
      </c>
      <c r="B17" s="15" t="s">
        <v>147</v>
      </c>
      <c r="C17" s="15" t="s">
        <v>103</v>
      </c>
      <c r="D17" s="511"/>
      <c r="E17" s="18"/>
      <c r="H17" s="511"/>
    </row>
    <row r="18" spans="1:8" ht="12.75">
      <c r="A18" s="14" t="s">
        <v>150</v>
      </c>
      <c r="B18" s="15" t="s">
        <v>150</v>
      </c>
      <c r="C18" s="15" t="s">
        <v>151</v>
      </c>
      <c r="D18" s="511"/>
      <c r="E18" s="18"/>
      <c r="H18" s="511"/>
    </row>
    <row r="19" spans="1:8" ht="12.75">
      <c r="A19" s="14" t="s">
        <v>154</v>
      </c>
      <c r="B19" s="15" t="s">
        <v>154</v>
      </c>
      <c r="C19" s="15" t="s">
        <v>155</v>
      </c>
      <c r="D19" s="511"/>
      <c r="E19" s="18"/>
      <c r="H19" s="512"/>
    </row>
    <row r="20" spans="1:8" ht="12.75">
      <c r="A20" s="11" t="s">
        <v>159</v>
      </c>
      <c r="B20" s="515" t="s">
        <v>160</v>
      </c>
      <c r="C20" s="515" t="s">
        <v>65</v>
      </c>
      <c r="D20" s="511"/>
      <c r="E20" s="515"/>
      <c r="H20" s="514" t="s">
        <v>167</v>
      </c>
    </row>
    <row r="21" spans="1:8" ht="12.75">
      <c r="A21" s="11" t="s">
        <v>169</v>
      </c>
      <c r="B21" s="511"/>
      <c r="C21" s="511"/>
      <c r="D21" s="511"/>
      <c r="E21" s="511"/>
      <c r="H21" s="511"/>
    </row>
    <row r="22" spans="1:8" ht="12.75">
      <c r="A22" s="11" t="s">
        <v>174</v>
      </c>
      <c r="B22" s="512"/>
      <c r="C22" s="512"/>
      <c r="D22" s="511"/>
      <c r="E22" s="512"/>
      <c r="H22" s="511"/>
    </row>
    <row r="23" spans="1:8" ht="12.75">
      <c r="A23" s="11" t="s">
        <v>177</v>
      </c>
      <c r="B23" s="13" t="s">
        <v>177</v>
      </c>
      <c r="C23" s="15" t="s">
        <v>103</v>
      </c>
      <c r="D23" s="511"/>
      <c r="E23" s="18"/>
      <c r="H23" s="511"/>
    </row>
    <row r="24" spans="1:8" ht="12.75">
      <c r="A24" s="11" t="s">
        <v>181</v>
      </c>
      <c r="B24" s="13" t="s">
        <v>182</v>
      </c>
      <c r="C24" s="15" t="s">
        <v>103</v>
      </c>
      <c r="D24" s="511"/>
      <c r="E24" s="18"/>
      <c r="H24" s="511"/>
    </row>
    <row r="25" spans="1:8" ht="12.75">
      <c r="A25" s="11" t="s">
        <v>184</v>
      </c>
      <c r="B25" s="13" t="s">
        <v>184</v>
      </c>
      <c r="C25" s="15" t="s">
        <v>155</v>
      </c>
      <c r="D25" s="511"/>
      <c r="E25" s="18"/>
      <c r="H25" s="512"/>
    </row>
    <row r="26" spans="1:8" ht="12.75">
      <c r="A26" s="11" t="s">
        <v>188</v>
      </c>
      <c r="B26" s="514" t="s">
        <v>190</v>
      </c>
      <c r="C26" s="515" t="s">
        <v>65</v>
      </c>
      <c r="D26" s="511"/>
      <c r="E26" s="514"/>
      <c r="H26" s="514" t="s">
        <v>198</v>
      </c>
    </row>
    <row r="27" spans="1:8" ht="12.75">
      <c r="A27" s="11" t="s">
        <v>201</v>
      </c>
      <c r="B27" s="511"/>
      <c r="C27" s="511"/>
      <c r="D27" s="511"/>
      <c r="E27" s="511"/>
      <c r="H27" s="511"/>
    </row>
    <row r="28" spans="1:8" ht="12.75">
      <c r="A28" s="11" t="s">
        <v>203</v>
      </c>
      <c r="B28" s="512"/>
      <c r="C28" s="512"/>
      <c r="D28" s="511"/>
      <c r="E28" s="512"/>
      <c r="H28" s="511"/>
    </row>
    <row r="29" spans="1:8" ht="12.75">
      <c r="A29" s="11" t="s">
        <v>205</v>
      </c>
      <c r="B29" s="13" t="s">
        <v>205</v>
      </c>
      <c r="C29" s="15" t="s">
        <v>207</v>
      </c>
      <c r="D29" s="511"/>
      <c r="E29" s="18"/>
      <c r="H29" s="511"/>
    </row>
    <row r="30" spans="1:8" ht="12.75">
      <c r="A30" s="11" t="s">
        <v>208</v>
      </c>
      <c r="B30" s="13" t="s">
        <v>208</v>
      </c>
      <c r="C30" s="15" t="s">
        <v>103</v>
      </c>
      <c r="D30" s="511"/>
      <c r="E30" s="18"/>
      <c r="H30" s="511"/>
    </row>
    <row r="31" spans="1:8" ht="12.75">
      <c r="A31" s="11" t="s">
        <v>209</v>
      </c>
      <c r="B31" s="13" t="s">
        <v>209</v>
      </c>
      <c r="C31" s="15" t="s">
        <v>155</v>
      </c>
      <c r="D31" s="511"/>
      <c r="E31" s="18"/>
      <c r="H31" s="512"/>
    </row>
    <row r="32" spans="1:8" ht="12.75">
      <c r="A32" s="11" t="s">
        <v>213</v>
      </c>
      <c r="B32" s="514" t="s">
        <v>214</v>
      </c>
      <c r="C32" s="515" t="s">
        <v>65</v>
      </c>
      <c r="D32" s="511"/>
      <c r="E32" s="514"/>
      <c r="H32" s="514" t="s">
        <v>216</v>
      </c>
    </row>
    <row r="33" spans="1:8" ht="12.75">
      <c r="A33" s="11" t="s">
        <v>218</v>
      </c>
      <c r="B33" s="511"/>
      <c r="C33" s="511"/>
      <c r="D33" s="511"/>
      <c r="E33" s="511"/>
      <c r="H33" s="511"/>
    </row>
    <row r="34" spans="1:8" ht="12.75">
      <c r="A34" s="11" t="s">
        <v>220</v>
      </c>
      <c r="B34" s="512"/>
      <c r="C34" s="512"/>
      <c r="D34" s="511"/>
      <c r="E34" s="512"/>
      <c r="H34" s="511"/>
    </row>
    <row r="35" spans="1:8" ht="12.75">
      <c r="A35" s="11" t="s">
        <v>221</v>
      </c>
      <c r="B35" s="13" t="s">
        <v>221</v>
      </c>
      <c r="C35" s="15" t="s">
        <v>155</v>
      </c>
      <c r="D35" s="511"/>
      <c r="E35" s="18"/>
      <c r="H35" s="511"/>
    </row>
    <row r="36" spans="1:8" ht="12.75">
      <c r="A36" s="11" t="s">
        <v>223</v>
      </c>
      <c r="B36" s="13" t="s">
        <v>223</v>
      </c>
      <c r="C36" s="15" t="s">
        <v>31</v>
      </c>
      <c r="D36" s="511"/>
      <c r="E36" s="18"/>
      <c r="H36" s="511"/>
    </row>
    <row r="37" spans="1:8" ht="12.75">
      <c r="A37" s="11" t="s">
        <v>225</v>
      </c>
      <c r="B37" s="13" t="s">
        <v>225</v>
      </c>
      <c r="C37" s="15" t="s">
        <v>103</v>
      </c>
      <c r="D37" s="511"/>
      <c r="E37" s="18"/>
      <c r="H37" s="512"/>
    </row>
    <row r="38" spans="1:8" ht="12.75">
      <c r="A38" s="11" t="s">
        <v>226</v>
      </c>
      <c r="B38" s="514" t="s">
        <v>228</v>
      </c>
      <c r="C38" s="516" t="s">
        <v>65</v>
      </c>
      <c r="D38" s="511"/>
      <c r="E38" s="514"/>
      <c r="H38" s="518" t="s">
        <v>229</v>
      </c>
    </row>
    <row r="39" spans="1:8" ht="12.75">
      <c r="A39" s="11" t="s">
        <v>233</v>
      </c>
      <c r="B39" s="512"/>
      <c r="C39" s="517"/>
      <c r="D39" s="511"/>
      <c r="E39" s="512"/>
      <c r="H39" s="519"/>
    </row>
    <row r="40" spans="1:8" ht="12.75">
      <c r="A40" s="11" t="s">
        <v>236</v>
      </c>
      <c r="B40" s="13" t="s">
        <v>236</v>
      </c>
      <c r="C40" s="515" t="s">
        <v>238</v>
      </c>
      <c r="D40" s="511"/>
      <c r="E40" s="18"/>
      <c r="H40" s="519"/>
    </row>
    <row r="41" spans="1:8" ht="12.75">
      <c r="A41" s="11" t="s">
        <v>243</v>
      </c>
      <c r="B41" s="13" t="s">
        <v>243</v>
      </c>
      <c r="C41" s="512"/>
      <c r="D41" s="511"/>
      <c r="E41" s="18"/>
      <c r="H41" s="519"/>
    </row>
    <row r="42" spans="1:8" ht="12.75">
      <c r="A42" s="11" t="s">
        <v>246</v>
      </c>
      <c r="B42" s="13" t="s">
        <v>246</v>
      </c>
      <c r="C42" s="15" t="s">
        <v>103</v>
      </c>
      <c r="D42" s="511"/>
      <c r="E42" s="18"/>
      <c r="H42" s="519"/>
    </row>
    <row r="43" spans="1:8" ht="12.75">
      <c r="A43" s="11" t="s">
        <v>248</v>
      </c>
      <c r="B43" s="13" t="s">
        <v>248</v>
      </c>
      <c r="C43" s="15" t="s">
        <v>207</v>
      </c>
      <c r="D43" s="511"/>
      <c r="E43" s="18"/>
      <c r="H43" s="520"/>
    </row>
    <row r="44" spans="1:8" ht="12.75">
      <c r="A44" s="11" t="s">
        <v>252</v>
      </c>
      <c r="B44" s="514" t="s">
        <v>253</v>
      </c>
      <c r="C44" s="516" t="s">
        <v>65</v>
      </c>
      <c r="D44" s="511"/>
      <c r="E44" s="514"/>
      <c r="H44" s="518" t="s">
        <v>257</v>
      </c>
    </row>
    <row r="45" spans="1:8" ht="12.75">
      <c r="A45" s="11" t="s">
        <v>262</v>
      </c>
      <c r="B45" s="512"/>
      <c r="C45" s="517"/>
      <c r="D45" s="511"/>
      <c r="E45" s="512"/>
      <c r="H45" s="519"/>
    </row>
    <row r="46" spans="1:8" ht="12.75">
      <c r="A46" s="11" t="s">
        <v>266</v>
      </c>
      <c r="B46" s="13" t="s">
        <v>266</v>
      </c>
      <c r="C46" s="15" t="s">
        <v>31</v>
      </c>
      <c r="D46" s="511"/>
      <c r="E46" s="18"/>
      <c r="H46" s="519"/>
    </row>
    <row r="47" spans="1:8" ht="12.75">
      <c r="A47" s="11" t="s">
        <v>270</v>
      </c>
      <c r="B47" s="13" t="s">
        <v>270</v>
      </c>
      <c r="C47" s="15" t="s">
        <v>271</v>
      </c>
      <c r="D47" s="511"/>
      <c r="E47" s="18"/>
      <c r="H47" s="519"/>
    </row>
    <row r="48" spans="1:8" ht="12.75">
      <c r="A48" s="11" t="s">
        <v>272</v>
      </c>
      <c r="B48" s="13" t="s">
        <v>272</v>
      </c>
      <c r="C48" s="15" t="s">
        <v>103</v>
      </c>
      <c r="D48" s="511"/>
      <c r="E48" s="18"/>
      <c r="H48" s="519"/>
    </row>
    <row r="49" spans="1:8" ht="12.75">
      <c r="A49" s="11" t="s">
        <v>274</v>
      </c>
      <c r="B49" s="13" t="s">
        <v>274</v>
      </c>
      <c r="C49" s="15" t="s">
        <v>155</v>
      </c>
      <c r="D49" s="511"/>
      <c r="E49" s="18"/>
      <c r="H49" s="520"/>
    </row>
    <row r="50" spans="1:8" ht="12.75">
      <c r="A50" s="11" t="s">
        <v>280</v>
      </c>
      <c r="B50" s="514" t="s">
        <v>282</v>
      </c>
      <c r="C50" s="516" t="s">
        <v>65</v>
      </c>
      <c r="D50" s="511"/>
      <c r="E50" s="514"/>
      <c r="H50" s="518" t="s">
        <v>291</v>
      </c>
    </row>
    <row r="51" spans="1:8" ht="12.75">
      <c r="A51" s="11" t="s">
        <v>298</v>
      </c>
      <c r="B51" s="511"/>
      <c r="C51" s="517"/>
      <c r="D51" s="511"/>
      <c r="E51" s="511"/>
      <c r="H51" s="519"/>
    </row>
    <row r="52" spans="1:8" ht="12.75">
      <c r="A52" s="11" t="s">
        <v>302</v>
      </c>
      <c r="B52" s="512"/>
      <c r="C52" s="517"/>
      <c r="D52" s="511"/>
      <c r="E52" s="512"/>
      <c r="H52" s="519"/>
    </row>
    <row r="53" spans="1:8" ht="12.75">
      <c r="A53" s="11" t="s">
        <v>305</v>
      </c>
      <c r="B53" s="13" t="s">
        <v>305</v>
      </c>
      <c r="C53" s="15" t="s">
        <v>31</v>
      </c>
      <c r="D53" s="511"/>
      <c r="E53" s="18"/>
      <c r="H53" s="519"/>
    </row>
    <row r="54" spans="1:8" ht="12.75">
      <c r="A54" s="11" t="s">
        <v>312</v>
      </c>
      <c r="B54" s="13" t="s">
        <v>312</v>
      </c>
      <c r="C54" s="15" t="s">
        <v>103</v>
      </c>
      <c r="D54" s="511"/>
      <c r="E54" s="18"/>
      <c r="H54" s="519"/>
    </row>
    <row r="55" spans="1:8" ht="12.75">
      <c r="A55" s="11" t="s">
        <v>315</v>
      </c>
      <c r="B55" s="13" t="s">
        <v>315</v>
      </c>
      <c r="C55" s="15" t="s">
        <v>155</v>
      </c>
      <c r="D55" s="511"/>
      <c r="E55" s="18"/>
      <c r="H55" s="520"/>
    </row>
    <row r="56" spans="1:8" ht="16.5" customHeight="1">
      <c r="A56" s="11" t="s">
        <v>319</v>
      </c>
      <c r="B56" s="514" t="s">
        <v>321</v>
      </c>
      <c r="C56" s="516" t="s">
        <v>65</v>
      </c>
      <c r="D56" s="511"/>
      <c r="E56" s="514"/>
      <c r="H56" s="518" t="s">
        <v>325</v>
      </c>
    </row>
    <row r="57" spans="1:8" ht="12.75">
      <c r="A57" s="11" t="s">
        <v>328</v>
      </c>
      <c r="B57" s="512"/>
      <c r="C57" s="517"/>
      <c r="D57" s="511"/>
      <c r="E57" s="512"/>
      <c r="H57" s="519"/>
    </row>
    <row r="58" spans="1:8" ht="12.75">
      <c r="A58" s="7" t="s">
        <v>332</v>
      </c>
      <c r="B58" s="13" t="s">
        <v>334</v>
      </c>
      <c r="C58" s="13" t="s">
        <v>207</v>
      </c>
      <c r="D58" s="511"/>
      <c r="E58" s="18"/>
      <c r="H58" s="519"/>
    </row>
    <row r="59" spans="1:8" ht="12.75">
      <c r="A59" s="11" t="s">
        <v>336</v>
      </c>
      <c r="B59" s="13" t="s">
        <v>338</v>
      </c>
      <c r="C59" s="15" t="s">
        <v>155</v>
      </c>
      <c r="D59" s="511"/>
      <c r="E59" s="18"/>
      <c r="H59" s="519"/>
    </row>
    <row r="60" spans="1:8" ht="12.75">
      <c r="A60" s="11" t="s">
        <v>340</v>
      </c>
      <c r="B60" s="13" t="s">
        <v>340</v>
      </c>
      <c r="C60" s="15" t="s">
        <v>31</v>
      </c>
      <c r="D60" s="511"/>
      <c r="E60" s="18"/>
      <c r="H60" s="519"/>
    </row>
    <row r="61" spans="1:8" ht="12.75">
      <c r="A61" s="11" t="s">
        <v>344</v>
      </c>
      <c r="B61" s="13" t="s">
        <v>344</v>
      </c>
      <c r="C61" s="15" t="s">
        <v>103</v>
      </c>
      <c r="D61" s="511"/>
      <c r="E61" s="18"/>
      <c r="H61" s="520"/>
    </row>
    <row r="62" spans="1:8" ht="12.75">
      <c r="A62" s="11" t="s">
        <v>42</v>
      </c>
      <c r="B62" s="514" t="s">
        <v>348</v>
      </c>
      <c r="C62" s="515" t="s">
        <v>351</v>
      </c>
      <c r="D62" s="511"/>
      <c r="E62" s="514"/>
      <c r="H62" s="514" t="s">
        <v>268</v>
      </c>
    </row>
    <row r="63" spans="1:8" ht="12.75">
      <c r="A63" s="11" t="s">
        <v>43</v>
      </c>
      <c r="B63" s="512"/>
      <c r="C63" s="512"/>
      <c r="D63" s="511"/>
      <c r="E63" s="512"/>
      <c r="H63" s="511"/>
    </row>
    <row r="64" spans="1:8" ht="12.75">
      <c r="A64" s="11" t="s">
        <v>56</v>
      </c>
      <c r="B64" s="13" t="s">
        <v>368</v>
      </c>
      <c r="C64" s="15" t="s">
        <v>155</v>
      </c>
      <c r="D64" s="511"/>
      <c r="E64" s="18"/>
      <c r="H64" s="511"/>
    </row>
    <row r="65" spans="1:8" ht="12.75">
      <c r="A65" s="11" t="s">
        <v>59</v>
      </c>
      <c r="B65" s="13" t="s">
        <v>371</v>
      </c>
      <c r="C65" s="15" t="s">
        <v>31</v>
      </c>
      <c r="D65" s="511"/>
      <c r="E65" s="18"/>
      <c r="H65" s="511"/>
    </row>
    <row r="66" spans="1:8" ht="12.75">
      <c r="A66" s="11" t="s">
        <v>51</v>
      </c>
      <c r="B66" s="13" t="s">
        <v>373</v>
      </c>
      <c r="C66" s="15" t="s">
        <v>374</v>
      </c>
      <c r="D66" s="511"/>
      <c r="E66" s="18"/>
      <c r="H66" s="511"/>
    </row>
    <row r="67" spans="1:8" ht="12.75">
      <c r="A67" s="11" t="s">
        <v>41</v>
      </c>
      <c r="B67" s="13" t="s">
        <v>377</v>
      </c>
      <c r="C67" s="15" t="s">
        <v>271</v>
      </c>
      <c r="D67" s="511"/>
      <c r="E67" s="18"/>
      <c r="H67" s="512"/>
    </row>
    <row r="68" spans="1:8" ht="12.75">
      <c r="A68" s="11" t="s">
        <v>378</v>
      </c>
      <c r="B68" s="514" t="s">
        <v>379</v>
      </c>
      <c r="C68" s="516" t="s">
        <v>65</v>
      </c>
      <c r="D68" s="511"/>
      <c r="E68" s="514"/>
      <c r="H68" s="518" t="s">
        <v>381</v>
      </c>
    </row>
    <row r="69" spans="1:8" ht="12.75">
      <c r="A69" s="11" t="s">
        <v>383</v>
      </c>
      <c r="B69" s="511"/>
      <c r="C69" s="517"/>
      <c r="D69" s="511"/>
      <c r="E69" s="511"/>
      <c r="H69" s="519"/>
    </row>
    <row r="70" spans="1:8" ht="12.75">
      <c r="A70" s="11" t="s">
        <v>385</v>
      </c>
      <c r="B70" s="512"/>
      <c r="C70" s="517"/>
      <c r="D70" s="511"/>
      <c r="E70" s="512"/>
      <c r="H70" s="519"/>
    </row>
    <row r="71" spans="1:8" ht="12.75">
      <c r="A71" s="11" t="s">
        <v>387</v>
      </c>
      <c r="B71" s="13" t="s">
        <v>388</v>
      </c>
      <c r="C71" s="15" t="s">
        <v>155</v>
      </c>
      <c r="D71" s="511"/>
      <c r="E71" s="18"/>
      <c r="H71" s="519"/>
    </row>
    <row r="72" spans="1:8" ht="12.75">
      <c r="A72" s="11" t="s">
        <v>390</v>
      </c>
      <c r="B72" s="13" t="s">
        <v>390</v>
      </c>
      <c r="C72" s="15" t="s">
        <v>103</v>
      </c>
      <c r="D72" s="511"/>
      <c r="E72" s="18"/>
      <c r="H72" s="519"/>
    </row>
    <row r="73" spans="1:8" ht="12.75">
      <c r="A73" s="11" t="s">
        <v>391</v>
      </c>
      <c r="B73" s="13" t="s">
        <v>391</v>
      </c>
      <c r="C73" s="15" t="s">
        <v>31</v>
      </c>
      <c r="D73" s="511"/>
      <c r="E73" s="18"/>
      <c r="H73" s="520"/>
    </row>
    <row r="74" spans="1:8" ht="12.75">
      <c r="A74" s="11" t="s">
        <v>21</v>
      </c>
      <c r="B74" s="514" t="s">
        <v>16</v>
      </c>
      <c r="C74" s="516" t="s">
        <v>65</v>
      </c>
      <c r="D74" s="511"/>
      <c r="E74" s="514"/>
      <c r="H74" s="518" t="s">
        <v>394</v>
      </c>
    </row>
    <row r="75" spans="1:8" ht="12.75">
      <c r="A75" s="11" t="s">
        <v>44</v>
      </c>
      <c r="B75" s="511"/>
      <c r="C75" s="517"/>
      <c r="D75" s="511"/>
      <c r="E75" s="511"/>
      <c r="H75" s="519"/>
    </row>
    <row r="76" spans="1:8" ht="12.75">
      <c r="A76" s="11" t="s">
        <v>49</v>
      </c>
      <c r="B76" s="512"/>
      <c r="C76" s="517"/>
      <c r="D76" s="511"/>
      <c r="E76" s="512"/>
      <c r="H76" s="519"/>
    </row>
    <row r="77" spans="1:8" ht="12.75">
      <c r="A77" s="11" t="s">
        <v>53</v>
      </c>
      <c r="B77" s="13" t="s">
        <v>53</v>
      </c>
      <c r="C77" s="15" t="s">
        <v>238</v>
      </c>
      <c r="D77" s="511"/>
      <c r="E77" s="18"/>
      <c r="H77" s="519"/>
    </row>
    <row r="78" spans="1:8" ht="12.75">
      <c r="A78" s="11" t="s">
        <v>58</v>
      </c>
      <c r="B78" s="13" t="s">
        <v>58</v>
      </c>
      <c r="C78" s="15" t="s">
        <v>103</v>
      </c>
      <c r="D78" s="511"/>
      <c r="E78" s="18"/>
      <c r="H78" s="519"/>
    </row>
    <row r="79" spans="1:8" ht="12.75">
      <c r="A79" s="11" t="s">
        <v>60</v>
      </c>
      <c r="B79" s="13" t="s">
        <v>60</v>
      </c>
      <c r="C79" s="15" t="s">
        <v>31</v>
      </c>
      <c r="D79" s="511"/>
      <c r="E79" s="18"/>
      <c r="H79" s="520"/>
    </row>
    <row r="80" spans="1:8" ht="12.75">
      <c r="A80" s="11" t="s">
        <v>70</v>
      </c>
      <c r="B80" s="514" t="s">
        <v>69</v>
      </c>
      <c r="C80" s="516" t="s">
        <v>65</v>
      </c>
      <c r="D80" s="511"/>
      <c r="E80" s="514"/>
      <c r="H80" s="518" t="s">
        <v>67</v>
      </c>
    </row>
    <row r="81" spans="1:8" ht="12.75">
      <c r="A81" s="11" t="s">
        <v>73</v>
      </c>
      <c r="B81" s="512"/>
      <c r="C81" s="517"/>
      <c r="D81" s="511"/>
      <c r="E81" s="512"/>
      <c r="H81" s="519"/>
    </row>
    <row r="82" spans="1:8" ht="12.75">
      <c r="A82" s="11" t="s">
        <v>74</v>
      </c>
      <c r="B82" s="13" t="s">
        <v>74</v>
      </c>
      <c r="C82" s="15" t="s">
        <v>238</v>
      </c>
      <c r="D82" s="511"/>
      <c r="E82" s="18"/>
      <c r="H82" s="519"/>
    </row>
    <row r="83" spans="1:8" ht="12.75">
      <c r="A83" s="11" t="s">
        <v>77</v>
      </c>
      <c r="B83" s="13" t="s">
        <v>77</v>
      </c>
      <c r="C83" s="15" t="s">
        <v>99</v>
      </c>
      <c r="D83" s="511"/>
      <c r="E83" s="18"/>
      <c r="H83" s="519"/>
    </row>
    <row r="84" spans="1:8" ht="12.75">
      <c r="A84" s="11" t="s">
        <v>78</v>
      </c>
      <c r="B84" s="13" t="s">
        <v>78</v>
      </c>
      <c r="C84" s="15" t="s">
        <v>408</v>
      </c>
      <c r="D84" s="511"/>
      <c r="E84" s="18"/>
      <c r="H84" s="519"/>
    </row>
    <row r="85" spans="1:8" ht="12.75">
      <c r="A85" s="11" t="s">
        <v>80</v>
      </c>
      <c r="B85" s="13" t="s">
        <v>80</v>
      </c>
      <c r="C85" s="15" t="s">
        <v>103</v>
      </c>
      <c r="D85" s="511"/>
      <c r="E85" s="18"/>
      <c r="H85" s="520"/>
    </row>
    <row r="86" spans="1:8" ht="12.75">
      <c r="A86" s="11" t="s">
        <v>85</v>
      </c>
      <c r="B86" s="514" t="s">
        <v>84</v>
      </c>
      <c r="C86" s="516" t="s">
        <v>65</v>
      </c>
      <c r="D86" s="511"/>
      <c r="E86" s="514"/>
      <c r="H86" s="518" t="s">
        <v>81</v>
      </c>
    </row>
    <row r="87" spans="1:8" ht="12.75">
      <c r="A87" s="11" t="s">
        <v>86</v>
      </c>
      <c r="B87" s="511"/>
      <c r="C87" s="517"/>
      <c r="D87" s="511"/>
      <c r="E87" s="511"/>
      <c r="H87" s="519"/>
    </row>
    <row r="88" spans="1:8" ht="12.75">
      <c r="A88" s="11" t="s">
        <v>88</v>
      </c>
      <c r="B88" s="511"/>
      <c r="C88" s="517"/>
      <c r="D88" s="511"/>
      <c r="E88" s="511"/>
      <c r="H88" s="519"/>
    </row>
    <row r="89" spans="1:8" ht="12.75">
      <c r="A89" s="11" t="s">
        <v>90</v>
      </c>
      <c r="B89" s="512"/>
      <c r="C89" s="517"/>
      <c r="D89" s="511"/>
      <c r="E89" s="512"/>
      <c r="H89" s="519"/>
    </row>
    <row r="90" spans="1:8" ht="12.75">
      <c r="A90" s="11" t="s">
        <v>92</v>
      </c>
      <c r="B90" s="13" t="s">
        <v>92</v>
      </c>
      <c r="C90" s="15" t="s">
        <v>31</v>
      </c>
      <c r="D90" s="511"/>
      <c r="E90" s="18"/>
      <c r="H90" s="519"/>
    </row>
    <row r="91" spans="1:8" ht="12.75">
      <c r="A91" s="11" t="s">
        <v>94</v>
      </c>
      <c r="B91" s="13" t="s">
        <v>94</v>
      </c>
      <c r="C91" s="15" t="s">
        <v>238</v>
      </c>
      <c r="D91" s="511"/>
      <c r="E91" s="18"/>
      <c r="H91" s="520"/>
    </row>
    <row r="92" spans="1:8" ht="12.75">
      <c r="A92" s="11" t="s">
        <v>100</v>
      </c>
      <c r="B92" s="514" t="s">
        <v>98</v>
      </c>
      <c r="C92" s="516" t="s">
        <v>65</v>
      </c>
      <c r="D92" s="511"/>
      <c r="E92" s="514"/>
      <c r="H92" s="518" t="s">
        <v>79</v>
      </c>
    </row>
    <row r="93" spans="1:8" ht="12.75">
      <c r="A93" s="11" t="s">
        <v>101</v>
      </c>
      <c r="B93" s="511"/>
      <c r="C93" s="517"/>
      <c r="D93" s="511"/>
      <c r="E93" s="511"/>
      <c r="H93" s="519"/>
    </row>
    <row r="94" spans="1:8" ht="12.75">
      <c r="A94" s="11" t="s">
        <v>104</v>
      </c>
      <c r="B94" s="512"/>
      <c r="C94" s="517"/>
      <c r="D94" s="511"/>
      <c r="E94" s="512"/>
      <c r="H94" s="519"/>
    </row>
    <row r="95" spans="1:8" ht="12.75">
      <c r="A95" s="11" t="s">
        <v>107</v>
      </c>
      <c r="B95" s="13" t="s">
        <v>106</v>
      </c>
      <c r="C95" s="15" t="s">
        <v>238</v>
      </c>
      <c r="D95" s="511"/>
      <c r="E95" s="18"/>
      <c r="H95" s="519"/>
    </row>
    <row r="96" spans="1:8" ht="12.75">
      <c r="A96" s="11" t="s">
        <v>109</v>
      </c>
      <c r="B96" s="13" t="s">
        <v>109</v>
      </c>
      <c r="C96" s="15" t="s">
        <v>103</v>
      </c>
      <c r="D96" s="511"/>
      <c r="E96" s="18"/>
      <c r="H96" s="519"/>
    </row>
    <row r="97" spans="1:8" ht="12.75">
      <c r="A97" s="11" t="s">
        <v>111</v>
      </c>
      <c r="B97" s="13" t="s">
        <v>111</v>
      </c>
      <c r="C97" s="15" t="s">
        <v>31</v>
      </c>
      <c r="D97" s="511"/>
      <c r="E97" s="18"/>
      <c r="H97" s="520"/>
    </row>
    <row r="98" spans="1:8" ht="12.75">
      <c r="A98" s="11" t="s">
        <v>116</v>
      </c>
      <c r="B98" s="13" t="s">
        <v>115</v>
      </c>
      <c r="C98" s="15" t="s">
        <v>65</v>
      </c>
      <c r="D98" s="511"/>
      <c r="E98" s="18"/>
      <c r="H98" s="514" t="s">
        <v>113</v>
      </c>
    </row>
    <row r="99" spans="1:8" ht="12.75">
      <c r="A99" s="11" t="s">
        <v>119</v>
      </c>
      <c r="B99" s="514" t="s">
        <v>118</v>
      </c>
      <c r="C99" s="515" t="s">
        <v>238</v>
      </c>
      <c r="D99" s="511"/>
      <c r="E99" s="514"/>
      <c r="H99" s="511"/>
    </row>
    <row r="100" spans="1:8" ht="12.75">
      <c r="A100" s="11" t="s">
        <v>121</v>
      </c>
      <c r="B100" s="512"/>
      <c r="C100" s="512"/>
      <c r="D100" s="511"/>
      <c r="E100" s="512"/>
      <c r="H100" s="511"/>
    </row>
    <row r="101" spans="1:8" ht="12.75">
      <c r="A101" s="11" t="s">
        <v>123</v>
      </c>
      <c r="B101" s="13" t="s">
        <v>122</v>
      </c>
      <c r="C101" s="15" t="s">
        <v>103</v>
      </c>
      <c r="D101" s="511"/>
      <c r="E101" s="18"/>
      <c r="H101" s="511"/>
    </row>
    <row r="102" spans="1:8" ht="12.75">
      <c r="A102" s="11" t="s">
        <v>125</v>
      </c>
      <c r="B102" s="13" t="s">
        <v>125</v>
      </c>
      <c r="C102" s="15" t="s">
        <v>31</v>
      </c>
      <c r="D102" s="511"/>
      <c r="E102" s="18"/>
      <c r="H102" s="511"/>
    </row>
    <row r="103" spans="1:8" ht="12.75">
      <c r="A103" s="11" t="s">
        <v>127</v>
      </c>
      <c r="B103" s="13" t="s">
        <v>127</v>
      </c>
      <c r="C103" s="15" t="s">
        <v>155</v>
      </c>
      <c r="D103" s="511"/>
      <c r="E103" s="18"/>
      <c r="H103" s="512"/>
    </row>
    <row r="104" spans="1:8" ht="12.75">
      <c r="A104" s="11" t="s">
        <v>146</v>
      </c>
      <c r="B104" s="514" t="s">
        <v>143</v>
      </c>
      <c r="C104" s="515" t="s">
        <v>65</v>
      </c>
      <c r="D104" s="511"/>
      <c r="E104" s="514"/>
      <c r="H104" s="514" t="s">
        <v>140</v>
      </c>
    </row>
    <row r="105" spans="1:8" ht="12.75">
      <c r="A105" s="11" t="s">
        <v>148</v>
      </c>
      <c r="B105" s="512"/>
      <c r="C105" s="512"/>
      <c r="D105" s="511"/>
      <c r="E105" s="512"/>
      <c r="H105" s="511"/>
    </row>
    <row r="106" spans="1:8" ht="12.75">
      <c r="A106" s="11" t="s">
        <v>153</v>
      </c>
      <c r="B106" s="13" t="s">
        <v>153</v>
      </c>
      <c r="C106" s="515" t="s">
        <v>31</v>
      </c>
      <c r="D106" s="511"/>
      <c r="E106" s="18"/>
      <c r="H106" s="511"/>
    </row>
    <row r="107" spans="1:8" ht="12.75">
      <c r="A107" s="11" t="s">
        <v>157</v>
      </c>
      <c r="B107" s="13" t="s">
        <v>157</v>
      </c>
      <c r="C107" s="512"/>
      <c r="D107" s="511"/>
      <c r="E107" s="18"/>
      <c r="H107" s="511"/>
    </row>
    <row r="108" spans="1:8" ht="12.75">
      <c r="A108" s="11" t="s">
        <v>158</v>
      </c>
      <c r="B108" s="13" t="s">
        <v>158</v>
      </c>
      <c r="C108" s="15" t="s">
        <v>238</v>
      </c>
      <c r="D108" s="511"/>
      <c r="E108" s="18"/>
      <c r="H108" s="511"/>
    </row>
    <row r="109" spans="1:8" ht="12.75">
      <c r="A109" s="11" t="s">
        <v>164</v>
      </c>
      <c r="B109" s="13" t="s">
        <v>164</v>
      </c>
      <c r="C109" s="15" t="s">
        <v>103</v>
      </c>
      <c r="D109" s="511"/>
      <c r="E109" s="521"/>
      <c r="H109" s="512"/>
    </row>
    <row r="110" spans="1:8" ht="12.75">
      <c r="A110" s="11" t="s">
        <v>175</v>
      </c>
      <c r="B110" s="514" t="s">
        <v>173</v>
      </c>
      <c r="C110" s="522" t="s">
        <v>65</v>
      </c>
      <c r="D110" s="511"/>
      <c r="E110" s="511"/>
      <c r="H110" s="514" t="s">
        <v>165</v>
      </c>
    </row>
    <row r="111" spans="1:8" ht="12.75">
      <c r="A111" s="11" t="s">
        <v>178</v>
      </c>
      <c r="B111" s="511"/>
      <c r="C111" s="511"/>
      <c r="D111" s="511"/>
      <c r="E111" s="511"/>
      <c r="H111" s="511"/>
    </row>
    <row r="112" spans="1:8" ht="12.75">
      <c r="A112" s="11" t="s">
        <v>180</v>
      </c>
      <c r="B112" s="512"/>
      <c r="C112" s="511"/>
      <c r="D112" s="511"/>
      <c r="E112" s="512"/>
      <c r="H112" s="511"/>
    </row>
    <row r="113" spans="1:8" ht="12.75">
      <c r="A113" s="11" t="s">
        <v>187</v>
      </c>
      <c r="B113" s="41" t="s">
        <v>186</v>
      </c>
      <c r="C113" s="511"/>
      <c r="D113" s="511"/>
      <c r="E113" s="41"/>
      <c r="H113" s="511"/>
    </row>
    <row r="114" spans="1:8" ht="12.75">
      <c r="A114" s="11" t="s">
        <v>192</v>
      </c>
      <c r="B114" s="13" t="s">
        <v>192</v>
      </c>
      <c r="C114" s="15" t="s">
        <v>103</v>
      </c>
      <c r="D114" s="511"/>
      <c r="E114" s="18"/>
      <c r="H114" s="511"/>
    </row>
    <row r="115" spans="1:8" ht="12.75">
      <c r="A115" s="11" t="s">
        <v>195</v>
      </c>
      <c r="B115" s="13" t="s">
        <v>195</v>
      </c>
      <c r="C115" s="15" t="s">
        <v>31</v>
      </c>
      <c r="D115" s="511"/>
      <c r="E115" s="18"/>
      <c r="H115" s="512"/>
    </row>
    <row r="116" spans="1:8" ht="12.75">
      <c r="A116" s="7" t="s">
        <v>215</v>
      </c>
      <c r="B116" s="514" t="s">
        <v>211</v>
      </c>
      <c r="C116" s="516" t="s">
        <v>65</v>
      </c>
      <c r="D116" s="511"/>
      <c r="E116" s="514"/>
      <c r="H116" s="514" t="s">
        <v>176</v>
      </c>
    </row>
    <row r="117" spans="1:8" ht="12.75">
      <c r="A117" s="7" t="s">
        <v>217</v>
      </c>
      <c r="B117" s="511"/>
      <c r="C117" s="517"/>
      <c r="D117" s="511"/>
      <c r="E117" s="511"/>
      <c r="H117" s="511"/>
    </row>
    <row r="118" spans="1:8" ht="12.75">
      <c r="A118" s="7" t="s">
        <v>219</v>
      </c>
      <c r="B118" s="512"/>
      <c r="C118" s="517"/>
      <c r="D118" s="511"/>
      <c r="E118" s="512"/>
      <c r="H118" s="511"/>
    </row>
    <row r="119" spans="1:8" ht="12.75">
      <c r="A119" s="7" t="s">
        <v>222</v>
      </c>
      <c r="B119" s="13" t="s">
        <v>222</v>
      </c>
      <c r="C119" s="15" t="s">
        <v>238</v>
      </c>
      <c r="D119" s="511"/>
      <c r="E119" s="18"/>
      <c r="H119" s="511"/>
    </row>
    <row r="120" spans="1:8" ht="12.75">
      <c r="A120" s="7" t="s">
        <v>224</v>
      </c>
      <c r="B120" s="13" t="s">
        <v>224</v>
      </c>
      <c r="C120" s="15" t="s">
        <v>103</v>
      </c>
      <c r="D120" s="511"/>
      <c r="E120" s="18"/>
      <c r="H120" s="511"/>
    </row>
    <row r="121" spans="1:8" ht="12.75">
      <c r="A121" s="11" t="s">
        <v>227</v>
      </c>
      <c r="B121" s="13" t="s">
        <v>227</v>
      </c>
      <c r="C121" s="15" t="s">
        <v>374</v>
      </c>
      <c r="D121" s="511"/>
      <c r="E121" s="18"/>
      <c r="H121" s="512"/>
    </row>
    <row r="122" spans="1:8" ht="12.75">
      <c r="A122" s="11" t="s">
        <v>242</v>
      </c>
      <c r="B122" s="13" t="s">
        <v>242</v>
      </c>
      <c r="C122" s="15" t="s">
        <v>238</v>
      </c>
      <c r="D122" s="511"/>
      <c r="E122" s="18"/>
      <c r="H122" s="514" t="s">
        <v>196</v>
      </c>
    </row>
    <row r="123" spans="1:8" ht="12.75">
      <c r="A123" s="11" t="s">
        <v>247</v>
      </c>
      <c r="B123" s="514" t="s">
        <v>245</v>
      </c>
      <c r="C123" s="515" t="s">
        <v>65</v>
      </c>
      <c r="D123" s="511"/>
      <c r="E123" s="18"/>
      <c r="H123" s="511"/>
    </row>
    <row r="124" spans="1:8" ht="12.75">
      <c r="A124" s="11" t="s">
        <v>250</v>
      </c>
      <c r="B124" s="512"/>
      <c r="C124" s="512"/>
      <c r="D124" s="511"/>
      <c r="E124" s="18"/>
      <c r="H124" s="511"/>
    </row>
    <row r="125" spans="1:8" ht="12.75">
      <c r="A125" s="11" t="s">
        <v>249</v>
      </c>
      <c r="B125" s="13" t="s">
        <v>249</v>
      </c>
      <c r="C125" s="15" t="s">
        <v>31</v>
      </c>
      <c r="D125" s="511"/>
      <c r="E125" s="18"/>
      <c r="H125" s="511"/>
    </row>
    <row r="126" spans="1:8" ht="12.75">
      <c r="A126" s="11" t="s">
        <v>254</v>
      </c>
      <c r="B126" s="13" t="s">
        <v>254</v>
      </c>
      <c r="C126" s="15" t="s">
        <v>103</v>
      </c>
      <c r="D126" s="511"/>
      <c r="E126" s="18"/>
      <c r="H126" s="511"/>
    </row>
    <row r="127" spans="1:8" ht="12.75">
      <c r="A127" s="11" t="s">
        <v>255</v>
      </c>
      <c r="B127" s="13" t="s">
        <v>255</v>
      </c>
      <c r="C127" s="15" t="s">
        <v>408</v>
      </c>
      <c r="D127" s="512"/>
      <c r="E127" s="18"/>
      <c r="H127" s="512"/>
    </row>
    <row r="128" spans="1:8" ht="12.75">
      <c r="A128" s="11" t="s">
        <v>259</v>
      </c>
      <c r="B128" s="13" t="s">
        <v>259</v>
      </c>
      <c r="C128" s="15" t="s">
        <v>155</v>
      </c>
      <c r="D128" s="522" t="s">
        <v>261</v>
      </c>
      <c r="E128" s="18"/>
      <c r="H128" s="514" t="s">
        <v>67</v>
      </c>
    </row>
    <row r="129" spans="1:8" ht="12.75">
      <c r="A129" s="11" t="s">
        <v>263</v>
      </c>
      <c r="B129" s="13" t="s">
        <v>263</v>
      </c>
      <c r="C129" s="515" t="s">
        <v>374</v>
      </c>
      <c r="D129" s="511"/>
      <c r="E129" s="18"/>
      <c r="H129" s="511"/>
    </row>
    <row r="130" spans="1:8" ht="12.75">
      <c r="A130" s="11" t="s">
        <v>269</v>
      </c>
      <c r="B130" s="514" t="s">
        <v>267</v>
      </c>
      <c r="C130" s="511"/>
      <c r="D130" s="511"/>
      <c r="E130" s="18"/>
      <c r="H130" s="511"/>
    </row>
    <row r="131" spans="1:8" ht="12.75">
      <c r="A131" s="11" t="s">
        <v>273</v>
      </c>
      <c r="B131" s="512"/>
      <c r="C131" s="512"/>
      <c r="D131" s="511"/>
      <c r="E131" s="18"/>
      <c r="H131" s="511"/>
    </row>
    <row r="132" spans="1:8" ht="12.75">
      <c r="A132" s="77" t="s">
        <v>277</v>
      </c>
      <c r="B132" s="13" t="s">
        <v>276</v>
      </c>
      <c r="C132" s="515" t="s">
        <v>155</v>
      </c>
      <c r="D132" s="511"/>
      <c r="E132" s="18"/>
      <c r="H132" s="511"/>
    </row>
    <row r="133" spans="1:8" ht="12.75">
      <c r="A133" s="11" t="s">
        <v>281</v>
      </c>
      <c r="B133" s="13" t="s">
        <v>279</v>
      </c>
      <c r="C133" s="512"/>
      <c r="D133" s="511"/>
      <c r="E133" s="18"/>
      <c r="H133" s="511"/>
    </row>
    <row r="134" spans="1:8" ht="12.75">
      <c r="A134" s="11" t="s">
        <v>285</v>
      </c>
      <c r="B134" s="13" t="s">
        <v>284</v>
      </c>
      <c r="C134" s="15" t="s">
        <v>374</v>
      </c>
      <c r="D134" s="511"/>
      <c r="E134" s="18"/>
      <c r="H134" s="512"/>
    </row>
    <row r="135" spans="1:8" ht="12.75">
      <c r="A135" s="11" t="s">
        <v>289</v>
      </c>
      <c r="B135" s="13" t="s">
        <v>287</v>
      </c>
      <c r="C135" s="15" t="s">
        <v>155</v>
      </c>
      <c r="D135" s="511"/>
      <c r="E135" s="18"/>
      <c r="H135" s="514" t="s">
        <v>81</v>
      </c>
    </row>
    <row r="136" spans="1:8" ht="12.75">
      <c r="A136" s="11" t="s">
        <v>293</v>
      </c>
      <c r="B136" s="13" t="s">
        <v>292</v>
      </c>
      <c r="C136" s="15" t="s">
        <v>374</v>
      </c>
      <c r="D136" s="511"/>
      <c r="E136" s="18"/>
      <c r="H136" s="511"/>
    </row>
    <row r="137" spans="1:8" ht="12.75">
      <c r="A137" s="11" t="s">
        <v>297</v>
      </c>
      <c r="B137" s="13" t="s">
        <v>295</v>
      </c>
      <c r="C137" s="15" t="s">
        <v>155</v>
      </c>
      <c r="D137" s="511"/>
      <c r="E137" s="18"/>
      <c r="H137" s="512"/>
    </row>
    <row r="138" spans="1:8" ht="12.75">
      <c r="A138" s="77" t="s">
        <v>480</v>
      </c>
      <c r="B138" s="13" t="s">
        <v>300</v>
      </c>
      <c r="C138" s="15" t="s">
        <v>155</v>
      </c>
      <c r="D138" s="511"/>
      <c r="E138" s="18"/>
      <c r="H138" s="514" t="s">
        <v>140</v>
      </c>
    </row>
    <row r="139" spans="1:8" ht="12.75">
      <c r="A139" s="11" t="s">
        <v>482</v>
      </c>
      <c r="B139" s="13" t="s">
        <v>303</v>
      </c>
      <c r="C139" s="15" t="s">
        <v>374</v>
      </c>
      <c r="D139" s="511"/>
      <c r="E139" s="18"/>
      <c r="H139" s="511"/>
    </row>
    <row r="140" spans="1:8" ht="12.75">
      <c r="A140" s="11" t="s">
        <v>307</v>
      </c>
      <c r="B140" s="13" t="s">
        <v>307</v>
      </c>
      <c r="C140" s="15" t="s">
        <v>155</v>
      </c>
      <c r="D140" s="511"/>
      <c r="E140" s="18"/>
      <c r="H140" s="512"/>
    </row>
    <row r="141" spans="1:8" ht="12.75">
      <c r="A141" s="11" t="s">
        <v>45</v>
      </c>
      <c r="B141" s="13" t="s">
        <v>348</v>
      </c>
      <c r="C141" s="15" t="s">
        <v>351</v>
      </c>
      <c r="D141" s="511"/>
      <c r="E141" s="18"/>
      <c r="H141" s="514" t="s">
        <v>268</v>
      </c>
    </row>
    <row r="142" spans="1:8" ht="12.75">
      <c r="A142" s="11" t="s">
        <v>30</v>
      </c>
      <c r="B142" s="514" t="s">
        <v>440</v>
      </c>
      <c r="C142" s="515" t="s">
        <v>207</v>
      </c>
      <c r="D142" s="511"/>
      <c r="E142" s="18"/>
      <c r="H142" s="511"/>
    </row>
    <row r="143" spans="1:8" ht="12.75">
      <c r="A143" s="11" t="s">
        <v>32</v>
      </c>
      <c r="B143" s="512"/>
      <c r="C143" s="512"/>
      <c r="D143" s="511"/>
      <c r="E143" s="18"/>
      <c r="H143" s="511"/>
    </row>
    <row r="144" spans="1:8" ht="12.75">
      <c r="A144" s="11" t="s">
        <v>19</v>
      </c>
      <c r="B144" s="13" t="s">
        <v>443</v>
      </c>
      <c r="C144" s="15" t="s">
        <v>271</v>
      </c>
      <c r="D144" s="511"/>
      <c r="E144" s="18"/>
      <c r="H144" s="511"/>
    </row>
    <row r="145" spans="1:8" ht="12.75">
      <c r="A145" s="11" t="s">
        <v>25</v>
      </c>
      <c r="B145" s="514" t="s">
        <v>445</v>
      </c>
      <c r="C145" s="523" t="s">
        <v>207</v>
      </c>
      <c r="D145" s="511"/>
      <c r="E145" s="18"/>
      <c r="H145" s="511"/>
    </row>
    <row r="146" spans="1:8" ht="12.75">
      <c r="A146" s="11" t="s">
        <v>28</v>
      </c>
      <c r="B146" s="512"/>
      <c r="C146" s="512"/>
      <c r="D146" s="511"/>
      <c r="E146" s="18"/>
      <c r="H146" s="511"/>
    </row>
    <row r="147" spans="1:8" ht="12.75">
      <c r="A147" s="11" t="s">
        <v>27</v>
      </c>
      <c r="B147" s="13" t="s">
        <v>449</v>
      </c>
      <c r="C147" s="15" t="s">
        <v>155</v>
      </c>
      <c r="D147" s="511"/>
      <c r="E147" s="18"/>
      <c r="H147" s="511"/>
    </row>
    <row r="148" spans="1:8" ht="12.75">
      <c r="A148" s="11" t="s">
        <v>24</v>
      </c>
      <c r="B148" s="13" t="s">
        <v>452</v>
      </c>
      <c r="C148" s="15" t="s">
        <v>374</v>
      </c>
      <c r="D148" s="511"/>
      <c r="E148" s="18"/>
      <c r="H148" s="511"/>
    </row>
    <row r="149" spans="1:8" ht="12.75">
      <c r="A149" s="11" t="s">
        <v>52</v>
      </c>
      <c r="B149" s="13" t="s">
        <v>52</v>
      </c>
      <c r="C149" s="15" t="s">
        <v>491</v>
      </c>
      <c r="D149" s="511"/>
      <c r="E149" s="18"/>
      <c r="H149" s="511"/>
    </row>
    <row r="150" spans="1:8" ht="12.75">
      <c r="A150" s="11" t="s">
        <v>54</v>
      </c>
      <c r="B150" s="13" t="s">
        <v>456</v>
      </c>
      <c r="C150" s="15" t="s">
        <v>65</v>
      </c>
      <c r="D150" s="511"/>
      <c r="E150" s="18"/>
      <c r="H150" s="511"/>
    </row>
    <row r="151" spans="1:8" ht="12.75">
      <c r="A151" s="11" t="s">
        <v>55</v>
      </c>
      <c r="B151" s="13" t="s">
        <v>55</v>
      </c>
      <c r="C151" s="15" t="s">
        <v>103</v>
      </c>
      <c r="D151" s="511"/>
      <c r="E151" s="18"/>
      <c r="H151" s="511"/>
    </row>
    <row r="152" spans="1:8" ht="12.75">
      <c r="A152" s="11" t="s">
        <v>46</v>
      </c>
      <c r="B152" s="514" t="s">
        <v>459</v>
      </c>
      <c r="C152" s="515" t="s">
        <v>493</v>
      </c>
      <c r="D152" s="511"/>
      <c r="E152" s="18"/>
      <c r="H152" s="511"/>
    </row>
    <row r="153" spans="1:8" ht="12.75">
      <c r="A153" s="11" t="s">
        <v>47</v>
      </c>
      <c r="B153" s="511"/>
      <c r="C153" s="511"/>
      <c r="D153" s="511"/>
      <c r="E153" s="18"/>
      <c r="H153" s="511"/>
    </row>
    <row r="154" spans="1:8" ht="12.75">
      <c r="A154" s="11" t="s">
        <v>48</v>
      </c>
      <c r="B154" s="511"/>
      <c r="C154" s="511"/>
      <c r="D154" s="511"/>
      <c r="E154" s="18"/>
      <c r="H154" s="511"/>
    </row>
    <row r="155" spans="1:8" ht="12.75">
      <c r="A155" s="11" t="s">
        <v>50</v>
      </c>
      <c r="B155" s="512"/>
      <c r="C155" s="512"/>
      <c r="D155" s="512"/>
      <c r="E155" s="18"/>
      <c r="H155" s="512"/>
    </row>
    <row r="156" spans="1:8" ht="12.75">
      <c r="A156" s="11" t="s">
        <v>33</v>
      </c>
      <c r="B156" s="13" t="s">
        <v>425</v>
      </c>
      <c r="C156" s="15" t="s">
        <v>155</v>
      </c>
      <c r="D156" s="522" t="s">
        <v>66</v>
      </c>
      <c r="E156" s="18"/>
      <c r="H156" s="514" t="s">
        <v>268</v>
      </c>
    </row>
    <row r="157" spans="1:8" ht="12.75">
      <c r="A157" s="11" t="s">
        <v>34</v>
      </c>
      <c r="B157" s="13" t="s">
        <v>499</v>
      </c>
      <c r="C157" s="15" t="s">
        <v>31</v>
      </c>
      <c r="D157" s="511"/>
      <c r="E157" s="18"/>
      <c r="H157" s="512"/>
    </row>
    <row r="158" spans="1:8" ht="12.75">
      <c r="A158" s="77" t="s">
        <v>231</v>
      </c>
      <c r="B158" s="13" t="s">
        <v>500</v>
      </c>
      <c r="C158" s="15" t="s">
        <v>155</v>
      </c>
      <c r="D158" s="511"/>
      <c r="E158" s="18"/>
      <c r="H158" s="514" t="s">
        <v>176</v>
      </c>
    </row>
    <row r="159" spans="1:8" ht="25.5">
      <c r="A159" s="84" t="s">
        <v>501</v>
      </c>
      <c r="B159" s="13" t="s">
        <v>502</v>
      </c>
      <c r="C159" s="86" t="s">
        <v>238</v>
      </c>
      <c r="D159" s="511"/>
      <c r="E159" s="18"/>
      <c r="H159" s="512"/>
    </row>
    <row r="160" spans="1:8" ht="12.75">
      <c r="A160" s="77" t="s">
        <v>206</v>
      </c>
      <c r="B160" s="13" t="s">
        <v>204</v>
      </c>
      <c r="C160" s="515" t="s">
        <v>155</v>
      </c>
      <c r="D160" s="511"/>
      <c r="E160" s="18"/>
      <c r="H160" s="15" t="s">
        <v>165</v>
      </c>
    </row>
    <row r="161" spans="1:8" ht="12.75">
      <c r="A161" s="11" t="s">
        <v>363</v>
      </c>
      <c r="B161" s="13" t="s">
        <v>358</v>
      </c>
      <c r="C161" s="512"/>
      <c r="D161" s="511"/>
      <c r="E161" s="18"/>
      <c r="H161" s="8" t="s">
        <v>198</v>
      </c>
    </row>
    <row r="162" spans="1:8" ht="12.75">
      <c r="A162" s="11" t="s">
        <v>256</v>
      </c>
      <c r="B162" s="13" t="s">
        <v>256</v>
      </c>
      <c r="C162" s="15" t="s">
        <v>238</v>
      </c>
      <c r="D162" s="511"/>
      <c r="E162" s="18"/>
      <c r="H162" s="8" t="s">
        <v>196</v>
      </c>
    </row>
    <row r="163" spans="1:8" ht="12.75">
      <c r="A163" s="11" t="s">
        <v>64</v>
      </c>
      <c r="B163" s="13" t="s">
        <v>64</v>
      </c>
      <c r="C163" s="15" t="s">
        <v>155</v>
      </c>
      <c r="D163" s="511"/>
      <c r="E163" s="18"/>
      <c r="H163" s="8" t="s">
        <v>13</v>
      </c>
    </row>
    <row r="164" spans="1:8" ht="12.75">
      <c r="A164" s="11" t="s">
        <v>168</v>
      </c>
      <c r="B164" s="13" t="s">
        <v>168</v>
      </c>
      <c r="C164" s="515" t="s">
        <v>491</v>
      </c>
      <c r="D164" s="511"/>
      <c r="E164" s="18"/>
      <c r="H164" s="8" t="s">
        <v>140</v>
      </c>
    </row>
    <row r="165" spans="1:8" ht="12.75">
      <c r="A165" s="11" t="s">
        <v>132</v>
      </c>
      <c r="B165" s="13" t="s">
        <v>132</v>
      </c>
      <c r="C165" s="512"/>
      <c r="D165" s="512"/>
      <c r="E165" s="18"/>
      <c r="H165" s="8" t="s">
        <v>113</v>
      </c>
    </row>
    <row r="166" spans="1:8" ht="12.75">
      <c r="A166" s="11" t="s">
        <v>510</v>
      </c>
      <c r="B166" s="514" t="s">
        <v>511</v>
      </c>
      <c r="C166" s="515" t="s">
        <v>128</v>
      </c>
      <c r="D166" s="514" t="s">
        <v>513</v>
      </c>
      <c r="E166" s="514"/>
      <c r="H166" s="514" t="s">
        <v>79</v>
      </c>
    </row>
    <row r="167" spans="1:8" ht="12.75">
      <c r="A167" s="11" t="s">
        <v>517</v>
      </c>
      <c r="B167" s="511"/>
      <c r="C167" s="511"/>
      <c r="D167" s="511"/>
      <c r="E167" s="511"/>
      <c r="H167" s="511"/>
    </row>
    <row r="168" spans="1:8" ht="12.75">
      <c r="A168" s="11" t="s">
        <v>518</v>
      </c>
      <c r="B168" s="512"/>
      <c r="C168" s="512"/>
      <c r="D168" s="511"/>
      <c r="E168" s="512"/>
      <c r="H168" s="511"/>
    </row>
    <row r="169" spans="1:8" ht="12.75">
      <c r="A169" s="7" t="s">
        <v>519</v>
      </c>
      <c r="B169" s="514" t="s">
        <v>520</v>
      </c>
      <c r="C169" s="515" t="s">
        <v>207</v>
      </c>
      <c r="D169" s="511"/>
      <c r="E169" s="514"/>
      <c r="H169" s="511"/>
    </row>
    <row r="170" spans="1:8" ht="12.75">
      <c r="A170" s="7" t="s">
        <v>521</v>
      </c>
      <c r="B170" s="512"/>
      <c r="C170" s="512"/>
      <c r="D170" s="511"/>
      <c r="E170" s="512"/>
      <c r="H170" s="511"/>
    </row>
    <row r="171" spans="1:8" ht="12.75">
      <c r="A171" s="11" t="s">
        <v>522</v>
      </c>
      <c r="B171" s="13" t="s">
        <v>523</v>
      </c>
      <c r="C171" s="15" t="s">
        <v>374</v>
      </c>
      <c r="D171" s="511"/>
      <c r="E171" s="18"/>
      <c r="H171" s="511"/>
    </row>
    <row r="172" spans="1:8" ht="12.75">
      <c r="A172" s="11" t="s">
        <v>524</v>
      </c>
      <c r="B172" s="13" t="s">
        <v>525</v>
      </c>
      <c r="C172" s="515" t="s">
        <v>238</v>
      </c>
      <c r="D172" s="511"/>
      <c r="E172" s="18"/>
      <c r="H172" s="511"/>
    </row>
    <row r="173" spans="1:8" ht="12.75">
      <c r="A173" s="11" t="s">
        <v>526</v>
      </c>
      <c r="B173" s="13" t="s">
        <v>527</v>
      </c>
      <c r="C173" s="512"/>
      <c r="D173" s="511"/>
      <c r="E173" s="18"/>
      <c r="H173" s="511"/>
    </row>
    <row r="174" spans="1:8" ht="12.75">
      <c r="A174" s="11" t="s">
        <v>528</v>
      </c>
      <c r="B174" s="13" t="s">
        <v>529</v>
      </c>
      <c r="C174" s="15" t="s">
        <v>155</v>
      </c>
      <c r="D174" s="511"/>
      <c r="E174" s="18"/>
      <c r="H174" s="511"/>
    </row>
    <row r="175" spans="1:8" ht="12.75">
      <c r="A175" s="11" t="s">
        <v>530</v>
      </c>
      <c r="B175" s="13" t="s">
        <v>263</v>
      </c>
      <c r="C175" s="15" t="s">
        <v>374</v>
      </c>
      <c r="D175" s="511"/>
      <c r="E175" s="18"/>
      <c r="H175" s="511"/>
    </row>
    <row r="176" spans="1:8" ht="12.75">
      <c r="A176" s="11" t="s">
        <v>531</v>
      </c>
      <c r="B176" s="514" t="s">
        <v>532</v>
      </c>
      <c r="C176" s="515" t="s">
        <v>207</v>
      </c>
      <c r="D176" s="511"/>
      <c r="E176" s="18"/>
      <c r="H176" s="511"/>
    </row>
    <row r="177" spans="1:8" ht="12.75">
      <c r="A177" s="11" t="s">
        <v>533</v>
      </c>
      <c r="B177" s="512"/>
      <c r="C177" s="512"/>
      <c r="D177" s="511"/>
      <c r="E177" s="18"/>
      <c r="H177" s="511"/>
    </row>
    <row r="178" spans="1:8" ht="12.75">
      <c r="A178" s="11" t="s">
        <v>534</v>
      </c>
      <c r="B178" s="13" t="s">
        <v>535</v>
      </c>
      <c r="C178" s="15" t="s">
        <v>374</v>
      </c>
      <c r="D178" s="511"/>
      <c r="E178" s="18"/>
      <c r="H178" s="511"/>
    </row>
    <row r="179" spans="1:8" ht="12.75">
      <c r="A179" s="11" t="s">
        <v>83</v>
      </c>
      <c r="B179" s="13" t="s">
        <v>536</v>
      </c>
      <c r="C179" s="15" t="s">
        <v>155</v>
      </c>
      <c r="D179" s="511"/>
      <c r="E179" s="18"/>
      <c r="H179" s="512"/>
    </row>
    <row r="180" spans="1:8" ht="12.75">
      <c r="A180" s="11" t="s">
        <v>537</v>
      </c>
      <c r="B180" s="514" t="s">
        <v>538</v>
      </c>
      <c r="C180" s="515" t="s">
        <v>207</v>
      </c>
      <c r="D180" s="511"/>
      <c r="E180" s="18"/>
      <c r="H180" s="13"/>
    </row>
    <row r="181" spans="1:8" ht="12.75">
      <c r="A181" s="7" t="s">
        <v>539</v>
      </c>
      <c r="B181" s="512"/>
      <c r="C181" s="512"/>
      <c r="D181" s="511"/>
      <c r="E181" s="18"/>
      <c r="H181" s="13"/>
    </row>
    <row r="182" spans="1:8" ht="12.75">
      <c r="A182" s="11" t="s">
        <v>540</v>
      </c>
      <c r="B182" s="13" t="s">
        <v>541</v>
      </c>
      <c r="C182" s="15" t="s">
        <v>374</v>
      </c>
      <c r="D182" s="511"/>
      <c r="E182" s="18"/>
      <c r="H182" s="13"/>
    </row>
    <row r="183" spans="1:8" ht="12.75">
      <c r="A183" s="11" t="s">
        <v>542</v>
      </c>
      <c r="B183" s="13" t="s">
        <v>543</v>
      </c>
      <c r="C183" s="15" t="s">
        <v>155</v>
      </c>
      <c r="D183" s="511"/>
      <c r="E183" s="18"/>
      <c r="H183" s="13"/>
    </row>
    <row r="184" spans="1:8" ht="12.75">
      <c r="A184" s="11" t="s">
        <v>544</v>
      </c>
      <c r="B184" s="13" t="s">
        <v>545</v>
      </c>
      <c r="C184" s="15" t="s">
        <v>374</v>
      </c>
      <c r="D184" s="511"/>
      <c r="E184" s="18"/>
      <c r="H184" s="13"/>
    </row>
    <row r="185" spans="1:8" ht="12.75">
      <c r="A185" s="11" t="s">
        <v>547</v>
      </c>
      <c r="B185" s="514" t="s">
        <v>547</v>
      </c>
      <c r="C185" s="515" t="s">
        <v>155</v>
      </c>
      <c r="D185" s="511"/>
      <c r="E185" s="18"/>
      <c r="H185" s="13"/>
    </row>
    <row r="186" spans="1:8" ht="12.75">
      <c r="A186" s="11" t="s">
        <v>548</v>
      </c>
      <c r="B186" s="512"/>
      <c r="C186" s="512"/>
      <c r="D186" s="511"/>
      <c r="E186" s="18"/>
      <c r="H186" s="13"/>
    </row>
    <row r="187" spans="1:8" ht="12.75">
      <c r="A187" s="11" t="s">
        <v>549</v>
      </c>
      <c r="B187" s="13" t="s">
        <v>549</v>
      </c>
      <c r="C187" s="13" t="s">
        <v>207</v>
      </c>
      <c r="D187" s="511"/>
      <c r="E187" s="18"/>
      <c r="H187" s="13"/>
    </row>
    <row r="188" spans="1:8" ht="12.75">
      <c r="A188" s="11" t="s">
        <v>551</v>
      </c>
      <c r="B188" s="13" t="s">
        <v>551</v>
      </c>
      <c r="C188" s="15" t="s">
        <v>374</v>
      </c>
      <c r="D188" s="511"/>
      <c r="E188" s="18"/>
      <c r="H188" s="13"/>
    </row>
    <row r="189" spans="1:8" ht="12.75">
      <c r="A189" s="11" t="s">
        <v>110</v>
      </c>
      <c r="B189" s="514" t="s">
        <v>552</v>
      </c>
      <c r="C189" s="515" t="s">
        <v>553</v>
      </c>
      <c r="D189" s="511"/>
      <c r="E189" s="18"/>
      <c r="H189" s="13"/>
    </row>
    <row r="190" spans="1:8" ht="12.75">
      <c r="A190" s="11" t="s">
        <v>129</v>
      </c>
      <c r="B190" s="511"/>
      <c r="C190" s="511"/>
      <c r="D190" s="511"/>
      <c r="E190" s="18"/>
      <c r="H190" s="13"/>
    </row>
    <row r="191" spans="1:8" ht="12.75">
      <c r="A191" s="11" t="s">
        <v>135</v>
      </c>
      <c r="B191" s="512"/>
      <c r="C191" s="512"/>
      <c r="D191" s="511"/>
      <c r="E191" s="18"/>
      <c r="H191" s="13"/>
    </row>
    <row r="192" spans="1:8" ht="12.75">
      <c r="A192" s="11" t="s">
        <v>554</v>
      </c>
      <c r="B192" s="13" t="s">
        <v>555</v>
      </c>
      <c r="C192" s="15" t="s">
        <v>155</v>
      </c>
      <c r="D192" s="511"/>
      <c r="E192" s="18"/>
      <c r="H192" s="13"/>
    </row>
    <row r="193" spans="1:8" ht="12.75">
      <c r="A193" s="11" t="s">
        <v>556</v>
      </c>
      <c r="B193" s="13" t="s">
        <v>557</v>
      </c>
      <c r="C193" s="15" t="s">
        <v>374</v>
      </c>
      <c r="D193" s="511"/>
      <c r="E193" s="18"/>
      <c r="H193" s="13"/>
    </row>
    <row r="194" spans="1:8" ht="12.75">
      <c r="A194" s="11" t="s">
        <v>558</v>
      </c>
      <c r="B194" s="13" t="s">
        <v>558</v>
      </c>
      <c r="C194" s="15" t="s">
        <v>155</v>
      </c>
      <c r="D194" s="511"/>
      <c r="E194" s="18"/>
      <c r="H194" s="13"/>
    </row>
    <row r="195" spans="1:8" ht="12.75">
      <c r="A195" s="11" t="s">
        <v>559</v>
      </c>
      <c r="B195" s="13" t="s">
        <v>559</v>
      </c>
      <c r="C195" s="15" t="s">
        <v>374</v>
      </c>
      <c r="D195" s="511"/>
      <c r="E195" s="18"/>
      <c r="H195" s="13"/>
    </row>
    <row r="196" spans="1:8" ht="12.75">
      <c r="A196" s="11" t="s">
        <v>137</v>
      </c>
      <c r="B196" s="13" t="s">
        <v>154</v>
      </c>
      <c r="C196" s="15" t="s">
        <v>155</v>
      </c>
      <c r="D196" s="511"/>
      <c r="E196" s="18"/>
      <c r="H196" s="13"/>
    </row>
    <row r="197" spans="1:8" ht="12.75">
      <c r="A197" s="11" t="s">
        <v>560</v>
      </c>
      <c r="B197" s="13" t="s">
        <v>561</v>
      </c>
      <c r="C197" s="15" t="s">
        <v>374</v>
      </c>
      <c r="D197" s="511"/>
      <c r="E197" s="18"/>
      <c r="H197" s="13"/>
    </row>
    <row r="198" spans="1:8" ht="12.75">
      <c r="A198" s="11" t="s">
        <v>562</v>
      </c>
      <c r="B198" s="514" t="s">
        <v>563</v>
      </c>
      <c r="C198" s="514" t="s">
        <v>207</v>
      </c>
      <c r="D198" s="511"/>
      <c r="E198" s="18"/>
      <c r="H198" s="13"/>
    </row>
    <row r="199" spans="1:8" ht="12.75">
      <c r="A199" s="11" t="s">
        <v>564</v>
      </c>
      <c r="B199" s="512"/>
      <c r="C199" s="512"/>
      <c r="D199" s="511"/>
      <c r="E199" s="18"/>
      <c r="H199" s="13"/>
    </row>
    <row r="200" spans="1:8" ht="12.75">
      <c r="A200" s="11" t="s">
        <v>149</v>
      </c>
      <c r="B200" s="13" t="s">
        <v>149</v>
      </c>
      <c r="C200" s="15" t="s">
        <v>374</v>
      </c>
      <c r="D200" s="511"/>
      <c r="E200" s="18"/>
      <c r="H200" s="13"/>
    </row>
    <row r="201" spans="1:8" ht="12.75">
      <c r="A201" s="11" t="s">
        <v>565</v>
      </c>
      <c r="B201" s="13" t="s">
        <v>566</v>
      </c>
      <c r="C201" s="15" t="s">
        <v>155</v>
      </c>
      <c r="D201" s="511"/>
      <c r="E201" s="18"/>
      <c r="H201" s="13"/>
    </row>
    <row r="202" spans="1:8" ht="12.75">
      <c r="A202" s="7" t="s">
        <v>568</v>
      </c>
      <c r="B202" s="13" t="s">
        <v>569</v>
      </c>
      <c r="C202" s="13" t="s">
        <v>207</v>
      </c>
      <c r="D202" s="511"/>
      <c r="E202" s="18"/>
      <c r="H202" s="13"/>
    </row>
    <row r="203" spans="1:8" ht="12.75">
      <c r="A203" s="11" t="s">
        <v>156</v>
      </c>
      <c r="B203" s="13" t="s">
        <v>570</v>
      </c>
      <c r="C203" s="15" t="s">
        <v>374</v>
      </c>
      <c r="D203" s="511"/>
      <c r="E203" s="18"/>
      <c r="H203" s="13"/>
    </row>
    <row r="204" spans="1:8" ht="12.75">
      <c r="A204" s="11" t="s">
        <v>161</v>
      </c>
      <c r="B204" s="13" t="s">
        <v>571</v>
      </c>
      <c r="C204" s="15" t="s">
        <v>553</v>
      </c>
      <c r="D204" s="511"/>
      <c r="E204" s="18"/>
      <c r="H204" s="13"/>
    </row>
    <row r="205" spans="1:8" ht="12.75">
      <c r="A205" s="11" t="s">
        <v>572</v>
      </c>
      <c r="B205" s="13" t="s">
        <v>573</v>
      </c>
      <c r="C205" s="13" t="s">
        <v>207</v>
      </c>
      <c r="D205" s="511"/>
      <c r="E205" s="18"/>
      <c r="H205" s="13"/>
    </row>
    <row r="206" spans="1:8" ht="12.75">
      <c r="A206" s="11" t="s">
        <v>574</v>
      </c>
      <c r="B206" s="13" t="s">
        <v>575</v>
      </c>
      <c r="C206" s="15" t="s">
        <v>374</v>
      </c>
      <c r="D206" s="511"/>
      <c r="E206" s="18"/>
      <c r="H206" s="13"/>
    </row>
    <row r="207" spans="1:8" ht="12.75">
      <c r="A207" s="11" t="s">
        <v>166</v>
      </c>
      <c r="B207" s="13" t="s">
        <v>576</v>
      </c>
      <c r="C207" s="15" t="s">
        <v>155</v>
      </c>
      <c r="D207" s="511"/>
      <c r="E207" s="18"/>
      <c r="H207" s="13"/>
    </row>
    <row r="208" spans="1:8" ht="12.75">
      <c r="A208" s="11" t="s">
        <v>577</v>
      </c>
      <c r="B208" s="13" t="s">
        <v>578</v>
      </c>
      <c r="C208" s="15" t="s">
        <v>374</v>
      </c>
      <c r="D208" s="511"/>
      <c r="E208" s="18"/>
      <c r="H208" s="13"/>
    </row>
    <row r="209" spans="1:8" ht="12.75">
      <c r="A209" s="11" t="s">
        <v>170</v>
      </c>
      <c r="B209" s="13" t="s">
        <v>579</v>
      </c>
      <c r="C209" s="15" t="s">
        <v>491</v>
      </c>
      <c r="D209" s="511"/>
      <c r="E209" s="18"/>
      <c r="H209" s="13"/>
    </row>
    <row r="210" spans="1:8" ht="12.75">
      <c r="A210" s="7" t="s">
        <v>580</v>
      </c>
      <c r="B210" s="514" t="s">
        <v>581</v>
      </c>
      <c r="C210" s="515" t="s">
        <v>207</v>
      </c>
      <c r="D210" s="511"/>
      <c r="E210" s="18"/>
      <c r="H210" s="13"/>
    </row>
    <row r="211" spans="1:8" ht="12.75">
      <c r="A211" s="11" t="s">
        <v>582</v>
      </c>
      <c r="B211" s="511"/>
      <c r="C211" s="511"/>
      <c r="D211" s="511"/>
      <c r="E211" s="18"/>
      <c r="H211" s="13"/>
    </row>
    <row r="212" spans="1:8" ht="12.75">
      <c r="A212" s="11" t="s">
        <v>584</v>
      </c>
      <c r="B212" s="512"/>
      <c r="C212" s="512"/>
      <c r="D212" s="511"/>
      <c r="E212" s="18"/>
      <c r="H212" s="13"/>
    </row>
    <row r="213" spans="1:8" ht="12.75">
      <c r="A213" s="7" t="s">
        <v>585</v>
      </c>
      <c r="B213" s="514" t="s">
        <v>586</v>
      </c>
      <c r="C213" s="514" t="s">
        <v>207</v>
      </c>
      <c r="D213" s="511"/>
      <c r="E213" s="18"/>
      <c r="H213" s="13"/>
    </row>
    <row r="214" spans="1:8" ht="12.75">
      <c r="A214" s="11" t="s">
        <v>587</v>
      </c>
      <c r="B214" s="512"/>
      <c r="C214" s="512"/>
      <c r="D214" s="511"/>
      <c r="E214" s="18"/>
      <c r="H214" s="13"/>
    </row>
    <row r="215" spans="1:8" ht="12.75">
      <c r="A215" s="11" t="s">
        <v>588</v>
      </c>
      <c r="B215" s="13" t="s">
        <v>589</v>
      </c>
      <c r="C215" s="15" t="s">
        <v>155</v>
      </c>
      <c r="D215" s="511"/>
      <c r="E215" s="18"/>
      <c r="H215" s="13"/>
    </row>
    <row r="216" spans="1:8" ht="12.75">
      <c r="A216" s="7" t="s">
        <v>590</v>
      </c>
      <c r="B216" s="13" t="s">
        <v>591</v>
      </c>
      <c r="C216" s="13" t="s">
        <v>207</v>
      </c>
      <c r="D216" s="511"/>
      <c r="E216" s="18"/>
      <c r="H216" s="13"/>
    </row>
    <row r="217" spans="1:8" ht="12.75">
      <c r="A217" s="11" t="s">
        <v>592</v>
      </c>
      <c r="B217" s="13" t="s">
        <v>593</v>
      </c>
      <c r="C217" s="15" t="s">
        <v>374</v>
      </c>
      <c r="D217" s="511"/>
      <c r="E217" s="18"/>
      <c r="H217" s="13"/>
    </row>
    <row r="218" spans="1:8" ht="12.75">
      <c r="A218" s="11" t="s">
        <v>594</v>
      </c>
      <c r="B218" s="13" t="s">
        <v>595</v>
      </c>
      <c r="C218" s="15" t="s">
        <v>155</v>
      </c>
      <c r="D218" s="511"/>
      <c r="E218" s="18"/>
      <c r="H218" s="13"/>
    </row>
    <row r="219" spans="1:8" ht="12.75">
      <c r="A219" s="7" t="s">
        <v>179</v>
      </c>
      <c r="B219" s="13" t="s">
        <v>596</v>
      </c>
      <c r="C219" s="15" t="s">
        <v>31</v>
      </c>
      <c r="D219" s="511"/>
      <c r="E219" s="18"/>
      <c r="H219" s="13"/>
    </row>
    <row r="220" spans="1:8" ht="12.75">
      <c r="A220" s="7" t="s">
        <v>189</v>
      </c>
      <c r="B220" s="13" t="s">
        <v>597</v>
      </c>
      <c r="C220" s="15" t="s">
        <v>598</v>
      </c>
      <c r="D220" s="511"/>
      <c r="E220" s="18"/>
      <c r="H220" s="13"/>
    </row>
    <row r="221" spans="1:8" ht="12.75">
      <c r="A221" s="7" t="s">
        <v>193</v>
      </c>
      <c r="B221" s="13" t="s">
        <v>193</v>
      </c>
      <c r="C221" s="15" t="s">
        <v>491</v>
      </c>
      <c r="D221" s="511"/>
      <c r="E221" s="18"/>
      <c r="H221" s="13"/>
    </row>
    <row r="222" spans="1:8" ht="12.75">
      <c r="A222" s="11" t="s">
        <v>197</v>
      </c>
      <c r="B222" s="13" t="s">
        <v>197</v>
      </c>
      <c r="C222" s="15" t="s">
        <v>374</v>
      </c>
      <c r="D222" s="511"/>
      <c r="E222" s="18"/>
      <c r="H222" s="13"/>
    </row>
    <row r="223" spans="1:8" ht="12.75">
      <c r="A223" s="11" t="s">
        <v>599</v>
      </c>
      <c r="B223" s="514" t="s">
        <v>600</v>
      </c>
      <c r="C223" s="515" t="s">
        <v>553</v>
      </c>
      <c r="D223" s="511"/>
      <c r="E223" s="18"/>
      <c r="H223" s="13"/>
    </row>
    <row r="224" spans="1:8" ht="12.75">
      <c r="A224" s="11" t="s">
        <v>601</v>
      </c>
      <c r="B224" s="512"/>
      <c r="C224" s="512"/>
      <c r="D224" s="511"/>
      <c r="E224" s="18"/>
      <c r="H224" s="13"/>
    </row>
    <row r="225" spans="1:8" ht="12.75">
      <c r="A225" s="11" t="s">
        <v>602</v>
      </c>
      <c r="B225" s="514" t="s">
        <v>603</v>
      </c>
      <c r="C225" s="515" t="s">
        <v>374</v>
      </c>
      <c r="D225" s="511"/>
      <c r="E225" s="18"/>
      <c r="H225" s="13"/>
    </row>
    <row r="226" spans="1:8" ht="12.75">
      <c r="A226" s="11" t="s">
        <v>604</v>
      </c>
      <c r="B226" s="512"/>
      <c r="C226" s="512"/>
      <c r="D226" s="511"/>
      <c r="E226" s="18"/>
      <c r="H226" s="13"/>
    </row>
    <row r="227" spans="1:8" ht="12.75">
      <c r="A227" s="11" t="s">
        <v>202</v>
      </c>
      <c r="B227" s="11" t="s">
        <v>202</v>
      </c>
      <c r="C227" s="15" t="s">
        <v>374</v>
      </c>
      <c r="D227" s="511"/>
      <c r="E227" s="18"/>
      <c r="H227" s="13"/>
    </row>
    <row r="228" spans="1:8" ht="12.75">
      <c r="A228" s="77" t="s">
        <v>605</v>
      </c>
      <c r="B228" s="514" t="s">
        <v>606</v>
      </c>
      <c r="C228" s="515" t="s">
        <v>155</v>
      </c>
      <c r="D228" s="511"/>
      <c r="E228" s="18"/>
      <c r="H228" s="13"/>
    </row>
    <row r="229" spans="1:8" ht="12.75">
      <c r="A229" s="11" t="s">
        <v>607</v>
      </c>
      <c r="B229" s="512"/>
      <c r="C229" s="512"/>
      <c r="D229" s="511"/>
      <c r="E229" s="18"/>
      <c r="H229" s="13"/>
    </row>
    <row r="230" spans="1:8" ht="12.75">
      <c r="A230" s="11" t="s">
        <v>608</v>
      </c>
      <c r="B230" s="13" t="s">
        <v>609</v>
      </c>
      <c r="C230" s="15" t="s">
        <v>374</v>
      </c>
      <c r="D230" s="511"/>
      <c r="E230" s="18"/>
      <c r="H230" s="13"/>
    </row>
    <row r="231" spans="1:8" ht="12.75">
      <c r="A231" s="11" t="s">
        <v>610</v>
      </c>
      <c r="B231" s="514" t="s">
        <v>611</v>
      </c>
      <c r="C231" s="515" t="s">
        <v>128</v>
      </c>
      <c r="D231" s="511"/>
      <c r="E231" s="18"/>
      <c r="H231" s="13"/>
    </row>
    <row r="232" spans="1:8" ht="12.75">
      <c r="A232" s="11" t="s">
        <v>612</v>
      </c>
      <c r="B232" s="512"/>
      <c r="C232" s="512"/>
      <c r="D232" s="511"/>
      <c r="E232" s="18"/>
      <c r="H232" s="13"/>
    </row>
    <row r="233" spans="1:8" ht="12.75">
      <c r="A233" s="11" t="s">
        <v>37</v>
      </c>
      <c r="B233" s="514" t="s">
        <v>614</v>
      </c>
      <c r="C233" s="515" t="s">
        <v>151</v>
      </c>
      <c r="D233" s="511"/>
      <c r="E233" s="18"/>
      <c r="H233" s="13"/>
    </row>
    <row r="234" spans="1:8" ht="12.75">
      <c r="A234" s="11" t="s">
        <v>38</v>
      </c>
      <c r="B234" s="511"/>
      <c r="C234" s="511"/>
      <c r="D234" s="511"/>
      <c r="E234" s="18"/>
      <c r="H234" s="13"/>
    </row>
    <row r="235" spans="1:8" ht="12.75">
      <c r="A235" s="11" t="s">
        <v>39</v>
      </c>
      <c r="B235" s="512"/>
      <c r="C235" s="512"/>
      <c r="D235" s="511"/>
      <c r="E235" s="18"/>
      <c r="H235" s="13"/>
    </row>
    <row r="236" spans="1:8" ht="12.75">
      <c r="A236" s="11" t="s">
        <v>36</v>
      </c>
      <c r="B236" s="13" t="s">
        <v>36</v>
      </c>
      <c r="C236" s="15" t="s">
        <v>103</v>
      </c>
      <c r="D236" s="511"/>
      <c r="E236" s="18"/>
      <c r="H236" s="13"/>
    </row>
    <row r="237" spans="1:8" ht="12.75">
      <c r="A237" s="11" t="s">
        <v>615</v>
      </c>
      <c r="B237" s="514" t="s">
        <v>616</v>
      </c>
      <c r="C237" s="515" t="s">
        <v>553</v>
      </c>
      <c r="D237" s="511"/>
      <c r="E237" s="18"/>
      <c r="H237" s="13"/>
    </row>
    <row r="238" spans="1:8" ht="12.75">
      <c r="A238" s="11" t="s">
        <v>617</v>
      </c>
      <c r="B238" s="511"/>
      <c r="C238" s="511"/>
      <c r="D238" s="511"/>
      <c r="E238" s="18"/>
      <c r="H238" s="13"/>
    </row>
    <row r="239" spans="1:8" ht="12.75">
      <c r="A239" s="11" t="s">
        <v>618</v>
      </c>
      <c r="B239" s="511"/>
      <c r="C239" s="511"/>
      <c r="D239" s="511"/>
      <c r="E239" s="18"/>
      <c r="H239" s="13"/>
    </row>
    <row r="240" spans="1:8" ht="12.75">
      <c r="A240" s="11" t="s">
        <v>619</v>
      </c>
      <c r="B240" s="512"/>
      <c r="C240" s="512"/>
      <c r="D240" s="512"/>
      <c r="E240" s="18"/>
      <c r="H240" s="13"/>
    </row>
    <row r="241" spans="1:8" ht="12.75">
      <c r="A241" s="11" t="s">
        <v>620</v>
      </c>
      <c r="B241" s="514" t="s">
        <v>621</v>
      </c>
      <c r="C241" s="515" t="s">
        <v>622</v>
      </c>
      <c r="D241" s="514" t="s">
        <v>623</v>
      </c>
      <c r="E241" s="18"/>
      <c r="H241" s="13"/>
    </row>
    <row r="242" spans="1:8" ht="12.75">
      <c r="A242" s="11" t="s">
        <v>624</v>
      </c>
      <c r="B242" s="511"/>
      <c r="C242" s="511"/>
      <c r="D242" s="511"/>
      <c r="E242" s="18"/>
      <c r="H242" s="13"/>
    </row>
    <row r="243" spans="1:8" ht="12.75">
      <c r="A243" s="11" t="s">
        <v>625</v>
      </c>
      <c r="B243" s="512"/>
      <c r="C243" s="511"/>
      <c r="D243" s="511"/>
      <c r="E243" s="18"/>
      <c r="H243" s="13"/>
    </row>
    <row r="244" spans="1:8" ht="12.75">
      <c r="A244" s="11" t="s">
        <v>626</v>
      </c>
      <c r="B244" s="514" t="s">
        <v>627</v>
      </c>
      <c r="C244" s="511"/>
      <c r="D244" s="511"/>
      <c r="E244" s="18"/>
      <c r="H244" s="13"/>
    </row>
    <row r="245" spans="1:8" ht="12.75">
      <c r="A245" s="11" t="s">
        <v>628</v>
      </c>
      <c r="B245" s="511"/>
      <c r="C245" s="511"/>
      <c r="D245" s="511"/>
      <c r="E245" s="18"/>
      <c r="H245" s="13"/>
    </row>
    <row r="246" spans="1:8" ht="12.75">
      <c r="A246" s="11" t="s">
        <v>629</v>
      </c>
      <c r="B246" s="512"/>
      <c r="C246" s="511"/>
      <c r="D246" s="511"/>
      <c r="E246" s="18"/>
      <c r="H246" s="13"/>
    </row>
    <row r="247" spans="1:8" ht="12.75">
      <c r="A247" s="11" t="s">
        <v>630</v>
      </c>
      <c r="B247" s="514" t="s">
        <v>631</v>
      </c>
      <c r="C247" s="511"/>
      <c r="D247" s="511"/>
      <c r="E247" s="18"/>
      <c r="H247" s="13"/>
    </row>
    <row r="248" spans="1:8" ht="12.75">
      <c r="A248" s="11" t="s">
        <v>632</v>
      </c>
      <c r="B248" s="511"/>
      <c r="C248" s="511"/>
      <c r="D248" s="511"/>
      <c r="E248" s="18"/>
      <c r="H248" s="13"/>
    </row>
    <row r="249" spans="1:8" ht="12.75">
      <c r="A249" s="11" t="s">
        <v>633</v>
      </c>
      <c r="B249" s="512"/>
      <c r="C249" s="512"/>
      <c r="D249" s="512"/>
      <c r="E249" s="18"/>
      <c r="H249" s="13"/>
    </row>
    <row r="250" spans="1:8" ht="12.75">
      <c r="A250" s="11" t="s">
        <v>634</v>
      </c>
      <c r="B250" s="13" t="s">
        <v>634</v>
      </c>
      <c r="C250" s="15" t="s">
        <v>493</v>
      </c>
      <c r="D250" s="514" t="s">
        <v>635</v>
      </c>
      <c r="E250" s="18"/>
      <c r="H250" s="13"/>
    </row>
    <row r="251" spans="1:8" ht="12.75">
      <c r="A251" s="11" t="s">
        <v>211</v>
      </c>
      <c r="B251" s="15" t="s">
        <v>211</v>
      </c>
      <c r="C251" s="515" t="s">
        <v>65</v>
      </c>
      <c r="D251" s="511"/>
      <c r="E251" s="18"/>
      <c r="H251" s="13"/>
    </row>
    <row r="252" spans="1:8" ht="12.75">
      <c r="A252" s="11" t="s">
        <v>637</v>
      </c>
      <c r="B252" s="15" t="s">
        <v>637</v>
      </c>
      <c r="C252" s="511"/>
      <c r="D252" s="511"/>
      <c r="E252" s="18"/>
      <c r="H252" s="13"/>
    </row>
    <row r="253" spans="1:8" ht="12.75">
      <c r="A253" s="11" t="s">
        <v>638</v>
      </c>
      <c r="B253" s="15" t="s">
        <v>638</v>
      </c>
      <c r="C253" s="511"/>
      <c r="D253" s="511"/>
      <c r="E253" s="18"/>
      <c r="H253" s="13"/>
    </row>
    <row r="254" spans="1:8" ht="12.75">
      <c r="A254" s="11" t="s">
        <v>69</v>
      </c>
      <c r="B254" s="15" t="s">
        <v>69</v>
      </c>
      <c r="C254" s="511"/>
      <c r="D254" s="511"/>
      <c r="E254" s="18"/>
      <c r="H254" s="13"/>
    </row>
    <row r="255" spans="1:8" ht="12.75">
      <c r="A255" s="11" t="s">
        <v>639</v>
      </c>
      <c r="B255" s="15" t="s">
        <v>639</v>
      </c>
      <c r="C255" s="512"/>
      <c r="D255" s="511"/>
      <c r="E255" s="18"/>
      <c r="H255" s="13"/>
    </row>
    <row r="256" spans="1:8" ht="12.75">
      <c r="A256" s="11" t="s">
        <v>287</v>
      </c>
      <c r="B256" s="8" t="s">
        <v>287</v>
      </c>
      <c r="C256" s="515" t="s">
        <v>155</v>
      </c>
      <c r="D256" s="511"/>
      <c r="E256" s="18"/>
      <c r="H256" s="13"/>
    </row>
    <row r="257" spans="1:8" ht="12.75">
      <c r="A257" s="11" t="s">
        <v>643</v>
      </c>
      <c r="B257" s="8" t="s">
        <v>643</v>
      </c>
      <c r="C257" s="511"/>
      <c r="D257" s="511"/>
      <c r="E257" s="18"/>
      <c r="H257" s="13"/>
    </row>
    <row r="258" spans="1:8" ht="12.75">
      <c r="A258" s="11" t="s">
        <v>425</v>
      </c>
      <c r="B258" s="8" t="s">
        <v>425</v>
      </c>
      <c r="C258" s="512"/>
      <c r="D258" s="512"/>
      <c r="E258" s="18"/>
      <c r="H258" s="13"/>
    </row>
    <row r="259" spans="1:8" ht="12.75">
      <c r="A259" s="11" t="s">
        <v>646</v>
      </c>
      <c r="B259" s="514" t="s">
        <v>647</v>
      </c>
      <c r="C259" s="515" t="s">
        <v>31</v>
      </c>
      <c r="D259" s="514" t="s">
        <v>649</v>
      </c>
      <c r="E259" s="18"/>
      <c r="H259" s="13"/>
    </row>
    <row r="260" spans="1:8" ht="12.75">
      <c r="A260" s="11" t="s">
        <v>651</v>
      </c>
      <c r="B260" s="512"/>
      <c r="C260" s="512"/>
      <c r="D260" s="511"/>
      <c r="E260" s="18"/>
      <c r="H260" s="13"/>
    </row>
    <row r="261" spans="1:8" ht="12.75">
      <c r="A261" s="11" t="s">
        <v>653</v>
      </c>
      <c r="B261" s="514" t="s">
        <v>654</v>
      </c>
      <c r="C261" s="515" t="s">
        <v>155</v>
      </c>
      <c r="D261" s="511"/>
      <c r="E261" s="18"/>
      <c r="H261" s="13"/>
    </row>
    <row r="262" spans="1:8" ht="12.75">
      <c r="A262" s="11" t="s">
        <v>658</v>
      </c>
      <c r="B262" s="512"/>
      <c r="C262" s="511"/>
      <c r="D262" s="511"/>
      <c r="E262" s="18"/>
      <c r="H262" s="13"/>
    </row>
    <row r="263" spans="1:8" ht="12.75">
      <c r="A263" s="11" t="s">
        <v>659</v>
      </c>
      <c r="B263" s="514" t="s">
        <v>660</v>
      </c>
      <c r="C263" s="511"/>
      <c r="D263" s="511"/>
      <c r="E263" s="18"/>
      <c r="H263" s="13"/>
    </row>
    <row r="264" spans="1:8" ht="12.75">
      <c r="A264" s="11" t="s">
        <v>661</v>
      </c>
      <c r="B264" s="512"/>
      <c r="C264" s="512"/>
      <c r="D264" s="512"/>
      <c r="E264" s="18"/>
      <c r="H264" s="13"/>
    </row>
    <row r="265" spans="1:8" ht="12.75">
      <c r="A265" s="11" t="s">
        <v>662</v>
      </c>
      <c r="B265" s="8" t="s">
        <v>662</v>
      </c>
      <c r="C265" s="515" t="s">
        <v>408</v>
      </c>
      <c r="D265" s="514" t="s">
        <v>663</v>
      </c>
      <c r="E265" s="18"/>
      <c r="H265" s="13"/>
    </row>
    <row r="266" spans="1:8" ht="12.75">
      <c r="A266" s="11" t="s">
        <v>664</v>
      </c>
      <c r="B266" s="8" t="s">
        <v>664</v>
      </c>
      <c r="C266" s="512"/>
      <c r="D266" s="512"/>
      <c r="E266" s="18"/>
      <c r="H266" s="13"/>
    </row>
    <row r="267" spans="1:8" ht="12.75">
      <c r="A267" s="7" t="s">
        <v>310</v>
      </c>
      <c r="B267" s="13" t="s">
        <v>309</v>
      </c>
      <c r="C267" s="514" t="s">
        <v>666</v>
      </c>
      <c r="D267" s="514" t="s">
        <v>311</v>
      </c>
      <c r="E267" s="18"/>
      <c r="H267" s="13"/>
    </row>
    <row r="268" spans="1:8" ht="12.75">
      <c r="A268" s="7" t="s">
        <v>314</v>
      </c>
      <c r="B268" s="13" t="s">
        <v>313</v>
      </c>
      <c r="C268" s="512"/>
      <c r="D268" s="511"/>
      <c r="E268" s="18"/>
      <c r="H268" s="13"/>
    </row>
    <row r="269" spans="1:8" ht="12.75">
      <c r="A269" s="7" t="s">
        <v>317</v>
      </c>
      <c r="B269" s="13" t="s">
        <v>316</v>
      </c>
      <c r="C269" s="13" t="s">
        <v>374</v>
      </c>
      <c r="D269" s="511"/>
      <c r="E269" s="18"/>
      <c r="H269" s="13"/>
    </row>
    <row r="270" spans="1:8" ht="12.75">
      <c r="A270" s="7" t="s">
        <v>323</v>
      </c>
      <c r="B270" s="514" t="s">
        <v>322</v>
      </c>
      <c r="C270" s="514" t="s">
        <v>668</v>
      </c>
      <c r="D270" s="511"/>
      <c r="E270" s="18"/>
      <c r="H270" s="13"/>
    </row>
    <row r="271" spans="1:8" ht="12.75">
      <c r="A271" s="7" t="s">
        <v>324</v>
      </c>
      <c r="B271" s="511"/>
      <c r="C271" s="511"/>
      <c r="D271" s="511"/>
      <c r="E271" s="18"/>
      <c r="H271" s="13"/>
    </row>
    <row r="272" spans="1:8" ht="12.75">
      <c r="A272" s="7" t="s">
        <v>326</v>
      </c>
      <c r="B272" s="511"/>
      <c r="C272" s="511"/>
      <c r="D272" s="511"/>
      <c r="E272" s="18"/>
      <c r="H272" s="13"/>
    </row>
    <row r="273" spans="1:8" ht="12.75">
      <c r="A273" s="7" t="s">
        <v>329</v>
      </c>
      <c r="B273" s="512"/>
      <c r="C273" s="512"/>
      <c r="D273" s="511"/>
      <c r="E273" s="18"/>
      <c r="H273" s="13"/>
    </row>
    <row r="274" spans="1:8" ht="12.75">
      <c r="A274" s="7" t="s">
        <v>335</v>
      </c>
      <c r="B274" s="514" t="s">
        <v>333</v>
      </c>
      <c r="C274" s="514" t="s">
        <v>666</v>
      </c>
      <c r="D274" s="511"/>
      <c r="E274" s="18"/>
      <c r="H274" s="13"/>
    </row>
    <row r="275" spans="1:8" ht="12.75">
      <c r="A275" s="7" t="s">
        <v>337</v>
      </c>
      <c r="B275" s="512"/>
      <c r="C275" s="512"/>
      <c r="D275" s="511"/>
      <c r="E275" s="18"/>
      <c r="H275" s="13"/>
    </row>
    <row r="276" spans="1:8" ht="12.75">
      <c r="A276" s="7" t="s">
        <v>341</v>
      </c>
      <c r="B276" s="514" t="s">
        <v>339</v>
      </c>
      <c r="C276" s="514" t="s">
        <v>374</v>
      </c>
      <c r="D276" s="511"/>
      <c r="E276" s="18"/>
      <c r="H276" s="13"/>
    </row>
    <row r="277" spans="1:8" ht="12.75">
      <c r="A277" s="7" t="s">
        <v>343</v>
      </c>
      <c r="B277" s="512"/>
      <c r="C277" s="512"/>
      <c r="D277" s="512"/>
      <c r="E277" s="18"/>
      <c r="H277" s="13"/>
    </row>
    <row r="278" spans="1:8" ht="12.75">
      <c r="A278" s="54" t="s">
        <v>467</v>
      </c>
      <c r="B278" s="61" t="s">
        <v>467</v>
      </c>
      <c r="C278" s="97" t="s">
        <v>553</v>
      </c>
      <c r="D278" s="514" t="s">
        <v>350</v>
      </c>
      <c r="E278" s="18"/>
      <c r="H278" s="13"/>
    </row>
    <row r="279" spans="1:8" ht="12.75">
      <c r="A279" s="54" t="s">
        <v>469</v>
      </c>
      <c r="B279" s="61" t="s">
        <v>469</v>
      </c>
      <c r="C279" s="97" t="s">
        <v>374</v>
      </c>
      <c r="D279" s="511"/>
      <c r="E279" s="18"/>
      <c r="H279" s="13"/>
    </row>
    <row r="280" spans="1:8" ht="12.75">
      <c r="A280" s="55" t="s">
        <v>349</v>
      </c>
      <c r="B280" s="61" t="s">
        <v>349</v>
      </c>
      <c r="C280" s="524" t="s">
        <v>207</v>
      </c>
      <c r="D280" s="511"/>
      <c r="E280" s="18"/>
      <c r="H280" s="13"/>
    </row>
    <row r="281" spans="1:8" ht="12.75">
      <c r="A281" s="55" t="s">
        <v>353</v>
      </c>
      <c r="B281" s="61" t="s">
        <v>353</v>
      </c>
      <c r="C281" s="512"/>
      <c r="D281" s="511"/>
      <c r="E281" s="18"/>
      <c r="H281" s="13"/>
    </row>
    <row r="282" spans="1:8" ht="12.75">
      <c r="A282" s="55" t="s">
        <v>472</v>
      </c>
      <c r="B282" s="62" t="s">
        <v>472</v>
      </c>
      <c r="C282" s="97" t="s">
        <v>374</v>
      </c>
      <c r="D282" s="511"/>
      <c r="E282" s="18"/>
      <c r="H282" s="13"/>
    </row>
    <row r="283" spans="1:8" ht="12.75">
      <c r="A283" s="55" t="s">
        <v>474</v>
      </c>
      <c r="B283" s="62" t="s">
        <v>474</v>
      </c>
      <c r="C283" s="97" t="s">
        <v>666</v>
      </c>
      <c r="D283" s="511"/>
      <c r="E283" s="18"/>
      <c r="H283" s="13"/>
    </row>
    <row r="284" spans="1:8" ht="12.75">
      <c r="A284" s="7" t="s">
        <v>11</v>
      </c>
      <c r="B284" s="4" t="s">
        <v>11</v>
      </c>
      <c r="C284" s="97" t="s">
        <v>374</v>
      </c>
      <c r="D284" s="511"/>
      <c r="E284" s="18"/>
      <c r="H284" s="13"/>
    </row>
    <row r="285" spans="1:8" ht="12.75">
      <c r="A285" s="7" t="s">
        <v>17</v>
      </c>
      <c r="B285" s="4" t="s">
        <v>17</v>
      </c>
      <c r="C285" s="97" t="s">
        <v>207</v>
      </c>
      <c r="D285" s="512"/>
      <c r="E285" s="18"/>
      <c r="H285" s="13"/>
    </row>
  </sheetData>
  <mergeCells count="166">
    <mergeCell ref="C270:C273"/>
    <mergeCell ref="C274:C275"/>
    <mergeCell ref="C276:C277"/>
    <mergeCell ref="C280:C281"/>
    <mergeCell ref="D265:D266"/>
    <mergeCell ref="D267:D277"/>
    <mergeCell ref="D278:D285"/>
    <mergeCell ref="D2:D127"/>
    <mergeCell ref="D128:D155"/>
    <mergeCell ref="D156:D165"/>
    <mergeCell ref="D166:D240"/>
    <mergeCell ref="D241:D249"/>
    <mergeCell ref="D250:D258"/>
    <mergeCell ref="D259:D264"/>
    <mergeCell ref="C3:C5"/>
    <mergeCell ref="C233:C235"/>
    <mergeCell ref="C237:C240"/>
    <mergeCell ref="C241:C249"/>
    <mergeCell ref="C251:C255"/>
    <mergeCell ref="C256:C258"/>
    <mergeCell ref="C259:C260"/>
    <mergeCell ref="C261:C264"/>
    <mergeCell ref="C265:C266"/>
    <mergeCell ref="C267:C268"/>
    <mergeCell ref="E3:E5"/>
    <mergeCell ref="C8:C10"/>
    <mergeCell ref="E8:E10"/>
    <mergeCell ref="E14:E16"/>
    <mergeCell ref="E26:E28"/>
    <mergeCell ref="C123:C124"/>
    <mergeCell ref="E166:E168"/>
    <mergeCell ref="E169:E170"/>
    <mergeCell ref="C142:C143"/>
    <mergeCell ref="C145:C146"/>
    <mergeCell ref="C152:C155"/>
    <mergeCell ref="C160:C161"/>
    <mergeCell ref="C164:C165"/>
    <mergeCell ref="C166:C168"/>
    <mergeCell ref="C169:C170"/>
    <mergeCell ref="C116:C118"/>
    <mergeCell ref="E116:E118"/>
    <mergeCell ref="C129:C131"/>
    <mergeCell ref="C132:C133"/>
    <mergeCell ref="C14:C16"/>
    <mergeCell ref="C20:C22"/>
    <mergeCell ref="E20:E22"/>
    <mergeCell ref="C26:C28"/>
    <mergeCell ref="C38:C39"/>
    <mergeCell ref="H56:H61"/>
    <mergeCell ref="H62:H67"/>
    <mergeCell ref="C213:C214"/>
    <mergeCell ref="C223:C224"/>
    <mergeCell ref="C225:C226"/>
    <mergeCell ref="C228:C229"/>
    <mergeCell ref="C231:C232"/>
    <mergeCell ref="C172:C173"/>
    <mergeCell ref="C176:C177"/>
    <mergeCell ref="C180:C181"/>
    <mergeCell ref="C185:C186"/>
    <mergeCell ref="C189:C191"/>
    <mergeCell ref="C198:C199"/>
    <mergeCell ref="C210:C212"/>
    <mergeCell ref="H68:H73"/>
    <mergeCell ref="H74:H79"/>
    <mergeCell ref="H80:H85"/>
    <mergeCell ref="C68:C70"/>
    <mergeCell ref="E68:E70"/>
    <mergeCell ref="B86:B89"/>
    <mergeCell ref="B92:B94"/>
    <mergeCell ref="B104:B105"/>
    <mergeCell ref="H110:H115"/>
    <mergeCell ref="C86:C89"/>
    <mergeCell ref="E86:E89"/>
    <mergeCell ref="C92:C94"/>
    <mergeCell ref="E92:E94"/>
    <mergeCell ref="C104:C105"/>
    <mergeCell ref="E104:E105"/>
    <mergeCell ref="E109:E112"/>
    <mergeCell ref="C110:C113"/>
    <mergeCell ref="C99:C100"/>
    <mergeCell ref="C106:C107"/>
    <mergeCell ref="H86:H91"/>
    <mergeCell ref="H92:H97"/>
    <mergeCell ref="H98:H103"/>
    <mergeCell ref="E99:E100"/>
    <mergeCell ref="H104:H109"/>
    <mergeCell ref="C74:C76"/>
    <mergeCell ref="E74:E76"/>
    <mergeCell ref="C80:C81"/>
    <mergeCell ref="E80:E81"/>
    <mergeCell ref="H158:H159"/>
    <mergeCell ref="H166:H179"/>
    <mergeCell ref="H116:H121"/>
    <mergeCell ref="H122:H127"/>
    <mergeCell ref="H128:H134"/>
    <mergeCell ref="H135:H137"/>
    <mergeCell ref="H138:H140"/>
    <mergeCell ref="H141:H155"/>
    <mergeCell ref="H156:H157"/>
    <mergeCell ref="H2:H7"/>
    <mergeCell ref="H8:H13"/>
    <mergeCell ref="H14:H19"/>
    <mergeCell ref="H20:H25"/>
    <mergeCell ref="H26:H31"/>
    <mergeCell ref="H32:H37"/>
    <mergeCell ref="H38:H43"/>
    <mergeCell ref="H44:H49"/>
    <mergeCell ref="H50:H55"/>
    <mergeCell ref="E38:E39"/>
    <mergeCell ref="C32:C34"/>
    <mergeCell ref="E32:E34"/>
    <mergeCell ref="C40:C41"/>
    <mergeCell ref="C44:C45"/>
    <mergeCell ref="C56:C57"/>
    <mergeCell ref="E56:E57"/>
    <mergeCell ref="C62:C63"/>
    <mergeCell ref="E62:E63"/>
    <mergeCell ref="E44:E45"/>
    <mergeCell ref="C50:C52"/>
    <mergeCell ref="E50:E52"/>
    <mergeCell ref="B213:B214"/>
    <mergeCell ref="B223:B224"/>
    <mergeCell ref="B225:B226"/>
    <mergeCell ref="B259:B260"/>
    <mergeCell ref="B261:B262"/>
    <mergeCell ref="B263:B264"/>
    <mergeCell ref="B270:B273"/>
    <mergeCell ref="B274:B275"/>
    <mergeCell ref="B276:B277"/>
    <mergeCell ref="B228:B229"/>
    <mergeCell ref="B231:B232"/>
    <mergeCell ref="B233:B235"/>
    <mergeCell ref="B237:B240"/>
    <mergeCell ref="B241:B243"/>
    <mergeCell ref="B244:B246"/>
    <mergeCell ref="B247:B249"/>
    <mergeCell ref="B152:B155"/>
    <mergeCell ref="B166:B168"/>
    <mergeCell ref="B169:B170"/>
    <mergeCell ref="B176:B177"/>
    <mergeCell ref="B180:B181"/>
    <mergeCell ref="B185:B186"/>
    <mergeCell ref="B189:B191"/>
    <mergeCell ref="B198:B199"/>
    <mergeCell ref="B210:B212"/>
    <mergeCell ref="B110:B112"/>
    <mergeCell ref="B116:B118"/>
    <mergeCell ref="B123:B124"/>
    <mergeCell ref="B130:B131"/>
    <mergeCell ref="B142:B143"/>
    <mergeCell ref="B145:B146"/>
    <mergeCell ref="B8:B10"/>
    <mergeCell ref="B20:B22"/>
    <mergeCell ref="B3:B5"/>
    <mergeCell ref="B32:B34"/>
    <mergeCell ref="B38:B39"/>
    <mergeCell ref="B44:B45"/>
    <mergeCell ref="B50:B52"/>
    <mergeCell ref="B56:B57"/>
    <mergeCell ref="B62:B63"/>
    <mergeCell ref="B14:B16"/>
    <mergeCell ref="B26:B28"/>
    <mergeCell ref="B68:B70"/>
    <mergeCell ref="B74:B76"/>
    <mergeCell ref="B80:B81"/>
    <mergeCell ref="B99:B10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outlinePr summaryBelow="0" summaryRight="0"/>
    <pageSetUpPr fitToPage="1"/>
  </sheetPr>
  <dimension ref="A1:H663"/>
  <sheetViews>
    <sheetView showGridLines="0" workbookViewId="0"/>
  </sheetViews>
  <sheetFormatPr defaultColWidth="12.5703125" defaultRowHeight="15.75" customHeight="1"/>
  <cols>
    <col min="1" max="1" width="12.42578125" customWidth="1"/>
    <col min="2" max="2" width="19.85546875" customWidth="1"/>
    <col min="3" max="3" width="29.28515625" customWidth="1"/>
    <col min="4" max="4" width="49.85546875" customWidth="1"/>
    <col min="5" max="5" width="52.28515625" customWidth="1"/>
    <col min="6" max="6" width="21.7109375" customWidth="1"/>
    <col min="7" max="8" width="15.85546875" customWidth="1"/>
  </cols>
  <sheetData>
    <row r="1" spans="1:8" ht="12.75">
      <c r="A1" s="1" t="s">
        <v>0</v>
      </c>
      <c r="B1" s="2" t="s">
        <v>2</v>
      </c>
      <c r="C1" s="3" t="s">
        <v>1</v>
      </c>
      <c r="D1" s="1" t="s">
        <v>5</v>
      </c>
      <c r="E1" s="2" t="s">
        <v>6</v>
      </c>
      <c r="F1" s="2" t="s">
        <v>7</v>
      </c>
      <c r="G1" s="2" t="s">
        <v>9</v>
      </c>
      <c r="H1" s="2" t="s">
        <v>10</v>
      </c>
    </row>
    <row r="2" spans="1:8" ht="12.75">
      <c r="A2" s="6">
        <v>1</v>
      </c>
      <c r="B2" s="8" t="s">
        <v>13</v>
      </c>
      <c r="C2" s="8" t="s">
        <v>15</v>
      </c>
      <c r="D2" s="514" t="s">
        <v>16</v>
      </c>
      <c r="E2" s="11" t="s">
        <v>21</v>
      </c>
      <c r="F2" s="13" t="s">
        <v>22</v>
      </c>
      <c r="G2" s="13"/>
      <c r="H2" s="13"/>
    </row>
    <row r="3" spans="1:8" ht="12.75">
      <c r="A3" s="6">
        <v>1</v>
      </c>
      <c r="B3" s="8" t="s">
        <v>13</v>
      </c>
      <c r="C3" s="8" t="s">
        <v>15</v>
      </c>
      <c r="D3" s="511"/>
      <c r="E3" s="11" t="s">
        <v>44</v>
      </c>
      <c r="F3" s="13" t="s">
        <v>22</v>
      </c>
      <c r="G3" s="13"/>
      <c r="H3" s="13"/>
    </row>
    <row r="4" spans="1:8" ht="12.75">
      <c r="A4" s="6">
        <v>1</v>
      </c>
      <c r="B4" s="8" t="s">
        <v>13</v>
      </c>
      <c r="C4" s="8" t="s">
        <v>15</v>
      </c>
      <c r="D4" s="512"/>
      <c r="E4" s="11" t="s">
        <v>49</v>
      </c>
      <c r="F4" s="13" t="s">
        <v>22</v>
      </c>
      <c r="G4" s="13"/>
      <c r="H4" s="13"/>
    </row>
    <row r="5" spans="1:8" ht="12.75">
      <c r="A5" s="6">
        <v>1</v>
      </c>
      <c r="B5" s="8" t="s">
        <v>13</v>
      </c>
      <c r="C5" s="8" t="s">
        <v>15</v>
      </c>
      <c r="D5" s="13" t="s">
        <v>53</v>
      </c>
      <c r="E5" s="11" t="s">
        <v>53</v>
      </c>
      <c r="F5" s="13" t="s">
        <v>22</v>
      </c>
      <c r="G5" s="13"/>
      <c r="H5" s="13"/>
    </row>
    <row r="6" spans="1:8" ht="12.75">
      <c r="A6" s="6">
        <v>1</v>
      </c>
      <c r="B6" s="8" t="s">
        <v>13</v>
      </c>
      <c r="C6" s="8" t="s">
        <v>15</v>
      </c>
      <c r="D6" s="13" t="s">
        <v>58</v>
      </c>
      <c r="E6" s="11" t="s">
        <v>58</v>
      </c>
      <c r="F6" s="13" t="s">
        <v>22</v>
      </c>
      <c r="G6" s="13"/>
      <c r="H6" s="13"/>
    </row>
    <row r="7" spans="1:8" ht="12.75">
      <c r="A7" s="6">
        <v>1</v>
      </c>
      <c r="B7" s="8" t="s">
        <v>13</v>
      </c>
      <c r="C7" s="8" t="s">
        <v>15</v>
      </c>
      <c r="D7" s="13" t="s">
        <v>60</v>
      </c>
      <c r="E7" s="11" t="s">
        <v>60</v>
      </c>
      <c r="F7" s="13" t="s">
        <v>22</v>
      </c>
      <c r="G7" s="13"/>
      <c r="H7" s="13"/>
    </row>
    <row r="8" spans="1:8" ht="12.75">
      <c r="A8" s="6">
        <v>1</v>
      </c>
      <c r="B8" s="8" t="s">
        <v>13</v>
      </c>
      <c r="C8" s="8" t="s">
        <v>15</v>
      </c>
      <c r="D8" s="16" t="s">
        <v>64</v>
      </c>
      <c r="E8" s="20" t="s">
        <v>64</v>
      </c>
      <c r="F8" s="13" t="s">
        <v>66</v>
      </c>
      <c r="G8" s="23"/>
      <c r="H8" s="23"/>
    </row>
    <row r="9" spans="1:8" ht="12.75">
      <c r="A9" s="6">
        <v>1</v>
      </c>
      <c r="B9" s="8" t="s">
        <v>67</v>
      </c>
      <c r="C9" s="8" t="s">
        <v>68</v>
      </c>
      <c r="D9" s="514" t="s">
        <v>69</v>
      </c>
      <c r="E9" s="11" t="s">
        <v>70</v>
      </c>
      <c r="F9" s="13" t="s">
        <v>22</v>
      </c>
      <c r="G9" s="13"/>
      <c r="H9" s="13"/>
    </row>
    <row r="10" spans="1:8" ht="12.75">
      <c r="A10" s="6">
        <v>1</v>
      </c>
      <c r="B10" s="8" t="s">
        <v>67</v>
      </c>
      <c r="C10" s="8" t="s">
        <v>68</v>
      </c>
      <c r="D10" s="512"/>
      <c r="E10" s="11" t="s">
        <v>73</v>
      </c>
      <c r="F10" s="13" t="s">
        <v>22</v>
      </c>
      <c r="G10" s="13"/>
      <c r="H10" s="13"/>
    </row>
    <row r="11" spans="1:8" ht="12.75">
      <c r="A11" s="6">
        <v>1</v>
      </c>
      <c r="B11" s="8" t="s">
        <v>67</v>
      </c>
      <c r="C11" s="8" t="s">
        <v>68</v>
      </c>
      <c r="D11" s="13" t="s">
        <v>74</v>
      </c>
      <c r="E11" s="11" t="s">
        <v>74</v>
      </c>
      <c r="F11" s="13" t="s">
        <v>22</v>
      </c>
      <c r="G11" s="13"/>
      <c r="H11" s="13"/>
    </row>
    <row r="12" spans="1:8" ht="12.75">
      <c r="A12" s="6">
        <v>1</v>
      </c>
      <c r="B12" s="8" t="s">
        <v>67</v>
      </c>
      <c r="C12" s="8" t="s">
        <v>76</v>
      </c>
      <c r="D12" s="13" t="s">
        <v>77</v>
      </c>
      <c r="E12" s="11" t="s">
        <v>77</v>
      </c>
      <c r="F12" s="13" t="s">
        <v>22</v>
      </c>
      <c r="G12" s="13"/>
      <c r="H12" s="13"/>
    </row>
    <row r="13" spans="1:8" ht="12.75">
      <c r="A13" s="6">
        <v>1</v>
      </c>
      <c r="B13" s="8" t="s">
        <v>67</v>
      </c>
      <c r="C13" s="8" t="s">
        <v>76</v>
      </c>
      <c r="D13" s="13" t="s">
        <v>78</v>
      </c>
      <c r="E13" s="11" t="s">
        <v>78</v>
      </c>
      <c r="F13" s="13" t="s">
        <v>22</v>
      </c>
      <c r="G13" s="13"/>
      <c r="H13" s="13"/>
    </row>
    <row r="14" spans="1:8" ht="12.75">
      <c r="A14" s="6">
        <v>1</v>
      </c>
      <c r="B14" s="8" t="s">
        <v>67</v>
      </c>
      <c r="C14" s="8" t="s">
        <v>68</v>
      </c>
      <c r="D14" s="13" t="s">
        <v>80</v>
      </c>
      <c r="E14" s="11" t="s">
        <v>80</v>
      </c>
      <c r="F14" s="13" t="s">
        <v>22</v>
      </c>
      <c r="G14" s="13"/>
      <c r="H14" s="13"/>
    </row>
    <row r="15" spans="1:8" ht="12.75">
      <c r="A15" s="6">
        <v>1</v>
      </c>
      <c r="B15" s="8" t="s">
        <v>81</v>
      </c>
      <c r="C15" s="8" t="s">
        <v>82</v>
      </c>
      <c r="D15" s="514" t="s">
        <v>84</v>
      </c>
      <c r="E15" s="11" t="s">
        <v>85</v>
      </c>
      <c r="F15" s="13" t="s">
        <v>22</v>
      </c>
      <c r="G15" s="13"/>
      <c r="H15" s="13"/>
    </row>
    <row r="16" spans="1:8" ht="12.75">
      <c r="A16" s="6">
        <v>1</v>
      </c>
      <c r="B16" s="8" t="s">
        <v>81</v>
      </c>
      <c r="C16" s="8" t="s">
        <v>82</v>
      </c>
      <c r="D16" s="511"/>
      <c r="E16" s="11" t="s">
        <v>86</v>
      </c>
      <c r="F16" s="13" t="s">
        <v>22</v>
      </c>
      <c r="G16" s="13"/>
      <c r="H16" s="13"/>
    </row>
    <row r="17" spans="1:8" ht="12.75">
      <c r="A17" s="6">
        <v>1</v>
      </c>
      <c r="B17" s="8" t="s">
        <v>81</v>
      </c>
      <c r="C17" s="8" t="s">
        <v>82</v>
      </c>
      <c r="D17" s="511"/>
      <c r="E17" s="11" t="s">
        <v>88</v>
      </c>
      <c r="F17" s="13" t="s">
        <v>22</v>
      </c>
      <c r="G17" s="13"/>
      <c r="H17" s="13"/>
    </row>
    <row r="18" spans="1:8" ht="12.75">
      <c r="A18" s="6">
        <v>1</v>
      </c>
      <c r="B18" s="8" t="s">
        <v>81</v>
      </c>
      <c r="C18" s="8" t="s">
        <v>82</v>
      </c>
      <c r="D18" s="512"/>
      <c r="E18" s="11" t="s">
        <v>90</v>
      </c>
      <c r="F18" s="13" t="s">
        <v>22</v>
      </c>
      <c r="G18" s="13"/>
      <c r="H18" s="13"/>
    </row>
    <row r="19" spans="1:8" ht="12.75">
      <c r="A19" s="6">
        <v>1</v>
      </c>
      <c r="B19" s="8" t="s">
        <v>81</v>
      </c>
      <c r="C19" s="8" t="s">
        <v>82</v>
      </c>
      <c r="D19" s="13" t="s">
        <v>92</v>
      </c>
      <c r="E19" s="11" t="s">
        <v>92</v>
      </c>
      <c r="F19" s="13" t="s">
        <v>22</v>
      </c>
      <c r="G19" s="13"/>
      <c r="H19" s="13"/>
    </row>
    <row r="20" spans="1:8" ht="12.75">
      <c r="A20" s="6">
        <v>1</v>
      </c>
      <c r="B20" s="8" t="s">
        <v>81</v>
      </c>
      <c r="C20" s="8" t="s">
        <v>82</v>
      </c>
      <c r="D20" s="13" t="s">
        <v>94</v>
      </c>
      <c r="E20" s="11" t="s">
        <v>94</v>
      </c>
      <c r="F20" s="13" t="s">
        <v>22</v>
      </c>
      <c r="G20" s="13"/>
      <c r="H20" s="13"/>
    </row>
    <row r="21" spans="1:8" ht="12.75">
      <c r="A21" s="6">
        <v>1</v>
      </c>
      <c r="B21" s="8" t="s">
        <v>79</v>
      </c>
      <c r="C21" s="8" t="s">
        <v>97</v>
      </c>
      <c r="D21" s="514" t="s">
        <v>98</v>
      </c>
      <c r="E21" s="11" t="s">
        <v>100</v>
      </c>
      <c r="F21" s="13" t="s">
        <v>22</v>
      </c>
      <c r="G21" s="13"/>
      <c r="H21" s="13"/>
    </row>
    <row r="22" spans="1:8" ht="12.75">
      <c r="A22" s="6">
        <v>1</v>
      </c>
      <c r="B22" s="8" t="s">
        <v>79</v>
      </c>
      <c r="C22" s="8" t="s">
        <v>97</v>
      </c>
      <c r="D22" s="511"/>
      <c r="E22" s="11" t="s">
        <v>101</v>
      </c>
      <c r="F22" s="13" t="s">
        <v>22</v>
      </c>
      <c r="G22" s="13"/>
      <c r="H22" s="13"/>
    </row>
    <row r="23" spans="1:8" ht="12.75">
      <c r="A23" s="6">
        <v>1</v>
      </c>
      <c r="B23" s="8" t="s">
        <v>79</v>
      </c>
      <c r="C23" s="8" t="s">
        <v>97</v>
      </c>
      <c r="D23" s="512"/>
      <c r="E23" s="11" t="s">
        <v>104</v>
      </c>
      <c r="F23" s="13" t="s">
        <v>22</v>
      </c>
      <c r="G23" s="13"/>
      <c r="H23" s="13"/>
    </row>
    <row r="24" spans="1:8" ht="12.75">
      <c r="A24" s="6">
        <v>1</v>
      </c>
      <c r="B24" s="8" t="s">
        <v>79</v>
      </c>
      <c r="C24" s="8" t="s">
        <v>97</v>
      </c>
      <c r="D24" s="13" t="s">
        <v>106</v>
      </c>
      <c r="E24" s="11" t="s">
        <v>107</v>
      </c>
      <c r="F24" s="13" t="s">
        <v>22</v>
      </c>
      <c r="G24" s="13"/>
      <c r="H24" s="13"/>
    </row>
    <row r="25" spans="1:8" ht="12.75">
      <c r="A25" s="6">
        <v>1</v>
      </c>
      <c r="B25" s="8" t="s">
        <v>79</v>
      </c>
      <c r="C25" s="8" t="s">
        <v>97</v>
      </c>
      <c r="D25" s="13" t="s">
        <v>109</v>
      </c>
      <c r="E25" s="11" t="s">
        <v>109</v>
      </c>
      <c r="F25" s="13" t="s">
        <v>22</v>
      </c>
      <c r="G25" s="13"/>
      <c r="H25" s="13"/>
    </row>
    <row r="26" spans="1:8" ht="12.75">
      <c r="A26" s="6">
        <v>1</v>
      </c>
      <c r="B26" s="8" t="s">
        <v>79</v>
      </c>
      <c r="C26" s="8" t="s">
        <v>97</v>
      </c>
      <c r="D26" s="13" t="s">
        <v>111</v>
      </c>
      <c r="E26" s="11" t="s">
        <v>111</v>
      </c>
      <c r="F26" s="13" t="s">
        <v>22</v>
      </c>
      <c r="G26" s="13"/>
      <c r="H26" s="13"/>
    </row>
    <row r="27" spans="1:8" ht="12.75">
      <c r="A27" s="6">
        <v>1</v>
      </c>
      <c r="B27" s="8" t="s">
        <v>113</v>
      </c>
      <c r="C27" s="8" t="s">
        <v>114</v>
      </c>
      <c r="D27" s="13" t="s">
        <v>115</v>
      </c>
      <c r="E27" s="11" t="s">
        <v>116</v>
      </c>
      <c r="F27" s="13" t="s">
        <v>22</v>
      </c>
      <c r="G27" s="13"/>
      <c r="H27" s="13"/>
    </row>
    <row r="28" spans="1:8" ht="12.75">
      <c r="A28" s="6">
        <v>1</v>
      </c>
      <c r="B28" s="8" t="s">
        <v>113</v>
      </c>
      <c r="C28" s="8" t="s">
        <v>114</v>
      </c>
      <c r="D28" s="514" t="s">
        <v>118</v>
      </c>
      <c r="E28" s="11" t="s">
        <v>119</v>
      </c>
      <c r="F28" s="13" t="s">
        <v>22</v>
      </c>
      <c r="G28" s="13"/>
      <c r="H28" s="13"/>
    </row>
    <row r="29" spans="1:8" ht="12.75">
      <c r="A29" s="6">
        <v>1</v>
      </c>
      <c r="B29" s="8" t="s">
        <v>113</v>
      </c>
      <c r="C29" s="8" t="s">
        <v>114</v>
      </c>
      <c r="D29" s="512"/>
      <c r="E29" s="11" t="s">
        <v>121</v>
      </c>
      <c r="F29" s="13" t="s">
        <v>22</v>
      </c>
      <c r="G29" s="13"/>
      <c r="H29" s="13"/>
    </row>
    <row r="30" spans="1:8" ht="12.75">
      <c r="A30" s="6">
        <v>1</v>
      </c>
      <c r="B30" s="8" t="s">
        <v>113</v>
      </c>
      <c r="C30" s="8" t="s">
        <v>114</v>
      </c>
      <c r="D30" s="13" t="s">
        <v>122</v>
      </c>
      <c r="E30" s="11" t="s">
        <v>123</v>
      </c>
      <c r="F30" s="13" t="s">
        <v>22</v>
      </c>
      <c r="G30" s="13"/>
      <c r="H30" s="13"/>
    </row>
    <row r="31" spans="1:8" ht="12.75">
      <c r="A31" s="6">
        <v>1</v>
      </c>
      <c r="B31" s="8" t="s">
        <v>113</v>
      </c>
      <c r="C31" s="8" t="s">
        <v>114</v>
      </c>
      <c r="D31" s="13" t="s">
        <v>125</v>
      </c>
      <c r="E31" s="11" t="s">
        <v>125</v>
      </c>
      <c r="F31" s="13" t="s">
        <v>22</v>
      </c>
      <c r="G31" s="13"/>
      <c r="H31" s="13"/>
    </row>
    <row r="32" spans="1:8" ht="12.75">
      <c r="A32" s="6">
        <v>1</v>
      </c>
      <c r="B32" s="8" t="s">
        <v>113</v>
      </c>
      <c r="C32" s="8" t="s">
        <v>114</v>
      </c>
      <c r="D32" s="13" t="s">
        <v>127</v>
      </c>
      <c r="E32" s="11" t="s">
        <v>127</v>
      </c>
      <c r="F32" s="13" t="s">
        <v>22</v>
      </c>
      <c r="G32" s="13"/>
      <c r="H32" s="13"/>
    </row>
    <row r="33" spans="1:8" ht="12.75">
      <c r="A33" s="32">
        <v>1</v>
      </c>
      <c r="B33" s="26" t="s">
        <v>113</v>
      </c>
      <c r="C33" s="26" t="s">
        <v>114</v>
      </c>
      <c r="D33" s="33" t="s">
        <v>132</v>
      </c>
      <c r="E33" s="34" t="s">
        <v>132</v>
      </c>
      <c r="F33" s="35" t="s">
        <v>66</v>
      </c>
      <c r="G33" s="36"/>
      <c r="H33" s="36"/>
    </row>
    <row r="34" spans="1:8" ht="12.75">
      <c r="A34" s="6">
        <v>1</v>
      </c>
      <c r="B34" s="8" t="s">
        <v>140</v>
      </c>
      <c r="C34" s="8" t="s">
        <v>141</v>
      </c>
      <c r="D34" s="514" t="s">
        <v>143</v>
      </c>
      <c r="E34" s="11" t="s">
        <v>146</v>
      </c>
      <c r="F34" s="13" t="s">
        <v>22</v>
      </c>
      <c r="G34" s="13"/>
      <c r="H34" s="13"/>
    </row>
    <row r="35" spans="1:8" ht="12.75">
      <c r="A35" s="6">
        <v>1</v>
      </c>
      <c r="B35" s="8" t="s">
        <v>140</v>
      </c>
      <c r="C35" s="8" t="s">
        <v>141</v>
      </c>
      <c r="D35" s="512"/>
      <c r="E35" s="11" t="s">
        <v>148</v>
      </c>
      <c r="F35" s="13" t="s">
        <v>22</v>
      </c>
      <c r="G35" s="13"/>
      <c r="H35" s="13"/>
    </row>
    <row r="36" spans="1:8" ht="12.75">
      <c r="A36" s="6">
        <v>1</v>
      </c>
      <c r="B36" s="8" t="s">
        <v>140</v>
      </c>
      <c r="C36" s="8" t="s">
        <v>141</v>
      </c>
      <c r="D36" s="13" t="s">
        <v>153</v>
      </c>
      <c r="E36" s="11" t="s">
        <v>153</v>
      </c>
      <c r="F36" s="13" t="s">
        <v>22</v>
      </c>
      <c r="G36" s="13"/>
      <c r="H36" s="13"/>
    </row>
    <row r="37" spans="1:8" ht="12.75">
      <c r="A37" s="6">
        <v>1</v>
      </c>
      <c r="B37" s="8" t="s">
        <v>140</v>
      </c>
      <c r="C37" s="8" t="s">
        <v>141</v>
      </c>
      <c r="D37" s="13" t="s">
        <v>157</v>
      </c>
      <c r="E37" s="11" t="s">
        <v>158</v>
      </c>
      <c r="F37" s="13" t="s">
        <v>22</v>
      </c>
      <c r="G37" s="13"/>
      <c r="H37" s="13"/>
    </row>
    <row r="38" spans="1:8" ht="12.75">
      <c r="A38" s="6">
        <v>1</v>
      </c>
      <c r="B38" s="8" t="s">
        <v>140</v>
      </c>
      <c r="C38" s="8" t="s">
        <v>141</v>
      </c>
      <c r="D38" s="13" t="s">
        <v>158</v>
      </c>
      <c r="E38" s="11" t="s">
        <v>157</v>
      </c>
      <c r="F38" s="13" t="s">
        <v>22</v>
      </c>
      <c r="G38" s="13"/>
      <c r="H38" s="13"/>
    </row>
    <row r="39" spans="1:8" ht="12.75">
      <c r="A39" s="6">
        <v>1</v>
      </c>
      <c r="B39" s="8" t="s">
        <v>140</v>
      </c>
      <c r="C39" s="8" t="s">
        <v>141</v>
      </c>
      <c r="D39" s="13" t="s">
        <v>164</v>
      </c>
      <c r="E39" s="11" t="s">
        <v>164</v>
      </c>
      <c r="F39" s="13" t="s">
        <v>22</v>
      </c>
      <c r="G39" s="13"/>
      <c r="H39" s="13"/>
    </row>
    <row r="40" spans="1:8" ht="12.75">
      <c r="A40" s="32">
        <v>1</v>
      </c>
      <c r="B40" s="26" t="s">
        <v>140</v>
      </c>
      <c r="C40" s="26" t="s">
        <v>141</v>
      </c>
      <c r="D40" s="33" t="s">
        <v>168</v>
      </c>
      <c r="E40" s="34" t="s">
        <v>168</v>
      </c>
      <c r="F40" s="35" t="s">
        <v>66</v>
      </c>
      <c r="G40" s="36"/>
      <c r="H40" s="36"/>
    </row>
    <row r="41" spans="1:8" ht="12.75">
      <c r="A41" s="6">
        <v>1</v>
      </c>
      <c r="B41" s="8" t="s">
        <v>165</v>
      </c>
      <c r="C41" s="8" t="s">
        <v>172</v>
      </c>
      <c r="D41" s="514" t="s">
        <v>173</v>
      </c>
      <c r="E41" s="11" t="s">
        <v>175</v>
      </c>
      <c r="F41" s="13" t="s">
        <v>22</v>
      </c>
      <c r="G41" s="13"/>
      <c r="H41" s="13"/>
    </row>
    <row r="42" spans="1:8" ht="12.75">
      <c r="A42" s="6">
        <v>1</v>
      </c>
      <c r="B42" s="8" t="s">
        <v>165</v>
      </c>
      <c r="C42" s="8" t="s">
        <v>172</v>
      </c>
      <c r="D42" s="511"/>
      <c r="E42" s="11" t="s">
        <v>178</v>
      </c>
      <c r="F42" s="13" t="s">
        <v>22</v>
      </c>
      <c r="G42" s="13"/>
      <c r="H42" s="13"/>
    </row>
    <row r="43" spans="1:8" ht="12.75">
      <c r="A43" s="6">
        <v>1</v>
      </c>
      <c r="B43" s="8" t="s">
        <v>165</v>
      </c>
      <c r="C43" s="8" t="s">
        <v>172</v>
      </c>
      <c r="D43" s="512"/>
      <c r="E43" s="11" t="s">
        <v>180</v>
      </c>
      <c r="F43" s="13" t="s">
        <v>22</v>
      </c>
      <c r="G43" s="13"/>
      <c r="H43" s="13"/>
    </row>
    <row r="44" spans="1:8" ht="12.75">
      <c r="A44" s="6">
        <v>1</v>
      </c>
      <c r="B44" s="8" t="s">
        <v>165</v>
      </c>
      <c r="C44" s="8" t="s">
        <v>183</v>
      </c>
      <c r="D44" s="41" t="s">
        <v>186</v>
      </c>
      <c r="E44" s="11" t="s">
        <v>187</v>
      </c>
      <c r="F44" s="13" t="s">
        <v>22</v>
      </c>
      <c r="G44" s="13"/>
      <c r="H44" s="13"/>
    </row>
    <row r="45" spans="1:8" ht="12.75">
      <c r="A45" s="6">
        <v>1</v>
      </c>
      <c r="B45" s="8" t="s">
        <v>165</v>
      </c>
      <c r="C45" s="8" t="s">
        <v>172</v>
      </c>
      <c r="D45" s="13" t="s">
        <v>192</v>
      </c>
      <c r="E45" s="11" t="s">
        <v>192</v>
      </c>
      <c r="F45" s="13" t="s">
        <v>22</v>
      </c>
      <c r="G45" s="13"/>
      <c r="H45" s="13"/>
    </row>
    <row r="46" spans="1:8" ht="12.75">
      <c r="A46" s="6">
        <v>1</v>
      </c>
      <c r="B46" s="8" t="s">
        <v>165</v>
      </c>
      <c r="C46" s="8" t="s">
        <v>29</v>
      </c>
      <c r="D46" s="13" t="s">
        <v>195</v>
      </c>
      <c r="E46" s="11" t="s">
        <v>195</v>
      </c>
      <c r="F46" s="13" t="s">
        <v>22</v>
      </c>
      <c r="G46" s="13"/>
      <c r="H46" s="13"/>
    </row>
    <row r="47" spans="1:8" ht="12.75">
      <c r="A47" s="32">
        <v>1</v>
      </c>
      <c r="B47" s="42" t="s">
        <v>165</v>
      </c>
      <c r="C47" s="42" t="s">
        <v>183</v>
      </c>
      <c r="D47" s="43" t="s">
        <v>204</v>
      </c>
      <c r="E47" s="34" t="s">
        <v>206</v>
      </c>
      <c r="F47" s="35" t="s">
        <v>66</v>
      </c>
      <c r="G47" s="44"/>
      <c r="H47" s="44"/>
    </row>
    <row r="48" spans="1:8" ht="12.75">
      <c r="A48" s="6">
        <v>1</v>
      </c>
      <c r="B48" s="15" t="s">
        <v>176</v>
      </c>
      <c r="C48" s="8" t="s">
        <v>210</v>
      </c>
      <c r="D48" s="514" t="s">
        <v>211</v>
      </c>
      <c r="E48" s="7" t="s">
        <v>215</v>
      </c>
      <c r="F48" s="13" t="s">
        <v>22</v>
      </c>
      <c r="G48" s="13"/>
      <c r="H48" s="13"/>
    </row>
    <row r="49" spans="1:8" ht="12.75">
      <c r="A49" s="6">
        <v>1</v>
      </c>
      <c r="B49" s="15" t="s">
        <v>176</v>
      </c>
      <c r="C49" s="8" t="s">
        <v>210</v>
      </c>
      <c r="D49" s="511"/>
      <c r="E49" s="7" t="s">
        <v>217</v>
      </c>
      <c r="F49" s="13" t="s">
        <v>22</v>
      </c>
      <c r="G49" s="13"/>
      <c r="H49" s="13"/>
    </row>
    <row r="50" spans="1:8" ht="12.75">
      <c r="A50" s="6">
        <v>1</v>
      </c>
      <c r="B50" s="15" t="s">
        <v>176</v>
      </c>
      <c r="C50" s="8" t="s">
        <v>210</v>
      </c>
      <c r="D50" s="512"/>
      <c r="E50" s="7" t="s">
        <v>219</v>
      </c>
      <c r="F50" s="13" t="s">
        <v>22</v>
      </c>
      <c r="G50" s="13"/>
      <c r="H50" s="13"/>
    </row>
    <row r="51" spans="1:8" ht="12.75">
      <c r="A51" s="6">
        <v>1</v>
      </c>
      <c r="B51" s="15" t="s">
        <v>176</v>
      </c>
      <c r="C51" s="8" t="s">
        <v>210</v>
      </c>
      <c r="D51" s="13" t="s">
        <v>222</v>
      </c>
      <c r="E51" s="7" t="s">
        <v>222</v>
      </c>
      <c r="F51" s="13" t="s">
        <v>22</v>
      </c>
      <c r="G51" s="13"/>
      <c r="H51" s="13"/>
    </row>
    <row r="52" spans="1:8" ht="16.5" customHeight="1">
      <c r="A52" s="6">
        <v>1</v>
      </c>
      <c r="B52" s="15" t="s">
        <v>176</v>
      </c>
      <c r="C52" s="8" t="s">
        <v>210</v>
      </c>
      <c r="D52" s="13" t="s">
        <v>224</v>
      </c>
      <c r="E52" s="7" t="s">
        <v>224</v>
      </c>
      <c r="F52" s="13" t="s">
        <v>22</v>
      </c>
      <c r="G52" s="13"/>
      <c r="H52" s="13"/>
    </row>
    <row r="53" spans="1:8" ht="12.75">
      <c r="A53" s="6">
        <v>1</v>
      </c>
      <c r="B53" s="15" t="s">
        <v>176</v>
      </c>
      <c r="C53" s="8" t="s">
        <v>210</v>
      </c>
      <c r="D53" s="13" t="s">
        <v>227</v>
      </c>
      <c r="E53" s="11" t="s">
        <v>227</v>
      </c>
      <c r="F53" s="13" t="s">
        <v>22</v>
      </c>
      <c r="G53" s="13"/>
      <c r="H53" s="13"/>
    </row>
    <row r="54" spans="1:8" ht="12.75">
      <c r="A54" s="6">
        <v>1</v>
      </c>
      <c r="B54" s="15" t="s">
        <v>176</v>
      </c>
      <c r="C54" s="15" t="s">
        <v>82</v>
      </c>
      <c r="D54" s="16" t="s">
        <v>230</v>
      </c>
      <c r="E54" s="20" t="s">
        <v>231</v>
      </c>
      <c r="F54" s="13" t="s">
        <v>66</v>
      </c>
      <c r="G54" s="23"/>
      <c r="H54" s="23"/>
    </row>
    <row r="55" spans="1:8" ht="12.75">
      <c r="A55" s="48">
        <v>1</v>
      </c>
      <c r="B55" s="17" t="s">
        <v>176</v>
      </c>
      <c r="C55" s="17" t="s">
        <v>210</v>
      </c>
      <c r="D55" s="16" t="s">
        <v>237</v>
      </c>
      <c r="E55" s="20" t="s">
        <v>239</v>
      </c>
      <c r="F55" s="13" t="s">
        <v>66</v>
      </c>
      <c r="G55" s="23"/>
      <c r="H55" s="23"/>
    </row>
    <row r="56" spans="1:8" ht="12.75">
      <c r="A56" s="6">
        <v>1</v>
      </c>
      <c r="B56" s="8" t="s">
        <v>196</v>
      </c>
      <c r="C56" s="8" t="s">
        <v>241</v>
      </c>
      <c r="D56" s="13" t="s">
        <v>242</v>
      </c>
      <c r="E56" s="11" t="s">
        <v>242</v>
      </c>
      <c r="F56" s="13" t="s">
        <v>22</v>
      </c>
      <c r="G56" s="13"/>
      <c r="H56" s="13"/>
    </row>
    <row r="57" spans="1:8" ht="12.75">
      <c r="A57" s="6">
        <v>1</v>
      </c>
      <c r="B57" s="8" t="s">
        <v>196</v>
      </c>
      <c r="C57" s="8" t="s">
        <v>241</v>
      </c>
      <c r="D57" s="514" t="s">
        <v>245</v>
      </c>
      <c r="E57" s="11" t="s">
        <v>247</v>
      </c>
      <c r="F57" s="13" t="s">
        <v>22</v>
      </c>
      <c r="G57" s="13"/>
      <c r="H57" s="13"/>
    </row>
    <row r="58" spans="1:8" ht="12.75">
      <c r="A58" s="6">
        <v>1</v>
      </c>
      <c r="B58" s="8" t="s">
        <v>196</v>
      </c>
      <c r="C58" s="8" t="s">
        <v>241</v>
      </c>
      <c r="D58" s="512"/>
      <c r="E58" s="11" t="s">
        <v>249</v>
      </c>
      <c r="F58" s="13" t="s">
        <v>22</v>
      </c>
      <c r="G58" s="13"/>
      <c r="H58" s="13"/>
    </row>
    <row r="59" spans="1:8" ht="12.75">
      <c r="A59" s="6">
        <v>1</v>
      </c>
      <c r="B59" s="8" t="s">
        <v>196</v>
      </c>
      <c r="C59" s="8" t="s">
        <v>241</v>
      </c>
      <c r="D59" s="13" t="s">
        <v>249</v>
      </c>
      <c r="E59" s="11" t="s">
        <v>250</v>
      </c>
      <c r="F59" s="13" t="s">
        <v>22</v>
      </c>
      <c r="G59" s="13"/>
      <c r="H59" s="13"/>
    </row>
    <row r="60" spans="1:8" ht="12.75">
      <c r="A60" s="6">
        <v>1</v>
      </c>
      <c r="B60" s="8" t="s">
        <v>196</v>
      </c>
      <c r="C60" s="8" t="s">
        <v>241</v>
      </c>
      <c r="D60" s="13" t="s">
        <v>254</v>
      </c>
      <c r="E60" s="11" t="s">
        <v>254</v>
      </c>
      <c r="F60" s="13" t="s">
        <v>22</v>
      </c>
      <c r="G60" s="13"/>
      <c r="H60" s="13"/>
    </row>
    <row r="61" spans="1:8" ht="12.75">
      <c r="A61" s="6">
        <v>1</v>
      </c>
      <c r="B61" s="8" t="s">
        <v>196</v>
      </c>
      <c r="C61" s="8" t="s">
        <v>241</v>
      </c>
      <c r="D61" s="13" t="s">
        <v>255</v>
      </c>
      <c r="E61" s="11" t="s">
        <v>255</v>
      </c>
      <c r="F61" s="13" t="s">
        <v>22</v>
      </c>
      <c r="G61" s="13"/>
      <c r="H61" s="13"/>
    </row>
    <row r="62" spans="1:8" ht="12.75">
      <c r="A62" s="32">
        <v>1</v>
      </c>
      <c r="B62" s="26" t="s">
        <v>196</v>
      </c>
      <c r="C62" s="26" t="s">
        <v>241</v>
      </c>
      <c r="D62" s="33" t="s">
        <v>256</v>
      </c>
      <c r="E62" s="34" t="s">
        <v>256</v>
      </c>
      <c r="F62" s="35" t="s">
        <v>66</v>
      </c>
      <c r="G62" s="36"/>
      <c r="H62" s="36"/>
    </row>
    <row r="63" spans="1:8" ht="12.75">
      <c r="A63" s="6">
        <v>1</v>
      </c>
      <c r="B63" s="8" t="s">
        <v>67</v>
      </c>
      <c r="C63" s="8" t="s">
        <v>258</v>
      </c>
      <c r="D63" s="13" t="s">
        <v>259</v>
      </c>
      <c r="E63" s="7" t="s">
        <v>260</v>
      </c>
      <c r="F63" s="13" t="s">
        <v>261</v>
      </c>
      <c r="G63" s="13"/>
      <c r="H63" s="13"/>
    </row>
    <row r="64" spans="1:8" ht="12.75">
      <c r="A64" s="6">
        <v>1</v>
      </c>
      <c r="B64" s="8" t="s">
        <v>67</v>
      </c>
      <c r="C64" s="8" t="s">
        <v>258</v>
      </c>
      <c r="D64" s="13" t="s">
        <v>263</v>
      </c>
      <c r="E64" s="7" t="s">
        <v>264</v>
      </c>
      <c r="F64" s="13" t="s">
        <v>261</v>
      </c>
      <c r="G64" s="13"/>
      <c r="H64" s="13"/>
    </row>
    <row r="65" spans="1:8" ht="12.75">
      <c r="A65" s="6">
        <v>1</v>
      </c>
      <c r="B65" s="8" t="s">
        <v>67</v>
      </c>
      <c r="C65" s="8" t="s">
        <v>265</v>
      </c>
      <c r="D65" s="514" t="s">
        <v>267</v>
      </c>
      <c r="E65" s="54" t="s">
        <v>269</v>
      </c>
      <c r="F65" s="13" t="s">
        <v>261</v>
      </c>
      <c r="G65" s="13"/>
      <c r="H65" s="13"/>
    </row>
    <row r="66" spans="1:8" ht="12.75">
      <c r="A66" s="6">
        <v>1</v>
      </c>
      <c r="B66" s="8" t="s">
        <v>67</v>
      </c>
      <c r="C66" s="8" t="s">
        <v>265</v>
      </c>
      <c r="D66" s="512"/>
      <c r="E66" s="55" t="s">
        <v>273</v>
      </c>
      <c r="F66" s="13" t="s">
        <v>261</v>
      </c>
      <c r="G66" s="13"/>
      <c r="H66" s="13"/>
    </row>
    <row r="67" spans="1:8" ht="31.5" customHeight="1">
      <c r="A67" s="6">
        <v>1</v>
      </c>
      <c r="B67" s="15" t="s">
        <v>67</v>
      </c>
      <c r="C67" s="15" t="s">
        <v>275</v>
      </c>
      <c r="D67" s="13" t="s">
        <v>276</v>
      </c>
      <c r="E67" s="55" t="s">
        <v>277</v>
      </c>
      <c r="F67" s="13" t="s">
        <v>261</v>
      </c>
      <c r="G67" s="13"/>
      <c r="H67" s="13"/>
    </row>
    <row r="68" spans="1:8" ht="12.75">
      <c r="A68" s="6">
        <v>1</v>
      </c>
      <c r="B68" s="8" t="s">
        <v>67</v>
      </c>
      <c r="C68" s="8" t="s">
        <v>278</v>
      </c>
      <c r="D68" s="13" t="s">
        <v>279</v>
      </c>
      <c r="E68" s="11" t="s">
        <v>281</v>
      </c>
      <c r="F68" s="13" t="s">
        <v>261</v>
      </c>
      <c r="G68" s="13"/>
      <c r="H68" s="13"/>
    </row>
    <row r="69" spans="1:8" ht="12.75">
      <c r="A69" s="6">
        <v>1</v>
      </c>
      <c r="B69" s="8" t="s">
        <v>67</v>
      </c>
      <c r="C69" s="8" t="s">
        <v>278</v>
      </c>
      <c r="D69" s="13" t="s">
        <v>284</v>
      </c>
      <c r="E69" s="11" t="s">
        <v>285</v>
      </c>
      <c r="F69" s="13" t="s">
        <v>261</v>
      </c>
      <c r="G69" s="13"/>
      <c r="H69" s="13"/>
    </row>
    <row r="70" spans="1:8" ht="12.75">
      <c r="A70" s="6">
        <v>1</v>
      </c>
      <c r="B70" s="8" t="s">
        <v>81</v>
      </c>
      <c r="C70" s="8" t="s">
        <v>286</v>
      </c>
      <c r="D70" s="13" t="s">
        <v>287</v>
      </c>
      <c r="E70" s="20" t="s">
        <v>289</v>
      </c>
      <c r="F70" s="13" t="s">
        <v>261</v>
      </c>
      <c r="G70" s="13"/>
      <c r="H70" s="13"/>
    </row>
    <row r="71" spans="1:8" ht="12.75">
      <c r="A71" s="6">
        <v>1</v>
      </c>
      <c r="B71" s="8" t="s">
        <v>81</v>
      </c>
      <c r="C71" s="8" t="s">
        <v>286</v>
      </c>
      <c r="D71" s="13" t="s">
        <v>292</v>
      </c>
      <c r="E71" s="20" t="s">
        <v>293</v>
      </c>
      <c r="F71" s="13" t="s">
        <v>261</v>
      </c>
      <c r="G71" s="13"/>
      <c r="H71" s="13"/>
    </row>
    <row r="72" spans="1:8" ht="17.25" customHeight="1">
      <c r="A72" s="6">
        <v>1</v>
      </c>
      <c r="B72" s="8" t="s">
        <v>81</v>
      </c>
      <c r="C72" s="8" t="s">
        <v>294</v>
      </c>
      <c r="D72" s="13" t="s">
        <v>295</v>
      </c>
      <c r="E72" s="20" t="s">
        <v>297</v>
      </c>
      <c r="F72" s="13" t="s">
        <v>261</v>
      </c>
      <c r="G72" s="13"/>
      <c r="H72" s="13"/>
    </row>
    <row r="73" spans="1:8" ht="12.75">
      <c r="A73" s="6">
        <v>1</v>
      </c>
      <c r="B73" s="15" t="s">
        <v>140</v>
      </c>
      <c r="C73" s="15" t="s">
        <v>299</v>
      </c>
      <c r="D73" s="13" t="s">
        <v>300</v>
      </c>
      <c r="E73" s="20" t="s">
        <v>301</v>
      </c>
      <c r="F73" s="13" t="s">
        <v>261</v>
      </c>
      <c r="G73" s="13"/>
      <c r="H73" s="13"/>
    </row>
    <row r="74" spans="1:8" ht="12.75">
      <c r="A74" s="6">
        <v>1</v>
      </c>
      <c r="B74" s="8" t="s">
        <v>140</v>
      </c>
      <c r="C74" s="8" t="s">
        <v>299</v>
      </c>
      <c r="D74" s="13" t="s">
        <v>303</v>
      </c>
      <c r="E74" s="20" t="s">
        <v>304</v>
      </c>
      <c r="F74" s="13" t="s">
        <v>261</v>
      </c>
      <c r="G74" s="13"/>
      <c r="H74" s="13"/>
    </row>
    <row r="75" spans="1:8" ht="21" customHeight="1">
      <c r="A75" s="6">
        <v>1</v>
      </c>
      <c r="B75" s="8" t="s">
        <v>140</v>
      </c>
      <c r="C75" s="8" t="s">
        <v>306</v>
      </c>
      <c r="D75" s="16" t="s">
        <v>307</v>
      </c>
      <c r="E75" s="20" t="s">
        <v>307</v>
      </c>
      <c r="F75" s="13" t="s">
        <v>261</v>
      </c>
      <c r="G75" s="23"/>
      <c r="H75" s="23"/>
    </row>
    <row r="76" spans="1:8" ht="12.75">
      <c r="A76" s="6">
        <v>1</v>
      </c>
      <c r="B76" s="4" t="s">
        <v>67</v>
      </c>
      <c r="C76" s="4" t="s">
        <v>308</v>
      </c>
      <c r="D76" s="13" t="s">
        <v>309</v>
      </c>
      <c r="E76" s="7" t="s">
        <v>310</v>
      </c>
      <c r="F76" s="13" t="s">
        <v>311</v>
      </c>
      <c r="G76" s="13"/>
      <c r="H76" s="13"/>
    </row>
    <row r="77" spans="1:8" ht="12.75">
      <c r="A77" s="6">
        <v>1</v>
      </c>
      <c r="B77" s="4" t="s">
        <v>67</v>
      </c>
      <c r="C77" s="4" t="s">
        <v>308</v>
      </c>
      <c r="D77" s="13" t="s">
        <v>313</v>
      </c>
      <c r="E77" s="7" t="s">
        <v>314</v>
      </c>
      <c r="F77" s="13" t="s">
        <v>311</v>
      </c>
      <c r="G77" s="13"/>
      <c r="H77" s="13"/>
    </row>
    <row r="78" spans="1:8" ht="12.75">
      <c r="A78" s="6">
        <v>1</v>
      </c>
      <c r="B78" s="4" t="s">
        <v>67</v>
      </c>
      <c r="C78" s="4" t="s">
        <v>308</v>
      </c>
      <c r="D78" s="13" t="s">
        <v>316</v>
      </c>
      <c r="E78" s="7" t="s">
        <v>317</v>
      </c>
      <c r="F78" s="13" t="s">
        <v>311</v>
      </c>
      <c r="G78" s="13"/>
      <c r="H78" s="13"/>
    </row>
    <row r="79" spans="1:8" ht="12.75">
      <c r="A79" s="6">
        <v>1</v>
      </c>
      <c r="B79" s="4" t="s">
        <v>81</v>
      </c>
      <c r="C79" s="4" t="s">
        <v>320</v>
      </c>
      <c r="D79" s="514" t="s">
        <v>322</v>
      </c>
      <c r="E79" s="7" t="s">
        <v>323</v>
      </c>
      <c r="F79" s="13" t="s">
        <v>311</v>
      </c>
      <c r="G79" s="13"/>
      <c r="H79" s="13"/>
    </row>
    <row r="80" spans="1:8" ht="12.75">
      <c r="A80" s="6">
        <v>1</v>
      </c>
      <c r="B80" s="4" t="s">
        <v>81</v>
      </c>
      <c r="C80" s="4" t="s">
        <v>320</v>
      </c>
      <c r="D80" s="511"/>
      <c r="E80" s="7" t="s">
        <v>324</v>
      </c>
      <c r="F80" s="13" t="s">
        <v>311</v>
      </c>
      <c r="G80" s="13"/>
      <c r="H80" s="13"/>
    </row>
    <row r="81" spans="1:8" ht="12.75">
      <c r="A81" s="6">
        <v>1</v>
      </c>
      <c r="B81" s="4" t="s">
        <v>81</v>
      </c>
      <c r="C81" s="4" t="s">
        <v>320</v>
      </c>
      <c r="D81" s="511"/>
      <c r="E81" s="7" t="s">
        <v>326</v>
      </c>
      <c r="F81" s="13" t="s">
        <v>311</v>
      </c>
      <c r="G81" s="13"/>
      <c r="H81" s="13"/>
    </row>
    <row r="82" spans="1:8" ht="12.75">
      <c r="A82" s="6">
        <v>1</v>
      </c>
      <c r="B82" s="4" t="s">
        <v>81</v>
      </c>
      <c r="C82" s="4" t="s">
        <v>320</v>
      </c>
      <c r="D82" s="512"/>
      <c r="E82" s="7" t="s">
        <v>329</v>
      </c>
      <c r="F82" s="13" t="s">
        <v>311</v>
      </c>
      <c r="G82" s="13"/>
      <c r="H82" s="13"/>
    </row>
    <row r="83" spans="1:8" ht="12.75">
      <c r="A83" s="6">
        <v>1</v>
      </c>
      <c r="B83" s="4" t="s">
        <v>67</v>
      </c>
      <c r="C83" s="4" t="s">
        <v>331</v>
      </c>
      <c r="D83" s="514" t="s">
        <v>333</v>
      </c>
      <c r="E83" s="7" t="s">
        <v>335</v>
      </c>
      <c r="F83" s="13" t="s">
        <v>311</v>
      </c>
      <c r="G83" s="13"/>
      <c r="H83" s="13"/>
    </row>
    <row r="84" spans="1:8" ht="12.75">
      <c r="A84" s="6">
        <v>1</v>
      </c>
      <c r="B84" s="4" t="s">
        <v>67</v>
      </c>
      <c r="C84" s="4" t="s">
        <v>331</v>
      </c>
      <c r="D84" s="512"/>
      <c r="E84" s="7" t="s">
        <v>337</v>
      </c>
      <c r="F84" s="13" t="s">
        <v>311</v>
      </c>
      <c r="G84" s="13"/>
      <c r="H84" s="13"/>
    </row>
    <row r="85" spans="1:8" ht="12.75">
      <c r="A85" s="6">
        <v>1</v>
      </c>
      <c r="B85" s="4" t="s">
        <v>67</v>
      </c>
      <c r="C85" s="4" t="s">
        <v>331</v>
      </c>
      <c r="D85" s="514" t="s">
        <v>339</v>
      </c>
      <c r="E85" s="7" t="s">
        <v>341</v>
      </c>
      <c r="F85" s="13" t="s">
        <v>311</v>
      </c>
      <c r="G85" s="13"/>
      <c r="H85" s="13"/>
    </row>
    <row r="86" spans="1:8" ht="12.75">
      <c r="A86" s="6">
        <v>1</v>
      </c>
      <c r="B86" s="4" t="s">
        <v>67</v>
      </c>
      <c r="C86" s="4" t="s">
        <v>331</v>
      </c>
      <c r="D86" s="512"/>
      <c r="E86" s="7" t="s">
        <v>343</v>
      </c>
      <c r="F86" s="13" t="s">
        <v>311</v>
      </c>
      <c r="G86" s="13"/>
      <c r="H86" s="13"/>
    </row>
    <row r="87" spans="1:8" ht="12.75">
      <c r="A87" s="61">
        <v>1</v>
      </c>
      <c r="B87" s="61" t="s">
        <v>67</v>
      </c>
      <c r="C87" s="61" t="s">
        <v>347</v>
      </c>
      <c r="D87" s="62" t="s">
        <v>349</v>
      </c>
      <c r="E87" s="55" t="s">
        <v>349</v>
      </c>
      <c r="F87" s="13" t="s">
        <v>350</v>
      </c>
      <c r="G87" s="13"/>
      <c r="H87" s="13"/>
    </row>
    <row r="88" spans="1:8" ht="12.75">
      <c r="A88" s="61">
        <v>1</v>
      </c>
      <c r="B88" s="61" t="s">
        <v>67</v>
      </c>
      <c r="C88" s="61" t="s">
        <v>347</v>
      </c>
      <c r="D88" s="62" t="s">
        <v>353</v>
      </c>
      <c r="E88" s="55" t="s">
        <v>353</v>
      </c>
      <c r="F88" s="13" t="s">
        <v>350</v>
      </c>
      <c r="G88" s="13"/>
      <c r="H88" s="13"/>
    </row>
    <row r="89" spans="1:8" ht="12.75">
      <c r="A89" s="61">
        <v>1</v>
      </c>
      <c r="B89" s="4" t="s">
        <v>67</v>
      </c>
      <c r="C89" s="61" t="s">
        <v>354</v>
      </c>
      <c r="D89" s="4" t="s">
        <v>355</v>
      </c>
      <c r="E89" s="7" t="s">
        <v>355</v>
      </c>
      <c r="F89" s="13" t="s">
        <v>311</v>
      </c>
      <c r="G89" s="13"/>
      <c r="H89" s="13"/>
    </row>
    <row r="90" spans="1:8" ht="12.75">
      <c r="A90" s="61">
        <v>1</v>
      </c>
      <c r="B90" s="4" t="s">
        <v>67</v>
      </c>
      <c r="C90" s="61" t="s">
        <v>354</v>
      </c>
      <c r="D90" s="4" t="s">
        <v>357</v>
      </c>
      <c r="E90" s="7" t="s">
        <v>357</v>
      </c>
      <c r="F90" s="13" t="s">
        <v>311</v>
      </c>
      <c r="G90" s="13"/>
      <c r="H90" s="13"/>
    </row>
    <row r="91" spans="1:8" ht="12.75">
      <c r="A91" s="61">
        <v>1</v>
      </c>
      <c r="B91" s="4" t="s">
        <v>67</v>
      </c>
      <c r="C91" s="61" t="s">
        <v>360</v>
      </c>
      <c r="D91" s="4" t="s">
        <v>361</v>
      </c>
      <c r="E91" s="7" t="s">
        <v>361</v>
      </c>
      <c r="F91" s="13" t="s">
        <v>362</v>
      </c>
      <c r="G91" s="13"/>
      <c r="H91" s="13"/>
    </row>
    <row r="92" spans="1:8" ht="12.75">
      <c r="A92" s="61">
        <v>1</v>
      </c>
      <c r="B92" s="4" t="s">
        <v>67</v>
      </c>
      <c r="C92" s="61" t="s">
        <v>364</v>
      </c>
      <c r="D92" s="4" t="s">
        <v>365</v>
      </c>
      <c r="E92" s="7" t="s">
        <v>365</v>
      </c>
      <c r="F92" s="13" t="s">
        <v>362</v>
      </c>
      <c r="G92" s="13"/>
      <c r="H92" s="13"/>
    </row>
    <row r="93" spans="1:8" ht="12.75">
      <c r="A93" s="61">
        <v>1</v>
      </c>
      <c r="B93" s="4" t="s">
        <v>67</v>
      </c>
      <c r="C93" s="61" t="s">
        <v>367</v>
      </c>
      <c r="D93" s="4" t="s">
        <v>369</v>
      </c>
      <c r="E93" s="7" t="s">
        <v>369</v>
      </c>
      <c r="F93" s="13" t="s">
        <v>362</v>
      </c>
      <c r="G93" s="13"/>
      <c r="H93" s="13"/>
    </row>
    <row r="94" spans="1:8" ht="12.75">
      <c r="A94" s="64"/>
      <c r="B94" s="64"/>
      <c r="C94" s="64"/>
      <c r="D94" s="65"/>
      <c r="E94" s="64"/>
    </row>
    <row r="95" spans="1:8" ht="12.75">
      <c r="A95" s="64"/>
      <c r="B95" s="64"/>
      <c r="C95" s="64"/>
      <c r="D95" s="65"/>
      <c r="E95" s="64"/>
    </row>
    <row r="96" spans="1:8" ht="12.75">
      <c r="A96" s="64"/>
      <c r="B96" s="64"/>
      <c r="C96" s="64"/>
      <c r="D96" s="65"/>
      <c r="E96" s="64"/>
    </row>
    <row r="97" spans="1:5" ht="12.75">
      <c r="A97" s="64"/>
      <c r="B97" s="64"/>
      <c r="C97" s="64"/>
      <c r="D97" s="65"/>
      <c r="E97" s="64"/>
    </row>
    <row r="98" spans="1:5" ht="12.75">
      <c r="A98" s="64"/>
      <c r="B98" s="64"/>
      <c r="C98" s="64"/>
      <c r="D98" s="65"/>
      <c r="E98" s="64"/>
    </row>
    <row r="99" spans="1:5" ht="12.75">
      <c r="A99" s="64"/>
      <c r="B99" s="64"/>
      <c r="C99" s="64"/>
      <c r="D99" s="65"/>
      <c r="E99" s="64"/>
    </row>
    <row r="100" spans="1:5" ht="12.75">
      <c r="A100" s="64"/>
      <c r="B100" s="64"/>
      <c r="C100" s="64"/>
      <c r="D100" s="65"/>
      <c r="E100" s="64"/>
    </row>
    <row r="101" spans="1:5" ht="12.75">
      <c r="A101" s="64"/>
      <c r="B101" s="64"/>
      <c r="C101" s="64"/>
      <c r="D101" s="65"/>
      <c r="E101" s="64"/>
    </row>
    <row r="102" spans="1:5" ht="12.75">
      <c r="A102" s="64"/>
      <c r="B102" s="64"/>
      <c r="C102" s="64"/>
      <c r="D102" s="65"/>
      <c r="E102" s="64"/>
    </row>
    <row r="103" spans="1:5" ht="12.75">
      <c r="A103" s="64"/>
      <c r="B103" s="64"/>
      <c r="C103" s="64"/>
      <c r="D103" s="65"/>
      <c r="E103" s="64"/>
    </row>
    <row r="104" spans="1:5" ht="12.75">
      <c r="A104" s="64"/>
      <c r="B104" s="64"/>
      <c r="C104" s="64"/>
      <c r="D104" s="65"/>
      <c r="E104" s="64"/>
    </row>
    <row r="105" spans="1:5" ht="12.75">
      <c r="A105" s="64"/>
      <c r="B105" s="64"/>
      <c r="C105" s="64"/>
      <c r="D105" s="65"/>
      <c r="E105" s="64"/>
    </row>
    <row r="106" spans="1:5" ht="12.75">
      <c r="A106" s="64"/>
      <c r="B106" s="64"/>
      <c r="C106" s="64"/>
      <c r="D106" s="65"/>
      <c r="E106" s="64"/>
    </row>
    <row r="107" spans="1:5" ht="12.75">
      <c r="A107" s="64"/>
      <c r="B107" s="64"/>
      <c r="C107" s="64"/>
      <c r="D107" s="65"/>
      <c r="E107" s="64"/>
    </row>
    <row r="108" spans="1:5" ht="12.75">
      <c r="A108" s="64"/>
      <c r="B108" s="64"/>
      <c r="C108" s="64"/>
      <c r="D108" s="65"/>
      <c r="E108" s="64"/>
    </row>
    <row r="109" spans="1:5" ht="12.75">
      <c r="A109" s="64"/>
      <c r="B109" s="64"/>
      <c r="C109" s="64"/>
      <c r="D109" s="65"/>
      <c r="E109" s="64"/>
    </row>
    <row r="110" spans="1:5" ht="12.75">
      <c r="A110" s="64"/>
      <c r="B110" s="64"/>
      <c r="C110" s="64"/>
      <c r="D110" s="65"/>
      <c r="E110" s="64"/>
    </row>
    <row r="111" spans="1:5" ht="12.75">
      <c r="A111" s="64"/>
      <c r="B111" s="64"/>
      <c r="C111" s="64"/>
      <c r="D111" s="65"/>
      <c r="E111" s="64"/>
    </row>
    <row r="112" spans="1:5" ht="12.75">
      <c r="A112" s="64"/>
      <c r="B112" s="64"/>
      <c r="C112" s="64"/>
      <c r="D112" s="65"/>
      <c r="E112" s="64"/>
    </row>
    <row r="113" spans="1:5" ht="12.75">
      <c r="A113" s="64"/>
      <c r="B113" s="64"/>
      <c r="C113" s="64"/>
      <c r="D113" s="65"/>
      <c r="E113" s="64"/>
    </row>
    <row r="114" spans="1:5" ht="12.75">
      <c r="A114" s="64"/>
      <c r="B114" s="64"/>
      <c r="C114" s="64"/>
      <c r="D114" s="65"/>
      <c r="E114" s="64"/>
    </row>
    <row r="115" spans="1:5" ht="12.75">
      <c r="A115" s="64"/>
      <c r="B115" s="64"/>
      <c r="C115" s="64"/>
      <c r="D115" s="65"/>
      <c r="E115" s="64"/>
    </row>
    <row r="116" spans="1:5" ht="12.75">
      <c r="A116" s="64"/>
      <c r="B116" s="64"/>
      <c r="C116" s="64"/>
      <c r="D116" s="65"/>
      <c r="E116" s="64"/>
    </row>
    <row r="117" spans="1:5" ht="12.75">
      <c r="A117" s="64"/>
      <c r="B117" s="64"/>
      <c r="C117" s="64"/>
      <c r="D117" s="65"/>
      <c r="E117" s="64"/>
    </row>
    <row r="118" spans="1:5" ht="12.75">
      <c r="A118" s="64"/>
      <c r="B118" s="64"/>
      <c r="C118" s="64"/>
      <c r="D118" s="65"/>
      <c r="E118" s="64"/>
    </row>
    <row r="119" spans="1:5" ht="12.75">
      <c r="A119" s="64"/>
      <c r="B119" s="64"/>
      <c r="C119" s="64"/>
      <c r="D119" s="65"/>
      <c r="E119" s="64"/>
    </row>
    <row r="120" spans="1:5" ht="12.75">
      <c r="A120" s="64"/>
      <c r="B120" s="64"/>
      <c r="C120" s="64"/>
      <c r="D120" s="65"/>
      <c r="E120" s="64"/>
    </row>
    <row r="121" spans="1:5" ht="12.75">
      <c r="A121" s="64"/>
      <c r="B121" s="64"/>
      <c r="C121" s="64"/>
      <c r="D121" s="65"/>
      <c r="E121" s="64"/>
    </row>
    <row r="122" spans="1:5" ht="12.75">
      <c r="A122" s="64"/>
      <c r="B122" s="64"/>
      <c r="C122" s="64"/>
      <c r="D122" s="65"/>
      <c r="E122" s="64"/>
    </row>
    <row r="123" spans="1:5" ht="12.75">
      <c r="A123" s="64"/>
      <c r="B123" s="64"/>
      <c r="C123" s="64"/>
      <c r="D123" s="65"/>
      <c r="E123" s="64"/>
    </row>
    <row r="124" spans="1:5" ht="12.75">
      <c r="A124" s="64"/>
      <c r="B124" s="64"/>
      <c r="C124" s="64"/>
      <c r="D124" s="65"/>
      <c r="E124" s="64"/>
    </row>
    <row r="125" spans="1:5" ht="12.75">
      <c r="A125" s="64"/>
      <c r="B125" s="64"/>
      <c r="C125" s="64"/>
      <c r="D125" s="65"/>
      <c r="E125" s="64"/>
    </row>
    <row r="126" spans="1:5" ht="12.75">
      <c r="A126" s="64"/>
      <c r="B126" s="64"/>
      <c r="C126" s="64"/>
      <c r="D126" s="65"/>
      <c r="E126" s="64"/>
    </row>
    <row r="127" spans="1:5" ht="12.75">
      <c r="A127" s="64"/>
      <c r="B127" s="64"/>
      <c r="C127" s="64"/>
      <c r="D127" s="65"/>
      <c r="E127" s="64"/>
    </row>
    <row r="128" spans="1:5" ht="12.75">
      <c r="A128" s="64"/>
      <c r="B128" s="64"/>
      <c r="C128" s="64"/>
      <c r="D128" s="65"/>
      <c r="E128" s="64"/>
    </row>
    <row r="129" spans="1:5" ht="12.75">
      <c r="A129" s="64"/>
      <c r="B129" s="64"/>
      <c r="C129" s="64"/>
      <c r="D129" s="65"/>
      <c r="E129" s="64"/>
    </row>
    <row r="130" spans="1:5" ht="12.75">
      <c r="A130" s="64"/>
      <c r="B130" s="64"/>
      <c r="C130" s="64"/>
      <c r="D130" s="65"/>
      <c r="E130" s="64"/>
    </row>
    <row r="131" spans="1:5" ht="12.75">
      <c r="A131" s="64"/>
      <c r="B131" s="64"/>
      <c r="C131" s="64"/>
      <c r="D131" s="65"/>
      <c r="E131" s="64"/>
    </row>
    <row r="132" spans="1:5" ht="12.75">
      <c r="A132" s="64"/>
      <c r="B132" s="64"/>
      <c r="C132" s="64"/>
      <c r="D132" s="65"/>
      <c r="E132" s="64"/>
    </row>
    <row r="133" spans="1:5" ht="12.75">
      <c r="A133" s="64"/>
      <c r="B133" s="64"/>
      <c r="C133" s="64"/>
      <c r="D133" s="65"/>
      <c r="E133" s="64"/>
    </row>
    <row r="134" spans="1:5" ht="12.75">
      <c r="A134" s="64"/>
      <c r="B134" s="64"/>
      <c r="C134" s="64"/>
      <c r="D134" s="65"/>
      <c r="E134" s="64"/>
    </row>
    <row r="135" spans="1:5" ht="12.75">
      <c r="A135" s="64"/>
      <c r="B135" s="64"/>
      <c r="C135" s="64"/>
      <c r="D135" s="65"/>
      <c r="E135" s="64"/>
    </row>
    <row r="136" spans="1:5" ht="12.75">
      <c r="A136" s="64"/>
      <c r="B136" s="64"/>
      <c r="C136" s="64"/>
      <c r="D136" s="65"/>
      <c r="E136" s="64"/>
    </row>
    <row r="137" spans="1:5" ht="12.75">
      <c r="A137" s="64"/>
      <c r="B137" s="64"/>
      <c r="C137" s="64"/>
      <c r="D137" s="65"/>
      <c r="E137" s="64"/>
    </row>
    <row r="138" spans="1:5" ht="12.75">
      <c r="A138" s="64"/>
      <c r="B138" s="64"/>
      <c r="C138" s="64"/>
      <c r="D138" s="65"/>
      <c r="E138" s="64"/>
    </row>
    <row r="139" spans="1:5" ht="12.75">
      <c r="A139" s="64"/>
      <c r="B139" s="64"/>
      <c r="C139" s="64"/>
      <c r="D139" s="65"/>
      <c r="E139" s="64"/>
    </row>
    <row r="140" spans="1:5" ht="12.75">
      <c r="A140" s="64"/>
      <c r="B140" s="64"/>
      <c r="C140" s="64"/>
      <c r="D140" s="65"/>
      <c r="E140" s="64"/>
    </row>
    <row r="141" spans="1:5" ht="12.75">
      <c r="A141" s="64"/>
      <c r="B141" s="64"/>
      <c r="C141" s="64"/>
      <c r="D141" s="65"/>
      <c r="E141" s="64"/>
    </row>
    <row r="142" spans="1:5" ht="12.75">
      <c r="A142" s="64"/>
      <c r="B142" s="64"/>
      <c r="C142" s="64"/>
      <c r="D142" s="65"/>
      <c r="E142" s="64"/>
    </row>
    <row r="143" spans="1:5" ht="12.75">
      <c r="A143" s="64"/>
      <c r="B143" s="64"/>
      <c r="C143" s="64"/>
      <c r="D143" s="65"/>
      <c r="E143" s="64"/>
    </row>
    <row r="144" spans="1:5" ht="12.75">
      <c r="A144" s="64"/>
      <c r="B144" s="64"/>
      <c r="C144" s="64"/>
      <c r="D144" s="65"/>
      <c r="E144" s="64"/>
    </row>
    <row r="145" spans="1:5" ht="12.75">
      <c r="A145" s="64"/>
      <c r="B145" s="64"/>
      <c r="C145" s="64"/>
      <c r="D145" s="65"/>
      <c r="E145" s="64"/>
    </row>
    <row r="146" spans="1:5" ht="12.75">
      <c r="A146" s="64"/>
      <c r="B146" s="64"/>
      <c r="C146" s="64"/>
      <c r="D146" s="65"/>
      <c r="E146" s="64"/>
    </row>
    <row r="147" spans="1:5" ht="12.75">
      <c r="A147" s="64"/>
      <c r="B147" s="64"/>
      <c r="C147" s="64"/>
      <c r="D147" s="65"/>
      <c r="E147" s="64"/>
    </row>
    <row r="148" spans="1:5" ht="12.75">
      <c r="A148" s="64"/>
      <c r="B148" s="64"/>
      <c r="C148" s="64"/>
      <c r="D148" s="65"/>
      <c r="E148" s="64"/>
    </row>
    <row r="149" spans="1:5" ht="12.75">
      <c r="A149" s="64"/>
      <c r="B149" s="64"/>
      <c r="C149" s="64"/>
      <c r="D149" s="65"/>
      <c r="E149" s="64"/>
    </row>
    <row r="150" spans="1:5" ht="12.75">
      <c r="A150" s="64"/>
      <c r="B150" s="64"/>
      <c r="C150" s="64"/>
      <c r="D150" s="65"/>
      <c r="E150" s="64"/>
    </row>
    <row r="151" spans="1:5" ht="12.75">
      <c r="A151" s="64"/>
      <c r="B151" s="64"/>
      <c r="C151" s="64"/>
      <c r="D151" s="65"/>
      <c r="E151" s="64"/>
    </row>
    <row r="152" spans="1:5" ht="12.75">
      <c r="A152" s="64"/>
      <c r="B152" s="64"/>
      <c r="C152" s="64"/>
      <c r="D152" s="65"/>
      <c r="E152" s="64"/>
    </row>
    <row r="153" spans="1:5" ht="12.75">
      <c r="A153" s="64"/>
      <c r="B153" s="64"/>
      <c r="C153" s="64"/>
      <c r="D153" s="65"/>
      <c r="E153" s="64"/>
    </row>
    <row r="154" spans="1:5" ht="12.75">
      <c r="A154" s="64"/>
      <c r="B154" s="64"/>
      <c r="C154" s="64"/>
      <c r="D154" s="65"/>
      <c r="E154" s="64"/>
    </row>
    <row r="155" spans="1:5" ht="12.75">
      <c r="A155" s="64"/>
      <c r="B155" s="64"/>
      <c r="C155" s="64"/>
      <c r="D155" s="65"/>
      <c r="E155" s="64"/>
    </row>
    <row r="156" spans="1:5" ht="12.75">
      <c r="A156" s="64"/>
      <c r="B156" s="64"/>
      <c r="C156" s="64"/>
      <c r="D156" s="65"/>
      <c r="E156" s="64"/>
    </row>
    <row r="157" spans="1:5" ht="12.75">
      <c r="A157" s="64"/>
      <c r="B157" s="64"/>
      <c r="C157" s="64"/>
      <c r="D157" s="65"/>
      <c r="E157" s="64"/>
    </row>
    <row r="158" spans="1:5" ht="12.75">
      <c r="A158" s="64"/>
      <c r="B158" s="64"/>
      <c r="C158" s="64"/>
      <c r="D158" s="65"/>
      <c r="E158" s="64"/>
    </row>
    <row r="159" spans="1:5" ht="12.75">
      <c r="A159" s="64"/>
      <c r="B159" s="64"/>
      <c r="C159" s="64"/>
      <c r="D159" s="65"/>
      <c r="E159" s="64"/>
    </row>
    <row r="160" spans="1:5" ht="12.75">
      <c r="A160" s="64"/>
      <c r="B160" s="64"/>
      <c r="C160" s="64"/>
      <c r="D160" s="65"/>
      <c r="E160" s="64"/>
    </row>
    <row r="161" spans="1:5" ht="12.75">
      <c r="A161" s="64"/>
      <c r="B161" s="64"/>
      <c r="C161" s="64"/>
      <c r="D161" s="65"/>
      <c r="E161" s="64"/>
    </row>
    <row r="162" spans="1:5" ht="12.75">
      <c r="A162" s="64"/>
      <c r="B162" s="64"/>
      <c r="C162" s="64"/>
      <c r="D162" s="65"/>
      <c r="E162" s="64"/>
    </row>
    <row r="163" spans="1:5" ht="12.75">
      <c r="A163" s="64"/>
      <c r="B163" s="64"/>
      <c r="C163" s="64"/>
      <c r="D163" s="65"/>
      <c r="E163" s="64"/>
    </row>
    <row r="164" spans="1:5" ht="12.75">
      <c r="A164" s="64"/>
      <c r="B164" s="64"/>
      <c r="C164" s="64"/>
      <c r="D164" s="65"/>
      <c r="E164" s="64"/>
    </row>
    <row r="165" spans="1:5" ht="12.75">
      <c r="A165" s="64"/>
      <c r="B165" s="64"/>
      <c r="C165" s="64"/>
      <c r="D165" s="65"/>
      <c r="E165" s="64"/>
    </row>
    <row r="166" spans="1:5" ht="12.75">
      <c r="A166" s="64"/>
      <c r="B166" s="64"/>
      <c r="C166" s="64"/>
      <c r="D166" s="65"/>
      <c r="E166" s="64"/>
    </row>
    <row r="167" spans="1:5" ht="12.75">
      <c r="A167" s="64"/>
      <c r="B167" s="64"/>
      <c r="C167" s="64"/>
      <c r="D167" s="65"/>
      <c r="E167" s="64"/>
    </row>
    <row r="168" spans="1:5" ht="12.75">
      <c r="A168" s="64"/>
      <c r="B168" s="64"/>
      <c r="C168" s="64"/>
      <c r="D168" s="65"/>
      <c r="E168" s="64"/>
    </row>
    <row r="169" spans="1:5" ht="12.75">
      <c r="A169" s="64"/>
      <c r="B169" s="64"/>
      <c r="C169" s="64"/>
      <c r="D169" s="65"/>
      <c r="E169" s="64"/>
    </row>
    <row r="170" spans="1:5" ht="12.75">
      <c r="A170" s="64"/>
      <c r="B170" s="64"/>
      <c r="C170" s="64"/>
      <c r="D170" s="65"/>
      <c r="E170" s="64"/>
    </row>
    <row r="171" spans="1:5" ht="12.75">
      <c r="A171" s="64"/>
      <c r="B171" s="64"/>
      <c r="C171" s="64"/>
      <c r="D171" s="65"/>
      <c r="E171" s="64"/>
    </row>
    <row r="172" spans="1:5" ht="12.75">
      <c r="A172" s="64"/>
      <c r="B172" s="64"/>
      <c r="C172" s="64"/>
      <c r="D172" s="65"/>
      <c r="E172" s="64"/>
    </row>
    <row r="173" spans="1:5" ht="12.75">
      <c r="A173" s="64"/>
      <c r="B173" s="64"/>
      <c r="C173" s="64"/>
      <c r="D173" s="65"/>
      <c r="E173" s="64"/>
    </row>
    <row r="174" spans="1:5" ht="12.75">
      <c r="A174" s="64"/>
      <c r="B174" s="64"/>
      <c r="C174" s="64"/>
      <c r="D174" s="65"/>
      <c r="E174" s="64"/>
    </row>
    <row r="175" spans="1:5" ht="12.75">
      <c r="A175" s="64"/>
      <c r="B175" s="64"/>
      <c r="C175" s="64"/>
      <c r="D175" s="65"/>
      <c r="E175" s="64"/>
    </row>
    <row r="176" spans="1:5" ht="12.75">
      <c r="A176" s="64"/>
      <c r="B176" s="64"/>
      <c r="C176" s="64"/>
      <c r="D176" s="65"/>
      <c r="E176" s="64"/>
    </row>
    <row r="177" spans="1:5" ht="12.75">
      <c r="A177" s="64"/>
      <c r="B177" s="64"/>
      <c r="C177" s="64"/>
      <c r="D177" s="65"/>
      <c r="E177" s="64"/>
    </row>
    <row r="178" spans="1:5" ht="12.75">
      <c r="A178" s="64"/>
      <c r="B178" s="64"/>
      <c r="C178" s="64"/>
      <c r="D178" s="65"/>
      <c r="E178" s="64"/>
    </row>
    <row r="179" spans="1:5" ht="12.75">
      <c r="A179" s="64"/>
      <c r="B179" s="64"/>
      <c r="C179" s="64"/>
      <c r="D179" s="65"/>
      <c r="E179" s="64"/>
    </row>
    <row r="180" spans="1:5" ht="12.75">
      <c r="A180" s="64"/>
      <c r="B180" s="64"/>
      <c r="C180" s="64"/>
      <c r="D180" s="65"/>
      <c r="E180" s="64"/>
    </row>
    <row r="181" spans="1:5" ht="12.75">
      <c r="A181" s="64"/>
      <c r="B181" s="64"/>
      <c r="C181" s="64"/>
      <c r="D181" s="65"/>
      <c r="E181" s="64"/>
    </row>
    <row r="182" spans="1:5" ht="12.75">
      <c r="A182" s="64"/>
      <c r="B182" s="64"/>
      <c r="C182" s="64"/>
      <c r="D182" s="65"/>
      <c r="E182" s="64"/>
    </row>
    <row r="183" spans="1:5" ht="12.75">
      <c r="A183" s="64"/>
      <c r="B183" s="64"/>
      <c r="C183" s="64"/>
      <c r="D183" s="65"/>
      <c r="E183" s="64"/>
    </row>
    <row r="184" spans="1:5" ht="12.75">
      <c r="A184" s="64"/>
      <c r="B184" s="64"/>
      <c r="C184" s="64"/>
      <c r="D184" s="65"/>
      <c r="E184" s="64"/>
    </row>
    <row r="185" spans="1:5" ht="12.75">
      <c r="A185" s="64"/>
      <c r="B185" s="64"/>
      <c r="C185" s="64"/>
      <c r="D185" s="65"/>
      <c r="E185" s="64"/>
    </row>
    <row r="186" spans="1:5" ht="12.75">
      <c r="A186" s="64"/>
      <c r="B186" s="64"/>
      <c r="C186" s="64"/>
      <c r="D186" s="65"/>
      <c r="E186" s="64"/>
    </row>
    <row r="187" spans="1:5" ht="12.75">
      <c r="A187" s="64"/>
      <c r="B187" s="64"/>
      <c r="C187" s="64"/>
      <c r="D187" s="65"/>
      <c r="E187" s="64"/>
    </row>
    <row r="188" spans="1:5" ht="12.75">
      <c r="A188" s="64"/>
      <c r="B188" s="64"/>
      <c r="C188" s="64"/>
      <c r="D188" s="65"/>
      <c r="E188" s="64"/>
    </row>
    <row r="189" spans="1:5" ht="12.75">
      <c r="A189" s="64"/>
      <c r="B189" s="64"/>
      <c r="C189" s="64"/>
      <c r="D189" s="65"/>
      <c r="E189" s="64"/>
    </row>
    <row r="190" spans="1:5" ht="12.75">
      <c r="A190" s="64"/>
      <c r="B190" s="64"/>
      <c r="C190" s="64"/>
      <c r="D190" s="65"/>
      <c r="E190" s="64"/>
    </row>
    <row r="191" spans="1:5" ht="12.75">
      <c r="A191" s="64"/>
      <c r="B191" s="64"/>
      <c r="C191" s="64"/>
      <c r="D191" s="65"/>
      <c r="E191" s="64"/>
    </row>
    <row r="192" spans="1:5" ht="12.75">
      <c r="A192" s="64"/>
      <c r="B192" s="64"/>
      <c r="C192" s="64"/>
      <c r="D192" s="65"/>
      <c r="E192" s="64"/>
    </row>
    <row r="193" spans="1:5" ht="12.75">
      <c r="A193" s="64"/>
      <c r="B193" s="64"/>
      <c r="C193" s="64"/>
      <c r="D193" s="65"/>
      <c r="E193" s="64"/>
    </row>
    <row r="194" spans="1:5" ht="12.75">
      <c r="A194" s="64"/>
      <c r="B194" s="64"/>
      <c r="C194" s="64"/>
      <c r="D194" s="65"/>
      <c r="E194" s="64"/>
    </row>
    <row r="195" spans="1:5" ht="12.75">
      <c r="A195" s="64"/>
      <c r="B195" s="64"/>
      <c r="C195" s="64"/>
      <c r="D195" s="65"/>
      <c r="E195" s="64"/>
    </row>
    <row r="196" spans="1:5" ht="12.75">
      <c r="A196" s="64"/>
      <c r="B196" s="64"/>
      <c r="C196" s="64"/>
      <c r="D196" s="65"/>
      <c r="E196" s="64"/>
    </row>
    <row r="197" spans="1:5" ht="12.75">
      <c r="A197" s="64"/>
      <c r="B197" s="64"/>
      <c r="C197" s="64"/>
      <c r="D197" s="65"/>
      <c r="E197" s="64"/>
    </row>
    <row r="198" spans="1:5" ht="12.75">
      <c r="A198" s="64"/>
      <c r="B198" s="64"/>
      <c r="C198" s="64"/>
      <c r="D198" s="65"/>
      <c r="E198" s="64"/>
    </row>
    <row r="199" spans="1:5" ht="12.75">
      <c r="A199" s="64"/>
      <c r="B199" s="64"/>
      <c r="C199" s="64"/>
      <c r="D199" s="65"/>
      <c r="E199" s="64"/>
    </row>
    <row r="200" spans="1:5" ht="12.75">
      <c r="A200" s="64"/>
      <c r="B200" s="64"/>
      <c r="C200" s="64"/>
      <c r="D200" s="65"/>
      <c r="E200" s="64"/>
    </row>
    <row r="201" spans="1:5" ht="12.75">
      <c r="A201" s="64"/>
      <c r="B201" s="64"/>
      <c r="C201" s="64"/>
      <c r="D201" s="65"/>
      <c r="E201" s="64"/>
    </row>
    <row r="202" spans="1:5" ht="12.75">
      <c r="A202" s="64"/>
      <c r="B202" s="64"/>
      <c r="C202" s="64"/>
      <c r="D202" s="65"/>
      <c r="E202" s="64"/>
    </row>
    <row r="203" spans="1:5" ht="12.75">
      <c r="A203" s="64"/>
      <c r="B203" s="64"/>
      <c r="C203" s="64"/>
      <c r="D203" s="65"/>
      <c r="E203" s="64"/>
    </row>
    <row r="204" spans="1:5" ht="12.75">
      <c r="A204" s="64"/>
      <c r="B204" s="64"/>
      <c r="C204" s="64"/>
      <c r="D204" s="65"/>
      <c r="E204" s="64"/>
    </row>
    <row r="205" spans="1:5" ht="12.75">
      <c r="A205" s="64"/>
      <c r="B205" s="64"/>
      <c r="C205" s="64"/>
      <c r="D205" s="65"/>
      <c r="E205" s="64"/>
    </row>
    <row r="206" spans="1:5" ht="12.75">
      <c r="A206" s="64"/>
      <c r="B206" s="64"/>
      <c r="C206" s="64"/>
      <c r="D206" s="65"/>
      <c r="E206" s="64"/>
    </row>
    <row r="207" spans="1:5" ht="12.75">
      <c r="A207" s="64"/>
      <c r="B207" s="64"/>
      <c r="C207" s="64"/>
      <c r="D207" s="65"/>
      <c r="E207" s="64"/>
    </row>
    <row r="208" spans="1:5" ht="12.75">
      <c r="A208" s="64"/>
      <c r="B208" s="64"/>
      <c r="C208" s="64"/>
      <c r="D208" s="65"/>
      <c r="E208" s="64"/>
    </row>
    <row r="209" spans="1:5" ht="12.75">
      <c r="A209" s="64"/>
      <c r="B209" s="64"/>
      <c r="C209" s="64"/>
      <c r="D209" s="65"/>
      <c r="E209" s="64"/>
    </row>
    <row r="210" spans="1:5" ht="12.75">
      <c r="A210" s="64"/>
      <c r="B210" s="64"/>
      <c r="C210" s="64"/>
      <c r="D210" s="65"/>
      <c r="E210" s="64"/>
    </row>
    <row r="211" spans="1:5" ht="12.75">
      <c r="A211" s="64"/>
      <c r="B211" s="64"/>
      <c r="C211" s="64"/>
      <c r="D211" s="65"/>
      <c r="E211" s="64"/>
    </row>
    <row r="212" spans="1:5" ht="12.75">
      <c r="A212" s="64"/>
      <c r="B212" s="64"/>
      <c r="C212" s="64"/>
      <c r="D212" s="65"/>
      <c r="E212" s="64"/>
    </row>
    <row r="213" spans="1:5" ht="12.75">
      <c r="A213" s="64"/>
      <c r="B213" s="64"/>
      <c r="C213" s="64"/>
      <c r="D213" s="65"/>
      <c r="E213" s="64"/>
    </row>
    <row r="214" spans="1:5" ht="12.75">
      <c r="A214" s="64"/>
      <c r="B214" s="64"/>
      <c r="C214" s="64"/>
      <c r="D214" s="65"/>
      <c r="E214" s="64"/>
    </row>
    <row r="215" spans="1:5" ht="12.75">
      <c r="A215" s="64"/>
      <c r="B215" s="64"/>
      <c r="C215" s="64"/>
      <c r="D215" s="65"/>
      <c r="E215" s="64"/>
    </row>
    <row r="216" spans="1:5" ht="12.75">
      <c r="A216" s="64"/>
      <c r="B216" s="64"/>
      <c r="C216" s="64"/>
      <c r="D216" s="65"/>
      <c r="E216" s="64"/>
    </row>
    <row r="217" spans="1:5" ht="12.75">
      <c r="A217" s="64"/>
      <c r="B217" s="64"/>
      <c r="C217" s="64"/>
      <c r="D217" s="65"/>
      <c r="E217" s="64"/>
    </row>
    <row r="218" spans="1:5" ht="12.75">
      <c r="A218" s="64"/>
      <c r="B218" s="64"/>
      <c r="C218" s="64"/>
      <c r="D218" s="65"/>
      <c r="E218" s="64"/>
    </row>
    <row r="219" spans="1:5" ht="12.75">
      <c r="A219" s="64"/>
      <c r="B219" s="64"/>
      <c r="C219" s="64"/>
      <c r="D219" s="65"/>
      <c r="E219" s="64"/>
    </row>
    <row r="220" spans="1:5" ht="12.75">
      <c r="A220" s="64"/>
      <c r="B220" s="64"/>
      <c r="C220" s="64"/>
      <c r="D220" s="65"/>
      <c r="E220" s="64"/>
    </row>
    <row r="221" spans="1:5" ht="12.75">
      <c r="A221" s="64"/>
      <c r="B221" s="64"/>
      <c r="C221" s="64"/>
      <c r="D221" s="65"/>
      <c r="E221" s="64"/>
    </row>
    <row r="222" spans="1:5" ht="12.75">
      <c r="A222" s="64"/>
      <c r="B222" s="64"/>
      <c r="C222" s="64"/>
      <c r="D222" s="65"/>
      <c r="E222" s="64"/>
    </row>
    <row r="223" spans="1:5" ht="12.75">
      <c r="A223" s="64"/>
      <c r="B223" s="64"/>
      <c r="C223" s="64"/>
      <c r="D223" s="65"/>
      <c r="E223" s="64"/>
    </row>
    <row r="224" spans="1:5" ht="12.75">
      <c r="A224" s="64"/>
      <c r="B224" s="64"/>
      <c r="C224" s="64"/>
      <c r="D224" s="65"/>
      <c r="E224" s="64"/>
    </row>
    <row r="225" spans="1:5" ht="12.75">
      <c r="A225" s="64"/>
      <c r="B225" s="64"/>
      <c r="C225" s="64"/>
      <c r="D225" s="65"/>
      <c r="E225" s="64"/>
    </row>
    <row r="226" spans="1:5" ht="12.75">
      <c r="A226" s="64"/>
      <c r="B226" s="64"/>
      <c r="C226" s="64"/>
      <c r="D226" s="65"/>
      <c r="E226" s="64"/>
    </row>
    <row r="227" spans="1:5" ht="12.75">
      <c r="A227" s="64"/>
      <c r="B227" s="64"/>
      <c r="C227" s="64"/>
      <c r="D227" s="65"/>
      <c r="E227" s="64"/>
    </row>
    <row r="228" spans="1:5" ht="12.75">
      <c r="A228" s="64"/>
      <c r="B228" s="64"/>
      <c r="C228" s="64"/>
      <c r="D228" s="65"/>
      <c r="E228" s="64"/>
    </row>
    <row r="229" spans="1:5" ht="12.75">
      <c r="A229" s="64"/>
      <c r="B229" s="64"/>
      <c r="C229" s="64"/>
      <c r="D229" s="65"/>
      <c r="E229" s="64"/>
    </row>
    <row r="230" spans="1:5" ht="12.75">
      <c r="A230" s="64"/>
      <c r="B230" s="64"/>
      <c r="C230" s="64"/>
      <c r="D230" s="65"/>
      <c r="E230" s="64"/>
    </row>
    <row r="231" spans="1:5" ht="12.75">
      <c r="A231" s="64"/>
      <c r="B231" s="64"/>
      <c r="C231" s="64"/>
      <c r="D231" s="65"/>
      <c r="E231" s="64"/>
    </row>
    <row r="232" spans="1:5" ht="12.75">
      <c r="A232" s="64"/>
      <c r="B232" s="64"/>
      <c r="C232" s="64"/>
      <c r="D232" s="65"/>
      <c r="E232" s="64"/>
    </row>
    <row r="233" spans="1:5" ht="12.75">
      <c r="A233" s="64"/>
      <c r="B233" s="64"/>
      <c r="C233" s="64"/>
      <c r="D233" s="65"/>
      <c r="E233" s="64"/>
    </row>
    <row r="234" spans="1:5" ht="12.75">
      <c r="A234" s="64"/>
      <c r="B234" s="64"/>
      <c r="C234" s="64"/>
      <c r="D234" s="65"/>
      <c r="E234" s="64"/>
    </row>
    <row r="235" spans="1:5" ht="12.75">
      <c r="A235" s="64"/>
      <c r="B235" s="64"/>
      <c r="C235" s="64"/>
      <c r="D235" s="65"/>
      <c r="E235" s="64"/>
    </row>
    <row r="236" spans="1:5" ht="12.75">
      <c r="A236" s="64"/>
      <c r="B236" s="64"/>
      <c r="C236" s="64"/>
      <c r="D236" s="65"/>
      <c r="E236" s="64"/>
    </row>
    <row r="237" spans="1:5" ht="12.75">
      <c r="A237" s="64"/>
      <c r="B237" s="64"/>
      <c r="C237" s="64"/>
      <c r="D237" s="65"/>
      <c r="E237" s="64"/>
    </row>
    <row r="238" spans="1:5" ht="12.75">
      <c r="A238" s="64"/>
      <c r="B238" s="64"/>
      <c r="C238" s="64"/>
      <c r="D238" s="65"/>
      <c r="E238" s="64"/>
    </row>
    <row r="239" spans="1:5" ht="12.75">
      <c r="A239" s="64"/>
      <c r="B239" s="64"/>
      <c r="C239" s="64"/>
      <c r="D239" s="65"/>
      <c r="E239" s="64"/>
    </row>
    <row r="240" spans="1:5" ht="12.75">
      <c r="A240" s="64"/>
      <c r="B240" s="64"/>
      <c r="C240" s="64"/>
      <c r="D240" s="65"/>
      <c r="E240" s="64"/>
    </row>
    <row r="241" spans="1:5" ht="12.75">
      <c r="A241" s="64"/>
      <c r="B241" s="64"/>
      <c r="C241" s="64"/>
      <c r="D241" s="65"/>
      <c r="E241" s="64"/>
    </row>
    <row r="242" spans="1:5" ht="12.75">
      <c r="A242" s="64"/>
      <c r="B242" s="64"/>
      <c r="C242" s="64"/>
      <c r="D242" s="65"/>
      <c r="E242" s="64"/>
    </row>
    <row r="243" spans="1:5" ht="12.75">
      <c r="A243" s="64"/>
      <c r="B243" s="64"/>
      <c r="C243" s="64"/>
      <c r="D243" s="65"/>
      <c r="E243" s="64"/>
    </row>
    <row r="244" spans="1:5" ht="12.75">
      <c r="A244" s="64"/>
      <c r="B244" s="64"/>
      <c r="C244" s="64"/>
      <c r="D244" s="65"/>
      <c r="E244" s="64"/>
    </row>
    <row r="245" spans="1:5" ht="12.75">
      <c r="A245" s="64"/>
      <c r="B245" s="64"/>
      <c r="C245" s="64"/>
      <c r="D245" s="65"/>
      <c r="E245" s="64"/>
    </row>
    <row r="246" spans="1:5" ht="12.75">
      <c r="A246" s="64"/>
      <c r="B246" s="64"/>
      <c r="C246" s="64"/>
      <c r="D246" s="65"/>
      <c r="E246" s="64"/>
    </row>
    <row r="247" spans="1:5" ht="12.75">
      <c r="A247" s="64"/>
      <c r="B247" s="64"/>
      <c r="C247" s="64"/>
      <c r="D247" s="65"/>
      <c r="E247" s="64"/>
    </row>
    <row r="248" spans="1:5" ht="12.75">
      <c r="A248" s="64"/>
      <c r="B248" s="64"/>
      <c r="C248" s="64"/>
      <c r="D248" s="65"/>
      <c r="E248" s="64"/>
    </row>
    <row r="249" spans="1:5" ht="12.75">
      <c r="A249" s="64"/>
      <c r="B249" s="64"/>
      <c r="C249" s="64"/>
      <c r="D249" s="65"/>
      <c r="E249" s="64"/>
    </row>
    <row r="250" spans="1:5" ht="12.75">
      <c r="A250" s="64"/>
      <c r="B250" s="64"/>
      <c r="C250" s="64"/>
      <c r="D250" s="65"/>
      <c r="E250" s="64"/>
    </row>
    <row r="251" spans="1:5" ht="12.75">
      <c r="A251" s="64"/>
      <c r="B251" s="64"/>
      <c r="C251" s="64"/>
      <c r="D251" s="65"/>
      <c r="E251" s="64"/>
    </row>
    <row r="252" spans="1:5" ht="12.75">
      <c r="A252" s="64"/>
      <c r="B252" s="64"/>
      <c r="C252" s="64"/>
      <c r="D252" s="65"/>
      <c r="E252" s="64"/>
    </row>
    <row r="253" spans="1:5" ht="12.75">
      <c r="A253" s="64"/>
      <c r="B253" s="64"/>
      <c r="C253" s="64"/>
      <c r="D253" s="65"/>
      <c r="E253" s="64"/>
    </row>
    <row r="254" spans="1:5" ht="12.75">
      <c r="A254" s="64"/>
      <c r="B254" s="64"/>
      <c r="C254" s="64"/>
      <c r="D254" s="65"/>
      <c r="E254" s="64"/>
    </row>
    <row r="255" spans="1:5" ht="12.75">
      <c r="A255" s="64"/>
      <c r="B255" s="64"/>
      <c r="C255" s="64"/>
      <c r="D255" s="65"/>
      <c r="E255" s="64"/>
    </row>
    <row r="256" spans="1:5" ht="12.75">
      <c r="A256" s="64"/>
      <c r="B256" s="64"/>
      <c r="C256" s="64"/>
      <c r="D256" s="65"/>
      <c r="E256" s="64"/>
    </row>
    <row r="257" spans="1:5" ht="12.75">
      <c r="A257" s="64"/>
      <c r="B257" s="64"/>
      <c r="C257" s="64"/>
      <c r="D257" s="65"/>
      <c r="E257" s="64"/>
    </row>
    <row r="258" spans="1:5" ht="12.75">
      <c r="A258" s="64"/>
      <c r="B258" s="64"/>
      <c r="C258" s="64"/>
      <c r="D258" s="65"/>
      <c r="E258" s="64"/>
    </row>
    <row r="259" spans="1:5" ht="12.75">
      <c r="A259" s="64"/>
      <c r="B259" s="64"/>
      <c r="C259" s="64"/>
      <c r="D259" s="65"/>
      <c r="E259" s="64"/>
    </row>
    <row r="260" spans="1:5" ht="12.75">
      <c r="A260" s="64"/>
      <c r="B260" s="64"/>
      <c r="C260" s="64"/>
      <c r="D260" s="65"/>
      <c r="E260" s="64"/>
    </row>
    <row r="261" spans="1:5" ht="12.75">
      <c r="A261" s="64"/>
      <c r="B261" s="64"/>
      <c r="C261" s="64"/>
      <c r="D261" s="65"/>
      <c r="E261" s="64"/>
    </row>
    <row r="262" spans="1:5" ht="12.75">
      <c r="A262" s="64"/>
      <c r="B262" s="64"/>
      <c r="C262" s="64"/>
      <c r="D262" s="65"/>
      <c r="E262" s="64"/>
    </row>
    <row r="263" spans="1:5" ht="12.75">
      <c r="A263" s="64"/>
      <c r="B263" s="64"/>
      <c r="C263" s="64"/>
      <c r="D263" s="65"/>
      <c r="E263" s="64"/>
    </row>
    <row r="264" spans="1:5" ht="12.75">
      <c r="A264" s="64"/>
      <c r="B264" s="64"/>
      <c r="C264" s="64"/>
      <c r="D264" s="65"/>
      <c r="E264" s="64"/>
    </row>
    <row r="265" spans="1:5" ht="12.75">
      <c r="A265" s="64"/>
      <c r="B265" s="64"/>
      <c r="C265" s="64"/>
      <c r="D265" s="65"/>
      <c r="E265" s="64"/>
    </row>
    <row r="266" spans="1:5" ht="12.75">
      <c r="A266" s="64"/>
      <c r="B266" s="64"/>
      <c r="C266" s="64"/>
      <c r="D266" s="65"/>
      <c r="E266" s="64"/>
    </row>
    <row r="267" spans="1:5" ht="12.75">
      <c r="A267" s="64"/>
      <c r="B267" s="64"/>
      <c r="C267" s="64"/>
      <c r="D267" s="65"/>
      <c r="E267" s="64"/>
    </row>
    <row r="268" spans="1:5" ht="12.75">
      <c r="A268" s="64"/>
      <c r="B268" s="64"/>
      <c r="C268" s="64"/>
      <c r="D268" s="65"/>
      <c r="E268" s="64"/>
    </row>
    <row r="269" spans="1:5" ht="12.75">
      <c r="A269" s="64"/>
      <c r="B269" s="64"/>
      <c r="C269" s="64"/>
      <c r="D269" s="65"/>
      <c r="E269" s="64"/>
    </row>
    <row r="270" spans="1:5" ht="12.75">
      <c r="A270" s="64"/>
      <c r="B270" s="64"/>
      <c r="C270" s="64"/>
      <c r="D270" s="65"/>
      <c r="E270" s="64"/>
    </row>
    <row r="271" spans="1:5" ht="12.75">
      <c r="A271" s="64"/>
      <c r="B271" s="64"/>
      <c r="C271" s="64"/>
      <c r="D271" s="65"/>
      <c r="E271" s="64"/>
    </row>
    <row r="272" spans="1:5" ht="12.75">
      <c r="A272" s="64"/>
      <c r="B272" s="64"/>
      <c r="C272" s="64"/>
      <c r="D272" s="65"/>
      <c r="E272" s="64"/>
    </row>
    <row r="273" spans="1:5" ht="12.75">
      <c r="A273" s="64"/>
      <c r="B273" s="64"/>
      <c r="C273" s="64"/>
      <c r="D273" s="65"/>
      <c r="E273" s="64"/>
    </row>
    <row r="274" spans="1:5" ht="12.75">
      <c r="A274" s="64"/>
      <c r="B274" s="64"/>
      <c r="C274" s="64"/>
      <c r="D274" s="65"/>
      <c r="E274" s="64"/>
    </row>
    <row r="275" spans="1:5" ht="12.75">
      <c r="A275" s="64"/>
      <c r="B275" s="64"/>
      <c r="C275" s="64"/>
      <c r="D275" s="65"/>
      <c r="E275" s="64"/>
    </row>
    <row r="276" spans="1:5" ht="12.75">
      <c r="A276" s="64"/>
      <c r="B276" s="64"/>
      <c r="C276" s="64"/>
      <c r="D276" s="65"/>
      <c r="E276" s="64"/>
    </row>
    <row r="277" spans="1:5" ht="12.75">
      <c r="A277" s="64"/>
      <c r="B277" s="64"/>
      <c r="C277" s="64"/>
      <c r="D277" s="65"/>
      <c r="E277" s="64"/>
    </row>
    <row r="278" spans="1:5" ht="12.75">
      <c r="A278" s="64"/>
      <c r="B278" s="64"/>
      <c r="C278" s="64"/>
      <c r="D278" s="65"/>
      <c r="E278" s="64"/>
    </row>
    <row r="279" spans="1:5" ht="12.75">
      <c r="A279" s="64"/>
      <c r="B279" s="64"/>
      <c r="C279" s="64"/>
      <c r="D279" s="65"/>
      <c r="E279" s="64"/>
    </row>
    <row r="280" spans="1:5" ht="12.75">
      <c r="A280" s="64"/>
      <c r="B280" s="64"/>
      <c r="C280" s="64"/>
      <c r="D280" s="65"/>
      <c r="E280" s="64"/>
    </row>
    <row r="281" spans="1:5" ht="12.75">
      <c r="A281" s="64"/>
      <c r="B281" s="64"/>
      <c r="C281" s="64"/>
      <c r="D281" s="65"/>
      <c r="E281" s="64"/>
    </row>
    <row r="282" spans="1:5" ht="12.75">
      <c r="A282" s="64"/>
      <c r="B282" s="64"/>
      <c r="C282" s="64"/>
      <c r="D282" s="65"/>
      <c r="E282" s="64"/>
    </row>
    <row r="283" spans="1:5" ht="12.75">
      <c r="A283" s="64"/>
      <c r="B283" s="64"/>
      <c r="C283" s="64"/>
      <c r="D283" s="65"/>
      <c r="E283" s="64"/>
    </row>
    <row r="284" spans="1:5" ht="12.75">
      <c r="A284" s="64"/>
      <c r="B284" s="64"/>
      <c r="C284" s="64"/>
      <c r="D284" s="65"/>
      <c r="E284" s="64"/>
    </row>
    <row r="285" spans="1:5" ht="12.75">
      <c r="A285" s="64"/>
      <c r="B285" s="64"/>
      <c r="C285" s="64"/>
      <c r="D285" s="65"/>
      <c r="E285" s="64"/>
    </row>
    <row r="286" spans="1:5" ht="12.75">
      <c r="A286" s="64"/>
      <c r="B286" s="64"/>
      <c r="C286" s="64"/>
      <c r="D286" s="65"/>
      <c r="E286" s="64"/>
    </row>
    <row r="287" spans="1:5" ht="12.75">
      <c r="A287" s="64"/>
      <c r="B287" s="64"/>
      <c r="C287" s="64"/>
      <c r="D287" s="65"/>
      <c r="E287" s="64"/>
    </row>
    <row r="288" spans="1:5" ht="12.75">
      <c r="A288" s="64"/>
      <c r="B288" s="64"/>
      <c r="C288" s="64"/>
      <c r="D288" s="65"/>
      <c r="E288" s="64"/>
    </row>
    <row r="289" spans="1:5" ht="12.75">
      <c r="A289" s="64"/>
      <c r="B289" s="64"/>
      <c r="C289" s="64"/>
      <c r="D289" s="65"/>
      <c r="E289" s="64"/>
    </row>
    <row r="290" spans="1:5" ht="12.75">
      <c r="A290" s="64"/>
      <c r="B290" s="64"/>
      <c r="C290" s="64"/>
      <c r="D290" s="65"/>
      <c r="E290" s="64"/>
    </row>
    <row r="291" spans="1:5" ht="12.75">
      <c r="A291" s="64"/>
      <c r="B291" s="64"/>
      <c r="C291" s="64"/>
      <c r="D291" s="65"/>
      <c r="E291" s="64"/>
    </row>
    <row r="292" spans="1:5" ht="12.75">
      <c r="A292" s="64"/>
      <c r="B292" s="64"/>
      <c r="C292" s="64"/>
      <c r="D292" s="65"/>
      <c r="E292" s="64"/>
    </row>
    <row r="293" spans="1:5" ht="12.75">
      <c r="A293" s="64"/>
      <c r="B293" s="64"/>
      <c r="C293" s="64"/>
      <c r="D293" s="65"/>
      <c r="E293" s="64"/>
    </row>
    <row r="294" spans="1:5" ht="12.75">
      <c r="A294" s="64"/>
      <c r="B294" s="64"/>
      <c r="C294" s="64"/>
      <c r="D294" s="65"/>
      <c r="E294" s="64"/>
    </row>
    <row r="295" spans="1:5" ht="12.75">
      <c r="A295" s="64"/>
      <c r="B295" s="64"/>
      <c r="C295" s="64"/>
      <c r="D295" s="65"/>
      <c r="E295" s="64"/>
    </row>
    <row r="296" spans="1:5" ht="12.75">
      <c r="A296" s="64"/>
      <c r="B296" s="64"/>
      <c r="C296" s="64"/>
      <c r="D296" s="65"/>
      <c r="E296" s="64"/>
    </row>
    <row r="297" spans="1:5" ht="12.75">
      <c r="A297" s="64"/>
      <c r="B297" s="64"/>
      <c r="C297" s="64"/>
      <c r="D297" s="65"/>
      <c r="E297" s="64"/>
    </row>
    <row r="298" spans="1:5" ht="12.75">
      <c r="A298" s="64"/>
      <c r="B298" s="64"/>
      <c r="C298" s="64"/>
      <c r="D298" s="65"/>
      <c r="E298" s="64"/>
    </row>
    <row r="299" spans="1:5" ht="12.75">
      <c r="A299" s="64"/>
      <c r="B299" s="64"/>
      <c r="C299" s="64"/>
      <c r="D299" s="65"/>
      <c r="E299" s="64"/>
    </row>
    <row r="300" spans="1:5" ht="12.75">
      <c r="A300" s="64"/>
      <c r="B300" s="64"/>
      <c r="C300" s="64"/>
      <c r="D300" s="65"/>
      <c r="E300" s="64"/>
    </row>
    <row r="301" spans="1:5" ht="12.75">
      <c r="A301" s="64"/>
      <c r="B301" s="64"/>
      <c r="C301" s="64"/>
      <c r="D301" s="65"/>
      <c r="E301" s="64"/>
    </row>
    <row r="302" spans="1:5" ht="12.75">
      <c r="A302" s="64"/>
      <c r="B302" s="64"/>
      <c r="C302" s="64"/>
      <c r="D302" s="65"/>
      <c r="E302" s="64"/>
    </row>
    <row r="303" spans="1:5" ht="12.75">
      <c r="A303" s="64"/>
      <c r="B303" s="64"/>
      <c r="C303" s="64"/>
      <c r="D303" s="65"/>
      <c r="E303" s="64"/>
    </row>
    <row r="304" spans="1:5" ht="12.75">
      <c r="A304" s="64"/>
      <c r="B304" s="64"/>
      <c r="C304" s="64"/>
      <c r="D304" s="65"/>
      <c r="E304" s="64"/>
    </row>
    <row r="305" spans="1:5" ht="12.75">
      <c r="A305" s="64"/>
      <c r="B305" s="64"/>
      <c r="C305" s="64"/>
      <c r="D305" s="65"/>
      <c r="E305" s="64"/>
    </row>
    <row r="306" spans="1:5" ht="12.75">
      <c r="A306" s="64"/>
      <c r="B306" s="64"/>
      <c r="C306" s="64"/>
      <c r="D306" s="65"/>
      <c r="E306" s="64"/>
    </row>
    <row r="307" spans="1:5" ht="12.75">
      <c r="A307" s="64"/>
      <c r="B307" s="64"/>
      <c r="C307" s="64"/>
      <c r="D307" s="65"/>
      <c r="E307" s="64"/>
    </row>
    <row r="308" spans="1:5" ht="12.75">
      <c r="A308" s="64"/>
      <c r="B308" s="64"/>
      <c r="C308" s="64"/>
      <c r="D308" s="65"/>
      <c r="E308" s="64"/>
    </row>
    <row r="309" spans="1:5" ht="12.75">
      <c r="A309" s="64"/>
      <c r="B309" s="64"/>
      <c r="C309" s="64"/>
      <c r="D309" s="65"/>
      <c r="E309" s="64"/>
    </row>
    <row r="310" spans="1:5" ht="12.75">
      <c r="A310" s="64"/>
      <c r="B310" s="64"/>
      <c r="C310" s="64"/>
      <c r="D310" s="65"/>
      <c r="E310" s="64"/>
    </row>
    <row r="311" spans="1:5" ht="12.75">
      <c r="A311" s="64"/>
      <c r="B311" s="64"/>
      <c r="C311" s="64"/>
      <c r="D311" s="65"/>
      <c r="E311" s="64"/>
    </row>
    <row r="312" spans="1:5" ht="12.75">
      <c r="A312" s="64"/>
      <c r="B312" s="64"/>
      <c r="C312" s="64"/>
      <c r="D312" s="65"/>
      <c r="E312" s="64"/>
    </row>
    <row r="313" spans="1:5" ht="12.75">
      <c r="A313" s="64"/>
      <c r="B313" s="64"/>
      <c r="C313" s="64"/>
      <c r="D313" s="65"/>
      <c r="E313" s="64"/>
    </row>
    <row r="314" spans="1:5" ht="12.75">
      <c r="A314" s="64"/>
      <c r="B314" s="64"/>
      <c r="C314" s="64"/>
      <c r="D314" s="65"/>
      <c r="E314" s="64"/>
    </row>
    <row r="315" spans="1:5" ht="12.75">
      <c r="A315" s="64"/>
      <c r="B315" s="64"/>
      <c r="C315" s="64"/>
      <c r="D315" s="65"/>
      <c r="E315" s="64"/>
    </row>
    <row r="316" spans="1:5" ht="12.75">
      <c r="A316" s="64"/>
      <c r="B316" s="64"/>
      <c r="C316" s="64"/>
      <c r="D316" s="65"/>
      <c r="E316" s="64"/>
    </row>
    <row r="317" spans="1:5" ht="12.75">
      <c r="A317" s="64"/>
      <c r="B317" s="64"/>
      <c r="C317" s="64"/>
      <c r="D317" s="65"/>
      <c r="E317" s="64"/>
    </row>
    <row r="318" spans="1:5" ht="12.75">
      <c r="A318" s="64"/>
      <c r="B318" s="64"/>
      <c r="C318" s="64"/>
      <c r="D318" s="65"/>
      <c r="E318" s="64"/>
    </row>
    <row r="319" spans="1:5" ht="12.75">
      <c r="A319" s="64"/>
      <c r="B319" s="64"/>
      <c r="C319" s="64"/>
      <c r="D319" s="65"/>
      <c r="E319" s="64"/>
    </row>
    <row r="320" spans="1:5" ht="12.75">
      <c r="A320" s="64"/>
      <c r="B320" s="64"/>
      <c r="C320" s="64"/>
      <c r="D320" s="65"/>
      <c r="E320" s="64"/>
    </row>
    <row r="321" spans="1:5" ht="12.75">
      <c r="A321" s="64"/>
      <c r="B321" s="64"/>
      <c r="C321" s="64"/>
      <c r="D321" s="65"/>
      <c r="E321" s="64"/>
    </row>
    <row r="322" spans="1:5" ht="12.75">
      <c r="A322" s="64"/>
      <c r="B322" s="64"/>
      <c r="C322" s="64"/>
      <c r="D322" s="65"/>
      <c r="E322" s="64"/>
    </row>
    <row r="323" spans="1:5" ht="12.75">
      <c r="A323" s="64"/>
      <c r="B323" s="64"/>
      <c r="C323" s="64"/>
      <c r="D323" s="65"/>
      <c r="E323" s="64"/>
    </row>
    <row r="324" spans="1:5" ht="12.75">
      <c r="A324" s="64"/>
      <c r="B324" s="64"/>
      <c r="C324" s="64"/>
      <c r="D324" s="65"/>
      <c r="E324" s="64"/>
    </row>
    <row r="325" spans="1:5" ht="12.75">
      <c r="A325" s="64"/>
      <c r="B325" s="64"/>
      <c r="C325" s="64"/>
      <c r="D325" s="65"/>
      <c r="E325" s="64"/>
    </row>
    <row r="326" spans="1:5" ht="12.75">
      <c r="A326" s="64"/>
      <c r="B326" s="64"/>
      <c r="C326" s="64"/>
      <c r="D326" s="65"/>
      <c r="E326" s="64"/>
    </row>
    <row r="327" spans="1:5" ht="12.75">
      <c r="A327" s="64"/>
      <c r="B327" s="64"/>
      <c r="C327" s="64"/>
      <c r="D327" s="65"/>
      <c r="E327" s="64"/>
    </row>
    <row r="328" spans="1:5" ht="12.75">
      <c r="A328" s="64"/>
      <c r="B328" s="64"/>
      <c r="C328" s="64"/>
      <c r="D328" s="65"/>
      <c r="E328" s="64"/>
    </row>
    <row r="329" spans="1:5" ht="12.75">
      <c r="A329" s="64"/>
      <c r="B329" s="64"/>
      <c r="C329" s="64"/>
      <c r="D329" s="65"/>
      <c r="E329" s="64"/>
    </row>
    <row r="330" spans="1:5" ht="12.75">
      <c r="A330" s="64"/>
      <c r="B330" s="64"/>
      <c r="C330" s="64"/>
      <c r="D330" s="65"/>
      <c r="E330" s="64"/>
    </row>
    <row r="331" spans="1:5" ht="12.75">
      <c r="A331" s="64"/>
      <c r="B331" s="64"/>
      <c r="C331" s="64"/>
      <c r="D331" s="65"/>
      <c r="E331" s="64"/>
    </row>
    <row r="332" spans="1:5" ht="12.75">
      <c r="A332" s="64"/>
      <c r="B332" s="64"/>
      <c r="C332" s="64"/>
      <c r="D332" s="65"/>
      <c r="E332" s="64"/>
    </row>
    <row r="333" spans="1:5" ht="12.75">
      <c r="A333" s="64"/>
      <c r="B333" s="64"/>
      <c r="C333" s="64"/>
      <c r="D333" s="65"/>
      <c r="E333" s="64"/>
    </row>
    <row r="334" spans="1:5" ht="12.75">
      <c r="A334" s="64"/>
      <c r="B334" s="64"/>
      <c r="C334" s="64"/>
      <c r="D334" s="65"/>
      <c r="E334" s="64"/>
    </row>
    <row r="335" spans="1:5" ht="12.75">
      <c r="A335" s="64"/>
      <c r="B335" s="64"/>
      <c r="C335" s="64"/>
      <c r="D335" s="65"/>
      <c r="E335" s="64"/>
    </row>
    <row r="336" spans="1:5" ht="12.75">
      <c r="A336" s="64"/>
      <c r="B336" s="64"/>
      <c r="C336" s="64"/>
      <c r="D336" s="65"/>
      <c r="E336" s="64"/>
    </row>
    <row r="337" spans="1:5" ht="12.75">
      <c r="A337" s="64"/>
      <c r="B337" s="64"/>
      <c r="C337" s="64"/>
      <c r="D337" s="65"/>
      <c r="E337" s="64"/>
    </row>
    <row r="338" spans="1:5" ht="12.75">
      <c r="A338" s="64"/>
      <c r="B338" s="64"/>
      <c r="C338" s="64"/>
      <c r="D338" s="65"/>
      <c r="E338" s="64"/>
    </row>
    <row r="339" spans="1:5" ht="12.75">
      <c r="A339" s="64"/>
      <c r="B339" s="64"/>
      <c r="C339" s="64"/>
      <c r="D339" s="65"/>
      <c r="E339" s="64"/>
    </row>
    <row r="340" spans="1:5" ht="12.75">
      <c r="A340" s="64"/>
      <c r="B340" s="64"/>
      <c r="C340" s="64"/>
      <c r="D340" s="65"/>
      <c r="E340" s="64"/>
    </row>
    <row r="341" spans="1:5" ht="12.75">
      <c r="A341" s="64"/>
      <c r="B341" s="64"/>
      <c r="C341" s="64"/>
      <c r="D341" s="65"/>
      <c r="E341" s="64"/>
    </row>
    <row r="342" spans="1:5" ht="12.75">
      <c r="A342" s="64"/>
      <c r="B342" s="64"/>
      <c r="C342" s="64"/>
      <c r="D342" s="65"/>
      <c r="E342" s="64"/>
    </row>
    <row r="343" spans="1:5" ht="12.75">
      <c r="A343" s="64"/>
      <c r="B343" s="64"/>
      <c r="C343" s="64"/>
      <c r="D343" s="65"/>
      <c r="E343" s="64"/>
    </row>
    <row r="344" spans="1:5" ht="12.75">
      <c r="A344" s="64"/>
      <c r="B344" s="64"/>
      <c r="C344" s="64"/>
      <c r="D344" s="65"/>
      <c r="E344" s="64"/>
    </row>
    <row r="345" spans="1:5" ht="12.75">
      <c r="A345" s="64"/>
      <c r="B345" s="64"/>
      <c r="C345" s="64"/>
      <c r="D345" s="65"/>
      <c r="E345" s="64"/>
    </row>
    <row r="346" spans="1:5" ht="12.75">
      <c r="A346" s="64"/>
      <c r="B346" s="64"/>
      <c r="C346" s="64"/>
      <c r="D346" s="65"/>
      <c r="E346" s="64"/>
    </row>
    <row r="347" spans="1:5" ht="12.75">
      <c r="A347" s="64"/>
      <c r="B347" s="64"/>
      <c r="C347" s="64"/>
      <c r="D347" s="65"/>
      <c r="E347" s="64"/>
    </row>
    <row r="348" spans="1:5" ht="12.75">
      <c r="A348" s="64"/>
      <c r="B348" s="64"/>
      <c r="C348" s="64"/>
      <c r="D348" s="65"/>
      <c r="E348" s="64"/>
    </row>
    <row r="349" spans="1:5" ht="12.75">
      <c r="A349" s="64"/>
      <c r="B349" s="64"/>
      <c r="C349" s="64"/>
      <c r="D349" s="65"/>
      <c r="E349" s="64"/>
    </row>
    <row r="350" spans="1:5" ht="12.75">
      <c r="A350" s="64"/>
      <c r="B350" s="64"/>
      <c r="C350" s="64"/>
      <c r="D350" s="65"/>
      <c r="E350" s="64"/>
    </row>
    <row r="351" spans="1:5" ht="12.75">
      <c r="A351" s="64"/>
      <c r="B351" s="64"/>
      <c r="C351" s="64"/>
      <c r="D351" s="65"/>
      <c r="E351" s="64"/>
    </row>
    <row r="352" spans="1:5" ht="12.75">
      <c r="A352" s="64"/>
      <c r="B352" s="64"/>
      <c r="C352" s="64"/>
      <c r="D352" s="65"/>
      <c r="E352" s="64"/>
    </row>
    <row r="353" spans="1:5" ht="12.75">
      <c r="A353" s="64"/>
      <c r="B353" s="64"/>
      <c r="C353" s="64"/>
      <c r="D353" s="65"/>
      <c r="E353" s="64"/>
    </row>
    <row r="354" spans="1:5" ht="12.75">
      <c r="A354" s="64"/>
      <c r="B354" s="64"/>
      <c r="C354" s="64"/>
      <c r="D354" s="65"/>
      <c r="E354" s="64"/>
    </row>
    <row r="355" spans="1:5" ht="12.75">
      <c r="A355" s="64"/>
      <c r="B355" s="64"/>
      <c r="C355" s="64"/>
      <c r="D355" s="65"/>
      <c r="E355" s="64"/>
    </row>
    <row r="356" spans="1:5" ht="12.75">
      <c r="A356" s="64"/>
      <c r="B356" s="64"/>
      <c r="C356" s="64"/>
      <c r="D356" s="65"/>
      <c r="E356" s="64"/>
    </row>
    <row r="357" spans="1:5" ht="12.75">
      <c r="A357" s="64"/>
      <c r="B357" s="64"/>
      <c r="C357" s="64"/>
      <c r="D357" s="65"/>
      <c r="E357" s="64"/>
    </row>
    <row r="358" spans="1:5" ht="12.75">
      <c r="A358" s="64"/>
      <c r="B358" s="64"/>
      <c r="C358" s="64"/>
      <c r="D358" s="65"/>
      <c r="E358" s="64"/>
    </row>
    <row r="359" spans="1:5" ht="12.75">
      <c r="A359" s="64"/>
      <c r="B359" s="64"/>
      <c r="C359" s="64"/>
      <c r="D359" s="65"/>
      <c r="E359" s="64"/>
    </row>
    <row r="360" spans="1:5" ht="12.75">
      <c r="A360" s="64"/>
      <c r="B360" s="64"/>
      <c r="C360" s="64"/>
      <c r="D360" s="65"/>
      <c r="E360" s="64"/>
    </row>
    <row r="361" spans="1:5" ht="12.75">
      <c r="A361" s="64"/>
      <c r="B361" s="64"/>
      <c r="C361" s="64"/>
      <c r="D361" s="65"/>
      <c r="E361" s="64"/>
    </row>
    <row r="362" spans="1:5" ht="12.75">
      <c r="A362" s="64"/>
      <c r="B362" s="64"/>
      <c r="C362" s="64"/>
      <c r="D362" s="65"/>
      <c r="E362" s="64"/>
    </row>
    <row r="363" spans="1:5" ht="12.75">
      <c r="A363" s="64"/>
      <c r="B363" s="64"/>
      <c r="C363" s="64"/>
      <c r="D363" s="65"/>
      <c r="E363" s="64"/>
    </row>
    <row r="364" spans="1:5" ht="12.75">
      <c r="A364" s="64"/>
      <c r="B364" s="64"/>
      <c r="C364" s="64"/>
      <c r="D364" s="65"/>
      <c r="E364" s="64"/>
    </row>
    <row r="365" spans="1:5" ht="12.75">
      <c r="A365" s="64"/>
      <c r="B365" s="64"/>
      <c r="C365" s="64"/>
      <c r="D365" s="65"/>
      <c r="E365" s="64"/>
    </row>
    <row r="366" spans="1:5" ht="12.75">
      <c r="A366" s="64"/>
      <c r="B366" s="64"/>
      <c r="C366" s="64"/>
      <c r="D366" s="65"/>
      <c r="E366" s="64"/>
    </row>
    <row r="367" spans="1:5" ht="12.75">
      <c r="A367" s="64"/>
      <c r="B367" s="64"/>
      <c r="C367" s="64"/>
      <c r="D367" s="65"/>
      <c r="E367" s="64"/>
    </row>
    <row r="368" spans="1:5" ht="12.75">
      <c r="A368" s="64"/>
      <c r="B368" s="64"/>
      <c r="C368" s="64"/>
      <c r="D368" s="65"/>
      <c r="E368" s="64"/>
    </row>
    <row r="369" spans="1:5" ht="12.75">
      <c r="A369" s="64"/>
      <c r="B369" s="64"/>
      <c r="C369" s="64"/>
      <c r="D369" s="65"/>
      <c r="E369" s="64"/>
    </row>
    <row r="370" spans="1:5" ht="12.75">
      <c r="A370" s="64"/>
      <c r="B370" s="64"/>
      <c r="C370" s="64"/>
      <c r="D370" s="65"/>
      <c r="E370" s="64"/>
    </row>
    <row r="371" spans="1:5" ht="12.75">
      <c r="A371" s="64"/>
      <c r="B371" s="64"/>
      <c r="C371" s="64"/>
      <c r="D371" s="65"/>
      <c r="E371" s="64"/>
    </row>
    <row r="372" spans="1:5" ht="12.75">
      <c r="A372" s="64"/>
      <c r="B372" s="64"/>
      <c r="C372" s="64"/>
      <c r="D372" s="65"/>
      <c r="E372" s="64"/>
    </row>
    <row r="373" spans="1:5" ht="12.75">
      <c r="A373" s="64"/>
      <c r="B373" s="64"/>
      <c r="C373" s="64"/>
      <c r="D373" s="65"/>
      <c r="E373" s="64"/>
    </row>
    <row r="374" spans="1:5" ht="12.75">
      <c r="A374" s="64"/>
      <c r="B374" s="64"/>
      <c r="C374" s="64"/>
      <c r="D374" s="65"/>
      <c r="E374" s="64"/>
    </row>
    <row r="375" spans="1:5" ht="12.75">
      <c r="A375" s="64"/>
      <c r="B375" s="64"/>
      <c r="C375" s="64"/>
      <c r="D375" s="65"/>
      <c r="E375" s="64"/>
    </row>
    <row r="376" spans="1:5" ht="12.75">
      <c r="A376" s="64"/>
      <c r="B376" s="64"/>
      <c r="C376" s="64"/>
      <c r="D376" s="65"/>
      <c r="E376" s="64"/>
    </row>
    <row r="377" spans="1:5" ht="12.75">
      <c r="A377" s="64"/>
      <c r="B377" s="64"/>
      <c r="C377" s="64"/>
      <c r="D377" s="65"/>
      <c r="E377" s="64"/>
    </row>
    <row r="378" spans="1:5" ht="12.75">
      <c r="A378" s="64"/>
      <c r="B378" s="64"/>
      <c r="C378" s="64"/>
      <c r="D378" s="65"/>
      <c r="E378" s="64"/>
    </row>
    <row r="379" spans="1:5" ht="12.75">
      <c r="A379" s="64"/>
      <c r="B379" s="64"/>
      <c r="C379" s="64"/>
      <c r="D379" s="65"/>
      <c r="E379" s="64"/>
    </row>
    <row r="380" spans="1:5" ht="12.75">
      <c r="A380" s="64"/>
      <c r="B380" s="64"/>
      <c r="C380" s="64"/>
      <c r="D380" s="65"/>
      <c r="E380" s="64"/>
    </row>
    <row r="381" spans="1:5" ht="12.75">
      <c r="A381" s="64"/>
      <c r="B381" s="64"/>
      <c r="C381" s="64"/>
      <c r="D381" s="65"/>
      <c r="E381" s="64"/>
    </row>
    <row r="382" spans="1:5" ht="12.75">
      <c r="A382" s="64"/>
      <c r="B382" s="64"/>
      <c r="C382" s="64"/>
      <c r="D382" s="65"/>
      <c r="E382" s="64"/>
    </row>
    <row r="383" spans="1:5" ht="12.75">
      <c r="A383" s="64"/>
      <c r="B383" s="64"/>
      <c r="C383" s="64"/>
      <c r="D383" s="65"/>
      <c r="E383" s="64"/>
    </row>
    <row r="384" spans="1:5" ht="12.75">
      <c r="A384" s="64"/>
      <c r="B384" s="64"/>
      <c r="C384" s="64"/>
      <c r="D384" s="65"/>
      <c r="E384" s="64"/>
    </row>
    <row r="385" spans="1:5" ht="12.75">
      <c r="A385" s="64"/>
      <c r="B385" s="64"/>
      <c r="C385" s="64"/>
      <c r="D385" s="65"/>
      <c r="E385" s="64"/>
    </row>
    <row r="386" spans="1:5" ht="12.75">
      <c r="A386" s="64"/>
      <c r="B386" s="64"/>
      <c r="C386" s="64"/>
      <c r="D386" s="65"/>
      <c r="E386" s="64"/>
    </row>
    <row r="387" spans="1:5" ht="12.75">
      <c r="A387" s="64"/>
      <c r="B387" s="64"/>
      <c r="C387" s="64"/>
      <c r="D387" s="65"/>
      <c r="E387" s="64"/>
    </row>
    <row r="388" spans="1:5" ht="12.75">
      <c r="A388" s="64"/>
      <c r="B388" s="64"/>
      <c r="C388" s="64"/>
      <c r="D388" s="65"/>
      <c r="E388" s="64"/>
    </row>
    <row r="389" spans="1:5" ht="12.75">
      <c r="A389" s="64"/>
      <c r="B389" s="64"/>
      <c r="C389" s="64"/>
      <c r="D389" s="65"/>
      <c r="E389" s="64"/>
    </row>
    <row r="390" spans="1:5" ht="12.75">
      <c r="A390" s="64"/>
      <c r="B390" s="64"/>
      <c r="C390" s="64"/>
      <c r="D390" s="65"/>
      <c r="E390" s="64"/>
    </row>
    <row r="391" spans="1:5" ht="12.75">
      <c r="A391" s="64"/>
      <c r="B391" s="64"/>
      <c r="C391" s="64"/>
      <c r="D391" s="65"/>
      <c r="E391" s="64"/>
    </row>
    <row r="392" spans="1:5" ht="12.75">
      <c r="A392" s="64"/>
      <c r="B392" s="64"/>
      <c r="C392" s="64"/>
      <c r="D392" s="65"/>
      <c r="E392" s="64"/>
    </row>
    <row r="393" spans="1:5" ht="12.75">
      <c r="A393" s="64"/>
      <c r="B393" s="64"/>
      <c r="C393" s="64"/>
      <c r="D393" s="65"/>
      <c r="E393" s="64"/>
    </row>
    <row r="394" spans="1:5" ht="12.75">
      <c r="A394" s="64"/>
      <c r="B394" s="64"/>
      <c r="C394" s="64"/>
      <c r="D394" s="65"/>
      <c r="E394" s="64"/>
    </row>
    <row r="395" spans="1:5" ht="12.75">
      <c r="A395" s="64"/>
      <c r="B395" s="64"/>
      <c r="C395" s="64"/>
      <c r="D395" s="65"/>
      <c r="E395" s="64"/>
    </row>
    <row r="396" spans="1:5" ht="12.75">
      <c r="A396" s="64"/>
      <c r="B396" s="64"/>
      <c r="C396" s="64"/>
      <c r="D396" s="65"/>
      <c r="E396" s="64"/>
    </row>
    <row r="397" spans="1:5" ht="12.75">
      <c r="A397" s="64"/>
      <c r="B397" s="64"/>
      <c r="C397" s="64"/>
      <c r="D397" s="65"/>
      <c r="E397" s="64"/>
    </row>
    <row r="398" spans="1:5" ht="12.75">
      <c r="A398" s="64"/>
      <c r="B398" s="64"/>
      <c r="C398" s="64"/>
      <c r="D398" s="65"/>
      <c r="E398" s="64"/>
    </row>
    <row r="399" spans="1:5" ht="12.75">
      <c r="A399" s="64"/>
      <c r="B399" s="64"/>
      <c r="C399" s="64"/>
      <c r="D399" s="65"/>
      <c r="E399" s="64"/>
    </row>
    <row r="400" spans="1:5" ht="12.75">
      <c r="A400" s="64"/>
      <c r="B400" s="64"/>
      <c r="C400" s="64"/>
      <c r="D400" s="65"/>
      <c r="E400" s="64"/>
    </row>
    <row r="401" spans="1:5" ht="12.75">
      <c r="A401" s="64"/>
      <c r="B401" s="64"/>
      <c r="C401" s="64"/>
      <c r="D401" s="65"/>
      <c r="E401" s="64"/>
    </row>
    <row r="402" spans="1:5" ht="12.75">
      <c r="A402" s="64"/>
      <c r="B402" s="64"/>
      <c r="C402" s="64"/>
      <c r="D402" s="65"/>
      <c r="E402" s="64"/>
    </row>
    <row r="403" spans="1:5" ht="12.75">
      <c r="A403" s="64"/>
      <c r="B403" s="64"/>
      <c r="C403" s="64"/>
      <c r="D403" s="65"/>
      <c r="E403" s="64"/>
    </row>
    <row r="404" spans="1:5" ht="12.75">
      <c r="A404" s="64"/>
      <c r="B404" s="64"/>
      <c r="C404" s="64"/>
      <c r="D404" s="65"/>
      <c r="E404" s="64"/>
    </row>
    <row r="405" spans="1:5" ht="12.75">
      <c r="A405" s="64"/>
      <c r="B405" s="64"/>
      <c r="C405" s="64"/>
      <c r="D405" s="65"/>
      <c r="E405" s="64"/>
    </row>
    <row r="406" spans="1:5" ht="12.75">
      <c r="A406" s="64"/>
      <c r="B406" s="64"/>
      <c r="C406" s="64"/>
      <c r="D406" s="65"/>
      <c r="E406" s="64"/>
    </row>
    <row r="407" spans="1:5" ht="12.75">
      <c r="A407" s="64"/>
      <c r="B407" s="64"/>
      <c r="C407" s="64"/>
      <c r="D407" s="65"/>
      <c r="E407" s="64"/>
    </row>
    <row r="408" spans="1:5" ht="12.75">
      <c r="A408" s="64"/>
      <c r="B408" s="64"/>
      <c r="C408" s="64"/>
      <c r="D408" s="65"/>
      <c r="E408" s="64"/>
    </row>
    <row r="409" spans="1:5" ht="12.75">
      <c r="A409" s="64"/>
      <c r="B409" s="64"/>
      <c r="C409" s="64"/>
      <c r="D409" s="65"/>
      <c r="E409" s="64"/>
    </row>
    <row r="410" spans="1:5" ht="12.75">
      <c r="A410" s="64"/>
      <c r="B410" s="64"/>
      <c r="C410" s="64"/>
      <c r="D410" s="65"/>
      <c r="E410" s="64"/>
    </row>
    <row r="411" spans="1:5" ht="12.75">
      <c r="A411" s="64"/>
      <c r="B411" s="64"/>
      <c r="C411" s="64"/>
      <c r="D411" s="65"/>
      <c r="E411" s="64"/>
    </row>
    <row r="412" spans="1:5" ht="12.75">
      <c r="A412" s="64"/>
      <c r="B412" s="64"/>
      <c r="C412" s="64"/>
      <c r="D412" s="65"/>
      <c r="E412" s="64"/>
    </row>
    <row r="413" spans="1:5" ht="12.75">
      <c r="A413" s="64"/>
      <c r="B413" s="64"/>
      <c r="C413" s="64"/>
      <c r="D413" s="65"/>
      <c r="E413" s="64"/>
    </row>
    <row r="414" spans="1:5" ht="12.75">
      <c r="A414" s="64"/>
      <c r="B414" s="64"/>
      <c r="C414" s="64"/>
      <c r="D414" s="65"/>
      <c r="E414" s="64"/>
    </row>
    <row r="415" spans="1:5" ht="12.75">
      <c r="A415" s="64"/>
      <c r="B415" s="64"/>
      <c r="C415" s="64"/>
      <c r="D415" s="65"/>
      <c r="E415" s="64"/>
    </row>
    <row r="416" spans="1:5" ht="12.75">
      <c r="A416" s="64"/>
      <c r="B416" s="64"/>
      <c r="C416" s="64"/>
      <c r="D416" s="65"/>
      <c r="E416" s="64"/>
    </row>
    <row r="417" spans="1:5" ht="12.75">
      <c r="A417" s="64"/>
      <c r="B417" s="64"/>
      <c r="C417" s="64"/>
      <c r="D417" s="65"/>
      <c r="E417" s="64"/>
    </row>
    <row r="418" spans="1:5" ht="12.75">
      <c r="A418" s="64"/>
      <c r="B418" s="64"/>
      <c r="C418" s="64"/>
      <c r="D418" s="65"/>
      <c r="E418" s="64"/>
    </row>
    <row r="419" spans="1:5" ht="12.75">
      <c r="A419" s="64"/>
      <c r="B419" s="64"/>
      <c r="C419" s="64"/>
      <c r="D419" s="65"/>
      <c r="E419" s="64"/>
    </row>
    <row r="420" spans="1:5" ht="12.75">
      <c r="A420" s="64"/>
      <c r="B420" s="64"/>
      <c r="C420" s="64"/>
      <c r="D420" s="65"/>
      <c r="E420" s="64"/>
    </row>
    <row r="421" spans="1:5" ht="12.75">
      <c r="A421" s="64"/>
      <c r="B421" s="64"/>
      <c r="C421" s="64"/>
      <c r="D421" s="65"/>
      <c r="E421" s="64"/>
    </row>
    <row r="422" spans="1:5" ht="12.75">
      <c r="A422" s="64"/>
      <c r="B422" s="64"/>
      <c r="C422" s="64"/>
      <c r="D422" s="65"/>
      <c r="E422" s="64"/>
    </row>
    <row r="423" spans="1:5" ht="12.75">
      <c r="A423" s="64"/>
      <c r="B423" s="64"/>
      <c r="C423" s="64"/>
      <c r="D423" s="65"/>
      <c r="E423" s="64"/>
    </row>
    <row r="424" spans="1:5" ht="12.75">
      <c r="A424" s="64"/>
      <c r="B424" s="64"/>
      <c r="C424" s="64"/>
      <c r="D424" s="65"/>
      <c r="E424" s="64"/>
    </row>
    <row r="425" spans="1:5" ht="12.75">
      <c r="A425" s="64"/>
      <c r="B425" s="64"/>
      <c r="C425" s="64"/>
      <c r="D425" s="65"/>
      <c r="E425" s="64"/>
    </row>
    <row r="426" spans="1:5" ht="12.75">
      <c r="A426" s="64"/>
      <c r="B426" s="64"/>
      <c r="C426" s="64"/>
      <c r="D426" s="65"/>
      <c r="E426" s="64"/>
    </row>
    <row r="427" spans="1:5" ht="12.75">
      <c r="A427" s="64"/>
      <c r="B427" s="64"/>
      <c r="C427" s="64"/>
      <c r="D427" s="65"/>
      <c r="E427" s="64"/>
    </row>
    <row r="428" spans="1:5" ht="12.75">
      <c r="A428" s="64"/>
      <c r="B428" s="64"/>
      <c r="C428" s="64"/>
      <c r="D428" s="65"/>
      <c r="E428" s="64"/>
    </row>
    <row r="429" spans="1:5" ht="12.75">
      <c r="A429" s="64"/>
      <c r="B429" s="64"/>
      <c r="C429" s="64"/>
      <c r="D429" s="65"/>
      <c r="E429" s="64"/>
    </row>
    <row r="430" spans="1:5" ht="12.75">
      <c r="A430" s="64"/>
      <c r="B430" s="64"/>
      <c r="C430" s="64"/>
      <c r="D430" s="65"/>
      <c r="E430" s="64"/>
    </row>
    <row r="431" spans="1:5" ht="12.75">
      <c r="A431" s="64"/>
      <c r="B431" s="64"/>
      <c r="C431" s="64"/>
      <c r="D431" s="65"/>
      <c r="E431" s="64"/>
    </row>
    <row r="432" spans="1:5" ht="12.75">
      <c r="A432" s="64"/>
      <c r="B432" s="64"/>
      <c r="C432" s="64"/>
      <c r="D432" s="65"/>
      <c r="E432" s="64"/>
    </row>
    <row r="433" spans="1:5" ht="12.75">
      <c r="A433" s="64"/>
      <c r="B433" s="64"/>
      <c r="C433" s="64"/>
      <c r="D433" s="65"/>
      <c r="E433" s="64"/>
    </row>
    <row r="434" spans="1:5" ht="12.75">
      <c r="A434" s="64"/>
      <c r="B434" s="64"/>
      <c r="C434" s="64"/>
      <c r="D434" s="65"/>
      <c r="E434" s="64"/>
    </row>
    <row r="435" spans="1:5" ht="12.75">
      <c r="A435" s="64"/>
      <c r="B435" s="64"/>
      <c r="C435" s="64"/>
      <c r="D435" s="65"/>
      <c r="E435" s="64"/>
    </row>
    <row r="436" spans="1:5" ht="12.75">
      <c r="A436" s="64"/>
      <c r="B436" s="64"/>
      <c r="C436" s="64"/>
      <c r="D436" s="65"/>
      <c r="E436" s="64"/>
    </row>
    <row r="437" spans="1:5" ht="12.75">
      <c r="A437" s="64"/>
      <c r="B437" s="64"/>
      <c r="C437" s="64"/>
      <c r="D437" s="65"/>
      <c r="E437" s="64"/>
    </row>
    <row r="438" spans="1:5" ht="12.75">
      <c r="A438" s="64"/>
      <c r="B438" s="64"/>
      <c r="C438" s="64"/>
      <c r="D438" s="65"/>
      <c r="E438" s="64"/>
    </row>
    <row r="439" spans="1:5" ht="12.75">
      <c r="A439" s="64"/>
      <c r="B439" s="64"/>
      <c r="C439" s="64"/>
      <c r="D439" s="65"/>
      <c r="E439" s="64"/>
    </row>
    <row r="440" spans="1:5" ht="12.75">
      <c r="A440" s="64"/>
      <c r="B440" s="64"/>
      <c r="C440" s="64"/>
      <c r="D440" s="65"/>
      <c r="E440" s="64"/>
    </row>
    <row r="441" spans="1:5" ht="12.75">
      <c r="A441" s="64"/>
      <c r="B441" s="64"/>
      <c r="C441" s="64"/>
      <c r="D441" s="65"/>
      <c r="E441" s="64"/>
    </row>
    <row r="442" spans="1:5" ht="12.75">
      <c r="A442" s="64"/>
      <c r="B442" s="64"/>
      <c r="C442" s="64"/>
      <c r="D442" s="65"/>
      <c r="E442" s="64"/>
    </row>
    <row r="443" spans="1:5" ht="12.75">
      <c r="A443" s="64"/>
      <c r="B443" s="64"/>
      <c r="C443" s="64"/>
      <c r="D443" s="65"/>
      <c r="E443" s="64"/>
    </row>
    <row r="444" spans="1:5" ht="12.75">
      <c r="A444" s="64"/>
      <c r="B444" s="64"/>
      <c r="C444" s="64"/>
      <c r="D444" s="65"/>
      <c r="E444" s="64"/>
    </row>
    <row r="445" spans="1:5" ht="12.75">
      <c r="A445" s="64"/>
      <c r="B445" s="64"/>
      <c r="C445" s="64"/>
      <c r="D445" s="65"/>
      <c r="E445" s="64"/>
    </row>
    <row r="446" spans="1:5" ht="12.75">
      <c r="A446" s="64"/>
      <c r="B446" s="64"/>
      <c r="C446" s="64"/>
      <c r="D446" s="65"/>
      <c r="E446" s="64"/>
    </row>
    <row r="447" spans="1:5" ht="12.75">
      <c r="A447" s="64"/>
      <c r="B447" s="64"/>
      <c r="C447" s="64"/>
      <c r="D447" s="65"/>
      <c r="E447" s="64"/>
    </row>
    <row r="448" spans="1:5" ht="12.75">
      <c r="A448" s="64"/>
      <c r="B448" s="64"/>
      <c r="C448" s="64"/>
      <c r="D448" s="65"/>
      <c r="E448" s="64"/>
    </row>
    <row r="449" spans="1:5" ht="12.75">
      <c r="A449" s="64"/>
      <c r="B449" s="64"/>
      <c r="C449" s="64"/>
      <c r="D449" s="65"/>
      <c r="E449" s="64"/>
    </row>
    <row r="450" spans="1:5" ht="12.75">
      <c r="A450" s="64"/>
      <c r="B450" s="64"/>
      <c r="C450" s="64"/>
      <c r="D450" s="65"/>
      <c r="E450" s="64"/>
    </row>
    <row r="451" spans="1:5" ht="12.75">
      <c r="A451" s="64"/>
      <c r="B451" s="64"/>
      <c r="C451" s="64"/>
      <c r="D451" s="65"/>
      <c r="E451" s="64"/>
    </row>
    <row r="452" spans="1:5" ht="12.75">
      <c r="A452" s="64"/>
      <c r="B452" s="64"/>
      <c r="C452" s="64"/>
      <c r="D452" s="65"/>
      <c r="E452" s="64"/>
    </row>
    <row r="453" spans="1:5" ht="12.75">
      <c r="A453" s="64"/>
      <c r="B453" s="64"/>
      <c r="C453" s="64"/>
      <c r="D453" s="65"/>
      <c r="E453" s="64"/>
    </row>
    <row r="454" spans="1:5" ht="12.75">
      <c r="A454" s="64"/>
      <c r="B454" s="64"/>
      <c r="C454" s="64"/>
      <c r="D454" s="65"/>
      <c r="E454" s="64"/>
    </row>
    <row r="455" spans="1:5" ht="12.75">
      <c r="A455" s="64"/>
      <c r="B455" s="64"/>
      <c r="C455" s="64"/>
      <c r="D455" s="65"/>
      <c r="E455" s="64"/>
    </row>
    <row r="456" spans="1:5" ht="12.75">
      <c r="A456" s="64"/>
      <c r="B456" s="64"/>
      <c r="C456" s="64"/>
      <c r="D456" s="65"/>
      <c r="E456" s="64"/>
    </row>
    <row r="457" spans="1:5" ht="12.75">
      <c r="A457" s="64"/>
      <c r="B457" s="64"/>
      <c r="C457" s="64"/>
      <c r="D457" s="65"/>
      <c r="E457" s="64"/>
    </row>
    <row r="458" spans="1:5" ht="12.75">
      <c r="A458" s="64"/>
      <c r="B458" s="64"/>
      <c r="C458" s="64"/>
      <c r="D458" s="65"/>
      <c r="E458" s="64"/>
    </row>
    <row r="459" spans="1:5" ht="12.75">
      <c r="A459" s="64"/>
      <c r="B459" s="64"/>
      <c r="C459" s="64"/>
      <c r="D459" s="65"/>
      <c r="E459" s="64"/>
    </row>
    <row r="460" spans="1:5" ht="12.75">
      <c r="A460" s="64"/>
      <c r="B460" s="64"/>
      <c r="C460" s="64"/>
      <c r="D460" s="65"/>
      <c r="E460" s="64"/>
    </row>
    <row r="461" spans="1:5" ht="12.75">
      <c r="A461" s="64"/>
      <c r="B461" s="64"/>
      <c r="C461" s="64"/>
      <c r="D461" s="65"/>
      <c r="E461" s="64"/>
    </row>
    <row r="462" spans="1:5" ht="12.75">
      <c r="A462" s="64"/>
      <c r="B462" s="64"/>
      <c r="C462" s="64"/>
      <c r="D462" s="65"/>
      <c r="E462" s="64"/>
    </row>
    <row r="463" spans="1:5" ht="12.75">
      <c r="A463" s="64"/>
      <c r="B463" s="64"/>
      <c r="C463" s="64"/>
      <c r="D463" s="65"/>
      <c r="E463" s="64"/>
    </row>
    <row r="464" spans="1:5" ht="12.75">
      <c r="A464" s="64"/>
      <c r="B464" s="64"/>
      <c r="C464" s="64"/>
      <c r="D464" s="65"/>
      <c r="E464" s="64"/>
    </row>
    <row r="465" spans="1:5" ht="12.75">
      <c r="A465" s="64"/>
      <c r="B465" s="64"/>
      <c r="C465" s="64"/>
      <c r="D465" s="65"/>
      <c r="E465" s="64"/>
    </row>
    <row r="466" spans="1:5" ht="12.75">
      <c r="A466" s="64"/>
      <c r="B466" s="64"/>
      <c r="C466" s="64"/>
      <c r="D466" s="65"/>
      <c r="E466" s="64"/>
    </row>
    <row r="467" spans="1:5" ht="12.75">
      <c r="A467" s="64"/>
      <c r="B467" s="64"/>
      <c r="C467" s="64"/>
      <c r="D467" s="65"/>
      <c r="E467" s="64"/>
    </row>
    <row r="468" spans="1:5" ht="12.75">
      <c r="A468" s="64"/>
      <c r="B468" s="64"/>
      <c r="C468" s="64"/>
      <c r="D468" s="65"/>
      <c r="E468" s="64"/>
    </row>
    <row r="469" spans="1:5" ht="12.75">
      <c r="A469" s="64"/>
      <c r="B469" s="64"/>
      <c r="C469" s="64"/>
      <c r="D469" s="65"/>
      <c r="E469" s="64"/>
    </row>
    <row r="470" spans="1:5" ht="12.75">
      <c r="A470" s="64"/>
      <c r="B470" s="64"/>
      <c r="C470" s="64"/>
      <c r="D470" s="65"/>
      <c r="E470" s="64"/>
    </row>
    <row r="471" spans="1:5" ht="12.75">
      <c r="A471" s="64"/>
      <c r="B471" s="64"/>
      <c r="C471" s="64"/>
      <c r="D471" s="65"/>
      <c r="E471" s="64"/>
    </row>
    <row r="472" spans="1:5" ht="12.75">
      <c r="A472" s="64"/>
      <c r="B472" s="64"/>
      <c r="C472" s="64"/>
      <c r="D472" s="65"/>
      <c r="E472" s="64"/>
    </row>
    <row r="473" spans="1:5" ht="12.75">
      <c r="A473" s="64"/>
      <c r="B473" s="64"/>
      <c r="C473" s="64"/>
      <c r="D473" s="65"/>
      <c r="E473" s="64"/>
    </row>
    <row r="474" spans="1:5" ht="12.75">
      <c r="A474" s="64"/>
      <c r="B474" s="64"/>
      <c r="C474" s="64"/>
      <c r="D474" s="65"/>
      <c r="E474" s="64"/>
    </row>
    <row r="475" spans="1:5" ht="12.75">
      <c r="A475" s="64"/>
      <c r="B475" s="64"/>
      <c r="C475" s="64"/>
      <c r="D475" s="65"/>
      <c r="E475" s="64"/>
    </row>
    <row r="476" spans="1:5" ht="12.75">
      <c r="A476" s="64"/>
      <c r="B476" s="64"/>
      <c r="C476" s="64"/>
      <c r="D476" s="65"/>
      <c r="E476" s="64"/>
    </row>
    <row r="477" spans="1:5" ht="12.75">
      <c r="A477" s="64"/>
      <c r="B477" s="64"/>
      <c r="C477" s="64"/>
      <c r="D477" s="65"/>
      <c r="E477" s="64"/>
    </row>
    <row r="478" spans="1:5" ht="12.75">
      <c r="A478" s="64"/>
      <c r="B478" s="64"/>
      <c r="C478" s="64"/>
      <c r="D478" s="65"/>
      <c r="E478" s="64"/>
    </row>
    <row r="479" spans="1:5" ht="12.75">
      <c r="A479" s="64"/>
      <c r="B479" s="64"/>
      <c r="C479" s="64"/>
      <c r="D479" s="65"/>
      <c r="E479" s="64"/>
    </row>
    <row r="480" spans="1:5" ht="12.75">
      <c r="A480" s="64"/>
      <c r="B480" s="64"/>
      <c r="C480" s="64"/>
      <c r="D480" s="65"/>
      <c r="E480" s="64"/>
    </row>
    <row r="481" spans="1:5" ht="12.75">
      <c r="A481" s="64"/>
      <c r="B481" s="64"/>
      <c r="C481" s="64"/>
      <c r="D481" s="65"/>
      <c r="E481" s="64"/>
    </row>
    <row r="482" spans="1:5" ht="12.75">
      <c r="A482" s="64"/>
      <c r="B482" s="64"/>
      <c r="C482" s="64"/>
      <c r="D482" s="65"/>
      <c r="E482" s="64"/>
    </row>
    <row r="483" spans="1:5" ht="12.75">
      <c r="A483" s="64"/>
      <c r="B483" s="64"/>
      <c r="C483" s="64"/>
      <c r="D483" s="65"/>
      <c r="E483" s="64"/>
    </row>
    <row r="484" spans="1:5" ht="12.75">
      <c r="A484" s="64"/>
      <c r="B484" s="64"/>
      <c r="C484" s="64"/>
      <c r="D484" s="65"/>
      <c r="E484" s="64"/>
    </row>
    <row r="485" spans="1:5" ht="12.75">
      <c r="A485" s="64"/>
      <c r="B485" s="64"/>
      <c r="C485" s="64"/>
      <c r="D485" s="65"/>
      <c r="E485" s="64"/>
    </row>
    <row r="486" spans="1:5" ht="12.75">
      <c r="A486" s="64"/>
      <c r="B486" s="64"/>
      <c r="C486" s="64"/>
      <c r="D486" s="65"/>
      <c r="E486" s="64"/>
    </row>
    <row r="487" spans="1:5" ht="12.75">
      <c r="A487" s="64"/>
      <c r="B487" s="64"/>
      <c r="C487" s="64"/>
      <c r="D487" s="65"/>
      <c r="E487" s="64"/>
    </row>
    <row r="488" spans="1:5" ht="12.75">
      <c r="A488" s="64"/>
      <c r="B488" s="64"/>
      <c r="C488" s="64"/>
      <c r="D488" s="65"/>
      <c r="E488" s="64"/>
    </row>
    <row r="489" spans="1:5" ht="12.75">
      <c r="A489" s="64"/>
      <c r="B489" s="64"/>
      <c r="C489" s="64"/>
      <c r="D489" s="65"/>
      <c r="E489" s="64"/>
    </row>
    <row r="490" spans="1:5" ht="12.75">
      <c r="A490" s="64"/>
      <c r="B490" s="64"/>
      <c r="C490" s="64"/>
      <c r="D490" s="65"/>
      <c r="E490" s="64"/>
    </row>
    <row r="491" spans="1:5" ht="12.75">
      <c r="A491" s="64"/>
      <c r="B491" s="64"/>
      <c r="C491" s="64"/>
      <c r="D491" s="65"/>
      <c r="E491" s="64"/>
    </row>
    <row r="492" spans="1:5" ht="12.75">
      <c r="A492" s="64"/>
      <c r="B492" s="64"/>
      <c r="C492" s="64"/>
      <c r="D492" s="65"/>
      <c r="E492" s="64"/>
    </row>
    <row r="493" spans="1:5" ht="12.75">
      <c r="A493" s="64"/>
      <c r="B493" s="64"/>
      <c r="C493" s="64"/>
      <c r="D493" s="65"/>
      <c r="E493" s="64"/>
    </row>
    <row r="494" spans="1:5" ht="12.75">
      <c r="A494" s="64"/>
      <c r="B494" s="64"/>
      <c r="C494" s="64"/>
      <c r="D494" s="65"/>
      <c r="E494" s="64"/>
    </row>
    <row r="495" spans="1:5" ht="12.75">
      <c r="A495" s="64"/>
      <c r="B495" s="64"/>
      <c r="C495" s="64"/>
      <c r="D495" s="65"/>
      <c r="E495" s="64"/>
    </row>
    <row r="496" spans="1:5" ht="12.75">
      <c r="A496" s="64"/>
      <c r="B496" s="64"/>
      <c r="C496" s="64"/>
      <c r="D496" s="65"/>
      <c r="E496" s="64"/>
    </row>
    <row r="497" spans="1:5" ht="12.75">
      <c r="A497" s="64"/>
      <c r="B497" s="64"/>
      <c r="C497" s="64"/>
      <c r="D497" s="65"/>
      <c r="E497" s="64"/>
    </row>
    <row r="498" spans="1:5" ht="12.75">
      <c r="A498" s="64"/>
      <c r="B498" s="64"/>
      <c r="C498" s="64"/>
      <c r="D498" s="65"/>
      <c r="E498" s="64"/>
    </row>
    <row r="499" spans="1:5" ht="12.75">
      <c r="A499" s="64"/>
      <c r="B499" s="64"/>
      <c r="C499" s="64"/>
      <c r="D499" s="65"/>
      <c r="E499" s="64"/>
    </row>
    <row r="500" spans="1:5" ht="12.75">
      <c r="A500" s="64"/>
      <c r="B500" s="64"/>
      <c r="C500" s="64"/>
      <c r="D500" s="65"/>
      <c r="E500" s="64"/>
    </row>
    <row r="501" spans="1:5" ht="12.75">
      <c r="A501" s="64"/>
      <c r="B501" s="64"/>
      <c r="C501" s="64"/>
      <c r="D501" s="65"/>
      <c r="E501" s="64"/>
    </row>
    <row r="502" spans="1:5" ht="12.75">
      <c r="A502" s="64"/>
      <c r="B502" s="64"/>
      <c r="C502" s="64"/>
      <c r="D502" s="65"/>
      <c r="E502" s="64"/>
    </row>
    <row r="503" spans="1:5" ht="12.75">
      <c r="A503" s="64"/>
      <c r="B503" s="64"/>
      <c r="C503" s="64"/>
      <c r="D503" s="65"/>
      <c r="E503" s="64"/>
    </row>
    <row r="504" spans="1:5" ht="12.75">
      <c r="A504" s="64"/>
      <c r="B504" s="64"/>
      <c r="C504" s="64"/>
      <c r="D504" s="65"/>
      <c r="E504" s="64"/>
    </row>
    <row r="505" spans="1:5" ht="12.75">
      <c r="A505" s="64"/>
      <c r="B505" s="64"/>
      <c r="C505" s="64"/>
      <c r="D505" s="65"/>
      <c r="E505" s="64"/>
    </row>
    <row r="506" spans="1:5" ht="12.75">
      <c r="A506" s="64"/>
      <c r="B506" s="64"/>
      <c r="C506" s="64"/>
      <c r="D506" s="65"/>
      <c r="E506" s="64"/>
    </row>
    <row r="507" spans="1:5" ht="12.75">
      <c r="A507" s="64"/>
      <c r="B507" s="64"/>
      <c r="C507" s="64"/>
      <c r="D507" s="65"/>
      <c r="E507" s="64"/>
    </row>
    <row r="508" spans="1:5" ht="12.75">
      <c r="A508" s="64"/>
      <c r="B508" s="64"/>
      <c r="C508" s="64"/>
      <c r="D508" s="65"/>
      <c r="E508" s="64"/>
    </row>
    <row r="509" spans="1:5" ht="12.75">
      <c r="A509" s="64"/>
      <c r="B509" s="64"/>
      <c r="C509" s="64"/>
      <c r="D509" s="65"/>
      <c r="E509" s="64"/>
    </row>
    <row r="510" spans="1:5" ht="12.75">
      <c r="A510" s="64"/>
      <c r="B510" s="64"/>
      <c r="C510" s="64"/>
      <c r="D510" s="65"/>
      <c r="E510" s="64"/>
    </row>
    <row r="511" spans="1:5" ht="12.75">
      <c r="A511" s="64"/>
      <c r="B511" s="64"/>
      <c r="C511" s="64"/>
      <c r="D511" s="65"/>
      <c r="E511" s="64"/>
    </row>
    <row r="512" spans="1:5" ht="12.75">
      <c r="A512" s="64"/>
      <c r="B512" s="64"/>
      <c r="C512" s="64"/>
      <c r="D512" s="65"/>
      <c r="E512" s="64"/>
    </row>
    <row r="513" spans="1:5" ht="12.75">
      <c r="A513" s="64"/>
      <c r="B513" s="64"/>
      <c r="C513" s="64"/>
      <c r="D513" s="65"/>
      <c r="E513" s="64"/>
    </row>
    <row r="514" spans="1:5" ht="12.75">
      <c r="A514" s="64"/>
      <c r="B514" s="64"/>
      <c r="C514" s="64"/>
      <c r="D514" s="65"/>
      <c r="E514" s="64"/>
    </row>
    <row r="515" spans="1:5" ht="12.75">
      <c r="A515" s="64"/>
      <c r="B515" s="64"/>
      <c r="C515" s="64"/>
      <c r="D515" s="65"/>
      <c r="E515" s="64"/>
    </row>
    <row r="516" spans="1:5" ht="12.75">
      <c r="A516" s="64"/>
      <c r="B516" s="64"/>
      <c r="C516" s="64"/>
      <c r="D516" s="65"/>
      <c r="E516" s="64"/>
    </row>
    <row r="517" spans="1:5" ht="12.75">
      <c r="A517" s="64"/>
      <c r="B517" s="64"/>
      <c r="C517" s="64"/>
      <c r="D517" s="65"/>
      <c r="E517" s="64"/>
    </row>
    <row r="518" spans="1:5" ht="12.75">
      <c r="A518" s="64"/>
      <c r="B518" s="64"/>
      <c r="C518" s="64"/>
      <c r="D518" s="65"/>
      <c r="E518" s="64"/>
    </row>
    <row r="519" spans="1:5" ht="12.75">
      <c r="A519" s="64"/>
      <c r="B519" s="64"/>
      <c r="C519" s="64"/>
      <c r="D519" s="65"/>
      <c r="E519" s="64"/>
    </row>
    <row r="520" spans="1:5" ht="12.75">
      <c r="A520" s="64"/>
      <c r="B520" s="64"/>
      <c r="C520" s="64"/>
      <c r="D520" s="65"/>
      <c r="E520" s="64"/>
    </row>
    <row r="521" spans="1:5" ht="12.75">
      <c r="A521" s="64"/>
      <c r="B521" s="64"/>
      <c r="C521" s="64"/>
      <c r="D521" s="65"/>
      <c r="E521" s="64"/>
    </row>
    <row r="522" spans="1:5" ht="12.75">
      <c r="A522" s="64"/>
      <c r="B522" s="64"/>
      <c r="C522" s="64"/>
      <c r="D522" s="65"/>
      <c r="E522" s="64"/>
    </row>
    <row r="523" spans="1:5" ht="12.75">
      <c r="A523" s="64"/>
      <c r="B523" s="64"/>
      <c r="C523" s="64"/>
      <c r="D523" s="65"/>
      <c r="E523" s="64"/>
    </row>
    <row r="524" spans="1:5" ht="12.75">
      <c r="A524" s="64"/>
      <c r="B524" s="64"/>
      <c r="C524" s="64"/>
      <c r="D524" s="65"/>
      <c r="E524" s="64"/>
    </row>
    <row r="525" spans="1:5" ht="12.75">
      <c r="A525" s="64"/>
      <c r="B525" s="64"/>
      <c r="C525" s="64"/>
      <c r="D525" s="65"/>
      <c r="E525" s="64"/>
    </row>
    <row r="526" spans="1:5" ht="12.75">
      <c r="A526" s="64"/>
      <c r="B526" s="64"/>
      <c r="C526" s="64"/>
      <c r="D526" s="65"/>
      <c r="E526" s="64"/>
    </row>
    <row r="527" spans="1:5" ht="12.75">
      <c r="A527" s="64"/>
      <c r="B527" s="64"/>
      <c r="C527" s="64"/>
      <c r="D527" s="65"/>
      <c r="E527" s="64"/>
    </row>
    <row r="528" spans="1:5" ht="12.75">
      <c r="A528" s="64"/>
      <c r="B528" s="64"/>
      <c r="C528" s="64"/>
      <c r="D528" s="65"/>
      <c r="E528" s="64"/>
    </row>
    <row r="529" spans="1:5" ht="12.75">
      <c r="A529" s="64"/>
      <c r="B529" s="64"/>
      <c r="C529" s="64"/>
      <c r="D529" s="65"/>
      <c r="E529" s="64"/>
    </row>
    <row r="530" spans="1:5" ht="12.75">
      <c r="A530" s="64"/>
      <c r="B530" s="64"/>
      <c r="C530" s="64"/>
      <c r="D530" s="65"/>
      <c r="E530" s="64"/>
    </row>
    <row r="531" spans="1:5" ht="12.75">
      <c r="A531" s="64"/>
      <c r="B531" s="64"/>
      <c r="C531" s="64"/>
      <c r="D531" s="65"/>
      <c r="E531" s="64"/>
    </row>
    <row r="532" spans="1:5" ht="12.75">
      <c r="A532" s="64"/>
      <c r="B532" s="64"/>
      <c r="C532" s="64"/>
      <c r="D532" s="65"/>
      <c r="E532" s="64"/>
    </row>
    <row r="533" spans="1:5" ht="12.75">
      <c r="A533" s="64"/>
      <c r="B533" s="64"/>
      <c r="C533" s="64"/>
      <c r="D533" s="65"/>
      <c r="E533" s="64"/>
    </row>
    <row r="534" spans="1:5" ht="12.75">
      <c r="A534" s="64"/>
      <c r="B534" s="64"/>
      <c r="C534" s="64"/>
      <c r="D534" s="65"/>
      <c r="E534" s="64"/>
    </row>
    <row r="535" spans="1:5" ht="12.75">
      <c r="A535" s="64"/>
      <c r="B535" s="64"/>
      <c r="C535" s="64"/>
      <c r="D535" s="65"/>
      <c r="E535" s="64"/>
    </row>
    <row r="536" spans="1:5" ht="12.75">
      <c r="A536" s="64"/>
      <c r="B536" s="64"/>
      <c r="C536" s="64"/>
      <c r="D536" s="65"/>
      <c r="E536" s="64"/>
    </row>
    <row r="537" spans="1:5" ht="12.75">
      <c r="A537" s="64"/>
      <c r="B537" s="64"/>
      <c r="C537" s="64"/>
      <c r="D537" s="65"/>
      <c r="E537" s="64"/>
    </row>
    <row r="538" spans="1:5" ht="12.75">
      <c r="A538" s="64"/>
      <c r="B538" s="64"/>
      <c r="C538" s="64"/>
      <c r="D538" s="65"/>
      <c r="E538" s="64"/>
    </row>
    <row r="539" spans="1:5" ht="12.75">
      <c r="A539" s="64"/>
      <c r="B539" s="64"/>
      <c r="C539" s="64"/>
      <c r="D539" s="65"/>
      <c r="E539" s="64"/>
    </row>
    <row r="540" spans="1:5" ht="12.75">
      <c r="A540" s="64"/>
      <c r="B540" s="64"/>
      <c r="C540" s="64"/>
      <c r="D540" s="65"/>
      <c r="E540" s="64"/>
    </row>
    <row r="541" spans="1:5" ht="12.75">
      <c r="A541" s="64"/>
      <c r="B541" s="64"/>
      <c r="C541" s="64"/>
      <c r="D541" s="65"/>
      <c r="E541" s="64"/>
    </row>
    <row r="542" spans="1:5" ht="12.75">
      <c r="A542" s="64"/>
      <c r="B542" s="64"/>
      <c r="C542" s="64"/>
      <c r="D542" s="65"/>
      <c r="E542" s="64"/>
    </row>
    <row r="543" spans="1:5" ht="12.75">
      <c r="A543" s="64"/>
      <c r="B543" s="64"/>
      <c r="C543" s="64"/>
      <c r="D543" s="65"/>
      <c r="E543" s="64"/>
    </row>
    <row r="544" spans="1:5" ht="12.75">
      <c r="A544" s="64"/>
      <c r="B544" s="64"/>
      <c r="C544" s="64"/>
      <c r="D544" s="65"/>
      <c r="E544" s="64"/>
    </row>
    <row r="545" spans="1:5" ht="12.75">
      <c r="A545" s="64"/>
      <c r="B545" s="64"/>
      <c r="C545" s="64"/>
      <c r="D545" s="65"/>
      <c r="E545" s="64"/>
    </row>
    <row r="546" spans="1:5" ht="12.75">
      <c r="A546" s="64"/>
      <c r="B546" s="64"/>
      <c r="C546" s="64"/>
      <c r="D546" s="65"/>
      <c r="E546" s="64"/>
    </row>
    <row r="547" spans="1:5" ht="12.75">
      <c r="A547" s="64"/>
      <c r="B547" s="64"/>
      <c r="C547" s="64"/>
      <c r="D547" s="65"/>
      <c r="E547" s="64"/>
    </row>
    <row r="548" spans="1:5" ht="12.75">
      <c r="A548" s="64"/>
      <c r="B548" s="64"/>
      <c r="C548" s="64"/>
      <c r="D548" s="65"/>
      <c r="E548" s="64"/>
    </row>
    <row r="549" spans="1:5" ht="12.75">
      <c r="A549" s="64"/>
      <c r="B549" s="64"/>
      <c r="C549" s="64"/>
      <c r="D549" s="65"/>
      <c r="E549" s="64"/>
    </row>
    <row r="550" spans="1:5" ht="12.75">
      <c r="A550" s="64"/>
      <c r="B550" s="64"/>
      <c r="C550" s="64"/>
      <c r="D550" s="65"/>
      <c r="E550" s="64"/>
    </row>
    <row r="551" spans="1:5" ht="12.75">
      <c r="A551" s="64"/>
      <c r="B551" s="64"/>
      <c r="C551" s="64"/>
      <c r="D551" s="65"/>
      <c r="E551" s="64"/>
    </row>
    <row r="552" spans="1:5" ht="12.75">
      <c r="A552" s="64"/>
      <c r="B552" s="64"/>
      <c r="C552" s="64"/>
      <c r="D552" s="65"/>
      <c r="E552" s="64"/>
    </row>
    <row r="553" spans="1:5" ht="12.75">
      <c r="A553" s="64"/>
      <c r="B553" s="64"/>
      <c r="C553" s="64"/>
      <c r="D553" s="65"/>
      <c r="E553" s="64"/>
    </row>
    <row r="554" spans="1:5" ht="12.75">
      <c r="A554" s="64"/>
      <c r="B554" s="64"/>
      <c r="C554" s="64"/>
      <c r="D554" s="65"/>
      <c r="E554" s="64"/>
    </row>
    <row r="555" spans="1:5" ht="12.75">
      <c r="A555" s="64"/>
      <c r="B555" s="64"/>
      <c r="C555" s="64"/>
      <c r="D555" s="65"/>
      <c r="E555" s="64"/>
    </row>
    <row r="556" spans="1:5" ht="12.75">
      <c r="A556" s="64"/>
      <c r="B556" s="64"/>
      <c r="C556" s="64"/>
      <c r="D556" s="65"/>
      <c r="E556" s="64"/>
    </row>
    <row r="557" spans="1:5" ht="12.75">
      <c r="A557" s="64"/>
      <c r="B557" s="64"/>
      <c r="C557" s="64"/>
      <c r="D557" s="65"/>
      <c r="E557" s="64"/>
    </row>
    <row r="558" spans="1:5" ht="12.75">
      <c r="A558" s="64"/>
      <c r="B558" s="64"/>
      <c r="C558" s="64"/>
      <c r="D558" s="65"/>
      <c r="E558" s="64"/>
    </row>
    <row r="559" spans="1:5" ht="12.75">
      <c r="A559" s="64"/>
      <c r="B559" s="64"/>
      <c r="C559" s="64"/>
      <c r="D559" s="65"/>
      <c r="E559" s="64"/>
    </row>
    <row r="560" spans="1:5" ht="12.75">
      <c r="A560" s="64"/>
      <c r="B560" s="64"/>
      <c r="C560" s="64"/>
      <c r="D560" s="65"/>
      <c r="E560" s="64"/>
    </row>
    <row r="561" spans="1:5" ht="12.75">
      <c r="A561" s="64"/>
      <c r="B561" s="64"/>
      <c r="C561" s="64"/>
      <c r="D561" s="65"/>
      <c r="E561" s="64"/>
    </row>
    <row r="562" spans="1:5" ht="12.75">
      <c r="A562" s="64"/>
      <c r="B562" s="64"/>
      <c r="C562" s="64"/>
      <c r="D562" s="65"/>
      <c r="E562" s="64"/>
    </row>
    <row r="563" spans="1:5" ht="12.75">
      <c r="A563" s="64"/>
      <c r="B563" s="64"/>
      <c r="C563" s="64"/>
      <c r="D563" s="65"/>
      <c r="E563" s="64"/>
    </row>
    <row r="564" spans="1:5" ht="12.75">
      <c r="A564" s="64"/>
      <c r="B564" s="64"/>
      <c r="C564" s="64"/>
      <c r="D564" s="65"/>
      <c r="E564" s="64"/>
    </row>
    <row r="565" spans="1:5" ht="12.75">
      <c r="A565" s="64"/>
      <c r="B565" s="64"/>
      <c r="C565" s="64"/>
      <c r="D565" s="65"/>
      <c r="E565" s="64"/>
    </row>
    <row r="566" spans="1:5" ht="12.75">
      <c r="A566" s="64"/>
      <c r="B566" s="64"/>
      <c r="C566" s="64"/>
      <c r="D566" s="65"/>
      <c r="E566" s="64"/>
    </row>
    <row r="567" spans="1:5" ht="12.75">
      <c r="A567" s="64"/>
      <c r="B567" s="64"/>
      <c r="C567" s="64"/>
      <c r="D567" s="65"/>
      <c r="E567" s="64"/>
    </row>
    <row r="568" spans="1:5" ht="12.75">
      <c r="A568" s="64"/>
      <c r="B568" s="64"/>
      <c r="C568" s="64"/>
      <c r="D568" s="65"/>
      <c r="E568" s="64"/>
    </row>
    <row r="569" spans="1:5" ht="12.75">
      <c r="A569" s="64"/>
      <c r="B569" s="64"/>
      <c r="C569" s="64"/>
      <c r="D569" s="65"/>
      <c r="E569" s="64"/>
    </row>
    <row r="570" spans="1:5" ht="12.75">
      <c r="A570" s="64"/>
      <c r="B570" s="64"/>
      <c r="C570" s="64"/>
      <c r="D570" s="65"/>
      <c r="E570" s="64"/>
    </row>
    <row r="571" spans="1:5" ht="12.75">
      <c r="A571" s="64"/>
      <c r="B571" s="64"/>
      <c r="C571" s="64"/>
      <c r="D571" s="65"/>
      <c r="E571" s="64"/>
    </row>
    <row r="572" spans="1:5" ht="12.75">
      <c r="A572" s="64"/>
      <c r="B572" s="64"/>
      <c r="C572" s="64"/>
      <c r="D572" s="65"/>
      <c r="E572" s="64"/>
    </row>
    <row r="573" spans="1:5" ht="12.75">
      <c r="A573" s="64"/>
      <c r="B573" s="64"/>
      <c r="C573" s="64"/>
      <c r="D573" s="65"/>
      <c r="E573" s="64"/>
    </row>
    <row r="574" spans="1:5" ht="12.75">
      <c r="A574" s="64"/>
      <c r="B574" s="64"/>
      <c r="C574" s="64"/>
      <c r="D574" s="65"/>
      <c r="E574" s="64"/>
    </row>
    <row r="575" spans="1:5" ht="12.75">
      <c r="A575" s="64"/>
      <c r="B575" s="64"/>
      <c r="C575" s="64"/>
      <c r="D575" s="65"/>
      <c r="E575" s="64"/>
    </row>
    <row r="576" spans="1:5" ht="12.75">
      <c r="A576" s="64"/>
      <c r="B576" s="64"/>
      <c r="C576" s="64"/>
      <c r="D576" s="65"/>
      <c r="E576" s="64"/>
    </row>
    <row r="577" spans="1:5" ht="12.75">
      <c r="A577" s="64"/>
      <c r="B577" s="64"/>
      <c r="C577" s="64"/>
      <c r="D577" s="65"/>
      <c r="E577" s="64"/>
    </row>
    <row r="578" spans="1:5" ht="12.75">
      <c r="A578" s="64"/>
      <c r="B578" s="64"/>
      <c r="C578" s="64"/>
      <c r="D578" s="65"/>
      <c r="E578" s="64"/>
    </row>
    <row r="579" spans="1:5" ht="12.75">
      <c r="A579" s="64"/>
      <c r="B579" s="64"/>
      <c r="C579" s="64"/>
      <c r="D579" s="65"/>
      <c r="E579" s="64"/>
    </row>
    <row r="580" spans="1:5" ht="12.75">
      <c r="A580" s="64"/>
      <c r="B580" s="64"/>
      <c r="C580" s="64"/>
      <c r="D580" s="65"/>
      <c r="E580" s="64"/>
    </row>
    <row r="581" spans="1:5" ht="12.75">
      <c r="A581" s="64"/>
      <c r="B581" s="64"/>
      <c r="C581" s="64"/>
      <c r="D581" s="65"/>
      <c r="E581" s="64"/>
    </row>
    <row r="582" spans="1:5" ht="12.75">
      <c r="A582" s="64"/>
      <c r="B582" s="64"/>
      <c r="C582" s="64"/>
      <c r="D582" s="65"/>
      <c r="E582" s="64"/>
    </row>
    <row r="583" spans="1:5" ht="12.75">
      <c r="A583" s="64"/>
      <c r="B583" s="64"/>
      <c r="C583" s="64"/>
      <c r="D583" s="65"/>
      <c r="E583" s="64"/>
    </row>
    <row r="584" spans="1:5" ht="12.75">
      <c r="A584" s="64"/>
      <c r="B584" s="64"/>
      <c r="C584" s="64"/>
      <c r="D584" s="65"/>
      <c r="E584" s="64"/>
    </row>
    <row r="585" spans="1:5" ht="12.75">
      <c r="A585" s="64"/>
      <c r="B585" s="64"/>
      <c r="C585" s="64"/>
      <c r="D585" s="65"/>
      <c r="E585" s="64"/>
    </row>
    <row r="586" spans="1:5" ht="12.75">
      <c r="A586" s="64"/>
      <c r="B586" s="64"/>
      <c r="C586" s="64"/>
      <c r="D586" s="65"/>
      <c r="E586" s="64"/>
    </row>
    <row r="587" spans="1:5" ht="12.75">
      <c r="A587" s="64"/>
      <c r="B587" s="64"/>
      <c r="C587" s="64"/>
      <c r="D587" s="65"/>
      <c r="E587" s="64"/>
    </row>
    <row r="588" spans="1:5" ht="12.75">
      <c r="A588" s="64"/>
      <c r="B588" s="64"/>
      <c r="C588" s="64"/>
      <c r="D588" s="65"/>
      <c r="E588" s="64"/>
    </row>
    <row r="589" spans="1:5" ht="12.75">
      <c r="A589" s="64"/>
      <c r="B589" s="64"/>
      <c r="C589" s="64"/>
      <c r="D589" s="65"/>
      <c r="E589" s="64"/>
    </row>
    <row r="590" spans="1:5" ht="12.75">
      <c r="A590" s="64"/>
      <c r="B590" s="64"/>
      <c r="C590" s="64"/>
      <c r="D590" s="65"/>
      <c r="E590" s="64"/>
    </row>
    <row r="591" spans="1:5" ht="12.75">
      <c r="A591" s="64"/>
      <c r="B591" s="64"/>
      <c r="C591" s="64"/>
      <c r="D591" s="65"/>
      <c r="E591" s="64"/>
    </row>
    <row r="592" spans="1:5" ht="12.75">
      <c r="A592" s="64"/>
      <c r="B592" s="64"/>
      <c r="C592" s="64"/>
      <c r="D592" s="65"/>
      <c r="E592" s="64"/>
    </row>
    <row r="593" spans="1:5" ht="12.75">
      <c r="A593" s="64"/>
      <c r="B593" s="64"/>
      <c r="C593" s="64"/>
      <c r="D593" s="65"/>
      <c r="E593" s="64"/>
    </row>
    <row r="594" spans="1:5" ht="12.75">
      <c r="A594" s="64"/>
      <c r="B594" s="64"/>
      <c r="C594" s="64"/>
      <c r="D594" s="65"/>
      <c r="E594" s="64"/>
    </row>
    <row r="595" spans="1:5" ht="12.75">
      <c r="A595" s="64"/>
      <c r="B595" s="64"/>
      <c r="C595" s="64"/>
      <c r="D595" s="65"/>
      <c r="E595" s="64"/>
    </row>
    <row r="596" spans="1:5" ht="12.75">
      <c r="A596" s="64"/>
      <c r="B596" s="64"/>
      <c r="C596" s="64"/>
      <c r="D596" s="65"/>
      <c r="E596" s="64"/>
    </row>
    <row r="597" spans="1:5" ht="12.75">
      <c r="A597" s="64"/>
      <c r="B597" s="64"/>
      <c r="C597" s="64"/>
      <c r="D597" s="65"/>
      <c r="E597" s="64"/>
    </row>
    <row r="598" spans="1:5" ht="12.75">
      <c r="A598" s="64"/>
      <c r="B598" s="64"/>
      <c r="C598" s="64"/>
      <c r="D598" s="65"/>
      <c r="E598" s="64"/>
    </row>
    <row r="599" spans="1:5" ht="12.75">
      <c r="A599" s="64"/>
      <c r="B599" s="64"/>
      <c r="C599" s="64"/>
      <c r="D599" s="65"/>
      <c r="E599" s="64"/>
    </row>
    <row r="600" spans="1:5" ht="12.75">
      <c r="A600" s="64"/>
      <c r="B600" s="64"/>
      <c r="C600" s="64"/>
      <c r="D600" s="65"/>
      <c r="E600" s="64"/>
    </row>
    <row r="601" spans="1:5" ht="12.75">
      <c r="A601" s="64"/>
      <c r="B601" s="64"/>
      <c r="C601" s="64"/>
      <c r="D601" s="65"/>
      <c r="E601" s="64"/>
    </row>
    <row r="602" spans="1:5" ht="12.75">
      <c r="A602" s="64"/>
      <c r="B602" s="64"/>
      <c r="C602" s="64"/>
      <c r="D602" s="65"/>
      <c r="E602" s="64"/>
    </row>
    <row r="603" spans="1:5" ht="12.75">
      <c r="A603" s="64"/>
      <c r="B603" s="64"/>
      <c r="C603" s="64"/>
      <c r="D603" s="65"/>
      <c r="E603" s="64"/>
    </row>
    <row r="604" spans="1:5" ht="12.75">
      <c r="A604" s="64"/>
      <c r="B604" s="64"/>
      <c r="C604" s="64"/>
      <c r="D604" s="65"/>
      <c r="E604" s="64"/>
    </row>
    <row r="605" spans="1:5" ht="12.75">
      <c r="A605" s="64"/>
      <c r="B605" s="64"/>
      <c r="C605" s="64"/>
      <c r="D605" s="65"/>
      <c r="E605" s="64"/>
    </row>
    <row r="606" spans="1:5" ht="12.75">
      <c r="A606" s="64"/>
      <c r="B606" s="64"/>
      <c r="C606" s="64"/>
      <c r="D606" s="65"/>
      <c r="E606" s="64"/>
    </row>
    <row r="607" spans="1:5" ht="12.75">
      <c r="A607" s="64"/>
      <c r="B607" s="64"/>
      <c r="C607" s="64"/>
      <c r="D607" s="65"/>
      <c r="E607" s="64"/>
    </row>
    <row r="608" spans="1:5" ht="12.75">
      <c r="A608" s="64"/>
      <c r="B608" s="64"/>
      <c r="C608" s="64"/>
      <c r="D608" s="65"/>
      <c r="E608" s="64"/>
    </row>
    <row r="609" spans="1:5" ht="12.75">
      <c r="A609" s="64"/>
      <c r="B609" s="64"/>
      <c r="C609" s="64"/>
      <c r="D609" s="65"/>
      <c r="E609" s="64"/>
    </row>
    <row r="610" spans="1:5" ht="12.75">
      <c r="A610" s="64"/>
      <c r="B610" s="64"/>
      <c r="C610" s="64"/>
      <c r="D610" s="65"/>
      <c r="E610" s="64"/>
    </row>
    <row r="611" spans="1:5" ht="12.75">
      <c r="A611" s="64"/>
      <c r="B611" s="64"/>
      <c r="C611" s="64"/>
      <c r="D611" s="65"/>
      <c r="E611" s="64"/>
    </row>
    <row r="612" spans="1:5" ht="12.75">
      <c r="A612" s="64"/>
      <c r="B612" s="64"/>
      <c r="C612" s="64"/>
      <c r="D612" s="65"/>
      <c r="E612" s="64"/>
    </row>
    <row r="613" spans="1:5" ht="12.75">
      <c r="A613" s="64"/>
      <c r="B613" s="64"/>
      <c r="C613" s="64"/>
      <c r="D613" s="65"/>
      <c r="E613" s="64"/>
    </row>
    <row r="614" spans="1:5" ht="12.75">
      <c r="A614" s="64"/>
      <c r="B614" s="64"/>
      <c r="C614" s="64"/>
      <c r="D614" s="65"/>
      <c r="E614" s="64"/>
    </row>
    <row r="615" spans="1:5" ht="12.75">
      <c r="A615" s="64"/>
      <c r="B615" s="64"/>
      <c r="C615" s="64"/>
      <c r="D615" s="65"/>
      <c r="E615" s="64"/>
    </row>
    <row r="616" spans="1:5" ht="12.75">
      <c r="A616" s="64"/>
      <c r="B616" s="64"/>
      <c r="C616" s="64"/>
      <c r="D616" s="65"/>
      <c r="E616" s="64"/>
    </row>
    <row r="617" spans="1:5" ht="12.75">
      <c r="A617" s="64"/>
      <c r="B617" s="64"/>
      <c r="C617" s="64"/>
      <c r="D617" s="65"/>
      <c r="E617" s="64"/>
    </row>
    <row r="618" spans="1:5" ht="12.75">
      <c r="A618" s="64"/>
      <c r="B618" s="64"/>
      <c r="C618" s="64"/>
      <c r="D618" s="65"/>
      <c r="E618" s="64"/>
    </row>
    <row r="619" spans="1:5" ht="12.75">
      <c r="A619" s="64"/>
      <c r="B619" s="64"/>
      <c r="C619" s="64"/>
      <c r="D619" s="65"/>
      <c r="E619" s="64"/>
    </row>
    <row r="620" spans="1:5" ht="12.75">
      <c r="A620" s="64"/>
      <c r="B620" s="64"/>
      <c r="C620" s="64"/>
      <c r="D620" s="65"/>
      <c r="E620" s="64"/>
    </row>
    <row r="621" spans="1:5" ht="12.75">
      <c r="A621" s="64"/>
      <c r="B621" s="64"/>
      <c r="C621" s="64"/>
      <c r="D621" s="65"/>
      <c r="E621" s="64"/>
    </row>
    <row r="622" spans="1:5" ht="12.75">
      <c r="A622" s="64"/>
      <c r="B622" s="64"/>
      <c r="C622" s="64"/>
      <c r="D622" s="65"/>
      <c r="E622" s="64"/>
    </row>
    <row r="623" spans="1:5" ht="12.75">
      <c r="A623" s="64"/>
      <c r="B623" s="64"/>
      <c r="C623" s="64"/>
      <c r="D623" s="65"/>
      <c r="E623" s="64"/>
    </row>
    <row r="624" spans="1:5" ht="12.75">
      <c r="A624" s="64"/>
      <c r="B624" s="64"/>
      <c r="C624" s="64"/>
      <c r="D624" s="65"/>
      <c r="E624" s="64"/>
    </row>
    <row r="625" spans="1:5" ht="12.75">
      <c r="A625" s="64"/>
      <c r="B625" s="64"/>
      <c r="C625" s="64"/>
      <c r="D625" s="65"/>
      <c r="E625" s="64"/>
    </row>
    <row r="626" spans="1:5" ht="12.75">
      <c r="A626" s="64"/>
      <c r="B626" s="64"/>
      <c r="C626" s="64"/>
      <c r="D626" s="65"/>
      <c r="E626" s="64"/>
    </row>
    <row r="627" spans="1:5" ht="12.75">
      <c r="A627" s="64"/>
      <c r="B627" s="64"/>
      <c r="C627" s="64"/>
      <c r="D627" s="65"/>
      <c r="E627" s="64"/>
    </row>
    <row r="628" spans="1:5" ht="12.75">
      <c r="A628" s="64"/>
      <c r="B628" s="64"/>
      <c r="C628" s="64"/>
      <c r="D628" s="65"/>
      <c r="E628" s="64"/>
    </row>
    <row r="629" spans="1:5" ht="12.75">
      <c r="A629" s="64"/>
      <c r="B629" s="64"/>
      <c r="C629" s="64"/>
      <c r="D629" s="65"/>
      <c r="E629" s="64"/>
    </row>
    <row r="630" spans="1:5" ht="12.75">
      <c r="A630" s="64"/>
      <c r="B630" s="64"/>
      <c r="C630" s="64"/>
      <c r="D630" s="65"/>
      <c r="E630" s="64"/>
    </row>
    <row r="631" spans="1:5" ht="12.75">
      <c r="A631" s="64"/>
      <c r="B631" s="64"/>
      <c r="C631" s="64"/>
      <c r="D631" s="65"/>
      <c r="E631" s="64"/>
    </row>
    <row r="632" spans="1:5" ht="12.75">
      <c r="A632" s="64"/>
      <c r="B632" s="64"/>
      <c r="C632" s="64"/>
      <c r="D632" s="65"/>
      <c r="E632" s="64"/>
    </row>
    <row r="633" spans="1:5" ht="12.75">
      <c r="A633" s="64"/>
      <c r="B633" s="64"/>
      <c r="C633" s="64"/>
      <c r="D633" s="65"/>
      <c r="E633" s="64"/>
    </row>
    <row r="634" spans="1:5" ht="12.75">
      <c r="A634" s="64"/>
      <c r="B634" s="64"/>
      <c r="C634" s="64"/>
      <c r="D634" s="65"/>
      <c r="E634" s="64"/>
    </row>
    <row r="635" spans="1:5" ht="12.75">
      <c r="A635" s="64"/>
      <c r="B635" s="64"/>
      <c r="C635" s="64"/>
      <c r="D635" s="65"/>
      <c r="E635" s="64"/>
    </row>
    <row r="636" spans="1:5" ht="12.75">
      <c r="A636" s="64"/>
      <c r="B636" s="64"/>
      <c r="C636" s="64"/>
      <c r="D636" s="65"/>
      <c r="E636" s="64"/>
    </row>
    <row r="637" spans="1:5" ht="12.75">
      <c r="A637" s="64"/>
      <c r="B637" s="64"/>
      <c r="C637" s="64"/>
      <c r="D637" s="65"/>
      <c r="E637" s="64"/>
    </row>
    <row r="638" spans="1:5" ht="12.75">
      <c r="A638" s="64"/>
      <c r="B638" s="64"/>
      <c r="C638" s="64"/>
      <c r="D638" s="65"/>
      <c r="E638" s="64"/>
    </row>
    <row r="639" spans="1:5" ht="12.75">
      <c r="A639" s="64"/>
      <c r="B639" s="64"/>
      <c r="C639" s="64"/>
      <c r="D639" s="65"/>
      <c r="E639" s="64"/>
    </row>
    <row r="640" spans="1:5" ht="12.75">
      <c r="A640" s="64"/>
      <c r="B640" s="64"/>
      <c r="C640" s="64"/>
      <c r="D640" s="65"/>
      <c r="E640" s="64"/>
    </row>
    <row r="641" spans="1:5" ht="12.75">
      <c r="A641" s="64"/>
      <c r="B641" s="64"/>
      <c r="C641" s="64"/>
      <c r="D641" s="65"/>
      <c r="E641" s="64"/>
    </row>
    <row r="642" spans="1:5" ht="12.75">
      <c r="A642" s="64"/>
      <c r="B642" s="64"/>
      <c r="C642" s="64"/>
      <c r="D642" s="65"/>
      <c r="E642" s="64"/>
    </row>
    <row r="643" spans="1:5" ht="12.75">
      <c r="A643" s="64"/>
      <c r="B643" s="64"/>
      <c r="C643" s="64"/>
      <c r="D643" s="65"/>
      <c r="E643" s="64"/>
    </row>
    <row r="644" spans="1:5" ht="12.75">
      <c r="A644" s="64"/>
      <c r="B644" s="64"/>
      <c r="C644" s="64"/>
      <c r="D644" s="65"/>
      <c r="E644" s="64"/>
    </row>
    <row r="645" spans="1:5" ht="12.75">
      <c r="A645" s="64"/>
      <c r="B645" s="64"/>
      <c r="C645" s="64"/>
      <c r="D645" s="65"/>
      <c r="E645" s="64"/>
    </row>
    <row r="646" spans="1:5" ht="12.75">
      <c r="A646" s="64"/>
      <c r="B646" s="64"/>
      <c r="C646" s="64"/>
      <c r="D646" s="65"/>
      <c r="E646" s="64"/>
    </row>
    <row r="647" spans="1:5" ht="12.75">
      <c r="A647" s="64"/>
      <c r="B647" s="64"/>
      <c r="C647" s="64"/>
      <c r="D647" s="65"/>
      <c r="E647" s="64"/>
    </row>
    <row r="648" spans="1:5" ht="12.75">
      <c r="A648" s="64"/>
      <c r="B648" s="64"/>
      <c r="C648" s="64"/>
      <c r="D648" s="65"/>
      <c r="E648" s="64"/>
    </row>
    <row r="649" spans="1:5" ht="12.75">
      <c r="A649" s="64"/>
      <c r="B649" s="64"/>
      <c r="C649" s="64"/>
      <c r="D649" s="65"/>
      <c r="E649" s="64"/>
    </row>
    <row r="650" spans="1:5" ht="12.75">
      <c r="A650" s="64"/>
      <c r="B650" s="64"/>
      <c r="C650" s="64"/>
      <c r="D650" s="65"/>
      <c r="E650" s="64"/>
    </row>
    <row r="651" spans="1:5" ht="12.75">
      <c r="A651" s="64"/>
      <c r="B651" s="64"/>
      <c r="C651" s="64"/>
      <c r="D651" s="65"/>
      <c r="E651" s="64"/>
    </row>
    <row r="652" spans="1:5" ht="12.75">
      <c r="A652" s="64"/>
      <c r="B652" s="64"/>
      <c r="C652" s="64"/>
      <c r="D652" s="65"/>
      <c r="E652" s="64"/>
    </row>
    <row r="653" spans="1:5" ht="12.75">
      <c r="A653" s="64"/>
      <c r="B653" s="64"/>
      <c r="C653" s="64"/>
      <c r="D653" s="65"/>
      <c r="E653" s="64"/>
    </row>
    <row r="654" spans="1:5" ht="12.75">
      <c r="A654" s="64"/>
      <c r="B654" s="64"/>
      <c r="C654" s="64"/>
      <c r="D654" s="65"/>
      <c r="E654" s="64"/>
    </row>
    <row r="655" spans="1:5" ht="12.75">
      <c r="A655" s="64"/>
      <c r="B655" s="64"/>
      <c r="C655" s="64"/>
      <c r="D655" s="65"/>
      <c r="E655" s="64"/>
    </row>
    <row r="656" spans="1:5" ht="12.75">
      <c r="A656" s="64"/>
      <c r="B656" s="64"/>
      <c r="C656" s="64"/>
      <c r="D656" s="65"/>
      <c r="E656" s="64"/>
    </row>
    <row r="657" spans="1:5" ht="12.75">
      <c r="A657" s="64"/>
      <c r="B657" s="64"/>
      <c r="C657" s="64"/>
      <c r="D657" s="65"/>
      <c r="E657" s="64"/>
    </row>
    <row r="658" spans="1:5" ht="12.75">
      <c r="A658" s="64"/>
      <c r="B658" s="64"/>
      <c r="C658" s="64"/>
      <c r="D658" s="65"/>
      <c r="E658" s="64"/>
    </row>
    <row r="659" spans="1:5" ht="12.75">
      <c r="A659" s="64"/>
      <c r="B659" s="64"/>
      <c r="C659" s="64"/>
      <c r="D659" s="65"/>
      <c r="E659" s="64"/>
    </row>
    <row r="660" spans="1:5" ht="12.75">
      <c r="A660" s="64"/>
      <c r="B660" s="64"/>
      <c r="C660" s="64"/>
      <c r="D660" s="65"/>
      <c r="E660" s="64"/>
    </row>
    <row r="661" spans="1:5" ht="12.75">
      <c r="A661" s="64"/>
      <c r="B661" s="64"/>
      <c r="C661" s="64"/>
      <c r="D661" s="65"/>
      <c r="E661" s="64"/>
    </row>
    <row r="662" spans="1:5" ht="12.75">
      <c r="A662" s="64"/>
      <c r="B662" s="64"/>
      <c r="C662" s="64"/>
      <c r="D662" s="65"/>
      <c r="E662" s="64"/>
    </row>
    <row r="663" spans="1:5" ht="12.75">
      <c r="A663" s="64"/>
      <c r="B663" s="64"/>
      <c r="C663" s="64"/>
      <c r="D663" s="65"/>
      <c r="E663" s="64"/>
    </row>
  </sheetData>
  <autoFilter ref="A1:G86" xr:uid="{00000000-0009-0000-0000-000003000000}"/>
  <mergeCells count="13">
    <mergeCell ref="D85:D86"/>
    <mergeCell ref="D2:D4"/>
    <mergeCell ref="D9:D10"/>
    <mergeCell ref="D15:D18"/>
    <mergeCell ref="D21:D23"/>
    <mergeCell ref="D28:D29"/>
    <mergeCell ref="D34:D35"/>
    <mergeCell ref="D41:D43"/>
    <mergeCell ref="D48:D50"/>
    <mergeCell ref="D57:D58"/>
    <mergeCell ref="D65:D66"/>
    <mergeCell ref="D79:D82"/>
    <mergeCell ref="D83:D84"/>
  </mergeCells>
  <dataValidations count="2">
    <dataValidation type="list" allowBlank="1" showErrorMessage="1" sqref="G8:H8 G33:H33 G40:H40 G47:H47 G54:H55 G62:H62 G75:H75" xr:uid="{00000000-0002-0000-0300-000000000000}">
      <formula1>"Active,Dormant,Down,To Implement,Installed,Terminated,Inactive"</formula1>
    </dataValidation>
    <dataValidation type="list" allowBlank="1" showErrorMessage="1" sqref="G2:H7 G9:H32 G34:H39 G41:H46 G48:H53 G56:H61 G63:H74 G76:H93" xr:uid="{00000000-0002-0000-0300-000001000000}">
      <formula1>"Active,Inactive,Ongoing,Assist,Terminated,Deactivated"</formula1>
    </dataValidation>
  </dataValidations>
  <printOptions horizontalCentered="1" gridLines="1"/>
  <pageMargins left="0.25" right="0.25" top="0.75" bottom="0.75" header="0" footer="0"/>
  <pageSetup paperSize="6"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outlinePr summaryBelow="0" summaryRight="0"/>
    <pageSetUpPr fitToPage="1"/>
  </sheetPr>
  <dimension ref="A1:I667"/>
  <sheetViews>
    <sheetView showGridLines="0" workbookViewId="0"/>
  </sheetViews>
  <sheetFormatPr defaultColWidth="12.5703125" defaultRowHeight="15.75" customHeight="1"/>
  <cols>
    <col min="1" max="1" width="14.85546875" customWidth="1"/>
    <col min="2" max="2" width="19.85546875" customWidth="1"/>
    <col min="3" max="3" width="29.28515625" customWidth="1"/>
    <col min="4" max="4" width="49.42578125" customWidth="1"/>
    <col min="5" max="5" width="52.28515625" customWidth="1"/>
    <col min="6" max="7" width="21.28515625" customWidth="1"/>
    <col min="8" max="9" width="15.85546875" customWidth="1"/>
  </cols>
  <sheetData>
    <row r="1" spans="1:9" ht="12.75">
      <c r="A1" s="2" t="s">
        <v>0</v>
      </c>
      <c r="B1" s="2" t="s">
        <v>2</v>
      </c>
      <c r="C1" s="3" t="s">
        <v>1</v>
      </c>
      <c r="D1" s="1" t="s">
        <v>5</v>
      </c>
      <c r="E1" s="2" t="s">
        <v>6</v>
      </c>
      <c r="F1" s="2" t="s">
        <v>7</v>
      </c>
      <c r="G1" s="2" t="s">
        <v>9</v>
      </c>
      <c r="H1" s="2" t="s">
        <v>10</v>
      </c>
      <c r="I1" s="2"/>
    </row>
    <row r="2" spans="1:9" ht="12.75">
      <c r="A2" s="6">
        <v>2</v>
      </c>
      <c r="B2" s="15" t="s">
        <v>57</v>
      </c>
      <c r="C2" s="15" t="s">
        <v>191</v>
      </c>
      <c r="D2" s="15" t="s">
        <v>26</v>
      </c>
      <c r="E2" s="14" t="s">
        <v>26</v>
      </c>
      <c r="F2" s="13" t="s">
        <v>22</v>
      </c>
      <c r="G2" s="515"/>
      <c r="H2" s="13"/>
      <c r="I2" s="13"/>
    </row>
    <row r="3" spans="1:9" ht="12.75">
      <c r="A3" s="6">
        <v>2</v>
      </c>
      <c r="B3" s="15" t="s">
        <v>57</v>
      </c>
      <c r="C3" s="15" t="s">
        <v>212</v>
      </c>
      <c r="D3" s="515" t="s">
        <v>62</v>
      </c>
      <c r="E3" s="14" t="s">
        <v>61</v>
      </c>
      <c r="F3" s="13" t="s">
        <v>22</v>
      </c>
      <c r="G3" s="511"/>
      <c r="H3" s="13"/>
      <c r="I3" s="13"/>
    </row>
    <row r="4" spans="1:9" ht="12.75">
      <c r="A4" s="6">
        <v>2</v>
      </c>
      <c r="B4" s="15" t="s">
        <v>57</v>
      </c>
      <c r="C4" s="15" t="s">
        <v>212</v>
      </c>
      <c r="D4" s="511"/>
      <c r="E4" s="14" t="s">
        <v>87</v>
      </c>
      <c r="F4" s="13" t="s">
        <v>22</v>
      </c>
      <c r="G4" s="511"/>
      <c r="H4" s="13"/>
      <c r="I4" s="13"/>
    </row>
    <row r="5" spans="1:9" ht="12.75">
      <c r="A5" s="6">
        <v>2</v>
      </c>
      <c r="B5" s="15" t="s">
        <v>57</v>
      </c>
      <c r="C5" s="15" t="s">
        <v>212</v>
      </c>
      <c r="D5" s="512"/>
      <c r="E5" s="14" t="s">
        <v>91</v>
      </c>
      <c r="F5" s="13" t="s">
        <v>22</v>
      </c>
      <c r="G5" s="511"/>
      <c r="H5" s="13"/>
      <c r="I5" s="13"/>
    </row>
    <row r="6" spans="1:9" ht="12.75">
      <c r="A6" s="6">
        <v>2</v>
      </c>
      <c r="B6" s="15" t="s">
        <v>57</v>
      </c>
      <c r="C6" s="15" t="s">
        <v>212</v>
      </c>
      <c r="D6" s="15" t="s">
        <v>96</v>
      </c>
      <c r="E6" s="14" t="s">
        <v>96</v>
      </c>
      <c r="F6" s="13" t="s">
        <v>22</v>
      </c>
      <c r="G6" s="511"/>
      <c r="H6" s="13"/>
      <c r="I6" s="13"/>
    </row>
    <row r="7" spans="1:9" ht="12.75">
      <c r="A7" s="6">
        <v>2</v>
      </c>
      <c r="B7" s="15" t="s">
        <v>57</v>
      </c>
      <c r="C7" s="15" t="s">
        <v>212</v>
      </c>
      <c r="D7" s="15" t="s">
        <v>102</v>
      </c>
      <c r="E7" s="14" t="s">
        <v>102</v>
      </c>
      <c r="F7" s="13" t="s">
        <v>22</v>
      </c>
      <c r="G7" s="512"/>
      <c r="H7" s="13"/>
      <c r="I7" s="13"/>
    </row>
    <row r="8" spans="1:9" ht="12.75">
      <c r="A8" s="6">
        <v>2</v>
      </c>
      <c r="B8" s="15" t="s">
        <v>117</v>
      </c>
      <c r="C8" s="15" t="s">
        <v>191</v>
      </c>
      <c r="D8" s="515" t="s">
        <v>108</v>
      </c>
      <c r="E8" s="14" t="s">
        <v>105</v>
      </c>
      <c r="F8" s="13" t="s">
        <v>22</v>
      </c>
      <c r="G8" s="515"/>
      <c r="H8" s="13"/>
      <c r="I8" s="13"/>
    </row>
    <row r="9" spans="1:9" ht="12.75">
      <c r="A9" s="6">
        <v>2</v>
      </c>
      <c r="B9" s="15" t="s">
        <v>117</v>
      </c>
      <c r="C9" s="15" t="s">
        <v>191</v>
      </c>
      <c r="D9" s="511"/>
      <c r="E9" s="14" t="s">
        <v>120</v>
      </c>
      <c r="F9" s="13" t="s">
        <v>22</v>
      </c>
      <c r="G9" s="511"/>
      <c r="H9" s="13"/>
      <c r="I9" s="13"/>
    </row>
    <row r="10" spans="1:9" ht="12.75">
      <c r="A10" s="6">
        <v>2</v>
      </c>
      <c r="B10" s="15" t="s">
        <v>117</v>
      </c>
      <c r="C10" s="15" t="s">
        <v>191</v>
      </c>
      <c r="D10" s="512"/>
      <c r="E10" s="14" t="s">
        <v>124</v>
      </c>
      <c r="F10" s="13" t="s">
        <v>22</v>
      </c>
      <c r="G10" s="511"/>
      <c r="H10" s="13"/>
      <c r="I10" s="13"/>
    </row>
    <row r="11" spans="1:9" ht="12.75">
      <c r="A11" s="6">
        <v>2</v>
      </c>
      <c r="B11" s="15" t="s">
        <v>117</v>
      </c>
      <c r="C11" s="15" t="s">
        <v>191</v>
      </c>
      <c r="D11" s="15" t="s">
        <v>126</v>
      </c>
      <c r="E11" s="50" t="s">
        <v>234</v>
      </c>
      <c r="F11" s="13" t="s">
        <v>22</v>
      </c>
      <c r="G11" s="511"/>
      <c r="H11" s="13"/>
      <c r="I11" s="13"/>
    </row>
    <row r="12" spans="1:9" ht="12.75">
      <c r="A12" s="6">
        <v>2</v>
      </c>
      <c r="B12" s="15" t="s">
        <v>117</v>
      </c>
      <c r="C12" s="15" t="s">
        <v>191</v>
      </c>
      <c r="D12" s="15" t="s">
        <v>130</v>
      </c>
      <c r="E12" s="14" t="s">
        <v>130</v>
      </c>
      <c r="F12" s="13" t="s">
        <v>22</v>
      </c>
      <c r="G12" s="511"/>
      <c r="H12" s="13"/>
      <c r="I12" s="13"/>
    </row>
    <row r="13" spans="1:9" ht="12.75">
      <c r="A13" s="6">
        <v>2</v>
      </c>
      <c r="B13" s="15" t="s">
        <v>117</v>
      </c>
      <c r="C13" s="15" t="s">
        <v>191</v>
      </c>
      <c r="D13" s="15" t="s">
        <v>131</v>
      </c>
      <c r="E13" s="14" t="s">
        <v>131</v>
      </c>
      <c r="F13" s="13" t="s">
        <v>22</v>
      </c>
      <c r="G13" s="512"/>
      <c r="H13" s="13"/>
      <c r="I13" s="13"/>
    </row>
    <row r="14" spans="1:9" ht="12.75">
      <c r="A14" s="6">
        <v>2</v>
      </c>
      <c r="B14" s="15" t="s">
        <v>136</v>
      </c>
      <c r="C14" s="15" t="s">
        <v>251</v>
      </c>
      <c r="D14" s="515" t="s">
        <v>134</v>
      </c>
      <c r="E14" s="14" t="s">
        <v>133</v>
      </c>
      <c r="F14" s="13" t="s">
        <v>22</v>
      </c>
      <c r="G14" s="515"/>
      <c r="H14" s="13"/>
      <c r="I14" s="13"/>
    </row>
    <row r="15" spans="1:9" ht="12.75">
      <c r="A15" s="6">
        <v>2</v>
      </c>
      <c r="B15" s="15" t="s">
        <v>136</v>
      </c>
      <c r="C15" s="15" t="s">
        <v>251</v>
      </c>
      <c r="D15" s="511"/>
      <c r="E15" s="14" t="s">
        <v>138</v>
      </c>
      <c r="F15" s="13" t="s">
        <v>22</v>
      </c>
      <c r="G15" s="511"/>
      <c r="H15" s="13"/>
      <c r="I15" s="13"/>
    </row>
    <row r="16" spans="1:9" ht="12.75">
      <c r="A16" s="6">
        <v>2</v>
      </c>
      <c r="B16" s="15" t="s">
        <v>136</v>
      </c>
      <c r="C16" s="15" t="s">
        <v>251</v>
      </c>
      <c r="D16" s="512"/>
      <c r="E16" s="14" t="s">
        <v>145</v>
      </c>
      <c r="F16" s="13" t="s">
        <v>22</v>
      </c>
      <c r="G16" s="511"/>
      <c r="H16" s="13"/>
      <c r="I16" s="13"/>
    </row>
    <row r="17" spans="1:9" ht="12.75">
      <c r="A17" s="6">
        <v>2</v>
      </c>
      <c r="B17" s="15" t="s">
        <v>136</v>
      </c>
      <c r="C17" s="15" t="s">
        <v>251</v>
      </c>
      <c r="D17" s="15" t="s">
        <v>147</v>
      </c>
      <c r="E17" s="14" t="s">
        <v>147</v>
      </c>
      <c r="F17" s="13" t="s">
        <v>22</v>
      </c>
      <c r="G17" s="511"/>
      <c r="H17" s="13"/>
      <c r="I17" s="13"/>
    </row>
    <row r="18" spans="1:9" ht="12.75">
      <c r="A18" s="6">
        <v>2</v>
      </c>
      <c r="B18" s="15" t="s">
        <v>136</v>
      </c>
      <c r="C18" s="15" t="s">
        <v>251</v>
      </c>
      <c r="D18" s="15" t="s">
        <v>150</v>
      </c>
      <c r="E18" s="14" t="s">
        <v>150</v>
      </c>
      <c r="F18" s="13" t="s">
        <v>22</v>
      </c>
      <c r="G18" s="511"/>
      <c r="H18" s="13"/>
      <c r="I18" s="13"/>
    </row>
    <row r="19" spans="1:9" ht="12.75">
      <c r="A19" s="6">
        <v>2</v>
      </c>
      <c r="B19" s="15" t="s">
        <v>136</v>
      </c>
      <c r="C19" s="15" t="s">
        <v>283</v>
      </c>
      <c r="D19" s="15" t="s">
        <v>154</v>
      </c>
      <c r="E19" s="14" t="s">
        <v>154</v>
      </c>
      <c r="F19" s="13" t="s">
        <v>22</v>
      </c>
      <c r="G19" s="512"/>
      <c r="H19" s="13"/>
      <c r="I19" s="13"/>
    </row>
    <row r="20" spans="1:9" ht="12.75">
      <c r="A20" s="6">
        <v>2</v>
      </c>
      <c r="B20" s="8" t="s">
        <v>167</v>
      </c>
      <c r="C20" s="8" t="s">
        <v>290</v>
      </c>
      <c r="D20" s="515" t="s">
        <v>160</v>
      </c>
      <c r="E20" s="11" t="s">
        <v>159</v>
      </c>
      <c r="F20" s="13" t="s">
        <v>22</v>
      </c>
      <c r="G20" s="515"/>
      <c r="H20" s="13"/>
      <c r="I20" s="13"/>
    </row>
    <row r="21" spans="1:9" ht="12.75">
      <c r="A21" s="6">
        <v>2</v>
      </c>
      <c r="B21" s="8" t="s">
        <v>167</v>
      </c>
      <c r="C21" s="8" t="s">
        <v>290</v>
      </c>
      <c r="D21" s="511"/>
      <c r="E21" s="11" t="s">
        <v>169</v>
      </c>
      <c r="F21" s="13" t="s">
        <v>22</v>
      </c>
      <c r="G21" s="511"/>
      <c r="H21" s="13"/>
      <c r="I21" s="13"/>
    </row>
    <row r="22" spans="1:9" ht="12.75">
      <c r="A22" s="6">
        <v>2</v>
      </c>
      <c r="B22" s="8" t="s">
        <v>167</v>
      </c>
      <c r="C22" s="8" t="s">
        <v>290</v>
      </c>
      <c r="D22" s="512"/>
      <c r="E22" s="11" t="s">
        <v>174</v>
      </c>
      <c r="F22" s="13" t="s">
        <v>22</v>
      </c>
      <c r="G22" s="511"/>
      <c r="H22" s="13"/>
      <c r="I22" s="13"/>
    </row>
    <row r="23" spans="1:9" ht="12.75">
      <c r="A23" s="6">
        <v>2</v>
      </c>
      <c r="B23" s="8" t="s">
        <v>167</v>
      </c>
      <c r="C23" s="8" t="s">
        <v>290</v>
      </c>
      <c r="D23" s="13" t="s">
        <v>177</v>
      </c>
      <c r="E23" s="11" t="s">
        <v>177</v>
      </c>
      <c r="F23" s="13" t="s">
        <v>22</v>
      </c>
      <c r="G23" s="511"/>
      <c r="H23" s="13"/>
      <c r="I23" s="13"/>
    </row>
    <row r="24" spans="1:9" ht="12.75">
      <c r="A24" s="6">
        <v>2</v>
      </c>
      <c r="B24" s="8" t="s">
        <v>167</v>
      </c>
      <c r="C24" s="8" t="s">
        <v>140</v>
      </c>
      <c r="D24" s="13" t="s">
        <v>182</v>
      </c>
      <c r="E24" s="11" t="s">
        <v>181</v>
      </c>
      <c r="F24" s="13" t="s">
        <v>22</v>
      </c>
      <c r="G24" s="511"/>
      <c r="H24" s="13"/>
      <c r="I24" s="13"/>
    </row>
    <row r="25" spans="1:9" ht="12.75">
      <c r="A25" s="6">
        <v>2</v>
      </c>
      <c r="B25" s="8" t="s">
        <v>167</v>
      </c>
      <c r="C25" s="8" t="s">
        <v>290</v>
      </c>
      <c r="D25" s="13" t="s">
        <v>184</v>
      </c>
      <c r="E25" s="11" t="s">
        <v>184</v>
      </c>
      <c r="F25" s="13" t="s">
        <v>22</v>
      </c>
      <c r="G25" s="512"/>
      <c r="H25" s="13"/>
      <c r="I25" s="13"/>
    </row>
    <row r="26" spans="1:9" ht="12.75">
      <c r="A26" s="6">
        <v>2</v>
      </c>
      <c r="B26" s="8" t="s">
        <v>198</v>
      </c>
      <c r="C26" s="8" t="s">
        <v>327</v>
      </c>
      <c r="D26" s="514" t="s">
        <v>190</v>
      </c>
      <c r="E26" s="11" t="s">
        <v>188</v>
      </c>
      <c r="F26" s="13" t="s">
        <v>22</v>
      </c>
      <c r="G26" s="515"/>
      <c r="H26" s="13"/>
      <c r="I26" s="13"/>
    </row>
    <row r="27" spans="1:9" ht="12.75">
      <c r="A27" s="6">
        <v>2</v>
      </c>
      <c r="B27" s="8" t="s">
        <v>198</v>
      </c>
      <c r="C27" s="8" t="s">
        <v>327</v>
      </c>
      <c r="D27" s="511"/>
      <c r="E27" s="11" t="s">
        <v>201</v>
      </c>
      <c r="F27" s="13" t="s">
        <v>22</v>
      </c>
      <c r="G27" s="511"/>
      <c r="H27" s="13"/>
      <c r="I27" s="13"/>
    </row>
    <row r="28" spans="1:9" ht="12.75">
      <c r="A28" s="6">
        <v>2</v>
      </c>
      <c r="B28" s="8" t="s">
        <v>198</v>
      </c>
      <c r="C28" s="8" t="s">
        <v>327</v>
      </c>
      <c r="D28" s="512"/>
      <c r="E28" s="11" t="s">
        <v>203</v>
      </c>
      <c r="F28" s="13" t="s">
        <v>22</v>
      </c>
      <c r="G28" s="511"/>
      <c r="H28" s="13"/>
      <c r="I28" s="13"/>
    </row>
    <row r="29" spans="1:9" ht="12.75">
      <c r="A29" s="6">
        <v>2</v>
      </c>
      <c r="B29" s="8" t="s">
        <v>198</v>
      </c>
      <c r="C29" s="8" t="s">
        <v>345</v>
      </c>
      <c r="D29" s="13" t="s">
        <v>205</v>
      </c>
      <c r="E29" s="11" t="s">
        <v>205</v>
      </c>
      <c r="F29" s="13" t="s">
        <v>22</v>
      </c>
      <c r="G29" s="511"/>
      <c r="H29" s="13"/>
      <c r="I29" s="13"/>
    </row>
    <row r="30" spans="1:9" ht="12.75">
      <c r="A30" s="6">
        <v>2</v>
      </c>
      <c r="B30" s="8" t="s">
        <v>198</v>
      </c>
      <c r="C30" s="8" t="s">
        <v>327</v>
      </c>
      <c r="D30" s="13" t="s">
        <v>208</v>
      </c>
      <c r="E30" s="11" t="s">
        <v>208</v>
      </c>
      <c r="F30" s="13" t="s">
        <v>22</v>
      </c>
      <c r="G30" s="511"/>
      <c r="H30" s="13"/>
      <c r="I30" s="13"/>
    </row>
    <row r="31" spans="1:9" ht="12.75">
      <c r="A31" s="6">
        <v>2</v>
      </c>
      <c r="B31" s="8" t="s">
        <v>198</v>
      </c>
      <c r="C31" s="8" t="s">
        <v>327</v>
      </c>
      <c r="D31" s="13" t="s">
        <v>209</v>
      </c>
      <c r="E31" s="11" t="s">
        <v>209</v>
      </c>
      <c r="F31" s="13" t="s">
        <v>22</v>
      </c>
      <c r="G31" s="511"/>
      <c r="H31" s="13"/>
      <c r="I31" s="13"/>
    </row>
    <row r="32" spans="1:9" ht="12.75">
      <c r="A32" s="32">
        <v>2</v>
      </c>
      <c r="B32" s="26" t="s">
        <v>198</v>
      </c>
      <c r="C32" s="26" t="s">
        <v>356</v>
      </c>
      <c r="D32" s="63" t="s">
        <v>358</v>
      </c>
      <c r="E32" s="34" t="s">
        <v>363</v>
      </c>
      <c r="F32" s="35" t="s">
        <v>66</v>
      </c>
      <c r="G32" s="512"/>
      <c r="H32" s="44"/>
      <c r="I32" s="44"/>
    </row>
    <row r="33" spans="1:9" ht="12.75">
      <c r="A33" s="6">
        <v>2</v>
      </c>
      <c r="B33" s="8" t="s">
        <v>216</v>
      </c>
      <c r="C33" s="8" t="s">
        <v>376</v>
      </c>
      <c r="D33" s="514" t="s">
        <v>214</v>
      </c>
      <c r="E33" s="11" t="s">
        <v>213</v>
      </c>
      <c r="F33" s="13" t="s">
        <v>22</v>
      </c>
      <c r="G33" s="515"/>
      <c r="H33" s="13"/>
      <c r="I33" s="13"/>
    </row>
    <row r="34" spans="1:9" ht="12.75">
      <c r="A34" s="6">
        <v>2</v>
      </c>
      <c r="B34" s="8" t="s">
        <v>216</v>
      </c>
      <c r="C34" s="8" t="s">
        <v>376</v>
      </c>
      <c r="D34" s="511"/>
      <c r="E34" s="11" t="s">
        <v>218</v>
      </c>
      <c r="F34" s="13" t="s">
        <v>22</v>
      </c>
      <c r="G34" s="511"/>
      <c r="H34" s="13"/>
      <c r="I34" s="13"/>
    </row>
    <row r="35" spans="1:9" ht="12.75">
      <c r="A35" s="6">
        <v>2</v>
      </c>
      <c r="B35" s="8" t="s">
        <v>216</v>
      </c>
      <c r="C35" s="8" t="s">
        <v>376</v>
      </c>
      <c r="D35" s="512"/>
      <c r="E35" s="11" t="s">
        <v>220</v>
      </c>
      <c r="F35" s="13" t="s">
        <v>22</v>
      </c>
      <c r="G35" s="511"/>
      <c r="H35" s="13"/>
      <c r="I35" s="13"/>
    </row>
    <row r="36" spans="1:9" ht="12.75">
      <c r="A36" s="6">
        <v>2</v>
      </c>
      <c r="B36" s="8" t="s">
        <v>216</v>
      </c>
      <c r="C36" s="8" t="s">
        <v>356</v>
      </c>
      <c r="D36" s="13" t="s">
        <v>221</v>
      </c>
      <c r="E36" s="11" t="s">
        <v>221</v>
      </c>
      <c r="F36" s="13" t="s">
        <v>22</v>
      </c>
      <c r="G36" s="511"/>
      <c r="H36" s="13"/>
      <c r="I36" s="13"/>
    </row>
    <row r="37" spans="1:9" ht="12.75">
      <c r="A37" s="6">
        <v>2</v>
      </c>
      <c r="B37" s="8" t="s">
        <v>216</v>
      </c>
      <c r="C37" s="8" t="s">
        <v>376</v>
      </c>
      <c r="D37" s="13" t="s">
        <v>223</v>
      </c>
      <c r="E37" s="11" t="s">
        <v>223</v>
      </c>
      <c r="F37" s="13" t="s">
        <v>22</v>
      </c>
      <c r="G37" s="511"/>
      <c r="H37" s="13"/>
      <c r="I37" s="13"/>
    </row>
    <row r="38" spans="1:9" ht="12.75">
      <c r="A38" s="6">
        <v>2</v>
      </c>
      <c r="B38" s="8" t="s">
        <v>216</v>
      </c>
      <c r="C38" s="8" t="s">
        <v>376</v>
      </c>
      <c r="D38" s="13" t="s">
        <v>225</v>
      </c>
      <c r="E38" s="11" t="s">
        <v>225</v>
      </c>
      <c r="F38" s="13" t="s">
        <v>22</v>
      </c>
      <c r="G38" s="512"/>
      <c r="H38" s="13"/>
      <c r="I38" s="13"/>
    </row>
    <row r="39" spans="1:9" ht="12.75">
      <c r="A39" s="6">
        <v>2</v>
      </c>
      <c r="B39" s="8" t="s">
        <v>397</v>
      </c>
      <c r="C39" s="8" t="s">
        <v>191</v>
      </c>
      <c r="D39" s="514" t="s">
        <v>228</v>
      </c>
      <c r="E39" s="11" t="s">
        <v>226</v>
      </c>
      <c r="F39" s="13" t="s">
        <v>22</v>
      </c>
      <c r="G39" s="515"/>
      <c r="H39" s="13"/>
      <c r="I39" s="13"/>
    </row>
    <row r="40" spans="1:9" ht="12.75">
      <c r="A40" s="6">
        <v>2</v>
      </c>
      <c r="B40" s="8" t="s">
        <v>397</v>
      </c>
      <c r="C40" s="8" t="s">
        <v>191</v>
      </c>
      <c r="D40" s="512"/>
      <c r="E40" s="11" t="s">
        <v>233</v>
      </c>
      <c r="F40" s="13" t="s">
        <v>22</v>
      </c>
      <c r="G40" s="511"/>
      <c r="H40" s="13"/>
      <c r="I40" s="13"/>
    </row>
    <row r="41" spans="1:9" ht="12.75">
      <c r="A41" s="6">
        <v>2</v>
      </c>
      <c r="B41" s="8" t="s">
        <v>397</v>
      </c>
      <c r="C41" s="8" t="s">
        <v>191</v>
      </c>
      <c r="D41" s="13" t="s">
        <v>236</v>
      </c>
      <c r="E41" s="11" t="s">
        <v>236</v>
      </c>
      <c r="F41" s="13" t="s">
        <v>22</v>
      </c>
      <c r="G41" s="511"/>
      <c r="H41" s="13"/>
      <c r="I41" s="13"/>
    </row>
    <row r="42" spans="1:9" ht="12.75">
      <c r="A42" s="6">
        <v>2</v>
      </c>
      <c r="B42" s="8" t="s">
        <v>397</v>
      </c>
      <c r="C42" s="8" t="s">
        <v>191</v>
      </c>
      <c r="D42" s="13" t="s">
        <v>243</v>
      </c>
      <c r="E42" s="11" t="s">
        <v>243</v>
      </c>
      <c r="F42" s="13" t="s">
        <v>22</v>
      </c>
      <c r="G42" s="511"/>
      <c r="H42" s="13"/>
      <c r="I42" s="13"/>
    </row>
    <row r="43" spans="1:9" ht="12.75">
      <c r="A43" s="6">
        <v>2</v>
      </c>
      <c r="B43" s="8" t="s">
        <v>397</v>
      </c>
      <c r="C43" s="8" t="s">
        <v>191</v>
      </c>
      <c r="D43" s="13" t="s">
        <v>246</v>
      </c>
      <c r="E43" s="11" t="s">
        <v>246</v>
      </c>
      <c r="F43" s="13" t="s">
        <v>22</v>
      </c>
      <c r="G43" s="511"/>
      <c r="H43" s="13"/>
      <c r="I43" s="13"/>
    </row>
    <row r="44" spans="1:9" ht="12.75">
      <c r="A44" s="6">
        <v>2</v>
      </c>
      <c r="B44" s="8" t="s">
        <v>397</v>
      </c>
      <c r="C44" s="8" t="s">
        <v>403</v>
      </c>
      <c r="D44" s="13" t="s">
        <v>248</v>
      </c>
      <c r="E44" s="11" t="s">
        <v>248</v>
      </c>
      <c r="F44" s="13" t="s">
        <v>22</v>
      </c>
      <c r="G44" s="512"/>
      <c r="H44" s="13"/>
      <c r="I44" s="13"/>
    </row>
    <row r="45" spans="1:9" ht="12.75">
      <c r="A45" s="6">
        <v>2</v>
      </c>
      <c r="B45" s="8" t="s">
        <v>257</v>
      </c>
      <c r="C45" s="8" t="s">
        <v>405</v>
      </c>
      <c r="D45" s="514" t="s">
        <v>253</v>
      </c>
      <c r="E45" s="11" t="s">
        <v>252</v>
      </c>
      <c r="F45" s="13" t="s">
        <v>22</v>
      </c>
      <c r="G45" s="515"/>
      <c r="H45" s="13"/>
      <c r="I45" s="13"/>
    </row>
    <row r="46" spans="1:9" ht="12.75">
      <c r="A46" s="6">
        <v>2</v>
      </c>
      <c r="B46" s="8" t="s">
        <v>257</v>
      </c>
      <c r="C46" s="8" t="s">
        <v>405</v>
      </c>
      <c r="D46" s="512"/>
      <c r="E46" s="11" t="s">
        <v>262</v>
      </c>
      <c r="F46" s="13" t="s">
        <v>22</v>
      </c>
      <c r="G46" s="511"/>
      <c r="H46" s="13"/>
      <c r="I46" s="13"/>
    </row>
    <row r="47" spans="1:9" ht="12.75">
      <c r="A47" s="6">
        <v>2</v>
      </c>
      <c r="B47" s="8" t="s">
        <v>257</v>
      </c>
      <c r="C47" s="8" t="s">
        <v>405</v>
      </c>
      <c r="D47" s="13" t="s">
        <v>266</v>
      </c>
      <c r="E47" s="11" t="s">
        <v>266</v>
      </c>
      <c r="F47" s="13" t="s">
        <v>22</v>
      </c>
      <c r="G47" s="511"/>
      <c r="H47" s="13"/>
      <c r="I47" s="13"/>
    </row>
    <row r="48" spans="1:9" ht="12.75">
      <c r="A48" s="6">
        <v>2</v>
      </c>
      <c r="B48" s="8" t="s">
        <v>257</v>
      </c>
      <c r="C48" s="8" t="s">
        <v>405</v>
      </c>
      <c r="D48" s="13" t="s">
        <v>270</v>
      </c>
      <c r="E48" s="11" t="s">
        <v>270</v>
      </c>
      <c r="F48" s="13" t="s">
        <v>22</v>
      </c>
      <c r="G48" s="511"/>
      <c r="H48" s="13"/>
      <c r="I48" s="13"/>
    </row>
    <row r="49" spans="1:9" ht="12.75">
      <c r="A49" s="6">
        <v>2</v>
      </c>
      <c r="B49" s="8" t="s">
        <v>257</v>
      </c>
      <c r="C49" s="8" t="s">
        <v>405</v>
      </c>
      <c r="D49" s="13" t="s">
        <v>272</v>
      </c>
      <c r="E49" s="11" t="s">
        <v>272</v>
      </c>
      <c r="F49" s="13" t="s">
        <v>22</v>
      </c>
      <c r="G49" s="511"/>
      <c r="H49" s="13"/>
      <c r="I49" s="13"/>
    </row>
    <row r="50" spans="1:9" ht="12.75">
      <c r="A50" s="6">
        <v>2</v>
      </c>
      <c r="B50" s="8" t="s">
        <v>257</v>
      </c>
      <c r="C50" s="8" t="s">
        <v>405</v>
      </c>
      <c r="D50" s="13" t="s">
        <v>274</v>
      </c>
      <c r="E50" s="11" t="s">
        <v>274</v>
      </c>
      <c r="F50" s="13" t="s">
        <v>22</v>
      </c>
      <c r="G50" s="512"/>
      <c r="H50" s="13"/>
      <c r="I50" s="13"/>
    </row>
    <row r="51" spans="1:9" ht="12.75">
      <c r="A51" s="6">
        <v>2</v>
      </c>
      <c r="B51" s="8" t="s">
        <v>291</v>
      </c>
      <c r="C51" s="8" t="s">
        <v>411</v>
      </c>
      <c r="D51" s="514" t="s">
        <v>282</v>
      </c>
      <c r="E51" s="11" t="s">
        <v>280</v>
      </c>
      <c r="F51" s="13" t="s">
        <v>22</v>
      </c>
      <c r="G51" s="515"/>
      <c r="H51" s="13"/>
      <c r="I51" s="13"/>
    </row>
    <row r="52" spans="1:9" ht="12.75">
      <c r="A52" s="6">
        <v>2</v>
      </c>
      <c r="B52" s="8" t="s">
        <v>291</v>
      </c>
      <c r="C52" s="8" t="s">
        <v>411</v>
      </c>
      <c r="D52" s="511"/>
      <c r="E52" s="11" t="s">
        <v>298</v>
      </c>
      <c r="F52" s="13" t="s">
        <v>22</v>
      </c>
      <c r="G52" s="511"/>
      <c r="H52" s="13"/>
      <c r="I52" s="13"/>
    </row>
    <row r="53" spans="1:9" ht="12.75">
      <c r="A53" s="6">
        <v>2</v>
      </c>
      <c r="B53" s="8" t="s">
        <v>291</v>
      </c>
      <c r="C53" s="8" t="s">
        <v>411</v>
      </c>
      <c r="D53" s="512"/>
      <c r="E53" s="11" t="s">
        <v>302</v>
      </c>
      <c r="F53" s="13" t="s">
        <v>22</v>
      </c>
      <c r="G53" s="511"/>
      <c r="H53" s="13"/>
      <c r="I53" s="13"/>
    </row>
    <row r="54" spans="1:9" ht="12.75">
      <c r="A54" s="6">
        <v>2</v>
      </c>
      <c r="B54" s="8" t="s">
        <v>291</v>
      </c>
      <c r="C54" s="8" t="s">
        <v>411</v>
      </c>
      <c r="D54" s="13" t="s">
        <v>305</v>
      </c>
      <c r="E54" s="11" t="s">
        <v>305</v>
      </c>
      <c r="F54" s="13" t="s">
        <v>22</v>
      </c>
      <c r="G54" s="511"/>
      <c r="H54" s="13"/>
      <c r="I54" s="13"/>
    </row>
    <row r="55" spans="1:9" ht="12.75">
      <c r="A55" s="6">
        <v>2</v>
      </c>
      <c r="B55" s="8" t="s">
        <v>291</v>
      </c>
      <c r="C55" s="8" t="s">
        <v>411</v>
      </c>
      <c r="D55" s="13" t="s">
        <v>312</v>
      </c>
      <c r="E55" s="11" t="s">
        <v>312</v>
      </c>
      <c r="F55" s="13" t="s">
        <v>22</v>
      </c>
      <c r="G55" s="512"/>
      <c r="H55" s="13"/>
      <c r="I55" s="13"/>
    </row>
    <row r="56" spans="1:9" ht="12.75">
      <c r="A56" s="6">
        <v>2</v>
      </c>
      <c r="B56" s="8" t="s">
        <v>291</v>
      </c>
      <c r="C56" s="8" t="s">
        <v>411</v>
      </c>
      <c r="D56" s="13" t="s">
        <v>315</v>
      </c>
      <c r="E56" s="11" t="s">
        <v>315</v>
      </c>
      <c r="F56" s="13" t="s">
        <v>22</v>
      </c>
      <c r="G56" s="515"/>
      <c r="H56" s="13"/>
      <c r="I56" s="13"/>
    </row>
    <row r="57" spans="1:9" ht="12.75">
      <c r="A57" s="6">
        <v>2</v>
      </c>
      <c r="B57" s="8" t="s">
        <v>325</v>
      </c>
      <c r="C57" s="8" t="s">
        <v>415</v>
      </c>
      <c r="D57" s="514" t="s">
        <v>321</v>
      </c>
      <c r="E57" s="11" t="s">
        <v>319</v>
      </c>
      <c r="F57" s="13" t="s">
        <v>22</v>
      </c>
      <c r="G57" s="511"/>
      <c r="H57" s="13"/>
      <c r="I57" s="13"/>
    </row>
    <row r="58" spans="1:9" ht="12.75">
      <c r="A58" s="6">
        <v>2</v>
      </c>
      <c r="B58" s="8" t="s">
        <v>325</v>
      </c>
      <c r="C58" s="8" t="s">
        <v>415</v>
      </c>
      <c r="D58" s="512"/>
      <c r="E58" s="7" t="s">
        <v>332</v>
      </c>
      <c r="F58" s="13" t="s">
        <v>22</v>
      </c>
      <c r="G58" s="511"/>
      <c r="H58" s="13"/>
      <c r="I58" s="13"/>
    </row>
    <row r="59" spans="1:9" ht="12.75">
      <c r="A59" s="6">
        <v>2</v>
      </c>
      <c r="B59" s="8" t="s">
        <v>325</v>
      </c>
      <c r="C59" s="8" t="s">
        <v>415</v>
      </c>
      <c r="D59" s="13" t="s">
        <v>334</v>
      </c>
      <c r="E59" s="11" t="s">
        <v>328</v>
      </c>
      <c r="F59" s="13" t="s">
        <v>22</v>
      </c>
      <c r="G59" s="511"/>
      <c r="H59" s="13"/>
      <c r="I59" s="13"/>
    </row>
    <row r="60" spans="1:9" ht="12.75">
      <c r="A60" s="6">
        <v>2</v>
      </c>
      <c r="B60" s="8" t="s">
        <v>325</v>
      </c>
      <c r="C60" s="8" t="s">
        <v>415</v>
      </c>
      <c r="D60" s="13" t="s">
        <v>338</v>
      </c>
      <c r="E60" s="11" t="s">
        <v>336</v>
      </c>
      <c r="F60" s="13" t="s">
        <v>22</v>
      </c>
      <c r="G60" s="511"/>
      <c r="H60" s="13"/>
      <c r="I60" s="13"/>
    </row>
    <row r="61" spans="1:9" ht="12.75">
      <c r="A61" s="6">
        <v>2</v>
      </c>
      <c r="B61" s="8" t="s">
        <v>325</v>
      </c>
      <c r="C61" s="8" t="s">
        <v>415</v>
      </c>
      <c r="D61" s="13" t="s">
        <v>340</v>
      </c>
      <c r="E61" s="11" t="s">
        <v>340</v>
      </c>
      <c r="F61" s="13" t="s">
        <v>22</v>
      </c>
      <c r="G61" s="511"/>
      <c r="H61" s="13"/>
      <c r="I61" s="13"/>
    </row>
    <row r="62" spans="1:9" ht="12.75">
      <c r="A62" s="6">
        <v>2</v>
      </c>
      <c r="B62" s="8" t="s">
        <v>325</v>
      </c>
      <c r="C62" s="8" t="s">
        <v>415</v>
      </c>
      <c r="D62" s="13" t="s">
        <v>344</v>
      </c>
      <c r="E62" s="11" t="s">
        <v>344</v>
      </c>
      <c r="F62" s="13" t="s">
        <v>22</v>
      </c>
      <c r="G62" s="512"/>
      <c r="H62" s="13"/>
      <c r="I62" s="13"/>
    </row>
    <row r="63" spans="1:9" ht="12.75">
      <c r="A63" s="6">
        <v>2</v>
      </c>
      <c r="B63" s="8" t="s">
        <v>268</v>
      </c>
      <c r="C63" s="8" t="s">
        <v>40</v>
      </c>
      <c r="D63" s="514" t="s">
        <v>348</v>
      </c>
      <c r="E63" s="11" t="s">
        <v>42</v>
      </c>
      <c r="F63" s="13" t="s">
        <v>22</v>
      </c>
      <c r="G63" s="515"/>
      <c r="H63" s="13"/>
      <c r="I63" s="13"/>
    </row>
    <row r="64" spans="1:9" ht="12.75">
      <c r="A64" s="6">
        <v>2</v>
      </c>
      <c r="B64" s="8" t="s">
        <v>268</v>
      </c>
      <c r="C64" s="8" t="s">
        <v>40</v>
      </c>
      <c r="D64" s="512"/>
      <c r="E64" s="11" t="s">
        <v>43</v>
      </c>
      <c r="F64" s="13" t="s">
        <v>22</v>
      </c>
      <c r="G64" s="511"/>
      <c r="H64" s="13"/>
      <c r="I64" s="13"/>
    </row>
    <row r="65" spans="1:9" ht="12.75">
      <c r="A65" s="6">
        <v>2</v>
      </c>
      <c r="B65" s="8" t="s">
        <v>268</v>
      </c>
      <c r="C65" s="8" t="s">
        <v>40</v>
      </c>
      <c r="D65" s="13" t="s">
        <v>368</v>
      </c>
      <c r="E65" s="11" t="s">
        <v>56</v>
      </c>
      <c r="F65" s="13" t="s">
        <v>22</v>
      </c>
      <c r="G65" s="511"/>
      <c r="H65" s="13"/>
      <c r="I65" s="13"/>
    </row>
    <row r="66" spans="1:9" ht="12.75">
      <c r="A66" s="6">
        <v>2</v>
      </c>
      <c r="B66" s="8" t="s">
        <v>268</v>
      </c>
      <c r="C66" s="8" t="s">
        <v>40</v>
      </c>
      <c r="D66" s="13" t="s">
        <v>371</v>
      </c>
      <c r="E66" s="7" t="s">
        <v>423</v>
      </c>
      <c r="F66" s="13" t="s">
        <v>22</v>
      </c>
      <c r="G66" s="511"/>
      <c r="H66" s="13"/>
      <c r="I66" s="13"/>
    </row>
    <row r="67" spans="1:9" ht="12.75">
      <c r="A67" s="6">
        <v>2</v>
      </c>
      <c r="B67" s="8" t="s">
        <v>268</v>
      </c>
      <c r="C67" s="8" t="s">
        <v>40</v>
      </c>
      <c r="D67" s="13" t="s">
        <v>373</v>
      </c>
      <c r="E67" s="11" t="s">
        <v>51</v>
      </c>
      <c r="F67" s="13" t="s">
        <v>22</v>
      </c>
      <c r="G67" s="511"/>
      <c r="H67" s="13"/>
      <c r="I67" s="13"/>
    </row>
    <row r="68" spans="1:9" ht="12.75">
      <c r="A68" s="6">
        <v>2</v>
      </c>
      <c r="B68" s="8" t="s">
        <v>268</v>
      </c>
      <c r="C68" s="8" t="s">
        <v>40</v>
      </c>
      <c r="D68" s="13" t="s">
        <v>377</v>
      </c>
      <c r="E68" s="11" t="s">
        <v>41</v>
      </c>
      <c r="F68" s="13" t="s">
        <v>22</v>
      </c>
      <c r="G68" s="511"/>
      <c r="H68" s="13"/>
      <c r="I68" s="13"/>
    </row>
    <row r="69" spans="1:9" ht="12.75">
      <c r="A69" s="6">
        <v>2</v>
      </c>
      <c r="B69" s="8" t="s">
        <v>268</v>
      </c>
      <c r="C69" s="8" t="s">
        <v>29</v>
      </c>
      <c r="D69" s="23" t="s">
        <v>425</v>
      </c>
      <c r="E69" s="70" t="s">
        <v>33</v>
      </c>
      <c r="F69" s="13" t="s">
        <v>66</v>
      </c>
      <c r="G69" s="511"/>
      <c r="H69" s="23"/>
      <c r="I69" s="23"/>
    </row>
    <row r="70" spans="1:9" ht="12.75">
      <c r="A70" s="6">
        <v>2</v>
      </c>
      <c r="B70" s="8" t="s">
        <v>268</v>
      </c>
      <c r="C70" s="8" t="s">
        <v>29</v>
      </c>
      <c r="D70" s="23" t="s">
        <v>428</v>
      </c>
      <c r="E70" s="70" t="s">
        <v>429</v>
      </c>
      <c r="F70" s="13" t="s">
        <v>66</v>
      </c>
      <c r="G70" s="512"/>
      <c r="H70" s="23"/>
      <c r="I70" s="23"/>
    </row>
    <row r="71" spans="1:9" ht="12.75">
      <c r="A71" s="6">
        <v>2</v>
      </c>
      <c r="B71" s="8" t="s">
        <v>381</v>
      </c>
      <c r="C71" s="8" t="s">
        <v>140</v>
      </c>
      <c r="D71" s="514" t="s">
        <v>379</v>
      </c>
      <c r="E71" s="11" t="s">
        <v>378</v>
      </c>
      <c r="F71" s="13" t="s">
        <v>22</v>
      </c>
      <c r="G71" s="515"/>
      <c r="H71" s="13"/>
      <c r="I71" s="13"/>
    </row>
    <row r="72" spans="1:9" ht="12.75">
      <c r="A72" s="6">
        <v>2</v>
      </c>
      <c r="B72" s="8" t="s">
        <v>381</v>
      </c>
      <c r="C72" s="8" t="s">
        <v>140</v>
      </c>
      <c r="D72" s="511"/>
      <c r="E72" s="11" t="s">
        <v>383</v>
      </c>
      <c r="F72" s="13" t="s">
        <v>22</v>
      </c>
      <c r="G72" s="511"/>
      <c r="H72" s="13"/>
      <c r="I72" s="13"/>
    </row>
    <row r="73" spans="1:9" ht="12.75">
      <c r="A73" s="6">
        <v>2</v>
      </c>
      <c r="B73" s="8" t="s">
        <v>381</v>
      </c>
      <c r="C73" s="8" t="s">
        <v>140</v>
      </c>
      <c r="D73" s="512"/>
      <c r="E73" s="11" t="s">
        <v>385</v>
      </c>
      <c r="F73" s="13" t="s">
        <v>22</v>
      </c>
      <c r="G73" s="511"/>
      <c r="H73" s="13"/>
      <c r="I73" s="13"/>
    </row>
    <row r="74" spans="1:9" ht="12.75">
      <c r="A74" s="6">
        <v>2</v>
      </c>
      <c r="B74" s="8" t="s">
        <v>381</v>
      </c>
      <c r="C74" s="8" t="s">
        <v>140</v>
      </c>
      <c r="D74" s="13" t="s">
        <v>388</v>
      </c>
      <c r="E74" s="11" t="s">
        <v>387</v>
      </c>
      <c r="F74" s="13" t="s">
        <v>22</v>
      </c>
      <c r="G74" s="511"/>
      <c r="H74" s="13"/>
      <c r="I74" s="13"/>
    </row>
    <row r="75" spans="1:9" ht="12.75">
      <c r="A75" s="6">
        <v>2</v>
      </c>
      <c r="B75" s="8" t="s">
        <v>381</v>
      </c>
      <c r="C75" s="8" t="s">
        <v>140</v>
      </c>
      <c r="D75" s="13" t="s">
        <v>390</v>
      </c>
      <c r="E75" s="11" t="s">
        <v>390</v>
      </c>
      <c r="F75" s="13" t="s">
        <v>22</v>
      </c>
      <c r="G75" s="511"/>
      <c r="H75" s="13"/>
      <c r="I75" s="13"/>
    </row>
    <row r="76" spans="1:9" ht="12.75">
      <c r="A76" s="6">
        <v>2</v>
      </c>
      <c r="B76" s="8" t="s">
        <v>381</v>
      </c>
      <c r="C76" s="8" t="s">
        <v>140</v>
      </c>
      <c r="D76" s="13" t="s">
        <v>391</v>
      </c>
      <c r="E76" s="11" t="s">
        <v>391</v>
      </c>
      <c r="F76" s="13" t="s">
        <v>22</v>
      </c>
      <c r="G76" s="512"/>
      <c r="H76" s="13"/>
      <c r="I76" s="13"/>
    </row>
    <row r="77" spans="1:9" ht="12.75">
      <c r="A77" s="6">
        <v>2</v>
      </c>
      <c r="B77" s="8" t="s">
        <v>268</v>
      </c>
      <c r="C77" s="8" t="s">
        <v>40</v>
      </c>
      <c r="D77" s="13" t="s">
        <v>348</v>
      </c>
      <c r="E77" s="20" t="s">
        <v>45</v>
      </c>
      <c r="F77" s="13" t="s">
        <v>261</v>
      </c>
      <c r="G77" s="515"/>
      <c r="H77" s="13"/>
      <c r="I77" s="13"/>
    </row>
    <row r="78" spans="1:9" ht="12.75">
      <c r="A78" s="6">
        <v>2</v>
      </c>
      <c r="B78" s="8" t="s">
        <v>268</v>
      </c>
      <c r="C78" s="8" t="s">
        <v>29</v>
      </c>
      <c r="D78" s="514" t="s">
        <v>440</v>
      </c>
      <c r="E78" s="20" t="s">
        <v>30</v>
      </c>
      <c r="F78" s="13" t="s">
        <v>261</v>
      </c>
      <c r="G78" s="511"/>
      <c r="H78" s="13"/>
      <c r="I78" s="13"/>
    </row>
    <row r="79" spans="1:9" ht="12.75">
      <c r="A79" s="6">
        <v>2</v>
      </c>
      <c r="B79" s="8" t="s">
        <v>268</v>
      </c>
      <c r="C79" s="8" t="s">
        <v>29</v>
      </c>
      <c r="D79" s="512"/>
      <c r="E79" s="20" t="s">
        <v>32</v>
      </c>
      <c r="F79" s="13" t="s">
        <v>261</v>
      </c>
      <c r="G79" s="511"/>
      <c r="H79" s="13"/>
      <c r="I79" s="13"/>
    </row>
    <row r="80" spans="1:9" ht="12.75">
      <c r="A80" s="6">
        <v>2</v>
      </c>
      <c r="B80" s="8" t="s">
        <v>268</v>
      </c>
      <c r="C80" s="8" t="s">
        <v>18</v>
      </c>
      <c r="D80" s="13" t="s">
        <v>443</v>
      </c>
      <c r="E80" s="20" t="s">
        <v>444</v>
      </c>
      <c r="F80" s="13" t="s">
        <v>261</v>
      </c>
      <c r="G80" s="511"/>
      <c r="H80" s="13"/>
      <c r="I80" s="13"/>
    </row>
    <row r="81" spans="1:9" ht="12.75">
      <c r="A81" s="6">
        <v>2</v>
      </c>
      <c r="B81" s="8" t="s">
        <v>268</v>
      </c>
      <c r="C81" s="8" t="s">
        <v>23</v>
      </c>
      <c r="D81" s="514" t="s">
        <v>445</v>
      </c>
      <c r="E81" s="20" t="s">
        <v>447</v>
      </c>
      <c r="F81" s="13" t="s">
        <v>261</v>
      </c>
      <c r="G81" s="511"/>
      <c r="H81" s="13"/>
      <c r="I81" s="13"/>
    </row>
    <row r="82" spans="1:9" ht="12.75">
      <c r="A82" s="6">
        <v>2</v>
      </c>
      <c r="B82" s="8" t="s">
        <v>268</v>
      </c>
      <c r="C82" s="8" t="s">
        <v>23</v>
      </c>
      <c r="D82" s="512"/>
      <c r="E82" s="20" t="s">
        <v>27</v>
      </c>
      <c r="F82" s="13" t="s">
        <v>261</v>
      </c>
      <c r="G82" s="511"/>
      <c r="H82" s="13"/>
      <c r="I82" s="13"/>
    </row>
    <row r="83" spans="1:9" ht="12.75">
      <c r="A83" s="6">
        <v>2</v>
      </c>
      <c r="B83" s="8" t="s">
        <v>268</v>
      </c>
      <c r="C83" s="8" t="s">
        <v>23</v>
      </c>
      <c r="D83" s="13" t="s">
        <v>449</v>
      </c>
      <c r="E83" s="20" t="s">
        <v>24</v>
      </c>
      <c r="F83" s="13" t="s">
        <v>261</v>
      </c>
      <c r="G83" s="511"/>
      <c r="H83" s="13"/>
      <c r="I83" s="13"/>
    </row>
    <row r="84" spans="1:9" ht="12.75">
      <c r="A84" s="6">
        <v>2</v>
      </c>
      <c r="B84" s="8" t="s">
        <v>268</v>
      </c>
      <c r="C84" s="8" t="s">
        <v>23</v>
      </c>
      <c r="D84" s="13" t="s">
        <v>452</v>
      </c>
      <c r="E84" s="20" t="s">
        <v>28</v>
      </c>
      <c r="F84" s="13" t="s">
        <v>261</v>
      </c>
      <c r="G84" s="512"/>
      <c r="H84" s="13"/>
      <c r="I84" s="13"/>
    </row>
    <row r="85" spans="1:9" ht="21" customHeight="1">
      <c r="A85" s="6">
        <v>2</v>
      </c>
      <c r="B85" s="8" t="s">
        <v>268</v>
      </c>
      <c r="C85" s="8" t="s">
        <v>40</v>
      </c>
      <c r="D85" s="13" t="s">
        <v>52</v>
      </c>
      <c r="E85" s="70" t="s">
        <v>454</v>
      </c>
      <c r="F85" s="13" t="s">
        <v>261</v>
      </c>
      <c r="G85" s="515"/>
      <c r="H85" s="13"/>
      <c r="I85" s="13"/>
    </row>
    <row r="86" spans="1:9" ht="12.75">
      <c r="A86" s="6">
        <v>2</v>
      </c>
      <c r="B86" s="8" t="s">
        <v>268</v>
      </c>
      <c r="C86" s="8" t="s">
        <v>40</v>
      </c>
      <c r="D86" s="13" t="s">
        <v>456</v>
      </c>
      <c r="E86" s="20" t="s">
        <v>54</v>
      </c>
      <c r="F86" s="13" t="s">
        <v>261</v>
      </c>
      <c r="G86" s="511"/>
      <c r="H86" s="13"/>
      <c r="I86" s="13"/>
    </row>
    <row r="87" spans="1:9" ht="12.75">
      <c r="A87" s="6">
        <v>2</v>
      </c>
      <c r="B87" s="8" t="s">
        <v>268</v>
      </c>
      <c r="C87" s="8" t="s">
        <v>40</v>
      </c>
      <c r="D87" s="13" t="s">
        <v>55</v>
      </c>
      <c r="E87" s="20" t="s">
        <v>55</v>
      </c>
      <c r="F87" s="13" t="s">
        <v>261</v>
      </c>
      <c r="G87" s="512"/>
      <c r="H87" s="13"/>
      <c r="I87" s="13"/>
    </row>
    <row r="88" spans="1:9" ht="19.5" customHeight="1">
      <c r="A88" s="6">
        <v>2</v>
      </c>
      <c r="B88" s="8" t="s">
        <v>268</v>
      </c>
      <c r="C88" s="8" t="s">
        <v>40</v>
      </c>
      <c r="D88" s="514" t="s">
        <v>459</v>
      </c>
      <c r="E88" s="70" t="s">
        <v>46</v>
      </c>
      <c r="F88" s="13" t="s">
        <v>261</v>
      </c>
      <c r="G88" s="515"/>
      <c r="H88" s="13"/>
      <c r="I88" s="13"/>
    </row>
    <row r="89" spans="1:9" ht="12.75">
      <c r="A89" s="6">
        <v>2</v>
      </c>
      <c r="B89" s="8" t="s">
        <v>268</v>
      </c>
      <c r="C89" s="8" t="s">
        <v>40</v>
      </c>
      <c r="D89" s="511"/>
      <c r="E89" s="70" t="s">
        <v>47</v>
      </c>
      <c r="F89" s="13" t="s">
        <v>261</v>
      </c>
      <c r="G89" s="511"/>
      <c r="H89" s="13"/>
      <c r="I89" s="13"/>
    </row>
    <row r="90" spans="1:9" ht="12.75">
      <c r="A90" s="6">
        <v>2</v>
      </c>
      <c r="B90" s="8" t="s">
        <v>268</v>
      </c>
      <c r="C90" s="8" t="s">
        <v>40</v>
      </c>
      <c r="D90" s="511"/>
      <c r="E90" s="70" t="s">
        <v>48</v>
      </c>
      <c r="F90" s="13" t="s">
        <v>261</v>
      </c>
      <c r="G90" s="511"/>
      <c r="H90" s="13"/>
      <c r="I90" s="13"/>
    </row>
    <row r="91" spans="1:9" ht="12.75">
      <c r="A91" s="6">
        <v>2</v>
      </c>
      <c r="B91" s="8" t="s">
        <v>268</v>
      </c>
      <c r="C91" s="8" t="s">
        <v>40</v>
      </c>
      <c r="D91" s="512"/>
      <c r="E91" s="75" t="s">
        <v>463</v>
      </c>
      <c r="F91" s="13" t="s">
        <v>261</v>
      </c>
      <c r="G91" s="512"/>
      <c r="H91" s="13"/>
      <c r="I91" s="13"/>
    </row>
    <row r="92" spans="1:9" ht="12.75">
      <c r="A92" s="61">
        <v>2</v>
      </c>
      <c r="B92" s="61" t="s">
        <v>381</v>
      </c>
      <c r="C92" s="61" t="s">
        <v>466</v>
      </c>
      <c r="D92" s="61" t="s">
        <v>467</v>
      </c>
      <c r="E92" s="54" t="s">
        <v>467</v>
      </c>
      <c r="F92" s="13" t="s">
        <v>350</v>
      </c>
      <c r="G92" s="515"/>
      <c r="H92" s="13"/>
      <c r="I92" s="13"/>
    </row>
    <row r="93" spans="1:9" ht="12.75">
      <c r="A93" s="61">
        <v>2</v>
      </c>
      <c r="B93" s="61" t="s">
        <v>381</v>
      </c>
      <c r="C93" s="61" t="s">
        <v>466</v>
      </c>
      <c r="D93" s="61" t="s">
        <v>469</v>
      </c>
      <c r="E93" s="54" t="s">
        <v>469</v>
      </c>
      <c r="F93" s="13" t="s">
        <v>350</v>
      </c>
      <c r="G93" s="512"/>
      <c r="H93" s="13"/>
      <c r="I93" s="13"/>
    </row>
    <row r="94" spans="1:9" ht="12.75">
      <c r="A94" s="61">
        <v>2</v>
      </c>
      <c r="B94" s="4" t="s">
        <v>216</v>
      </c>
      <c r="C94" s="61" t="s">
        <v>471</v>
      </c>
      <c r="D94" s="62" t="s">
        <v>472</v>
      </c>
      <c r="E94" s="55" t="s">
        <v>472</v>
      </c>
      <c r="F94" s="13" t="s">
        <v>350</v>
      </c>
      <c r="G94" s="515"/>
      <c r="H94" s="13"/>
      <c r="I94" s="13"/>
    </row>
    <row r="95" spans="1:9" ht="12.75">
      <c r="A95" s="61">
        <v>2</v>
      </c>
      <c r="B95" s="4" t="s">
        <v>216</v>
      </c>
      <c r="C95" s="61" t="s">
        <v>471</v>
      </c>
      <c r="D95" s="62" t="s">
        <v>474</v>
      </c>
      <c r="E95" s="55" t="s">
        <v>474</v>
      </c>
      <c r="F95" s="13" t="s">
        <v>350</v>
      </c>
      <c r="G95" s="512"/>
      <c r="H95" s="13"/>
      <c r="I95" s="13"/>
    </row>
    <row r="96" spans="1:9" ht="12.75">
      <c r="A96" s="61">
        <v>2</v>
      </c>
      <c r="B96" s="4" t="s">
        <v>268</v>
      </c>
      <c r="C96" s="61" t="s">
        <v>4</v>
      </c>
      <c r="D96" s="4" t="s">
        <v>11</v>
      </c>
      <c r="E96" s="7" t="s">
        <v>11</v>
      </c>
      <c r="F96" s="13" t="s">
        <v>350</v>
      </c>
      <c r="G96" s="515"/>
      <c r="H96" s="13"/>
      <c r="I96" s="13"/>
    </row>
    <row r="97" spans="1:9" ht="12.75">
      <c r="A97" s="61">
        <v>2</v>
      </c>
      <c r="B97" s="4" t="s">
        <v>268</v>
      </c>
      <c r="C97" s="61" t="s">
        <v>4</v>
      </c>
      <c r="D97" s="4" t="s">
        <v>17</v>
      </c>
      <c r="E97" s="7" t="s">
        <v>17</v>
      </c>
      <c r="F97" s="13" t="s">
        <v>350</v>
      </c>
      <c r="G97" s="512"/>
      <c r="H97" s="13"/>
      <c r="I97" s="13"/>
    </row>
    <row r="98" spans="1:9" ht="12.75">
      <c r="A98" s="64"/>
      <c r="B98" s="64"/>
      <c r="C98" s="64"/>
      <c r="D98" s="65"/>
      <c r="E98" s="64"/>
      <c r="F98" s="64"/>
      <c r="G98" s="64"/>
    </row>
    <row r="99" spans="1:9" ht="12.75">
      <c r="A99" s="64"/>
      <c r="B99" s="64"/>
      <c r="C99" s="64"/>
      <c r="D99" s="65"/>
      <c r="E99" s="64"/>
      <c r="F99" s="64"/>
      <c r="G99" s="64"/>
    </row>
    <row r="100" spans="1:9" ht="12.75">
      <c r="A100" s="64"/>
      <c r="B100" s="64"/>
      <c r="C100" s="64"/>
      <c r="D100" s="65"/>
      <c r="E100" s="64"/>
      <c r="F100" s="64"/>
      <c r="G100" s="64"/>
    </row>
    <row r="101" spans="1:9" ht="12.75">
      <c r="A101" s="64"/>
      <c r="B101" s="64"/>
      <c r="C101" s="64"/>
      <c r="D101" s="65"/>
      <c r="E101" s="64"/>
      <c r="F101" s="64"/>
      <c r="G101" s="64"/>
    </row>
    <row r="102" spans="1:9" ht="12.75">
      <c r="A102" s="64"/>
      <c r="B102" s="64"/>
      <c r="C102" s="64"/>
      <c r="D102" s="65"/>
      <c r="E102" s="64"/>
      <c r="F102" s="64"/>
      <c r="G102" s="64"/>
    </row>
    <row r="103" spans="1:9" ht="12.75">
      <c r="A103" s="64"/>
      <c r="B103" s="64"/>
      <c r="C103" s="64"/>
      <c r="D103" s="65"/>
      <c r="E103" s="64"/>
      <c r="F103" s="64"/>
      <c r="G103" s="64"/>
    </row>
    <row r="104" spans="1:9" ht="12.75">
      <c r="A104" s="64"/>
      <c r="B104" s="64"/>
      <c r="C104" s="64"/>
      <c r="D104" s="65"/>
      <c r="E104" s="64"/>
      <c r="F104" s="64"/>
      <c r="G104" s="64"/>
    </row>
    <row r="105" spans="1:9" ht="12.75">
      <c r="A105" s="64"/>
      <c r="B105" s="64"/>
      <c r="C105" s="64"/>
      <c r="D105" s="65"/>
      <c r="E105" s="64"/>
      <c r="F105" s="64"/>
      <c r="G105" s="64"/>
    </row>
    <row r="106" spans="1:9" ht="12.75">
      <c r="A106" s="64"/>
      <c r="B106" s="64"/>
      <c r="C106" s="64"/>
      <c r="D106" s="65"/>
      <c r="E106" s="64"/>
      <c r="F106" s="64"/>
      <c r="G106" s="64"/>
    </row>
    <row r="107" spans="1:9" ht="12.75">
      <c r="A107" s="64"/>
      <c r="B107" s="64"/>
      <c r="C107" s="64"/>
      <c r="D107" s="65"/>
      <c r="E107" s="64"/>
      <c r="F107" s="64"/>
      <c r="G107" s="64"/>
    </row>
    <row r="108" spans="1:9" ht="12.75">
      <c r="A108" s="64"/>
      <c r="B108" s="64"/>
      <c r="C108" s="64"/>
      <c r="D108" s="65"/>
      <c r="E108" s="64"/>
      <c r="F108" s="64"/>
      <c r="G108" s="64"/>
    </row>
    <row r="109" spans="1:9" ht="12.75">
      <c r="A109" s="64"/>
      <c r="B109" s="64"/>
      <c r="C109" s="64"/>
      <c r="D109" s="65"/>
      <c r="E109" s="64"/>
      <c r="F109" s="64"/>
      <c r="G109" s="64"/>
    </row>
    <row r="110" spans="1:9" ht="12.75">
      <c r="A110" s="64"/>
      <c r="B110" s="64"/>
      <c r="C110" s="64"/>
      <c r="D110" s="65"/>
      <c r="E110" s="64"/>
      <c r="F110" s="64"/>
      <c r="G110" s="64"/>
    </row>
    <row r="111" spans="1:9" ht="12.75">
      <c r="A111" s="64"/>
      <c r="B111" s="64"/>
      <c r="C111" s="64"/>
      <c r="D111" s="65"/>
      <c r="E111" s="64"/>
      <c r="F111" s="64"/>
      <c r="G111" s="64"/>
    </row>
    <row r="112" spans="1:9" ht="12.75">
      <c r="A112" s="64"/>
      <c r="B112" s="64"/>
      <c r="C112" s="64"/>
      <c r="D112" s="65"/>
      <c r="E112" s="64"/>
      <c r="F112" s="64"/>
      <c r="G112" s="64"/>
    </row>
    <row r="113" spans="1:7" ht="12.75">
      <c r="A113" s="64"/>
      <c r="B113" s="64"/>
      <c r="C113" s="64"/>
      <c r="D113" s="65"/>
      <c r="E113" s="64"/>
      <c r="F113" s="64"/>
      <c r="G113" s="64"/>
    </row>
    <row r="114" spans="1:7" ht="12.75">
      <c r="A114" s="64"/>
      <c r="B114" s="64"/>
      <c r="C114" s="64"/>
      <c r="D114" s="65"/>
      <c r="E114" s="64"/>
      <c r="F114" s="64"/>
      <c r="G114" s="64"/>
    </row>
    <row r="115" spans="1:7" ht="12.75">
      <c r="A115" s="64"/>
      <c r="B115" s="64"/>
      <c r="C115" s="64"/>
      <c r="D115" s="65"/>
      <c r="E115" s="64"/>
      <c r="F115" s="64"/>
      <c r="G115" s="64"/>
    </row>
    <row r="116" spans="1:7" ht="12.75">
      <c r="A116" s="64"/>
      <c r="B116" s="64"/>
      <c r="C116" s="64"/>
      <c r="D116" s="65"/>
      <c r="E116" s="64"/>
      <c r="F116" s="64"/>
      <c r="G116" s="64"/>
    </row>
    <row r="117" spans="1:7" ht="12.75">
      <c r="A117" s="64"/>
      <c r="B117" s="64"/>
      <c r="C117" s="64"/>
      <c r="D117" s="65"/>
      <c r="E117" s="64"/>
      <c r="F117" s="64"/>
      <c r="G117" s="64"/>
    </row>
    <row r="118" spans="1:7" ht="12.75">
      <c r="A118" s="64"/>
      <c r="B118" s="64"/>
      <c r="C118" s="64"/>
      <c r="D118" s="65"/>
      <c r="E118" s="64"/>
      <c r="F118" s="64"/>
      <c r="G118" s="64"/>
    </row>
    <row r="119" spans="1:7" ht="12.75">
      <c r="A119" s="64"/>
      <c r="B119" s="64"/>
      <c r="C119" s="64"/>
      <c r="D119" s="65"/>
      <c r="E119" s="64"/>
      <c r="F119" s="64"/>
      <c r="G119" s="64"/>
    </row>
    <row r="120" spans="1:7" ht="12.75">
      <c r="A120" s="64"/>
      <c r="B120" s="64"/>
      <c r="C120" s="64"/>
      <c r="D120" s="65"/>
      <c r="E120" s="64"/>
      <c r="F120" s="64"/>
      <c r="G120" s="64"/>
    </row>
    <row r="121" spans="1:7" ht="12.75">
      <c r="A121" s="64"/>
      <c r="B121" s="64"/>
      <c r="C121" s="64"/>
      <c r="D121" s="65"/>
      <c r="E121" s="64"/>
      <c r="F121" s="64"/>
      <c r="G121" s="64"/>
    </row>
    <row r="122" spans="1:7" ht="12.75">
      <c r="A122" s="64"/>
      <c r="B122" s="64"/>
      <c r="C122" s="64"/>
      <c r="D122" s="65"/>
      <c r="E122" s="64"/>
      <c r="F122" s="64"/>
      <c r="G122" s="64"/>
    </row>
    <row r="123" spans="1:7" ht="12.75">
      <c r="A123" s="64"/>
      <c r="B123" s="64"/>
      <c r="C123" s="64"/>
      <c r="D123" s="65"/>
      <c r="E123" s="64"/>
      <c r="F123" s="64"/>
      <c r="G123" s="64"/>
    </row>
    <row r="124" spans="1:7" ht="12.75">
      <c r="A124" s="64"/>
      <c r="B124" s="64"/>
      <c r="C124" s="64"/>
      <c r="D124" s="65"/>
      <c r="E124" s="64"/>
      <c r="F124" s="64"/>
      <c r="G124" s="64"/>
    </row>
    <row r="125" spans="1:7" ht="12.75">
      <c r="A125" s="64"/>
      <c r="B125" s="64"/>
      <c r="C125" s="64"/>
      <c r="D125" s="65"/>
      <c r="E125" s="64"/>
      <c r="F125" s="64"/>
      <c r="G125" s="64"/>
    </row>
    <row r="126" spans="1:7" ht="12.75">
      <c r="A126" s="64"/>
      <c r="B126" s="64"/>
      <c r="C126" s="64"/>
      <c r="D126" s="65"/>
      <c r="E126" s="64"/>
      <c r="F126" s="64"/>
      <c r="G126" s="64"/>
    </row>
    <row r="127" spans="1:7" ht="12.75">
      <c r="A127" s="64"/>
      <c r="B127" s="64"/>
      <c r="C127" s="64"/>
      <c r="D127" s="65"/>
      <c r="E127" s="64"/>
      <c r="F127" s="64"/>
      <c r="G127" s="64"/>
    </row>
    <row r="128" spans="1:7" ht="12.75">
      <c r="A128" s="64"/>
      <c r="B128" s="64"/>
      <c r="C128" s="64"/>
      <c r="D128" s="65"/>
      <c r="E128" s="64"/>
      <c r="F128" s="64"/>
      <c r="G128" s="64"/>
    </row>
    <row r="129" spans="1:7" ht="12.75">
      <c r="A129" s="64"/>
      <c r="B129" s="64"/>
      <c r="C129" s="64"/>
      <c r="D129" s="65"/>
      <c r="E129" s="64"/>
      <c r="F129" s="64"/>
      <c r="G129" s="64"/>
    </row>
    <row r="130" spans="1:7" ht="12.75">
      <c r="A130" s="64"/>
      <c r="B130" s="64"/>
      <c r="C130" s="64"/>
      <c r="D130" s="65"/>
      <c r="E130" s="64"/>
      <c r="F130" s="64"/>
      <c r="G130" s="64"/>
    </row>
    <row r="131" spans="1:7" ht="12.75">
      <c r="A131" s="64"/>
      <c r="B131" s="64"/>
      <c r="C131" s="64"/>
      <c r="D131" s="65"/>
      <c r="E131" s="64"/>
      <c r="F131" s="64"/>
      <c r="G131" s="64"/>
    </row>
    <row r="132" spans="1:7" ht="12.75">
      <c r="A132" s="64"/>
      <c r="B132" s="64"/>
      <c r="C132" s="64"/>
      <c r="D132" s="65"/>
      <c r="E132" s="64"/>
      <c r="F132" s="64"/>
      <c r="G132" s="64"/>
    </row>
    <row r="133" spans="1:7" ht="12.75">
      <c r="A133" s="64"/>
      <c r="B133" s="64"/>
      <c r="C133" s="64"/>
      <c r="D133" s="65"/>
      <c r="E133" s="64"/>
      <c r="F133" s="64"/>
      <c r="G133" s="64"/>
    </row>
    <row r="134" spans="1:7" ht="12.75">
      <c r="A134" s="64"/>
      <c r="B134" s="64"/>
      <c r="C134" s="64"/>
      <c r="D134" s="65"/>
      <c r="E134" s="64"/>
      <c r="F134" s="64"/>
      <c r="G134" s="64"/>
    </row>
    <row r="135" spans="1:7" ht="12.75">
      <c r="A135" s="64"/>
      <c r="B135" s="64"/>
      <c r="C135" s="64"/>
      <c r="D135" s="65"/>
      <c r="E135" s="64"/>
      <c r="F135" s="64"/>
      <c r="G135" s="64"/>
    </row>
    <row r="136" spans="1:7" ht="12.75">
      <c r="A136" s="64"/>
      <c r="B136" s="64"/>
      <c r="C136" s="64"/>
      <c r="D136" s="65"/>
      <c r="E136" s="64"/>
      <c r="F136" s="64"/>
      <c r="G136" s="64"/>
    </row>
    <row r="137" spans="1:7" ht="12.75">
      <c r="A137" s="64"/>
      <c r="B137" s="64"/>
      <c r="C137" s="64"/>
      <c r="D137" s="65"/>
      <c r="E137" s="64"/>
      <c r="F137" s="64"/>
      <c r="G137" s="64"/>
    </row>
    <row r="138" spans="1:7" ht="12.75">
      <c r="A138" s="64"/>
      <c r="B138" s="64"/>
      <c r="C138" s="64"/>
      <c r="D138" s="65"/>
      <c r="E138" s="64"/>
      <c r="F138" s="64"/>
      <c r="G138" s="64"/>
    </row>
    <row r="139" spans="1:7" ht="12.75">
      <c r="A139" s="64"/>
      <c r="B139" s="64"/>
      <c r="C139" s="64"/>
      <c r="D139" s="65"/>
      <c r="E139" s="64"/>
      <c r="F139" s="64"/>
      <c r="G139" s="64"/>
    </row>
    <row r="140" spans="1:7" ht="12.75">
      <c r="A140" s="64"/>
      <c r="B140" s="64"/>
      <c r="C140" s="64"/>
      <c r="D140" s="65"/>
      <c r="E140" s="64"/>
      <c r="F140" s="64"/>
      <c r="G140" s="64"/>
    </row>
    <row r="141" spans="1:7" ht="12.75">
      <c r="A141" s="64"/>
      <c r="B141" s="64"/>
      <c r="C141" s="64"/>
      <c r="D141" s="65"/>
      <c r="E141" s="64"/>
      <c r="F141" s="64"/>
      <c r="G141" s="64"/>
    </row>
    <row r="142" spans="1:7" ht="12.75">
      <c r="A142" s="64"/>
      <c r="B142" s="64"/>
      <c r="C142" s="64"/>
      <c r="D142" s="65"/>
      <c r="E142" s="64"/>
      <c r="F142" s="64"/>
      <c r="G142" s="64"/>
    </row>
    <row r="143" spans="1:7" ht="12.75">
      <c r="A143" s="64"/>
      <c r="B143" s="64"/>
      <c r="C143" s="64"/>
      <c r="D143" s="65"/>
      <c r="E143" s="64"/>
      <c r="F143" s="64"/>
      <c r="G143" s="64"/>
    </row>
    <row r="144" spans="1:7" ht="12.75">
      <c r="A144" s="64"/>
      <c r="B144" s="64"/>
      <c r="C144" s="64"/>
      <c r="D144" s="65"/>
      <c r="E144" s="64"/>
      <c r="F144" s="64"/>
      <c r="G144" s="64"/>
    </row>
    <row r="145" spans="1:7" ht="12.75">
      <c r="A145" s="64"/>
      <c r="B145" s="64"/>
      <c r="C145" s="64"/>
      <c r="D145" s="65"/>
      <c r="E145" s="64"/>
      <c r="F145" s="64"/>
      <c r="G145" s="64"/>
    </row>
    <row r="146" spans="1:7" ht="12.75">
      <c r="A146" s="64"/>
      <c r="B146" s="64"/>
      <c r="C146" s="64"/>
      <c r="D146" s="65"/>
      <c r="E146" s="64"/>
      <c r="F146" s="64"/>
      <c r="G146" s="64"/>
    </row>
    <row r="147" spans="1:7" ht="12.75">
      <c r="A147" s="64"/>
      <c r="B147" s="64"/>
      <c r="C147" s="64"/>
      <c r="D147" s="65"/>
      <c r="E147" s="64"/>
      <c r="F147" s="64"/>
      <c r="G147" s="64"/>
    </row>
    <row r="148" spans="1:7" ht="12.75">
      <c r="A148" s="64"/>
      <c r="B148" s="64"/>
      <c r="C148" s="64"/>
      <c r="D148" s="65"/>
      <c r="E148" s="64"/>
      <c r="F148" s="64"/>
      <c r="G148" s="64"/>
    </row>
    <row r="149" spans="1:7" ht="12.75">
      <c r="A149" s="64"/>
      <c r="B149" s="64"/>
      <c r="C149" s="64"/>
      <c r="D149" s="65"/>
      <c r="E149" s="64"/>
      <c r="F149" s="64"/>
      <c r="G149" s="64"/>
    </row>
    <row r="150" spans="1:7" ht="12.75">
      <c r="A150" s="64"/>
      <c r="B150" s="64"/>
      <c r="C150" s="64"/>
      <c r="D150" s="65"/>
      <c r="E150" s="64"/>
      <c r="F150" s="64"/>
      <c r="G150" s="64"/>
    </row>
    <row r="151" spans="1:7" ht="12.75">
      <c r="A151" s="64"/>
      <c r="B151" s="64"/>
      <c r="C151" s="64"/>
      <c r="D151" s="65"/>
      <c r="E151" s="64"/>
      <c r="F151" s="64"/>
      <c r="G151" s="64"/>
    </row>
    <row r="152" spans="1:7" ht="12.75">
      <c r="A152" s="64"/>
      <c r="B152" s="64"/>
      <c r="C152" s="64"/>
      <c r="D152" s="65"/>
      <c r="E152" s="64"/>
      <c r="F152" s="64"/>
      <c r="G152" s="64"/>
    </row>
    <row r="153" spans="1:7" ht="12.75">
      <c r="A153" s="64"/>
      <c r="B153" s="64"/>
      <c r="C153" s="64"/>
      <c r="D153" s="65"/>
      <c r="E153" s="64"/>
      <c r="F153" s="64"/>
      <c r="G153" s="64"/>
    </row>
    <row r="154" spans="1:7" ht="12.75">
      <c r="A154" s="64"/>
      <c r="B154" s="64"/>
      <c r="C154" s="64"/>
      <c r="D154" s="65"/>
      <c r="E154" s="64"/>
      <c r="F154" s="64"/>
      <c r="G154" s="64"/>
    </row>
    <row r="155" spans="1:7" ht="12.75">
      <c r="A155" s="64"/>
      <c r="B155" s="64"/>
      <c r="C155" s="64"/>
      <c r="D155" s="65"/>
      <c r="E155" s="64"/>
      <c r="F155" s="64"/>
      <c r="G155" s="64"/>
    </row>
    <row r="156" spans="1:7" ht="12.75">
      <c r="A156" s="64"/>
      <c r="B156" s="64"/>
      <c r="C156" s="64"/>
      <c r="D156" s="65"/>
      <c r="E156" s="64"/>
      <c r="F156" s="64"/>
      <c r="G156" s="64"/>
    </row>
    <row r="157" spans="1:7" ht="12.75">
      <c r="A157" s="64"/>
      <c r="B157" s="64"/>
      <c r="C157" s="64"/>
      <c r="D157" s="65"/>
      <c r="E157" s="64"/>
      <c r="F157" s="64"/>
      <c r="G157" s="64"/>
    </row>
    <row r="158" spans="1:7" ht="12.75">
      <c r="A158" s="64"/>
      <c r="B158" s="64"/>
      <c r="C158" s="64"/>
      <c r="D158" s="65"/>
      <c r="E158" s="64"/>
      <c r="F158" s="64"/>
      <c r="G158" s="64"/>
    </row>
    <row r="159" spans="1:7" ht="12.75">
      <c r="A159" s="64"/>
      <c r="B159" s="64"/>
      <c r="C159" s="64"/>
      <c r="D159" s="65"/>
      <c r="E159" s="64"/>
      <c r="F159" s="64"/>
      <c r="G159" s="64"/>
    </row>
    <row r="160" spans="1:7" ht="12.75">
      <c r="A160" s="64"/>
      <c r="B160" s="64"/>
      <c r="C160" s="64"/>
      <c r="D160" s="65"/>
      <c r="E160" s="64"/>
      <c r="F160" s="64"/>
      <c r="G160" s="64"/>
    </row>
    <row r="161" spans="1:7" ht="12.75">
      <c r="A161" s="64"/>
      <c r="B161" s="64"/>
      <c r="C161" s="64"/>
      <c r="D161" s="65"/>
      <c r="E161" s="64"/>
      <c r="F161" s="64"/>
      <c r="G161" s="64"/>
    </row>
    <row r="162" spans="1:7" ht="12.75">
      <c r="A162" s="64"/>
      <c r="B162" s="64"/>
      <c r="C162" s="64"/>
      <c r="D162" s="65"/>
      <c r="E162" s="64"/>
      <c r="F162" s="64"/>
      <c r="G162" s="64"/>
    </row>
    <row r="163" spans="1:7" ht="12.75">
      <c r="A163" s="64"/>
      <c r="B163" s="64"/>
      <c r="C163" s="64"/>
      <c r="D163" s="65"/>
      <c r="E163" s="64"/>
      <c r="F163" s="64"/>
      <c r="G163" s="64"/>
    </row>
    <row r="164" spans="1:7" ht="12.75">
      <c r="A164" s="64"/>
      <c r="B164" s="64"/>
      <c r="C164" s="64"/>
      <c r="D164" s="65"/>
      <c r="E164" s="64"/>
      <c r="F164" s="64"/>
      <c r="G164" s="64"/>
    </row>
    <row r="165" spans="1:7" ht="12.75">
      <c r="A165" s="64"/>
      <c r="B165" s="64"/>
      <c r="C165" s="64"/>
      <c r="D165" s="65"/>
      <c r="E165" s="64"/>
      <c r="F165" s="64"/>
      <c r="G165" s="64"/>
    </row>
    <row r="166" spans="1:7" ht="12.75">
      <c r="A166" s="64"/>
      <c r="B166" s="64"/>
      <c r="C166" s="64"/>
      <c r="D166" s="65"/>
      <c r="E166" s="64"/>
      <c r="F166" s="64"/>
      <c r="G166" s="64"/>
    </row>
    <row r="167" spans="1:7" ht="12.75">
      <c r="A167" s="64"/>
      <c r="B167" s="64"/>
      <c r="C167" s="64"/>
      <c r="D167" s="65"/>
      <c r="E167" s="64"/>
      <c r="F167" s="64"/>
      <c r="G167" s="64"/>
    </row>
    <row r="168" spans="1:7" ht="12.75">
      <c r="A168" s="64"/>
      <c r="B168" s="64"/>
      <c r="C168" s="64"/>
      <c r="D168" s="65"/>
      <c r="E168" s="64"/>
      <c r="F168" s="64"/>
      <c r="G168" s="64"/>
    </row>
    <row r="169" spans="1:7" ht="12.75">
      <c r="A169" s="64"/>
      <c r="B169" s="64"/>
      <c r="C169" s="64"/>
      <c r="D169" s="65"/>
      <c r="E169" s="64"/>
      <c r="F169" s="64"/>
      <c r="G169" s="64"/>
    </row>
    <row r="170" spans="1:7" ht="12.75">
      <c r="A170" s="64"/>
      <c r="B170" s="64"/>
      <c r="C170" s="64"/>
      <c r="D170" s="65"/>
      <c r="E170" s="64"/>
      <c r="F170" s="64"/>
      <c r="G170" s="64"/>
    </row>
    <row r="171" spans="1:7" ht="12.75">
      <c r="A171" s="64"/>
      <c r="B171" s="64"/>
      <c r="C171" s="64"/>
      <c r="D171" s="65"/>
      <c r="E171" s="64"/>
      <c r="F171" s="64"/>
      <c r="G171" s="64"/>
    </row>
    <row r="172" spans="1:7" ht="12.75">
      <c r="A172" s="64"/>
      <c r="B172" s="64"/>
      <c r="C172" s="64"/>
      <c r="D172" s="65"/>
      <c r="E172" s="64"/>
      <c r="F172" s="64"/>
      <c r="G172" s="64"/>
    </row>
    <row r="173" spans="1:7" ht="12.75">
      <c r="A173" s="64"/>
      <c r="B173" s="64"/>
      <c r="C173" s="64"/>
      <c r="D173" s="65"/>
      <c r="E173" s="64"/>
      <c r="F173" s="64"/>
      <c r="G173" s="64"/>
    </row>
    <row r="174" spans="1:7" ht="12.75">
      <c r="A174" s="64"/>
      <c r="B174" s="64"/>
      <c r="C174" s="64"/>
      <c r="D174" s="65"/>
      <c r="E174" s="64"/>
      <c r="F174" s="64"/>
      <c r="G174" s="64"/>
    </row>
    <row r="175" spans="1:7" ht="12.75">
      <c r="A175" s="64"/>
      <c r="B175" s="64"/>
      <c r="C175" s="64"/>
      <c r="D175" s="65"/>
      <c r="E175" s="64"/>
      <c r="F175" s="64"/>
      <c r="G175" s="64"/>
    </row>
    <row r="176" spans="1:7" ht="12.75">
      <c r="A176" s="64"/>
      <c r="B176" s="64"/>
      <c r="C176" s="64"/>
      <c r="D176" s="65"/>
      <c r="E176" s="64"/>
      <c r="F176" s="64"/>
      <c r="G176" s="64"/>
    </row>
    <row r="177" spans="1:7" ht="12.75">
      <c r="A177" s="64"/>
      <c r="B177" s="64"/>
      <c r="C177" s="64"/>
      <c r="D177" s="65"/>
      <c r="E177" s="64"/>
      <c r="F177" s="64"/>
      <c r="G177" s="64"/>
    </row>
    <row r="178" spans="1:7" ht="12.75">
      <c r="A178" s="64"/>
      <c r="B178" s="64"/>
      <c r="C178" s="64"/>
      <c r="D178" s="65"/>
      <c r="E178" s="64"/>
      <c r="F178" s="64"/>
      <c r="G178" s="64"/>
    </row>
    <row r="179" spans="1:7" ht="12.75">
      <c r="A179" s="64"/>
      <c r="B179" s="64"/>
      <c r="C179" s="64"/>
      <c r="D179" s="65"/>
      <c r="E179" s="64"/>
      <c r="F179" s="64"/>
      <c r="G179" s="64"/>
    </row>
    <row r="180" spans="1:7" ht="12.75">
      <c r="A180" s="64"/>
      <c r="B180" s="64"/>
      <c r="C180" s="64"/>
      <c r="D180" s="65"/>
      <c r="E180" s="64"/>
      <c r="F180" s="64"/>
      <c r="G180" s="64"/>
    </row>
    <row r="181" spans="1:7" ht="12.75">
      <c r="A181" s="64"/>
      <c r="B181" s="64"/>
      <c r="C181" s="64"/>
      <c r="D181" s="65"/>
      <c r="E181" s="64"/>
      <c r="F181" s="64"/>
      <c r="G181" s="64"/>
    </row>
    <row r="182" spans="1:7" ht="12.75">
      <c r="A182" s="64"/>
      <c r="B182" s="64"/>
      <c r="C182" s="64"/>
      <c r="D182" s="65"/>
      <c r="E182" s="64"/>
      <c r="F182" s="64"/>
      <c r="G182" s="64"/>
    </row>
    <row r="183" spans="1:7" ht="12.75">
      <c r="A183" s="64"/>
      <c r="B183" s="64"/>
      <c r="C183" s="64"/>
      <c r="D183" s="65"/>
      <c r="E183" s="64"/>
      <c r="F183" s="64"/>
      <c r="G183" s="64"/>
    </row>
    <row r="184" spans="1:7" ht="12.75">
      <c r="A184" s="64"/>
      <c r="B184" s="64"/>
      <c r="C184" s="64"/>
      <c r="D184" s="65"/>
      <c r="E184" s="64"/>
      <c r="F184" s="64"/>
      <c r="G184" s="64"/>
    </row>
    <row r="185" spans="1:7" ht="12.75">
      <c r="A185" s="64"/>
      <c r="B185" s="64"/>
      <c r="C185" s="64"/>
      <c r="D185" s="65"/>
      <c r="E185" s="64"/>
      <c r="F185" s="64"/>
      <c r="G185" s="64"/>
    </row>
    <row r="186" spans="1:7" ht="12.75">
      <c r="A186" s="64"/>
      <c r="B186" s="64"/>
      <c r="C186" s="64"/>
      <c r="D186" s="65"/>
      <c r="E186" s="64"/>
      <c r="F186" s="64"/>
      <c r="G186" s="64"/>
    </row>
    <row r="187" spans="1:7" ht="12.75">
      <c r="A187" s="64"/>
      <c r="B187" s="64"/>
      <c r="C187" s="64"/>
      <c r="D187" s="65"/>
      <c r="E187" s="64"/>
      <c r="F187" s="64"/>
      <c r="G187" s="64"/>
    </row>
    <row r="188" spans="1:7" ht="12.75">
      <c r="A188" s="64"/>
      <c r="B188" s="64"/>
      <c r="C188" s="64"/>
      <c r="D188" s="65"/>
      <c r="E188" s="64"/>
      <c r="F188" s="64"/>
      <c r="G188" s="64"/>
    </row>
    <row r="189" spans="1:7" ht="12.75">
      <c r="A189" s="64"/>
      <c r="B189" s="64"/>
      <c r="C189" s="64"/>
      <c r="D189" s="65"/>
      <c r="E189" s="64"/>
      <c r="F189" s="64"/>
      <c r="G189" s="64"/>
    </row>
    <row r="190" spans="1:7" ht="12.75">
      <c r="A190" s="64"/>
      <c r="B190" s="64"/>
      <c r="C190" s="64"/>
      <c r="D190" s="65"/>
      <c r="E190" s="64"/>
      <c r="F190" s="64"/>
      <c r="G190" s="64"/>
    </row>
    <row r="191" spans="1:7" ht="12.75">
      <c r="A191" s="64"/>
      <c r="B191" s="64"/>
      <c r="C191" s="64"/>
      <c r="D191" s="65"/>
      <c r="E191" s="64"/>
      <c r="F191" s="64"/>
      <c r="G191" s="64"/>
    </row>
    <row r="192" spans="1:7" ht="12.75">
      <c r="A192" s="64"/>
      <c r="B192" s="64"/>
      <c r="C192" s="64"/>
      <c r="D192" s="65"/>
      <c r="E192" s="64"/>
      <c r="F192" s="64"/>
      <c r="G192" s="64"/>
    </row>
    <row r="193" spans="1:7" ht="12.75">
      <c r="A193" s="64"/>
      <c r="B193" s="64"/>
      <c r="C193" s="64"/>
      <c r="D193" s="65"/>
      <c r="E193" s="64"/>
      <c r="F193" s="64"/>
      <c r="G193" s="64"/>
    </row>
    <row r="194" spans="1:7" ht="12.75">
      <c r="A194" s="64"/>
      <c r="B194" s="64"/>
      <c r="C194" s="64"/>
      <c r="D194" s="65"/>
      <c r="E194" s="64"/>
      <c r="F194" s="64"/>
      <c r="G194" s="64"/>
    </row>
    <row r="195" spans="1:7" ht="12.75">
      <c r="A195" s="64"/>
      <c r="B195" s="64"/>
      <c r="C195" s="64"/>
      <c r="D195" s="65"/>
      <c r="E195" s="64"/>
      <c r="F195" s="64"/>
      <c r="G195" s="64"/>
    </row>
    <row r="196" spans="1:7" ht="12.75">
      <c r="A196" s="64"/>
      <c r="B196" s="64"/>
      <c r="C196" s="64"/>
      <c r="D196" s="65"/>
      <c r="E196" s="64"/>
      <c r="F196" s="64"/>
      <c r="G196" s="64"/>
    </row>
    <row r="197" spans="1:7" ht="12.75">
      <c r="A197" s="64"/>
      <c r="B197" s="64"/>
      <c r="C197" s="64"/>
      <c r="D197" s="65"/>
      <c r="E197" s="64"/>
      <c r="F197" s="64"/>
      <c r="G197" s="64"/>
    </row>
    <row r="198" spans="1:7" ht="12.75">
      <c r="A198" s="64"/>
      <c r="B198" s="64"/>
      <c r="C198" s="64"/>
      <c r="D198" s="65"/>
      <c r="E198" s="64"/>
      <c r="F198" s="64"/>
      <c r="G198" s="64"/>
    </row>
    <row r="199" spans="1:7" ht="12.75">
      <c r="A199" s="64"/>
      <c r="B199" s="64"/>
      <c r="C199" s="64"/>
      <c r="D199" s="65"/>
      <c r="E199" s="64"/>
      <c r="F199" s="64"/>
      <c r="G199" s="64"/>
    </row>
    <row r="200" spans="1:7" ht="12.75">
      <c r="A200" s="64"/>
      <c r="B200" s="64"/>
      <c r="C200" s="64"/>
      <c r="D200" s="65"/>
      <c r="E200" s="64"/>
      <c r="F200" s="64"/>
      <c r="G200" s="64"/>
    </row>
    <row r="201" spans="1:7" ht="12.75">
      <c r="A201" s="64"/>
      <c r="B201" s="64"/>
      <c r="C201" s="64"/>
      <c r="D201" s="65"/>
      <c r="E201" s="64"/>
      <c r="F201" s="64"/>
      <c r="G201" s="64"/>
    </row>
    <row r="202" spans="1:7" ht="12.75">
      <c r="A202" s="64"/>
      <c r="B202" s="64"/>
      <c r="C202" s="64"/>
      <c r="D202" s="65"/>
      <c r="E202" s="64"/>
      <c r="F202" s="64"/>
      <c r="G202" s="64"/>
    </row>
    <row r="203" spans="1:7" ht="12.75">
      <c r="A203" s="64"/>
      <c r="B203" s="64"/>
      <c r="C203" s="64"/>
      <c r="D203" s="65"/>
      <c r="E203" s="64"/>
      <c r="F203" s="64"/>
      <c r="G203" s="64"/>
    </row>
    <row r="204" spans="1:7" ht="12.75">
      <c r="A204" s="64"/>
      <c r="B204" s="64"/>
      <c r="C204" s="64"/>
      <c r="D204" s="65"/>
      <c r="E204" s="64"/>
      <c r="F204" s="64"/>
      <c r="G204" s="64"/>
    </row>
    <row r="205" spans="1:7" ht="12.75">
      <c r="A205" s="64"/>
      <c r="B205" s="64"/>
      <c r="C205" s="64"/>
      <c r="D205" s="65"/>
      <c r="E205" s="64"/>
      <c r="F205" s="64"/>
      <c r="G205" s="64"/>
    </row>
    <row r="206" spans="1:7" ht="12.75">
      <c r="A206" s="64"/>
      <c r="B206" s="64"/>
      <c r="C206" s="64"/>
      <c r="D206" s="65"/>
      <c r="E206" s="64"/>
      <c r="F206" s="64"/>
      <c r="G206" s="64"/>
    </row>
    <row r="207" spans="1:7" ht="12.75">
      <c r="A207" s="64"/>
      <c r="B207" s="64"/>
      <c r="C207" s="64"/>
      <c r="D207" s="65"/>
      <c r="E207" s="64"/>
      <c r="F207" s="64"/>
      <c r="G207" s="64"/>
    </row>
    <row r="208" spans="1:7" ht="12.75">
      <c r="A208" s="64"/>
      <c r="B208" s="64"/>
      <c r="C208" s="64"/>
      <c r="D208" s="65"/>
      <c r="E208" s="64"/>
      <c r="F208" s="64"/>
      <c r="G208" s="64"/>
    </row>
    <row r="209" spans="1:7" ht="12.75">
      <c r="A209" s="64"/>
      <c r="B209" s="64"/>
      <c r="C209" s="64"/>
      <c r="D209" s="65"/>
      <c r="E209" s="64"/>
      <c r="F209" s="64"/>
      <c r="G209" s="64"/>
    </row>
    <row r="210" spans="1:7" ht="12.75">
      <c r="A210" s="64"/>
      <c r="B210" s="64"/>
      <c r="C210" s="64"/>
      <c r="D210" s="65"/>
      <c r="E210" s="64"/>
      <c r="F210" s="64"/>
      <c r="G210" s="64"/>
    </row>
    <row r="211" spans="1:7" ht="12.75">
      <c r="A211" s="64"/>
      <c r="B211" s="64"/>
      <c r="C211" s="64"/>
      <c r="D211" s="65"/>
      <c r="E211" s="64"/>
      <c r="F211" s="64"/>
      <c r="G211" s="64"/>
    </row>
    <row r="212" spans="1:7" ht="12.75">
      <c r="A212" s="64"/>
      <c r="B212" s="64"/>
      <c r="C212" s="64"/>
      <c r="D212" s="65"/>
      <c r="E212" s="64"/>
      <c r="F212" s="64"/>
      <c r="G212" s="64"/>
    </row>
    <row r="213" spans="1:7" ht="12.75">
      <c r="A213" s="64"/>
      <c r="B213" s="64"/>
      <c r="C213" s="64"/>
      <c r="D213" s="65"/>
      <c r="E213" s="64"/>
      <c r="F213" s="64"/>
      <c r="G213" s="64"/>
    </row>
    <row r="214" spans="1:7" ht="12.75">
      <c r="A214" s="64"/>
      <c r="B214" s="64"/>
      <c r="C214" s="64"/>
      <c r="D214" s="65"/>
      <c r="E214" s="64"/>
      <c r="F214" s="64"/>
      <c r="G214" s="64"/>
    </row>
    <row r="215" spans="1:7" ht="12.75">
      <c r="A215" s="64"/>
      <c r="B215" s="64"/>
      <c r="C215" s="64"/>
      <c r="D215" s="65"/>
      <c r="E215" s="64"/>
      <c r="F215" s="64"/>
      <c r="G215" s="64"/>
    </row>
    <row r="216" spans="1:7" ht="12.75">
      <c r="A216" s="64"/>
      <c r="B216" s="64"/>
      <c r="C216" s="64"/>
      <c r="D216" s="65"/>
      <c r="E216" s="64"/>
      <c r="F216" s="64"/>
      <c r="G216" s="64"/>
    </row>
    <row r="217" spans="1:7" ht="12.75">
      <c r="A217" s="64"/>
      <c r="B217" s="64"/>
      <c r="C217" s="64"/>
      <c r="D217" s="65"/>
      <c r="E217" s="64"/>
      <c r="F217" s="64"/>
      <c r="G217" s="64"/>
    </row>
    <row r="218" spans="1:7" ht="12.75">
      <c r="A218" s="64"/>
      <c r="B218" s="64"/>
      <c r="C218" s="64"/>
      <c r="D218" s="65"/>
      <c r="E218" s="64"/>
      <c r="F218" s="64"/>
      <c r="G218" s="64"/>
    </row>
    <row r="219" spans="1:7" ht="12.75">
      <c r="A219" s="64"/>
      <c r="B219" s="64"/>
      <c r="C219" s="64"/>
      <c r="D219" s="65"/>
      <c r="E219" s="64"/>
      <c r="F219" s="64"/>
      <c r="G219" s="64"/>
    </row>
    <row r="220" spans="1:7" ht="12.75">
      <c r="A220" s="64"/>
      <c r="B220" s="64"/>
      <c r="C220" s="64"/>
      <c r="D220" s="65"/>
      <c r="E220" s="64"/>
      <c r="F220" s="64"/>
      <c r="G220" s="64"/>
    </row>
    <row r="221" spans="1:7" ht="12.75">
      <c r="A221" s="64"/>
      <c r="B221" s="64"/>
      <c r="C221" s="64"/>
      <c r="D221" s="65"/>
      <c r="E221" s="64"/>
      <c r="F221" s="64"/>
      <c r="G221" s="64"/>
    </row>
    <row r="222" spans="1:7" ht="12.75">
      <c r="A222" s="64"/>
      <c r="B222" s="64"/>
      <c r="C222" s="64"/>
      <c r="D222" s="65"/>
      <c r="E222" s="64"/>
      <c r="F222" s="64"/>
      <c r="G222" s="64"/>
    </row>
    <row r="223" spans="1:7" ht="12.75">
      <c r="A223" s="64"/>
      <c r="B223" s="64"/>
      <c r="C223" s="64"/>
      <c r="D223" s="65"/>
      <c r="E223" s="64"/>
      <c r="F223" s="64"/>
      <c r="G223" s="64"/>
    </row>
    <row r="224" spans="1:7" ht="12.75">
      <c r="A224" s="64"/>
      <c r="B224" s="64"/>
      <c r="C224" s="64"/>
      <c r="D224" s="65"/>
      <c r="E224" s="64"/>
      <c r="F224" s="64"/>
      <c r="G224" s="64"/>
    </row>
    <row r="225" spans="1:7" ht="12.75">
      <c r="A225" s="64"/>
      <c r="B225" s="64"/>
      <c r="C225" s="64"/>
      <c r="D225" s="65"/>
      <c r="E225" s="64"/>
      <c r="F225" s="64"/>
      <c r="G225" s="64"/>
    </row>
    <row r="226" spans="1:7" ht="12.75">
      <c r="A226" s="64"/>
      <c r="B226" s="64"/>
      <c r="C226" s="64"/>
      <c r="D226" s="65"/>
      <c r="E226" s="64"/>
      <c r="F226" s="64"/>
      <c r="G226" s="64"/>
    </row>
    <row r="227" spans="1:7" ht="12.75">
      <c r="A227" s="64"/>
      <c r="B227" s="64"/>
      <c r="C227" s="64"/>
      <c r="D227" s="65"/>
      <c r="E227" s="64"/>
      <c r="F227" s="64"/>
      <c r="G227" s="64"/>
    </row>
    <row r="228" spans="1:7" ht="12.75">
      <c r="A228" s="64"/>
      <c r="B228" s="64"/>
      <c r="C228" s="64"/>
      <c r="D228" s="65"/>
      <c r="E228" s="64"/>
      <c r="F228" s="64"/>
      <c r="G228" s="64"/>
    </row>
    <row r="229" spans="1:7" ht="12.75">
      <c r="A229" s="64"/>
      <c r="B229" s="64"/>
      <c r="C229" s="64"/>
      <c r="D229" s="65"/>
      <c r="E229" s="64"/>
      <c r="F229" s="64"/>
      <c r="G229" s="64"/>
    </row>
    <row r="230" spans="1:7" ht="12.75">
      <c r="A230" s="64"/>
      <c r="B230" s="64"/>
      <c r="C230" s="64"/>
      <c r="D230" s="65"/>
      <c r="E230" s="64"/>
      <c r="F230" s="64"/>
      <c r="G230" s="64"/>
    </row>
    <row r="231" spans="1:7" ht="12.75">
      <c r="A231" s="64"/>
      <c r="B231" s="64"/>
      <c r="C231" s="64"/>
      <c r="D231" s="65"/>
      <c r="E231" s="64"/>
      <c r="F231" s="64"/>
      <c r="G231" s="64"/>
    </row>
    <row r="232" spans="1:7" ht="12.75">
      <c r="A232" s="64"/>
      <c r="B232" s="64"/>
      <c r="C232" s="64"/>
      <c r="D232" s="65"/>
      <c r="E232" s="64"/>
      <c r="F232" s="64"/>
      <c r="G232" s="64"/>
    </row>
    <row r="233" spans="1:7" ht="12.75">
      <c r="A233" s="64"/>
      <c r="B233" s="64"/>
      <c r="C233" s="64"/>
      <c r="D233" s="65"/>
      <c r="E233" s="64"/>
      <c r="F233" s="64"/>
      <c r="G233" s="64"/>
    </row>
    <row r="234" spans="1:7" ht="12.75">
      <c r="A234" s="64"/>
      <c r="B234" s="64"/>
      <c r="C234" s="64"/>
      <c r="D234" s="65"/>
      <c r="E234" s="64"/>
      <c r="F234" s="64"/>
      <c r="G234" s="64"/>
    </row>
    <row r="235" spans="1:7" ht="12.75">
      <c r="A235" s="64"/>
      <c r="B235" s="64"/>
      <c r="C235" s="64"/>
      <c r="D235" s="65"/>
      <c r="E235" s="64"/>
      <c r="F235" s="64"/>
      <c r="G235" s="64"/>
    </row>
    <row r="236" spans="1:7" ht="12.75">
      <c r="A236" s="64"/>
      <c r="B236" s="64"/>
      <c r="C236" s="64"/>
      <c r="D236" s="65"/>
      <c r="E236" s="64"/>
      <c r="F236" s="64"/>
      <c r="G236" s="64"/>
    </row>
    <row r="237" spans="1:7" ht="12.75">
      <c r="A237" s="64"/>
      <c r="B237" s="64"/>
      <c r="C237" s="64"/>
      <c r="D237" s="65"/>
      <c r="E237" s="64"/>
      <c r="F237" s="64"/>
      <c r="G237" s="64"/>
    </row>
    <row r="238" spans="1:7" ht="12.75">
      <c r="A238" s="64"/>
      <c r="B238" s="64"/>
      <c r="C238" s="64"/>
      <c r="D238" s="65"/>
      <c r="E238" s="64"/>
      <c r="F238" s="64"/>
      <c r="G238" s="64"/>
    </row>
    <row r="239" spans="1:7" ht="12.75">
      <c r="A239" s="64"/>
      <c r="B239" s="64"/>
      <c r="C239" s="64"/>
      <c r="D239" s="65"/>
      <c r="E239" s="64"/>
      <c r="F239" s="64"/>
      <c r="G239" s="64"/>
    </row>
    <row r="240" spans="1:7" ht="12.75">
      <c r="A240" s="64"/>
      <c r="B240" s="64"/>
      <c r="C240" s="64"/>
      <c r="D240" s="65"/>
      <c r="E240" s="64"/>
      <c r="F240" s="64"/>
      <c r="G240" s="64"/>
    </row>
    <row r="241" spans="1:7" ht="12.75">
      <c r="A241" s="64"/>
      <c r="B241" s="64"/>
      <c r="C241" s="64"/>
      <c r="D241" s="65"/>
      <c r="E241" s="64"/>
      <c r="F241" s="64"/>
      <c r="G241" s="64"/>
    </row>
    <row r="242" spans="1:7" ht="12.75">
      <c r="A242" s="64"/>
      <c r="B242" s="64"/>
      <c r="C242" s="64"/>
      <c r="D242" s="65"/>
      <c r="E242" s="64"/>
      <c r="F242" s="64"/>
      <c r="G242" s="64"/>
    </row>
    <row r="243" spans="1:7" ht="12.75">
      <c r="A243" s="64"/>
      <c r="B243" s="64"/>
      <c r="C243" s="64"/>
      <c r="D243" s="65"/>
      <c r="E243" s="64"/>
      <c r="F243" s="64"/>
      <c r="G243" s="64"/>
    </row>
    <row r="244" spans="1:7" ht="12.75">
      <c r="A244" s="64"/>
      <c r="B244" s="64"/>
      <c r="C244" s="64"/>
      <c r="D244" s="65"/>
      <c r="E244" s="64"/>
      <c r="F244" s="64"/>
      <c r="G244" s="64"/>
    </row>
    <row r="245" spans="1:7" ht="12.75">
      <c r="A245" s="64"/>
      <c r="B245" s="64"/>
      <c r="C245" s="64"/>
      <c r="D245" s="65"/>
      <c r="E245" s="64"/>
      <c r="F245" s="64"/>
      <c r="G245" s="64"/>
    </row>
    <row r="246" spans="1:7" ht="12.75">
      <c r="A246" s="64"/>
      <c r="B246" s="64"/>
      <c r="C246" s="64"/>
      <c r="D246" s="65"/>
      <c r="E246" s="64"/>
      <c r="F246" s="64"/>
      <c r="G246" s="64"/>
    </row>
    <row r="247" spans="1:7" ht="12.75">
      <c r="A247" s="64"/>
      <c r="B247" s="64"/>
      <c r="C247" s="64"/>
      <c r="D247" s="65"/>
      <c r="E247" s="64"/>
      <c r="F247" s="64"/>
      <c r="G247" s="64"/>
    </row>
    <row r="248" spans="1:7" ht="12.75">
      <c r="A248" s="64"/>
      <c r="B248" s="64"/>
      <c r="C248" s="64"/>
      <c r="D248" s="65"/>
      <c r="E248" s="64"/>
      <c r="F248" s="64"/>
      <c r="G248" s="64"/>
    </row>
    <row r="249" spans="1:7" ht="12.75">
      <c r="A249" s="64"/>
      <c r="B249" s="64"/>
      <c r="C249" s="64"/>
      <c r="D249" s="65"/>
      <c r="E249" s="64"/>
      <c r="F249" s="64"/>
      <c r="G249" s="64"/>
    </row>
    <row r="250" spans="1:7" ht="12.75">
      <c r="A250" s="64"/>
      <c r="B250" s="64"/>
      <c r="C250" s="64"/>
      <c r="D250" s="65"/>
      <c r="E250" s="64"/>
      <c r="F250" s="64"/>
      <c r="G250" s="64"/>
    </row>
    <row r="251" spans="1:7" ht="12.75">
      <c r="A251" s="64"/>
      <c r="B251" s="64"/>
      <c r="C251" s="64"/>
      <c r="D251" s="65"/>
      <c r="E251" s="64"/>
      <c r="F251" s="64"/>
      <c r="G251" s="64"/>
    </row>
    <row r="252" spans="1:7" ht="12.75">
      <c r="A252" s="64"/>
      <c r="B252" s="64"/>
      <c r="C252" s="64"/>
      <c r="D252" s="65"/>
      <c r="E252" s="64"/>
      <c r="F252" s="64"/>
      <c r="G252" s="64"/>
    </row>
    <row r="253" spans="1:7" ht="12.75">
      <c r="A253" s="64"/>
      <c r="B253" s="64"/>
      <c r="C253" s="64"/>
      <c r="D253" s="65"/>
      <c r="E253" s="64"/>
      <c r="F253" s="64"/>
      <c r="G253" s="64"/>
    </row>
    <row r="254" spans="1:7" ht="12.75">
      <c r="A254" s="64"/>
      <c r="B254" s="64"/>
      <c r="C254" s="64"/>
      <c r="D254" s="65"/>
      <c r="E254" s="64"/>
      <c r="F254" s="64"/>
      <c r="G254" s="64"/>
    </row>
    <row r="255" spans="1:7" ht="12.75">
      <c r="A255" s="64"/>
      <c r="B255" s="64"/>
      <c r="C255" s="64"/>
      <c r="D255" s="65"/>
      <c r="E255" s="64"/>
      <c r="F255" s="64"/>
      <c r="G255" s="64"/>
    </row>
    <row r="256" spans="1:7" ht="12.75">
      <c r="A256" s="64"/>
      <c r="B256" s="64"/>
      <c r="C256" s="64"/>
      <c r="D256" s="65"/>
      <c r="E256" s="64"/>
      <c r="F256" s="64"/>
      <c r="G256" s="64"/>
    </row>
    <row r="257" spans="1:7" ht="12.75">
      <c r="A257" s="64"/>
      <c r="B257" s="64"/>
      <c r="C257" s="64"/>
      <c r="D257" s="65"/>
      <c r="E257" s="64"/>
      <c r="F257" s="64"/>
      <c r="G257" s="64"/>
    </row>
    <row r="258" spans="1:7" ht="12.75">
      <c r="A258" s="64"/>
      <c r="B258" s="64"/>
      <c r="C258" s="64"/>
      <c r="D258" s="65"/>
      <c r="E258" s="64"/>
      <c r="F258" s="64"/>
      <c r="G258" s="64"/>
    </row>
    <row r="259" spans="1:7" ht="12.75">
      <c r="A259" s="64"/>
      <c r="B259" s="64"/>
      <c r="C259" s="64"/>
      <c r="D259" s="65"/>
      <c r="E259" s="64"/>
      <c r="F259" s="64"/>
      <c r="G259" s="64"/>
    </row>
    <row r="260" spans="1:7" ht="12.75">
      <c r="A260" s="64"/>
      <c r="B260" s="64"/>
      <c r="C260" s="64"/>
      <c r="D260" s="65"/>
      <c r="E260" s="64"/>
      <c r="F260" s="64"/>
      <c r="G260" s="64"/>
    </row>
    <row r="261" spans="1:7" ht="12.75">
      <c r="A261" s="64"/>
      <c r="B261" s="64"/>
      <c r="C261" s="64"/>
      <c r="D261" s="65"/>
      <c r="E261" s="64"/>
      <c r="F261" s="64"/>
      <c r="G261" s="64"/>
    </row>
    <row r="262" spans="1:7" ht="12.75">
      <c r="A262" s="64"/>
      <c r="B262" s="64"/>
      <c r="C262" s="64"/>
      <c r="D262" s="65"/>
      <c r="E262" s="64"/>
      <c r="F262" s="64"/>
      <c r="G262" s="64"/>
    </row>
    <row r="263" spans="1:7" ht="12.75">
      <c r="A263" s="64"/>
      <c r="B263" s="64"/>
      <c r="C263" s="64"/>
      <c r="D263" s="65"/>
      <c r="E263" s="64"/>
      <c r="F263" s="64"/>
      <c r="G263" s="64"/>
    </row>
    <row r="264" spans="1:7" ht="12.75">
      <c r="A264" s="64"/>
      <c r="B264" s="64"/>
      <c r="C264" s="64"/>
      <c r="D264" s="65"/>
      <c r="E264" s="64"/>
      <c r="F264" s="64"/>
      <c r="G264" s="64"/>
    </row>
    <row r="265" spans="1:7" ht="12.75">
      <c r="A265" s="64"/>
      <c r="B265" s="64"/>
      <c r="C265" s="64"/>
      <c r="D265" s="65"/>
      <c r="E265" s="64"/>
      <c r="F265" s="64"/>
      <c r="G265" s="64"/>
    </row>
    <row r="266" spans="1:7" ht="12.75">
      <c r="A266" s="64"/>
      <c r="B266" s="64"/>
      <c r="C266" s="64"/>
      <c r="D266" s="65"/>
      <c r="E266" s="64"/>
      <c r="F266" s="64"/>
      <c r="G266" s="64"/>
    </row>
    <row r="267" spans="1:7" ht="12.75">
      <c r="A267" s="64"/>
      <c r="B267" s="64"/>
      <c r="C267" s="64"/>
      <c r="D267" s="65"/>
      <c r="E267" s="64"/>
      <c r="F267" s="64"/>
      <c r="G267" s="64"/>
    </row>
    <row r="268" spans="1:7" ht="12.75">
      <c r="A268" s="64"/>
      <c r="B268" s="64"/>
      <c r="C268" s="64"/>
      <c r="D268" s="65"/>
      <c r="E268" s="64"/>
      <c r="F268" s="64"/>
      <c r="G268" s="64"/>
    </row>
    <row r="269" spans="1:7" ht="12.75">
      <c r="A269" s="64"/>
      <c r="B269" s="64"/>
      <c r="C269" s="64"/>
      <c r="D269" s="65"/>
      <c r="E269" s="64"/>
      <c r="F269" s="64"/>
      <c r="G269" s="64"/>
    </row>
    <row r="270" spans="1:7" ht="12.75">
      <c r="A270" s="64"/>
      <c r="B270" s="64"/>
      <c r="C270" s="64"/>
      <c r="D270" s="65"/>
      <c r="E270" s="64"/>
      <c r="F270" s="64"/>
      <c r="G270" s="64"/>
    </row>
    <row r="271" spans="1:7" ht="12.75">
      <c r="A271" s="64"/>
      <c r="B271" s="64"/>
      <c r="C271" s="64"/>
      <c r="D271" s="65"/>
      <c r="E271" s="64"/>
      <c r="F271" s="64"/>
      <c r="G271" s="64"/>
    </row>
    <row r="272" spans="1:7" ht="12.75">
      <c r="A272" s="64"/>
      <c r="B272" s="64"/>
      <c r="C272" s="64"/>
      <c r="D272" s="65"/>
      <c r="E272" s="64"/>
      <c r="F272" s="64"/>
      <c r="G272" s="64"/>
    </row>
    <row r="273" spans="1:7" ht="12.75">
      <c r="A273" s="64"/>
      <c r="B273" s="64"/>
      <c r="C273" s="64"/>
      <c r="D273" s="65"/>
      <c r="E273" s="64"/>
      <c r="F273" s="64"/>
      <c r="G273" s="64"/>
    </row>
    <row r="274" spans="1:7" ht="12.75">
      <c r="A274" s="64"/>
      <c r="B274" s="64"/>
      <c r="C274" s="64"/>
      <c r="D274" s="65"/>
      <c r="E274" s="64"/>
      <c r="F274" s="64"/>
      <c r="G274" s="64"/>
    </row>
    <row r="275" spans="1:7" ht="12.75">
      <c r="A275" s="64"/>
      <c r="B275" s="64"/>
      <c r="C275" s="64"/>
      <c r="D275" s="65"/>
      <c r="E275" s="64"/>
      <c r="F275" s="64"/>
      <c r="G275" s="64"/>
    </row>
    <row r="276" spans="1:7" ht="12.75">
      <c r="A276" s="64"/>
      <c r="B276" s="64"/>
      <c r="C276" s="64"/>
      <c r="D276" s="65"/>
      <c r="E276" s="64"/>
      <c r="F276" s="64"/>
      <c r="G276" s="64"/>
    </row>
    <row r="277" spans="1:7" ht="12.75">
      <c r="A277" s="64"/>
      <c r="B277" s="64"/>
      <c r="C277" s="64"/>
      <c r="D277" s="65"/>
      <c r="E277" s="64"/>
      <c r="F277" s="64"/>
      <c r="G277" s="64"/>
    </row>
    <row r="278" spans="1:7" ht="12.75">
      <c r="A278" s="64"/>
      <c r="B278" s="64"/>
      <c r="C278" s="64"/>
      <c r="D278" s="65"/>
      <c r="E278" s="64"/>
      <c r="F278" s="64"/>
      <c r="G278" s="64"/>
    </row>
    <row r="279" spans="1:7" ht="12.75">
      <c r="A279" s="64"/>
      <c r="B279" s="64"/>
      <c r="C279" s="64"/>
      <c r="D279" s="65"/>
      <c r="E279" s="64"/>
      <c r="F279" s="64"/>
      <c r="G279" s="64"/>
    </row>
    <row r="280" spans="1:7" ht="12.75">
      <c r="A280" s="64"/>
      <c r="B280" s="64"/>
      <c r="C280" s="64"/>
      <c r="D280" s="65"/>
      <c r="E280" s="64"/>
      <c r="F280" s="64"/>
      <c r="G280" s="64"/>
    </row>
    <row r="281" spans="1:7" ht="12.75">
      <c r="A281" s="64"/>
      <c r="B281" s="64"/>
      <c r="C281" s="64"/>
      <c r="D281" s="65"/>
      <c r="E281" s="64"/>
      <c r="F281" s="64"/>
      <c r="G281" s="64"/>
    </row>
    <row r="282" spans="1:7" ht="12.75">
      <c r="A282" s="64"/>
      <c r="B282" s="64"/>
      <c r="C282" s="64"/>
      <c r="D282" s="65"/>
      <c r="E282" s="64"/>
      <c r="F282" s="64"/>
      <c r="G282" s="64"/>
    </row>
    <row r="283" spans="1:7" ht="12.75">
      <c r="A283" s="64"/>
      <c r="B283" s="64"/>
      <c r="C283" s="64"/>
      <c r="D283" s="65"/>
      <c r="E283" s="64"/>
      <c r="F283" s="64"/>
      <c r="G283" s="64"/>
    </row>
    <row r="284" spans="1:7" ht="12.75">
      <c r="A284" s="64"/>
      <c r="B284" s="64"/>
      <c r="C284" s="64"/>
      <c r="D284" s="65"/>
      <c r="E284" s="64"/>
      <c r="F284" s="64"/>
      <c r="G284" s="64"/>
    </row>
    <row r="285" spans="1:7" ht="12.75">
      <c r="A285" s="64"/>
      <c r="B285" s="64"/>
      <c r="C285" s="64"/>
      <c r="D285" s="65"/>
      <c r="E285" s="64"/>
      <c r="F285" s="64"/>
      <c r="G285" s="64"/>
    </row>
    <row r="286" spans="1:7" ht="12.75">
      <c r="A286" s="64"/>
      <c r="B286" s="64"/>
      <c r="C286" s="64"/>
      <c r="D286" s="65"/>
      <c r="E286" s="64"/>
      <c r="F286" s="64"/>
      <c r="G286" s="64"/>
    </row>
    <row r="287" spans="1:7" ht="12.75">
      <c r="A287" s="64"/>
      <c r="B287" s="64"/>
      <c r="C287" s="64"/>
      <c r="D287" s="65"/>
      <c r="E287" s="64"/>
      <c r="F287" s="64"/>
      <c r="G287" s="64"/>
    </row>
    <row r="288" spans="1:7" ht="12.75">
      <c r="A288" s="64"/>
      <c r="B288" s="64"/>
      <c r="C288" s="64"/>
      <c r="D288" s="65"/>
      <c r="E288" s="64"/>
      <c r="F288" s="64"/>
      <c r="G288" s="64"/>
    </row>
    <row r="289" spans="1:7" ht="12.75">
      <c r="A289" s="64"/>
      <c r="B289" s="64"/>
      <c r="C289" s="64"/>
      <c r="D289" s="65"/>
      <c r="E289" s="64"/>
      <c r="F289" s="64"/>
      <c r="G289" s="64"/>
    </row>
    <row r="290" spans="1:7" ht="12.75">
      <c r="A290" s="64"/>
      <c r="B290" s="64"/>
      <c r="C290" s="64"/>
      <c r="D290" s="65"/>
      <c r="E290" s="64"/>
      <c r="F290" s="64"/>
      <c r="G290" s="64"/>
    </row>
    <row r="291" spans="1:7" ht="12.75">
      <c r="A291" s="64"/>
      <c r="B291" s="64"/>
      <c r="C291" s="64"/>
      <c r="D291" s="65"/>
      <c r="E291" s="64"/>
      <c r="F291" s="64"/>
      <c r="G291" s="64"/>
    </row>
    <row r="292" spans="1:7" ht="12.75">
      <c r="A292" s="64"/>
      <c r="B292" s="64"/>
      <c r="C292" s="64"/>
      <c r="D292" s="65"/>
      <c r="E292" s="64"/>
      <c r="F292" s="64"/>
      <c r="G292" s="64"/>
    </row>
    <row r="293" spans="1:7" ht="12.75">
      <c r="A293" s="64"/>
      <c r="B293" s="64"/>
      <c r="C293" s="64"/>
      <c r="D293" s="65"/>
      <c r="E293" s="64"/>
      <c r="F293" s="64"/>
      <c r="G293" s="64"/>
    </row>
    <row r="294" spans="1:7" ht="12.75">
      <c r="A294" s="64"/>
      <c r="B294" s="64"/>
      <c r="C294" s="64"/>
      <c r="D294" s="65"/>
      <c r="E294" s="64"/>
      <c r="F294" s="64"/>
      <c r="G294" s="64"/>
    </row>
    <row r="295" spans="1:7" ht="12.75">
      <c r="A295" s="64"/>
      <c r="B295" s="64"/>
      <c r="C295" s="64"/>
      <c r="D295" s="65"/>
      <c r="E295" s="64"/>
      <c r="F295" s="64"/>
      <c r="G295" s="64"/>
    </row>
    <row r="296" spans="1:7" ht="12.75">
      <c r="A296" s="64"/>
      <c r="B296" s="64"/>
      <c r="C296" s="64"/>
      <c r="D296" s="65"/>
      <c r="E296" s="64"/>
      <c r="F296" s="64"/>
      <c r="G296" s="64"/>
    </row>
    <row r="297" spans="1:7" ht="12.75">
      <c r="A297" s="64"/>
      <c r="B297" s="64"/>
      <c r="C297" s="64"/>
      <c r="D297" s="65"/>
      <c r="E297" s="64"/>
      <c r="F297" s="64"/>
      <c r="G297" s="64"/>
    </row>
    <row r="298" spans="1:7" ht="12.75">
      <c r="A298" s="64"/>
      <c r="B298" s="64"/>
      <c r="C298" s="64"/>
      <c r="D298" s="65"/>
      <c r="E298" s="64"/>
      <c r="F298" s="64"/>
      <c r="G298" s="64"/>
    </row>
    <row r="299" spans="1:7" ht="12.75">
      <c r="A299" s="64"/>
      <c r="B299" s="64"/>
      <c r="C299" s="64"/>
      <c r="D299" s="65"/>
      <c r="E299" s="64"/>
      <c r="F299" s="64"/>
      <c r="G299" s="64"/>
    </row>
    <row r="300" spans="1:7" ht="12.75">
      <c r="A300" s="64"/>
      <c r="B300" s="64"/>
      <c r="C300" s="64"/>
      <c r="D300" s="65"/>
      <c r="E300" s="64"/>
      <c r="F300" s="64"/>
      <c r="G300" s="64"/>
    </row>
    <row r="301" spans="1:7" ht="12.75">
      <c r="A301" s="64"/>
      <c r="B301" s="64"/>
      <c r="C301" s="64"/>
      <c r="D301" s="65"/>
      <c r="E301" s="64"/>
      <c r="F301" s="64"/>
      <c r="G301" s="64"/>
    </row>
    <row r="302" spans="1:7" ht="12.75">
      <c r="A302" s="64"/>
      <c r="B302" s="64"/>
      <c r="C302" s="64"/>
      <c r="D302" s="65"/>
      <c r="E302" s="64"/>
      <c r="F302" s="64"/>
      <c r="G302" s="64"/>
    </row>
    <row r="303" spans="1:7" ht="12.75">
      <c r="A303" s="64"/>
      <c r="B303" s="64"/>
      <c r="C303" s="64"/>
      <c r="D303" s="65"/>
      <c r="E303" s="64"/>
      <c r="F303" s="64"/>
      <c r="G303" s="64"/>
    </row>
    <row r="304" spans="1:7" ht="12.75">
      <c r="A304" s="64"/>
      <c r="B304" s="64"/>
      <c r="C304" s="64"/>
      <c r="D304" s="65"/>
      <c r="E304" s="64"/>
      <c r="F304" s="64"/>
      <c r="G304" s="64"/>
    </row>
    <row r="305" spans="1:7" ht="12.75">
      <c r="A305" s="64"/>
      <c r="B305" s="64"/>
      <c r="C305" s="64"/>
      <c r="D305" s="65"/>
      <c r="E305" s="64"/>
      <c r="F305" s="64"/>
      <c r="G305" s="64"/>
    </row>
    <row r="306" spans="1:7" ht="12.75">
      <c r="A306" s="64"/>
      <c r="B306" s="64"/>
      <c r="C306" s="64"/>
      <c r="D306" s="65"/>
      <c r="E306" s="64"/>
      <c r="F306" s="64"/>
      <c r="G306" s="64"/>
    </row>
    <row r="307" spans="1:7" ht="12.75">
      <c r="A307" s="64"/>
      <c r="B307" s="64"/>
      <c r="C307" s="64"/>
      <c r="D307" s="65"/>
      <c r="E307" s="64"/>
      <c r="F307" s="64"/>
      <c r="G307" s="64"/>
    </row>
    <row r="308" spans="1:7" ht="12.75">
      <c r="A308" s="64"/>
      <c r="B308" s="64"/>
      <c r="C308" s="64"/>
      <c r="D308" s="65"/>
      <c r="E308" s="64"/>
      <c r="F308" s="64"/>
      <c r="G308" s="64"/>
    </row>
    <row r="309" spans="1:7" ht="12.75">
      <c r="A309" s="64"/>
      <c r="B309" s="64"/>
      <c r="C309" s="64"/>
      <c r="D309" s="65"/>
      <c r="E309" s="64"/>
      <c r="F309" s="64"/>
      <c r="G309" s="64"/>
    </row>
    <row r="310" spans="1:7" ht="12.75">
      <c r="A310" s="64"/>
      <c r="B310" s="64"/>
      <c r="C310" s="64"/>
      <c r="D310" s="65"/>
      <c r="E310" s="64"/>
      <c r="F310" s="64"/>
      <c r="G310" s="64"/>
    </row>
    <row r="311" spans="1:7" ht="12.75">
      <c r="A311" s="64"/>
      <c r="B311" s="64"/>
      <c r="C311" s="64"/>
      <c r="D311" s="65"/>
      <c r="E311" s="64"/>
      <c r="F311" s="64"/>
      <c r="G311" s="64"/>
    </row>
    <row r="312" spans="1:7" ht="12.75">
      <c r="A312" s="64"/>
      <c r="B312" s="64"/>
      <c r="C312" s="64"/>
      <c r="D312" s="65"/>
      <c r="E312" s="64"/>
      <c r="F312" s="64"/>
      <c r="G312" s="64"/>
    </row>
    <row r="313" spans="1:7" ht="12.75">
      <c r="A313" s="64"/>
      <c r="B313" s="64"/>
      <c r="C313" s="64"/>
      <c r="D313" s="65"/>
      <c r="E313" s="64"/>
      <c r="F313" s="64"/>
      <c r="G313" s="64"/>
    </row>
    <row r="314" spans="1:7" ht="12.75">
      <c r="A314" s="64"/>
      <c r="B314" s="64"/>
      <c r="C314" s="64"/>
      <c r="D314" s="65"/>
      <c r="E314" s="64"/>
      <c r="F314" s="64"/>
      <c r="G314" s="64"/>
    </row>
    <row r="315" spans="1:7" ht="12.75">
      <c r="A315" s="64"/>
      <c r="B315" s="64"/>
      <c r="C315" s="64"/>
      <c r="D315" s="65"/>
      <c r="E315" s="64"/>
      <c r="F315" s="64"/>
      <c r="G315" s="64"/>
    </row>
    <row r="316" spans="1:7" ht="12.75">
      <c r="A316" s="64"/>
      <c r="B316" s="64"/>
      <c r="C316" s="64"/>
      <c r="D316" s="65"/>
      <c r="E316" s="64"/>
      <c r="F316" s="64"/>
      <c r="G316" s="64"/>
    </row>
    <row r="317" spans="1:7" ht="12.75">
      <c r="A317" s="64"/>
      <c r="B317" s="64"/>
      <c r="C317" s="64"/>
      <c r="D317" s="65"/>
      <c r="E317" s="64"/>
      <c r="F317" s="64"/>
      <c r="G317" s="64"/>
    </row>
    <row r="318" spans="1:7" ht="12.75">
      <c r="A318" s="64"/>
      <c r="B318" s="64"/>
      <c r="C318" s="64"/>
      <c r="D318" s="65"/>
      <c r="E318" s="64"/>
      <c r="F318" s="64"/>
      <c r="G318" s="64"/>
    </row>
    <row r="319" spans="1:7" ht="12.75">
      <c r="A319" s="64"/>
      <c r="B319" s="64"/>
      <c r="C319" s="64"/>
      <c r="D319" s="65"/>
      <c r="E319" s="64"/>
      <c r="F319" s="64"/>
      <c r="G319" s="64"/>
    </row>
    <row r="320" spans="1:7" ht="12.75">
      <c r="A320" s="64"/>
      <c r="B320" s="64"/>
      <c r="C320" s="64"/>
      <c r="D320" s="65"/>
      <c r="E320" s="64"/>
      <c r="F320" s="64"/>
      <c r="G320" s="64"/>
    </row>
    <row r="321" spans="1:7" ht="12.75">
      <c r="A321" s="64"/>
      <c r="B321" s="64"/>
      <c r="C321" s="64"/>
      <c r="D321" s="65"/>
      <c r="E321" s="64"/>
      <c r="F321" s="64"/>
      <c r="G321" s="64"/>
    </row>
    <row r="322" spans="1:7" ht="12.75">
      <c r="A322" s="64"/>
      <c r="B322" s="64"/>
      <c r="C322" s="64"/>
      <c r="D322" s="65"/>
      <c r="E322" s="64"/>
      <c r="F322" s="64"/>
      <c r="G322" s="64"/>
    </row>
    <row r="323" spans="1:7" ht="12.75">
      <c r="A323" s="64"/>
      <c r="B323" s="64"/>
      <c r="C323" s="64"/>
      <c r="D323" s="65"/>
      <c r="E323" s="64"/>
      <c r="F323" s="64"/>
      <c r="G323" s="64"/>
    </row>
    <row r="324" spans="1:7" ht="12.75">
      <c r="A324" s="64"/>
      <c r="B324" s="64"/>
      <c r="C324" s="64"/>
      <c r="D324" s="65"/>
      <c r="E324" s="64"/>
      <c r="F324" s="64"/>
      <c r="G324" s="64"/>
    </row>
    <row r="325" spans="1:7" ht="12.75">
      <c r="A325" s="64"/>
      <c r="B325" s="64"/>
      <c r="C325" s="64"/>
      <c r="D325" s="65"/>
      <c r="E325" s="64"/>
      <c r="F325" s="64"/>
      <c r="G325" s="64"/>
    </row>
    <row r="326" spans="1:7" ht="12.75">
      <c r="A326" s="64"/>
      <c r="B326" s="64"/>
      <c r="C326" s="64"/>
      <c r="D326" s="65"/>
      <c r="E326" s="64"/>
      <c r="F326" s="64"/>
      <c r="G326" s="64"/>
    </row>
    <row r="327" spans="1:7" ht="12.75">
      <c r="A327" s="64"/>
      <c r="B327" s="64"/>
      <c r="C327" s="64"/>
      <c r="D327" s="65"/>
      <c r="E327" s="64"/>
      <c r="F327" s="64"/>
      <c r="G327" s="64"/>
    </row>
    <row r="328" spans="1:7" ht="12.75">
      <c r="A328" s="64"/>
      <c r="B328" s="64"/>
      <c r="C328" s="64"/>
      <c r="D328" s="65"/>
      <c r="E328" s="64"/>
      <c r="F328" s="64"/>
      <c r="G328" s="64"/>
    </row>
    <row r="329" spans="1:7" ht="12.75">
      <c r="A329" s="64"/>
      <c r="B329" s="64"/>
      <c r="C329" s="64"/>
      <c r="D329" s="65"/>
      <c r="E329" s="64"/>
      <c r="F329" s="64"/>
      <c r="G329" s="64"/>
    </row>
    <row r="330" spans="1:7" ht="12.75">
      <c r="A330" s="64"/>
      <c r="B330" s="64"/>
      <c r="C330" s="64"/>
      <c r="D330" s="65"/>
      <c r="E330" s="64"/>
      <c r="F330" s="64"/>
      <c r="G330" s="64"/>
    </row>
    <row r="331" spans="1:7" ht="12.75">
      <c r="A331" s="64"/>
      <c r="B331" s="64"/>
      <c r="C331" s="64"/>
      <c r="D331" s="65"/>
      <c r="E331" s="64"/>
      <c r="F331" s="64"/>
      <c r="G331" s="64"/>
    </row>
    <row r="332" spans="1:7" ht="12.75">
      <c r="A332" s="64"/>
      <c r="B332" s="64"/>
      <c r="C332" s="64"/>
      <c r="D332" s="65"/>
      <c r="E332" s="64"/>
      <c r="F332" s="64"/>
      <c r="G332" s="64"/>
    </row>
    <row r="333" spans="1:7" ht="12.75">
      <c r="A333" s="64"/>
      <c r="B333" s="64"/>
      <c r="C333" s="64"/>
      <c r="D333" s="65"/>
      <c r="E333" s="64"/>
      <c r="F333" s="64"/>
      <c r="G333" s="64"/>
    </row>
    <row r="334" spans="1:7" ht="12.75">
      <c r="A334" s="64"/>
      <c r="B334" s="64"/>
      <c r="C334" s="64"/>
      <c r="D334" s="65"/>
      <c r="E334" s="64"/>
      <c r="F334" s="64"/>
      <c r="G334" s="64"/>
    </row>
    <row r="335" spans="1:7" ht="12.75">
      <c r="A335" s="64"/>
      <c r="B335" s="64"/>
      <c r="C335" s="64"/>
      <c r="D335" s="65"/>
      <c r="E335" s="64"/>
      <c r="F335" s="64"/>
      <c r="G335" s="64"/>
    </row>
    <row r="336" spans="1:7" ht="12.75">
      <c r="A336" s="64"/>
      <c r="B336" s="64"/>
      <c r="C336" s="64"/>
      <c r="D336" s="65"/>
      <c r="E336" s="64"/>
      <c r="F336" s="64"/>
      <c r="G336" s="64"/>
    </row>
    <row r="337" spans="1:7" ht="12.75">
      <c r="A337" s="64"/>
      <c r="B337" s="64"/>
      <c r="C337" s="64"/>
      <c r="D337" s="65"/>
      <c r="E337" s="64"/>
      <c r="F337" s="64"/>
      <c r="G337" s="64"/>
    </row>
    <row r="338" spans="1:7" ht="12.75">
      <c r="A338" s="64"/>
      <c r="B338" s="64"/>
      <c r="C338" s="64"/>
      <c r="D338" s="65"/>
      <c r="E338" s="64"/>
      <c r="F338" s="64"/>
      <c r="G338" s="64"/>
    </row>
    <row r="339" spans="1:7" ht="12.75">
      <c r="A339" s="64"/>
      <c r="B339" s="64"/>
      <c r="C339" s="64"/>
      <c r="D339" s="65"/>
      <c r="E339" s="64"/>
      <c r="F339" s="64"/>
      <c r="G339" s="64"/>
    </row>
    <row r="340" spans="1:7" ht="12.75">
      <c r="A340" s="64"/>
      <c r="B340" s="64"/>
      <c r="C340" s="64"/>
      <c r="D340" s="65"/>
      <c r="E340" s="64"/>
      <c r="F340" s="64"/>
      <c r="G340" s="64"/>
    </row>
    <row r="341" spans="1:7" ht="12.75">
      <c r="A341" s="64"/>
      <c r="B341" s="64"/>
      <c r="C341" s="64"/>
      <c r="D341" s="65"/>
      <c r="E341" s="64"/>
      <c r="F341" s="64"/>
      <c r="G341" s="64"/>
    </row>
    <row r="342" spans="1:7" ht="12.75">
      <c r="A342" s="64"/>
      <c r="B342" s="64"/>
      <c r="C342" s="64"/>
      <c r="D342" s="65"/>
      <c r="E342" s="64"/>
      <c r="F342" s="64"/>
      <c r="G342" s="64"/>
    </row>
    <row r="343" spans="1:7" ht="12.75">
      <c r="A343" s="64"/>
      <c r="B343" s="64"/>
      <c r="C343" s="64"/>
      <c r="D343" s="65"/>
      <c r="E343" s="64"/>
      <c r="F343" s="64"/>
      <c r="G343" s="64"/>
    </row>
    <row r="344" spans="1:7" ht="12.75">
      <c r="A344" s="64"/>
      <c r="B344" s="64"/>
      <c r="C344" s="64"/>
      <c r="D344" s="65"/>
      <c r="E344" s="64"/>
      <c r="F344" s="64"/>
      <c r="G344" s="64"/>
    </row>
    <row r="345" spans="1:7" ht="12.75">
      <c r="A345" s="64"/>
      <c r="B345" s="64"/>
      <c r="C345" s="64"/>
      <c r="D345" s="65"/>
      <c r="E345" s="64"/>
      <c r="F345" s="64"/>
      <c r="G345" s="64"/>
    </row>
    <row r="346" spans="1:7" ht="12.75">
      <c r="A346" s="64"/>
      <c r="B346" s="64"/>
      <c r="C346" s="64"/>
      <c r="D346" s="65"/>
      <c r="E346" s="64"/>
      <c r="F346" s="64"/>
      <c r="G346" s="64"/>
    </row>
    <row r="347" spans="1:7" ht="12.75">
      <c r="A347" s="64"/>
      <c r="B347" s="64"/>
      <c r="C347" s="64"/>
      <c r="D347" s="65"/>
      <c r="E347" s="64"/>
      <c r="F347" s="64"/>
      <c r="G347" s="64"/>
    </row>
    <row r="348" spans="1:7" ht="12.75">
      <c r="A348" s="64"/>
      <c r="B348" s="64"/>
      <c r="C348" s="64"/>
      <c r="D348" s="65"/>
      <c r="E348" s="64"/>
      <c r="F348" s="64"/>
      <c r="G348" s="64"/>
    </row>
    <row r="349" spans="1:7" ht="12.75">
      <c r="A349" s="64"/>
      <c r="B349" s="64"/>
      <c r="C349" s="64"/>
      <c r="D349" s="65"/>
      <c r="E349" s="64"/>
      <c r="F349" s="64"/>
      <c r="G349" s="64"/>
    </row>
    <row r="350" spans="1:7" ht="12.75">
      <c r="A350" s="64"/>
      <c r="B350" s="64"/>
      <c r="C350" s="64"/>
      <c r="D350" s="65"/>
      <c r="E350" s="64"/>
      <c r="F350" s="64"/>
      <c r="G350" s="64"/>
    </row>
    <row r="351" spans="1:7" ht="12.75">
      <c r="A351" s="64"/>
      <c r="B351" s="64"/>
      <c r="C351" s="64"/>
      <c r="D351" s="65"/>
      <c r="E351" s="64"/>
      <c r="F351" s="64"/>
      <c r="G351" s="64"/>
    </row>
    <row r="352" spans="1:7" ht="12.75">
      <c r="A352" s="64"/>
      <c r="B352" s="64"/>
      <c r="C352" s="64"/>
      <c r="D352" s="65"/>
      <c r="E352" s="64"/>
      <c r="F352" s="64"/>
      <c r="G352" s="64"/>
    </row>
    <row r="353" spans="1:7" ht="12.75">
      <c r="A353" s="64"/>
      <c r="B353" s="64"/>
      <c r="C353" s="64"/>
      <c r="D353" s="65"/>
      <c r="E353" s="64"/>
      <c r="F353" s="64"/>
      <c r="G353" s="64"/>
    </row>
    <row r="354" spans="1:7" ht="12.75">
      <c r="A354" s="64"/>
      <c r="B354" s="64"/>
      <c r="C354" s="64"/>
      <c r="D354" s="65"/>
      <c r="E354" s="64"/>
      <c r="F354" s="64"/>
      <c r="G354" s="64"/>
    </row>
    <row r="355" spans="1:7" ht="12.75">
      <c r="A355" s="64"/>
      <c r="B355" s="64"/>
      <c r="C355" s="64"/>
      <c r="D355" s="65"/>
      <c r="E355" s="64"/>
      <c r="F355" s="64"/>
      <c r="G355" s="64"/>
    </row>
    <row r="356" spans="1:7" ht="12.75">
      <c r="A356" s="64"/>
      <c r="B356" s="64"/>
      <c r="C356" s="64"/>
      <c r="D356" s="65"/>
      <c r="E356" s="64"/>
      <c r="F356" s="64"/>
      <c r="G356" s="64"/>
    </row>
    <row r="357" spans="1:7" ht="12.75">
      <c r="A357" s="64"/>
      <c r="B357" s="64"/>
      <c r="C357" s="64"/>
      <c r="D357" s="65"/>
      <c r="E357" s="64"/>
      <c r="F357" s="64"/>
      <c r="G357" s="64"/>
    </row>
    <row r="358" spans="1:7" ht="12.75">
      <c r="A358" s="64"/>
      <c r="B358" s="64"/>
      <c r="C358" s="64"/>
      <c r="D358" s="65"/>
      <c r="E358" s="64"/>
      <c r="F358" s="64"/>
      <c r="G358" s="64"/>
    </row>
    <row r="359" spans="1:7" ht="12.75">
      <c r="A359" s="64"/>
      <c r="B359" s="64"/>
      <c r="C359" s="64"/>
      <c r="D359" s="65"/>
      <c r="E359" s="64"/>
      <c r="F359" s="64"/>
      <c r="G359" s="64"/>
    </row>
    <row r="360" spans="1:7" ht="12.75">
      <c r="A360" s="64"/>
      <c r="B360" s="64"/>
      <c r="C360" s="64"/>
      <c r="D360" s="65"/>
      <c r="E360" s="64"/>
      <c r="F360" s="64"/>
      <c r="G360" s="64"/>
    </row>
    <row r="361" spans="1:7" ht="12.75">
      <c r="A361" s="64"/>
      <c r="B361" s="64"/>
      <c r="C361" s="64"/>
      <c r="D361" s="65"/>
      <c r="E361" s="64"/>
      <c r="F361" s="64"/>
      <c r="G361" s="64"/>
    </row>
    <row r="362" spans="1:7" ht="12.75">
      <c r="A362" s="64"/>
      <c r="B362" s="64"/>
      <c r="C362" s="64"/>
      <c r="D362" s="65"/>
      <c r="E362" s="64"/>
      <c r="F362" s="64"/>
      <c r="G362" s="64"/>
    </row>
    <row r="363" spans="1:7" ht="12.75">
      <c r="A363" s="64"/>
      <c r="B363" s="64"/>
      <c r="C363" s="64"/>
      <c r="D363" s="65"/>
      <c r="E363" s="64"/>
      <c r="F363" s="64"/>
      <c r="G363" s="64"/>
    </row>
    <row r="364" spans="1:7" ht="12.75">
      <c r="A364" s="64"/>
      <c r="B364" s="64"/>
      <c r="C364" s="64"/>
      <c r="D364" s="65"/>
      <c r="E364" s="64"/>
      <c r="F364" s="64"/>
      <c r="G364" s="64"/>
    </row>
    <row r="365" spans="1:7" ht="12.75">
      <c r="A365" s="64"/>
      <c r="B365" s="64"/>
      <c r="C365" s="64"/>
      <c r="D365" s="65"/>
      <c r="E365" s="64"/>
      <c r="F365" s="64"/>
      <c r="G365" s="64"/>
    </row>
    <row r="366" spans="1:7" ht="12.75">
      <c r="A366" s="64"/>
      <c r="B366" s="64"/>
      <c r="C366" s="64"/>
      <c r="D366" s="65"/>
      <c r="E366" s="64"/>
      <c r="F366" s="64"/>
      <c r="G366" s="64"/>
    </row>
    <row r="367" spans="1:7" ht="12.75">
      <c r="A367" s="64"/>
      <c r="B367" s="64"/>
      <c r="C367" s="64"/>
      <c r="D367" s="65"/>
      <c r="E367" s="64"/>
      <c r="F367" s="64"/>
      <c r="G367" s="64"/>
    </row>
    <row r="368" spans="1:7" ht="12.75">
      <c r="A368" s="64"/>
      <c r="B368" s="64"/>
      <c r="C368" s="64"/>
      <c r="D368" s="65"/>
      <c r="E368" s="64"/>
      <c r="F368" s="64"/>
      <c r="G368" s="64"/>
    </row>
    <row r="369" spans="1:7" ht="12.75">
      <c r="A369" s="64"/>
      <c r="B369" s="64"/>
      <c r="C369" s="64"/>
      <c r="D369" s="65"/>
      <c r="E369" s="64"/>
      <c r="F369" s="64"/>
      <c r="G369" s="64"/>
    </row>
    <row r="370" spans="1:7" ht="12.75">
      <c r="A370" s="64"/>
      <c r="B370" s="64"/>
      <c r="C370" s="64"/>
      <c r="D370" s="65"/>
      <c r="E370" s="64"/>
      <c r="F370" s="64"/>
      <c r="G370" s="64"/>
    </row>
    <row r="371" spans="1:7" ht="12.75">
      <c r="A371" s="64"/>
      <c r="B371" s="64"/>
      <c r="C371" s="64"/>
      <c r="D371" s="65"/>
      <c r="E371" s="64"/>
      <c r="F371" s="64"/>
      <c r="G371" s="64"/>
    </row>
    <row r="372" spans="1:7" ht="12.75">
      <c r="A372" s="64"/>
      <c r="B372" s="64"/>
      <c r="C372" s="64"/>
      <c r="D372" s="65"/>
      <c r="E372" s="64"/>
      <c r="F372" s="64"/>
      <c r="G372" s="64"/>
    </row>
    <row r="373" spans="1:7" ht="12.75">
      <c r="A373" s="64"/>
      <c r="B373" s="64"/>
      <c r="C373" s="64"/>
      <c r="D373" s="65"/>
      <c r="E373" s="64"/>
      <c r="F373" s="64"/>
      <c r="G373" s="64"/>
    </row>
    <row r="374" spans="1:7" ht="12.75">
      <c r="A374" s="64"/>
      <c r="B374" s="64"/>
      <c r="C374" s="64"/>
      <c r="D374" s="65"/>
      <c r="E374" s="64"/>
      <c r="F374" s="64"/>
      <c r="G374" s="64"/>
    </row>
    <row r="375" spans="1:7" ht="12.75">
      <c r="A375" s="64"/>
      <c r="B375" s="64"/>
      <c r="C375" s="64"/>
      <c r="D375" s="65"/>
      <c r="E375" s="64"/>
      <c r="F375" s="64"/>
      <c r="G375" s="64"/>
    </row>
    <row r="376" spans="1:7" ht="12.75">
      <c r="A376" s="64"/>
      <c r="B376" s="64"/>
      <c r="C376" s="64"/>
      <c r="D376" s="65"/>
      <c r="E376" s="64"/>
      <c r="F376" s="64"/>
      <c r="G376" s="64"/>
    </row>
    <row r="377" spans="1:7" ht="12.75">
      <c r="A377" s="64"/>
      <c r="B377" s="64"/>
      <c r="C377" s="64"/>
      <c r="D377" s="65"/>
      <c r="E377" s="64"/>
      <c r="F377" s="64"/>
      <c r="G377" s="64"/>
    </row>
    <row r="378" spans="1:7" ht="12.75">
      <c r="A378" s="64"/>
      <c r="B378" s="64"/>
      <c r="C378" s="64"/>
      <c r="D378" s="65"/>
      <c r="E378" s="64"/>
      <c r="F378" s="64"/>
      <c r="G378" s="64"/>
    </row>
    <row r="379" spans="1:7" ht="12.75">
      <c r="A379" s="64"/>
      <c r="B379" s="64"/>
      <c r="C379" s="64"/>
      <c r="D379" s="65"/>
      <c r="E379" s="64"/>
      <c r="F379" s="64"/>
      <c r="G379" s="64"/>
    </row>
    <row r="380" spans="1:7" ht="12.75">
      <c r="A380" s="64"/>
      <c r="B380" s="64"/>
      <c r="C380" s="64"/>
      <c r="D380" s="65"/>
      <c r="E380" s="64"/>
      <c r="F380" s="64"/>
      <c r="G380" s="64"/>
    </row>
    <row r="381" spans="1:7" ht="12.75">
      <c r="A381" s="64"/>
      <c r="B381" s="64"/>
      <c r="C381" s="64"/>
      <c r="D381" s="65"/>
      <c r="E381" s="64"/>
      <c r="F381" s="64"/>
      <c r="G381" s="64"/>
    </row>
    <row r="382" spans="1:7" ht="12.75">
      <c r="A382" s="64"/>
      <c r="B382" s="64"/>
      <c r="C382" s="64"/>
      <c r="D382" s="65"/>
      <c r="E382" s="64"/>
      <c r="F382" s="64"/>
      <c r="G382" s="64"/>
    </row>
    <row r="383" spans="1:7" ht="12.75">
      <c r="A383" s="64"/>
      <c r="B383" s="64"/>
      <c r="C383" s="64"/>
      <c r="D383" s="65"/>
      <c r="E383" s="64"/>
      <c r="F383" s="64"/>
      <c r="G383" s="64"/>
    </row>
    <row r="384" spans="1:7" ht="12.75">
      <c r="A384" s="64"/>
      <c r="B384" s="64"/>
      <c r="C384" s="64"/>
      <c r="D384" s="65"/>
      <c r="E384" s="64"/>
      <c r="F384" s="64"/>
      <c r="G384" s="64"/>
    </row>
    <row r="385" spans="1:7" ht="12.75">
      <c r="A385" s="64"/>
      <c r="B385" s="64"/>
      <c r="C385" s="64"/>
      <c r="D385" s="65"/>
      <c r="E385" s="64"/>
      <c r="F385" s="64"/>
      <c r="G385" s="64"/>
    </row>
    <row r="386" spans="1:7" ht="12.75">
      <c r="A386" s="64"/>
      <c r="B386" s="64"/>
      <c r="C386" s="64"/>
      <c r="D386" s="65"/>
      <c r="E386" s="64"/>
      <c r="F386" s="64"/>
      <c r="G386" s="64"/>
    </row>
    <row r="387" spans="1:7" ht="12.75">
      <c r="A387" s="64"/>
      <c r="B387" s="64"/>
      <c r="C387" s="64"/>
      <c r="D387" s="65"/>
      <c r="E387" s="64"/>
      <c r="F387" s="64"/>
      <c r="G387" s="64"/>
    </row>
    <row r="388" spans="1:7" ht="12.75">
      <c r="A388" s="64"/>
      <c r="B388" s="64"/>
      <c r="C388" s="64"/>
      <c r="D388" s="65"/>
      <c r="E388" s="64"/>
      <c r="F388" s="64"/>
      <c r="G388" s="64"/>
    </row>
    <row r="389" spans="1:7" ht="12.75">
      <c r="A389" s="64"/>
      <c r="B389" s="64"/>
      <c r="C389" s="64"/>
      <c r="D389" s="65"/>
      <c r="E389" s="64"/>
      <c r="F389" s="64"/>
      <c r="G389" s="64"/>
    </row>
    <row r="390" spans="1:7" ht="12.75">
      <c r="A390" s="64"/>
      <c r="B390" s="64"/>
      <c r="C390" s="64"/>
      <c r="D390" s="65"/>
      <c r="E390" s="64"/>
      <c r="F390" s="64"/>
      <c r="G390" s="64"/>
    </row>
    <row r="391" spans="1:7" ht="12.75">
      <c r="A391" s="64"/>
      <c r="B391" s="64"/>
      <c r="C391" s="64"/>
      <c r="D391" s="65"/>
      <c r="E391" s="64"/>
      <c r="F391" s="64"/>
      <c r="G391" s="64"/>
    </row>
    <row r="392" spans="1:7" ht="12.75">
      <c r="A392" s="64"/>
      <c r="B392" s="64"/>
      <c r="C392" s="64"/>
      <c r="D392" s="65"/>
      <c r="E392" s="64"/>
      <c r="F392" s="64"/>
      <c r="G392" s="64"/>
    </row>
    <row r="393" spans="1:7" ht="12.75">
      <c r="A393" s="64"/>
      <c r="B393" s="64"/>
      <c r="C393" s="64"/>
      <c r="D393" s="65"/>
      <c r="E393" s="64"/>
      <c r="F393" s="64"/>
      <c r="G393" s="64"/>
    </row>
    <row r="394" spans="1:7" ht="12.75">
      <c r="A394" s="64"/>
      <c r="B394" s="64"/>
      <c r="C394" s="64"/>
      <c r="D394" s="65"/>
      <c r="E394" s="64"/>
      <c r="F394" s="64"/>
      <c r="G394" s="64"/>
    </row>
    <row r="395" spans="1:7" ht="12.75">
      <c r="A395" s="64"/>
      <c r="B395" s="64"/>
      <c r="C395" s="64"/>
      <c r="D395" s="65"/>
      <c r="E395" s="64"/>
      <c r="F395" s="64"/>
      <c r="G395" s="64"/>
    </row>
    <row r="396" spans="1:7" ht="12.75">
      <c r="A396" s="64"/>
      <c r="B396" s="64"/>
      <c r="C396" s="64"/>
      <c r="D396" s="65"/>
      <c r="E396" s="64"/>
      <c r="F396" s="64"/>
      <c r="G396" s="64"/>
    </row>
    <row r="397" spans="1:7" ht="12.75">
      <c r="A397" s="64"/>
      <c r="B397" s="64"/>
      <c r="C397" s="64"/>
      <c r="D397" s="65"/>
      <c r="E397" s="64"/>
      <c r="F397" s="64"/>
      <c r="G397" s="64"/>
    </row>
    <row r="398" spans="1:7" ht="12.75">
      <c r="A398" s="64"/>
      <c r="B398" s="64"/>
      <c r="C398" s="64"/>
      <c r="D398" s="65"/>
      <c r="E398" s="64"/>
      <c r="F398" s="64"/>
      <c r="G398" s="64"/>
    </row>
    <row r="399" spans="1:7" ht="12.75">
      <c r="A399" s="64"/>
      <c r="B399" s="64"/>
      <c r="C399" s="64"/>
      <c r="D399" s="65"/>
      <c r="E399" s="64"/>
      <c r="F399" s="64"/>
      <c r="G399" s="64"/>
    </row>
    <row r="400" spans="1:7" ht="12.75">
      <c r="A400" s="64"/>
      <c r="B400" s="64"/>
      <c r="C400" s="64"/>
      <c r="D400" s="65"/>
      <c r="E400" s="64"/>
      <c r="F400" s="64"/>
      <c r="G400" s="64"/>
    </row>
    <row r="401" spans="1:7" ht="12.75">
      <c r="A401" s="64"/>
      <c r="B401" s="64"/>
      <c r="C401" s="64"/>
      <c r="D401" s="65"/>
      <c r="E401" s="64"/>
      <c r="F401" s="64"/>
      <c r="G401" s="64"/>
    </row>
    <row r="402" spans="1:7" ht="12.75">
      <c r="A402" s="64"/>
      <c r="B402" s="64"/>
      <c r="C402" s="64"/>
      <c r="D402" s="65"/>
      <c r="E402" s="64"/>
      <c r="F402" s="64"/>
      <c r="G402" s="64"/>
    </row>
    <row r="403" spans="1:7" ht="12.75">
      <c r="A403" s="64"/>
      <c r="B403" s="64"/>
      <c r="C403" s="64"/>
      <c r="D403" s="65"/>
      <c r="E403" s="64"/>
      <c r="F403" s="64"/>
      <c r="G403" s="64"/>
    </row>
    <row r="404" spans="1:7" ht="12.75">
      <c r="A404" s="64"/>
      <c r="B404" s="64"/>
      <c r="C404" s="64"/>
      <c r="D404" s="65"/>
      <c r="E404" s="64"/>
      <c r="F404" s="64"/>
      <c r="G404" s="64"/>
    </row>
    <row r="405" spans="1:7" ht="12.75">
      <c r="A405" s="64"/>
      <c r="B405" s="64"/>
      <c r="C405" s="64"/>
      <c r="D405" s="65"/>
      <c r="E405" s="64"/>
      <c r="F405" s="64"/>
      <c r="G405" s="64"/>
    </row>
    <row r="406" spans="1:7" ht="12.75">
      <c r="A406" s="64"/>
      <c r="B406" s="64"/>
      <c r="C406" s="64"/>
      <c r="D406" s="65"/>
      <c r="E406" s="64"/>
      <c r="F406" s="64"/>
      <c r="G406" s="64"/>
    </row>
    <row r="407" spans="1:7" ht="12.75">
      <c r="A407" s="64"/>
      <c r="B407" s="64"/>
      <c r="C407" s="64"/>
      <c r="D407" s="65"/>
      <c r="E407" s="64"/>
      <c r="F407" s="64"/>
      <c r="G407" s="64"/>
    </row>
    <row r="408" spans="1:7" ht="12.75">
      <c r="A408" s="64"/>
      <c r="B408" s="64"/>
      <c r="C408" s="64"/>
      <c r="D408" s="65"/>
      <c r="E408" s="64"/>
      <c r="F408" s="64"/>
      <c r="G408" s="64"/>
    </row>
    <row r="409" spans="1:7" ht="12.75">
      <c r="A409" s="64"/>
      <c r="B409" s="64"/>
      <c r="C409" s="64"/>
      <c r="D409" s="65"/>
      <c r="E409" s="64"/>
      <c r="F409" s="64"/>
      <c r="G409" s="64"/>
    </row>
    <row r="410" spans="1:7" ht="12.75">
      <c r="A410" s="64"/>
      <c r="B410" s="64"/>
      <c r="C410" s="64"/>
      <c r="D410" s="65"/>
      <c r="E410" s="64"/>
      <c r="F410" s="64"/>
      <c r="G410" s="64"/>
    </row>
    <row r="411" spans="1:7" ht="12.75">
      <c r="A411" s="64"/>
      <c r="B411" s="64"/>
      <c r="C411" s="64"/>
      <c r="D411" s="65"/>
      <c r="E411" s="64"/>
      <c r="F411" s="64"/>
      <c r="G411" s="64"/>
    </row>
    <row r="412" spans="1:7" ht="12.75">
      <c r="A412" s="64"/>
      <c r="B412" s="64"/>
      <c r="C412" s="64"/>
      <c r="D412" s="65"/>
      <c r="E412" s="64"/>
      <c r="F412" s="64"/>
      <c r="G412" s="64"/>
    </row>
    <row r="413" spans="1:7" ht="12.75">
      <c r="A413" s="64"/>
      <c r="B413" s="64"/>
      <c r="C413" s="64"/>
      <c r="D413" s="65"/>
      <c r="E413" s="64"/>
      <c r="F413" s="64"/>
      <c r="G413" s="64"/>
    </row>
    <row r="414" spans="1:7" ht="12.75">
      <c r="A414" s="64"/>
      <c r="B414" s="64"/>
      <c r="C414" s="64"/>
      <c r="D414" s="65"/>
      <c r="E414" s="64"/>
      <c r="F414" s="64"/>
      <c r="G414" s="64"/>
    </row>
    <row r="415" spans="1:7" ht="12.75">
      <c r="A415" s="64"/>
      <c r="B415" s="64"/>
      <c r="C415" s="64"/>
      <c r="D415" s="65"/>
      <c r="E415" s="64"/>
      <c r="F415" s="64"/>
      <c r="G415" s="64"/>
    </row>
    <row r="416" spans="1:7" ht="12.75">
      <c r="A416" s="64"/>
      <c r="B416" s="64"/>
      <c r="C416" s="64"/>
      <c r="D416" s="65"/>
      <c r="E416" s="64"/>
      <c r="F416" s="64"/>
      <c r="G416" s="64"/>
    </row>
    <row r="417" spans="1:7" ht="12.75">
      <c r="A417" s="64"/>
      <c r="B417" s="64"/>
      <c r="C417" s="64"/>
      <c r="D417" s="65"/>
      <c r="E417" s="64"/>
      <c r="F417" s="64"/>
      <c r="G417" s="64"/>
    </row>
    <row r="418" spans="1:7" ht="12.75">
      <c r="A418" s="64"/>
      <c r="B418" s="64"/>
      <c r="C418" s="64"/>
      <c r="D418" s="65"/>
      <c r="E418" s="64"/>
      <c r="F418" s="64"/>
      <c r="G418" s="64"/>
    </row>
    <row r="419" spans="1:7" ht="12.75">
      <c r="A419" s="64"/>
      <c r="B419" s="64"/>
      <c r="C419" s="64"/>
      <c r="D419" s="65"/>
      <c r="E419" s="64"/>
      <c r="F419" s="64"/>
      <c r="G419" s="64"/>
    </row>
    <row r="420" spans="1:7" ht="12.75">
      <c r="A420" s="64"/>
      <c r="B420" s="64"/>
      <c r="C420" s="64"/>
      <c r="D420" s="65"/>
      <c r="E420" s="64"/>
      <c r="F420" s="64"/>
      <c r="G420" s="64"/>
    </row>
    <row r="421" spans="1:7" ht="12.75">
      <c r="A421" s="64"/>
      <c r="B421" s="64"/>
      <c r="C421" s="64"/>
      <c r="D421" s="65"/>
      <c r="E421" s="64"/>
      <c r="F421" s="64"/>
      <c r="G421" s="64"/>
    </row>
    <row r="422" spans="1:7" ht="12.75">
      <c r="A422" s="64"/>
      <c r="B422" s="64"/>
      <c r="C422" s="64"/>
      <c r="D422" s="65"/>
      <c r="E422" s="64"/>
      <c r="F422" s="64"/>
      <c r="G422" s="64"/>
    </row>
    <row r="423" spans="1:7" ht="12.75">
      <c r="A423" s="64"/>
      <c r="B423" s="64"/>
      <c r="C423" s="64"/>
      <c r="D423" s="65"/>
      <c r="E423" s="64"/>
      <c r="F423" s="64"/>
      <c r="G423" s="64"/>
    </row>
    <row r="424" spans="1:7" ht="12.75">
      <c r="A424" s="64"/>
      <c r="B424" s="64"/>
      <c r="C424" s="64"/>
      <c r="D424" s="65"/>
      <c r="E424" s="64"/>
      <c r="F424" s="64"/>
      <c r="G424" s="64"/>
    </row>
    <row r="425" spans="1:7" ht="12.75">
      <c r="A425" s="64"/>
      <c r="B425" s="64"/>
      <c r="C425" s="64"/>
      <c r="D425" s="65"/>
      <c r="E425" s="64"/>
      <c r="F425" s="64"/>
      <c r="G425" s="64"/>
    </row>
    <row r="426" spans="1:7" ht="12.75">
      <c r="A426" s="64"/>
      <c r="B426" s="64"/>
      <c r="C426" s="64"/>
      <c r="D426" s="65"/>
      <c r="E426" s="64"/>
      <c r="F426" s="64"/>
      <c r="G426" s="64"/>
    </row>
    <row r="427" spans="1:7" ht="12.75">
      <c r="A427" s="64"/>
      <c r="B427" s="64"/>
      <c r="C427" s="64"/>
      <c r="D427" s="65"/>
      <c r="E427" s="64"/>
      <c r="F427" s="64"/>
      <c r="G427" s="64"/>
    </row>
    <row r="428" spans="1:7" ht="12.75">
      <c r="A428" s="64"/>
      <c r="B428" s="64"/>
      <c r="C428" s="64"/>
      <c r="D428" s="65"/>
      <c r="E428" s="64"/>
      <c r="F428" s="64"/>
      <c r="G428" s="64"/>
    </row>
    <row r="429" spans="1:7" ht="12.75">
      <c r="A429" s="64"/>
      <c r="B429" s="64"/>
      <c r="C429" s="64"/>
      <c r="D429" s="65"/>
      <c r="E429" s="64"/>
      <c r="F429" s="64"/>
      <c r="G429" s="64"/>
    </row>
    <row r="430" spans="1:7" ht="12.75">
      <c r="A430" s="64"/>
      <c r="B430" s="64"/>
      <c r="C430" s="64"/>
      <c r="D430" s="65"/>
      <c r="E430" s="64"/>
      <c r="F430" s="64"/>
      <c r="G430" s="64"/>
    </row>
    <row r="431" spans="1:7" ht="12.75">
      <c r="A431" s="64"/>
      <c r="B431" s="64"/>
      <c r="C431" s="64"/>
      <c r="D431" s="65"/>
      <c r="E431" s="64"/>
      <c r="F431" s="64"/>
      <c r="G431" s="64"/>
    </row>
    <row r="432" spans="1:7" ht="12.75">
      <c r="A432" s="64"/>
      <c r="B432" s="64"/>
      <c r="C432" s="64"/>
      <c r="D432" s="65"/>
      <c r="E432" s="64"/>
      <c r="F432" s="64"/>
      <c r="G432" s="64"/>
    </row>
    <row r="433" spans="1:7" ht="12.75">
      <c r="A433" s="64"/>
      <c r="B433" s="64"/>
      <c r="C433" s="64"/>
      <c r="D433" s="65"/>
      <c r="E433" s="64"/>
      <c r="F433" s="64"/>
      <c r="G433" s="64"/>
    </row>
    <row r="434" spans="1:7" ht="12.75">
      <c r="A434" s="64"/>
      <c r="B434" s="64"/>
      <c r="C434" s="64"/>
      <c r="D434" s="65"/>
      <c r="E434" s="64"/>
      <c r="F434" s="64"/>
      <c r="G434" s="64"/>
    </row>
    <row r="435" spans="1:7" ht="12.75">
      <c r="A435" s="64"/>
      <c r="B435" s="64"/>
      <c r="C435" s="64"/>
      <c r="D435" s="65"/>
      <c r="E435" s="64"/>
      <c r="F435" s="64"/>
      <c r="G435" s="64"/>
    </row>
    <row r="436" spans="1:7" ht="12.75">
      <c r="A436" s="64"/>
      <c r="B436" s="64"/>
      <c r="C436" s="64"/>
      <c r="D436" s="65"/>
      <c r="E436" s="64"/>
      <c r="F436" s="64"/>
      <c r="G436" s="64"/>
    </row>
    <row r="437" spans="1:7" ht="12.75">
      <c r="A437" s="64"/>
      <c r="B437" s="64"/>
      <c r="C437" s="64"/>
      <c r="D437" s="65"/>
      <c r="E437" s="64"/>
      <c r="F437" s="64"/>
      <c r="G437" s="64"/>
    </row>
    <row r="438" spans="1:7" ht="12.75">
      <c r="A438" s="64"/>
      <c r="B438" s="64"/>
      <c r="C438" s="64"/>
      <c r="D438" s="65"/>
      <c r="E438" s="64"/>
      <c r="F438" s="64"/>
      <c r="G438" s="64"/>
    </row>
    <row r="439" spans="1:7" ht="12.75">
      <c r="A439" s="64"/>
      <c r="B439" s="64"/>
      <c r="C439" s="64"/>
      <c r="D439" s="65"/>
      <c r="E439" s="64"/>
      <c r="F439" s="64"/>
      <c r="G439" s="64"/>
    </row>
    <row r="440" spans="1:7" ht="12.75">
      <c r="A440" s="64"/>
      <c r="B440" s="64"/>
      <c r="C440" s="64"/>
      <c r="D440" s="65"/>
      <c r="E440" s="64"/>
      <c r="F440" s="64"/>
      <c r="G440" s="64"/>
    </row>
    <row r="441" spans="1:7" ht="12.75">
      <c r="A441" s="64"/>
      <c r="B441" s="64"/>
      <c r="C441" s="64"/>
      <c r="D441" s="65"/>
      <c r="E441" s="64"/>
      <c r="F441" s="64"/>
      <c r="G441" s="64"/>
    </row>
    <row r="442" spans="1:7" ht="12.75">
      <c r="A442" s="64"/>
      <c r="B442" s="64"/>
      <c r="C442" s="64"/>
      <c r="D442" s="65"/>
      <c r="E442" s="64"/>
      <c r="F442" s="64"/>
      <c r="G442" s="64"/>
    </row>
    <row r="443" spans="1:7" ht="12.75">
      <c r="A443" s="64"/>
      <c r="B443" s="64"/>
      <c r="C443" s="64"/>
      <c r="D443" s="65"/>
      <c r="E443" s="64"/>
      <c r="F443" s="64"/>
      <c r="G443" s="64"/>
    </row>
    <row r="444" spans="1:7" ht="12.75">
      <c r="A444" s="64"/>
      <c r="B444" s="64"/>
      <c r="C444" s="64"/>
      <c r="D444" s="65"/>
      <c r="E444" s="64"/>
      <c r="F444" s="64"/>
      <c r="G444" s="64"/>
    </row>
    <row r="445" spans="1:7" ht="12.75">
      <c r="A445" s="64"/>
      <c r="B445" s="64"/>
      <c r="C445" s="64"/>
      <c r="D445" s="65"/>
      <c r="E445" s="64"/>
      <c r="F445" s="64"/>
      <c r="G445" s="64"/>
    </row>
    <row r="446" spans="1:7" ht="12.75">
      <c r="A446" s="64"/>
      <c r="B446" s="64"/>
      <c r="C446" s="64"/>
      <c r="D446" s="65"/>
      <c r="E446" s="64"/>
      <c r="F446" s="64"/>
      <c r="G446" s="64"/>
    </row>
    <row r="447" spans="1:7" ht="12.75">
      <c r="A447" s="64"/>
      <c r="B447" s="64"/>
      <c r="C447" s="64"/>
      <c r="D447" s="65"/>
      <c r="E447" s="64"/>
      <c r="F447" s="64"/>
      <c r="G447" s="64"/>
    </row>
    <row r="448" spans="1:7" ht="12.75">
      <c r="A448" s="64"/>
      <c r="B448" s="64"/>
      <c r="C448" s="64"/>
      <c r="D448" s="65"/>
      <c r="E448" s="64"/>
      <c r="F448" s="64"/>
      <c r="G448" s="64"/>
    </row>
    <row r="449" spans="1:7" ht="12.75">
      <c r="A449" s="64"/>
      <c r="B449" s="64"/>
      <c r="C449" s="64"/>
      <c r="D449" s="65"/>
      <c r="E449" s="64"/>
      <c r="F449" s="64"/>
      <c r="G449" s="64"/>
    </row>
    <row r="450" spans="1:7" ht="12.75">
      <c r="A450" s="64"/>
      <c r="B450" s="64"/>
      <c r="C450" s="64"/>
      <c r="D450" s="65"/>
      <c r="E450" s="64"/>
      <c r="F450" s="64"/>
      <c r="G450" s="64"/>
    </row>
    <row r="451" spans="1:7" ht="12.75">
      <c r="A451" s="64"/>
      <c r="B451" s="64"/>
      <c r="C451" s="64"/>
      <c r="D451" s="65"/>
      <c r="E451" s="64"/>
      <c r="F451" s="64"/>
      <c r="G451" s="64"/>
    </row>
    <row r="452" spans="1:7" ht="12.75">
      <c r="A452" s="64"/>
      <c r="B452" s="64"/>
      <c r="C452" s="64"/>
      <c r="D452" s="65"/>
      <c r="E452" s="64"/>
      <c r="F452" s="64"/>
      <c r="G452" s="64"/>
    </row>
    <row r="453" spans="1:7" ht="12.75">
      <c r="A453" s="64"/>
      <c r="B453" s="64"/>
      <c r="C453" s="64"/>
      <c r="D453" s="65"/>
      <c r="E453" s="64"/>
      <c r="F453" s="64"/>
      <c r="G453" s="64"/>
    </row>
    <row r="454" spans="1:7" ht="12.75">
      <c r="A454" s="64"/>
      <c r="B454" s="64"/>
      <c r="C454" s="64"/>
      <c r="D454" s="65"/>
      <c r="E454" s="64"/>
      <c r="F454" s="64"/>
      <c r="G454" s="64"/>
    </row>
    <row r="455" spans="1:7" ht="12.75">
      <c r="A455" s="64"/>
      <c r="B455" s="64"/>
      <c r="C455" s="64"/>
      <c r="D455" s="65"/>
      <c r="E455" s="64"/>
      <c r="F455" s="64"/>
      <c r="G455" s="64"/>
    </row>
    <row r="456" spans="1:7" ht="12.75">
      <c r="A456" s="64"/>
      <c r="B456" s="64"/>
      <c r="C456" s="64"/>
      <c r="D456" s="65"/>
      <c r="E456" s="64"/>
      <c r="F456" s="64"/>
      <c r="G456" s="64"/>
    </row>
    <row r="457" spans="1:7" ht="12.75">
      <c r="A457" s="64"/>
      <c r="B457" s="64"/>
      <c r="C457" s="64"/>
      <c r="D457" s="65"/>
      <c r="E457" s="64"/>
      <c r="F457" s="64"/>
      <c r="G457" s="64"/>
    </row>
    <row r="458" spans="1:7" ht="12.75">
      <c r="A458" s="64"/>
      <c r="B458" s="64"/>
      <c r="C458" s="64"/>
      <c r="D458" s="65"/>
      <c r="E458" s="64"/>
      <c r="F458" s="64"/>
      <c r="G458" s="64"/>
    </row>
    <row r="459" spans="1:7" ht="12.75">
      <c r="A459" s="64"/>
      <c r="B459" s="64"/>
      <c r="C459" s="64"/>
      <c r="D459" s="65"/>
      <c r="E459" s="64"/>
      <c r="F459" s="64"/>
      <c r="G459" s="64"/>
    </row>
    <row r="460" spans="1:7" ht="12.75">
      <c r="A460" s="64"/>
      <c r="B460" s="64"/>
      <c r="C460" s="64"/>
      <c r="D460" s="65"/>
      <c r="E460" s="64"/>
      <c r="F460" s="64"/>
      <c r="G460" s="64"/>
    </row>
    <row r="461" spans="1:7" ht="12.75">
      <c r="A461" s="64"/>
      <c r="B461" s="64"/>
      <c r="C461" s="64"/>
      <c r="D461" s="65"/>
      <c r="E461" s="64"/>
      <c r="F461" s="64"/>
      <c r="G461" s="64"/>
    </row>
    <row r="462" spans="1:7" ht="12.75">
      <c r="A462" s="64"/>
      <c r="B462" s="64"/>
      <c r="C462" s="64"/>
      <c r="D462" s="65"/>
      <c r="E462" s="64"/>
      <c r="F462" s="64"/>
      <c r="G462" s="64"/>
    </row>
    <row r="463" spans="1:7" ht="12.75">
      <c r="A463" s="64"/>
      <c r="B463" s="64"/>
      <c r="C463" s="64"/>
      <c r="D463" s="65"/>
      <c r="E463" s="64"/>
      <c r="F463" s="64"/>
      <c r="G463" s="64"/>
    </row>
    <row r="464" spans="1:7" ht="12.75">
      <c r="A464" s="64"/>
      <c r="B464" s="64"/>
      <c r="C464" s="64"/>
      <c r="D464" s="65"/>
      <c r="E464" s="64"/>
      <c r="F464" s="64"/>
      <c r="G464" s="64"/>
    </row>
    <row r="465" spans="1:7" ht="12.75">
      <c r="A465" s="64"/>
      <c r="B465" s="64"/>
      <c r="C465" s="64"/>
      <c r="D465" s="65"/>
      <c r="E465" s="64"/>
      <c r="F465" s="64"/>
      <c r="G465" s="64"/>
    </row>
    <row r="466" spans="1:7" ht="12.75">
      <c r="A466" s="64"/>
      <c r="B466" s="64"/>
      <c r="C466" s="64"/>
      <c r="D466" s="65"/>
      <c r="E466" s="64"/>
      <c r="F466" s="64"/>
      <c r="G466" s="64"/>
    </row>
    <row r="467" spans="1:7" ht="12.75">
      <c r="A467" s="64"/>
      <c r="B467" s="64"/>
      <c r="C467" s="64"/>
      <c r="D467" s="65"/>
      <c r="E467" s="64"/>
      <c r="F467" s="64"/>
      <c r="G467" s="64"/>
    </row>
    <row r="468" spans="1:7" ht="12.75">
      <c r="A468" s="64"/>
      <c r="B468" s="64"/>
      <c r="C468" s="64"/>
      <c r="D468" s="65"/>
      <c r="E468" s="64"/>
      <c r="F468" s="64"/>
      <c r="G468" s="64"/>
    </row>
    <row r="469" spans="1:7" ht="12.75">
      <c r="A469" s="64"/>
      <c r="B469" s="64"/>
      <c r="C469" s="64"/>
      <c r="D469" s="65"/>
      <c r="E469" s="64"/>
      <c r="F469" s="64"/>
      <c r="G469" s="64"/>
    </row>
    <row r="470" spans="1:7" ht="12.75">
      <c r="A470" s="64"/>
      <c r="B470" s="64"/>
      <c r="C470" s="64"/>
      <c r="D470" s="65"/>
      <c r="E470" s="64"/>
      <c r="F470" s="64"/>
      <c r="G470" s="64"/>
    </row>
    <row r="471" spans="1:7" ht="12.75">
      <c r="A471" s="64"/>
      <c r="B471" s="64"/>
      <c r="C471" s="64"/>
      <c r="D471" s="65"/>
      <c r="E471" s="64"/>
      <c r="F471" s="64"/>
      <c r="G471" s="64"/>
    </row>
    <row r="472" spans="1:7" ht="12.75">
      <c r="A472" s="64"/>
      <c r="B472" s="64"/>
      <c r="C472" s="64"/>
      <c r="D472" s="65"/>
      <c r="E472" s="64"/>
      <c r="F472" s="64"/>
      <c r="G472" s="64"/>
    </row>
    <row r="473" spans="1:7" ht="12.75">
      <c r="A473" s="64"/>
      <c r="B473" s="64"/>
      <c r="C473" s="64"/>
      <c r="D473" s="65"/>
      <c r="E473" s="64"/>
      <c r="F473" s="64"/>
      <c r="G473" s="64"/>
    </row>
    <row r="474" spans="1:7" ht="12.75">
      <c r="A474" s="64"/>
      <c r="B474" s="64"/>
      <c r="C474" s="64"/>
      <c r="D474" s="65"/>
      <c r="E474" s="64"/>
      <c r="F474" s="64"/>
      <c r="G474" s="64"/>
    </row>
    <row r="475" spans="1:7" ht="12.75">
      <c r="A475" s="64"/>
      <c r="B475" s="64"/>
      <c r="C475" s="64"/>
      <c r="D475" s="65"/>
      <c r="E475" s="64"/>
      <c r="F475" s="64"/>
      <c r="G475" s="64"/>
    </row>
    <row r="476" spans="1:7" ht="12.75">
      <c r="A476" s="64"/>
      <c r="B476" s="64"/>
      <c r="C476" s="64"/>
      <c r="D476" s="65"/>
      <c r="E476" s="64"/>
      <c r="F476" s="64"/>
      <c r="G476" s="64"/>
    </row>
    <row r="477" spans="1:7" ht="12.75">
      <c r="A477" s="64"/>
      <c r="B477" s="64"/>
      <c r="C477" s="64"/>
      <c r="D477" s="65"/>
      <c r="E477" s="64"/>
      <c r="F477" s="64"/>
      <c r="G477" s="64"/>
    </row>
    <row r="478" spans="1:7" ht="12.75">
      <c r="A478" s="64"/>
      <c r="B478" s="64"/>
      <c r="C478" s="64"/>
      <c r="D478" s="65"/>
      <c r="E478" s="64"/>
      <c r="F478" s="64"/>
      <c r="G478" s="64"/>
    </row>
    <row r="479" spans="1:7" ht="12.75">
      <c r="A479" s="64"/>
      <c r="B479" s="64"/>
      <c r="C479" s="64"/>
      <c r="D479" s="65"/>
      <c r="E479" s="64"/>
      <c r="F479" s="64"/>
      <c r="G479" s="64"/>
    </row>
    <row r="480" spans="1:7" ht="12.75">
      <c r="A480" s="64"/>
      <c r="B480" s="64"/>
      <c r="C480" s="64"/>
      <c r="D480" s="65"/>
      <c r="E480" s="64"/>
      <c r="F480" s="64"/>
      <c r="G480" s="64"/>
    </row>
    <row r="481" spans="1:7" ht="12.75">
      <c r="A481" s="64"/>
      <c r="B481" s="64"/>
      <c r="C481" s="64"/>
      <c r="D481" s="65"/>
      <c r="E481" s="64"/>
      <c r="F481" s="64"/>
      <c r="G481" s="64"/>
    </row>
    <row r="482" spans="1:7" ht="12.75">
      <c r="A482" s="64"/>
      <c r="B482" s="64"/>
      <c r="C482" s="64"/>
      <c r="D482" s="65"/>
      <c r="E482" s="64"/>
      <c r="F482" s="64"/>
      <c r="G482" s="64"/>
    </row>
    <row r="483" spans="1:7" ht="12.75">
      <c r="A483" s="64"/>
      <c r="B483" s="64"/>
      <c r="C483" s="64"/>
      <c r="D483" s="65"/>
      <c r="E483" s="64"/>
      <c r="F483" s="64"/>
      <c r="G483" s="64"/>
    </row>
    <row r="484" spans="1:7" ht="12.75">
      <c r="A484" s="64"/>
      <c r="B484" s="64"/>
      <c r="C484" s="64"/>
      <c r="D484" s="65"/>
      <c r="E484" s="64"/>
      <c r="F484" s="64"/>
      <c r="G484" s="64"/>
    </row>
    <row r="485" spans="1:7" ht="12.75">
      <c r="A485" s="64"/>
      <c r="B485" s="64"/>
      <c r="C485" s="64"/>
      <c r="D485" s="65"/>
      <c r="E485" s="64"/>
      <c r="F485" s="64"/>
      <c r="G485" s="64"/>
    </row>
    <row r="486" spans="1:7" ht="12.75">
      <c r="A486" s="64"/>
      <c r="B486" s="64"/>
      <c r="C486" s="64"/>
      <c r="D486" s="65"/>
      <c r="E486" s="64"/>
      <c r="F486" s="64"/>
      <c r="G486" s="64"/>
    </row>
    <row r="487" spans="1:7" ht="12.75">
      <c r="A487" s="64"/>
      <c r="B487" s="64"/>
      <c r="C487" s="64"/>
      <c r="D487" s="65"/>
      <c r="E487" s="64"/>
      <c r="F487" s="64"/>
      <c r="G487" s="64"/>
    </row>
    <row r="488" spans="1:7" ht="12.75">
      <c r="A488" s="64"/>
      <c r="B488" s="64"/>
      <c r="C488" s="64"/>
      <c r="D488" s="65"/>
      <c r="E488" s="64"/>
      <c r="F488" s="64"/>
      <c r="G488" s="64"/>
    </row>
    <row r="489" spans="1:7" ht="12.75">
      <c r="A489" s="64"/>
      <c r="B489" s="64"/>
      <c r="C489" s="64"/>
      <c r="D489" s="65"/>
      <c r="E489" s="64"/>
      <c r="F489" s="64"/>
      <c r="G489" s="64"/>
    </row>
    <row r="490" spans="1:7" ht="12.75">
      <c r="A490" s="64"/>
      <c r="B490" s="64"/>
      <c r="C490" s="64"/>
      <c r="D490" s="65"/>
      <c r="E490" s="64"/>
      <c r="F490" s="64"/>
      <c r="G490" s="64"/>
    </row>
    <row r="491" spans="1:7" ht="12.75">
      <c r="A491" s="64"/>
      <c r="B491" s="64"/>
      <c r="C491" s="64"/>
      <c r="D491" s="65"/>
      <c r="E491" s="64"/>
      <c r="F491" s="64"/>
      <c r="G491" s="64"/>
    </row>
    <row r="492" spans="1:7" ht="12.75">
      <c r="A492" s="64"/>
      <c r="B492" s="64"/>
      <c r="C492" s="64"/>
      <c r="D492" s="65"/>
      <c r="E492" s="64"/>
      <c r="F492" s="64"/>
      <c r="G492" s="64"/>
    </row>
    <row r="493" spans="1:7" ht="12.75">
      <c r="A493" s="64"/>
      <c r="B493" s="64"/>
      <c r="C493" s="64"/>
      <c r="D493" s="65"/>
      <c r="E493" s="64"/>
      <c r="F493" s="64"/>
      <c r="G493" s="64"/>
    </row>
    <row r="494" spans="1:7" ht="12.75">
      <c r="A494" s="64"/>
      <c r="B494" s="64"/>
      <c r="C494" s="64"/>
      <c r="D494" s="65"/>
      <c r="E494" s="64"/>
      <c r="F494" s="64"/>
      <c r="G494" s="64"/>
    </row>
    <row r="495" spans="1:7" ht="12.75">
      <c r="A495" s="64"/>
      <c r="B495" s="64"/>
      <c r="C495" s="64"/>
      <c r="D495" s="65"/>
      <c r="E495" s="64"/>
      <c r="F495" s="64"/>
      <c r="G495" s="64"/>
    </row>
    <row r="496" spans="1:7" ht="12.75">
      <c r="A496" s="64"/>
      <c r="B496" s="64"/>
      <c r="C496" s="64"/>
      <c r="D496" s="65"/>
      <c r="E496" s="64"/>
      <c r="F496" s="64"/>
      <c r="G496" s="64"/>
    </row>
    <row r="497" spans="1:7" ht="12.75">
      <c r="A497" s="64"/>
      <c r="B497" s="64"/>
      <c r="C497" s="64"/>
      <c r="D497" s="65"/>
      <c r="E497" s="64"/>
      <c r="F497" s="64"/>
      <c r="G497" s="64"/>
    </row>
    <row r="498" spans="1:7" ht="12.75">
      <c r="A498" s="64"/>
      <c r="B498" s="64"/>
      <c r="C498" s="64"/>
      <c r="D498" s="65"/>
      <c r="E498" s="64"/>
      <c r="F498" s="64"/>
      <c r="G498" s="64"/>
    </row>
    <row r="499" spans="1:7" ht="12.75">
      <c r="A499" s="64"/>
      <c r="B499" s="64"/>
      <c r="C499" s="64"/>
      <c r="D499" s="65"/>
      <c r="E499" s="64"/>
      <c r="F499" s="64"/>
      <c r="G499" s="64"/>
    </row>
    <row r="500" spans="1:7" ht="12.75">
      <c r="A500" s="64"/>
      <c r="B500" s="64"/>
      <c r="C500" s="64"/>
      <c r="D500" s="65"/>
      <c r="E500" s="64"/>
      <c r="F500" s="64"/>
      <c r="G500" s="64"/>
    </row>
    <row r="501" spans="1:7" ht="12.75">
      <c r="A501" s="64"/>
      <c r="B501" s="64"/>
      <c r="C501" s="64"/>
      <c r="D501" s="65"/>
      <c r="E501" s="64"/>
      <c r="F501" s="64"/>
      <c r="G501" s="64"/>
    </row>
    <row r="502" spans="1:7" ht="12.75">
      <c r="A502" s="64"/>
      <c r="B502" s="64"/>
      <c r="C502" s="64"/>
      <c r="D502" s="65"/>
      <c r="E502" s="64"/>
      <c r="F502" s="64"/>
      <c r="G502" s="64"/>
    </row>
    <row r="503" spans="1:7" ht="12.75">
      <c r="A503" s="64"/>
      <c r="B503" s="64"/>
      <c r="C503" s="64"/>
      <c r="D503" s="65"/>
      <c r="E503" s="64"/>
      <c r="F503" s="64"/>
      <c r="G503" s="64"/>
    </row>
    <row r="504" spans="1:7" ht="12.75">
      <c r="A504" s="64"/>
      <c r="B504" s="64"/>
      <c r="C504" s="64"/>
      <c r="D504" s="65"/>
      <c r="E504" s="64"/>
      <c r="F504" s="64"/>
      <c r="G504" s="64"/>
    </row>
    <row r="505" spans="1:7" ht="12.75">
      <c r="A505" s="64"/>
      <c r="B505" s="64"/>
      <c r="C505" s="64"/>
      <c r="D505" s="65"/>
      <c r="E505" s="64"/>
      <c r="F505" s="64"/>
      <c r="G505" s="64"/>
    </row>
    <row r="506" spans="1:7" ht="12.75">
      <c r="A506" s="64"/>
      <c r="B506" s="64"/>
      <c r="C506" s="64"/>
      <c r="D506" s="65"/>
      <c r="E506" s="64"/>
      <c r="F506" s="64"/>
      <c r="G506" s="64"/>
    </row>
    <row r="507" spans="1:7" ht="12.75">
      <c r="A507" s="64"/>
      <c r="B507" s="64"/>
      <c r="C507" s="64"/>
      <c r="D507" s="65"/>
      <c r="E507" s="64"/>
      <c r="F507" s="64"/>
      <c r="G507" s="64"/>
    </row>
    <row r="508" spans="1:7" ht="12.75">
      <c r="A508" s="64"/>
      <c r="B508" s="64"/>
      <c r="C508" s="64"/>
      <c r="D508" s="65"/>
      <c r="E508" s="64"/>
      <c r="F508" s="64"/>
      <c r="G508" s="64"/>
    </row>
    <row r="509" spans="1:7" ht="12.75">
      <c r="A509" s="64"/>
      <c r="B509" s="64"/>
      <c r="C509" s="64"/>
      <c r="D509" s="65"/>
      <c r="E509" s="64"/>
      <c r="F509" s="64"/>
      <c r="G509" s="64"/>
    </row>
    <row r="510" spans="1:7" ht="12.75">
      <c r="A510" s="64"/>
      <c r="B510" s="64"/>
      <c r="C510" s="64"/>
      <c r="D510" s="65"/>
      <c r="E510" s="64"/>
      <c r="F510" s="64"/>
      <c r="G510" s="64"/>
    </row>
    <row r="511" spans="1:7" ht="12.75">
      <c r="A511" s="64"/>
      <c r="B511" s="64"/>
      <c r="C511" s="64"/>
      <c r="D511" s="65"/>
      <c r="E511" s="64"/>
      <c r="F511" s="64"/>
      <c r="G511" s="64"/>
    </row>
    <row r="512" spans="1:7" ht="12.75">
      <c r="A512" s="64"/>
      <c r="B512" s="64"/>
      <c r="C512" s="64"/>
      <c r="D512" s="65"/>
      <c r="E512" s="64"/>
      <c r="F512" s="64"/>
      <c r="G512" s="64"/>
    </row>
    <row r="513" spans="1:7" ht="12.75">
      <c r="A513" s="64"/>
      <c r="B513" s="64"/>
      <c r="C513" s="64"/>
      <c r="D513" s="65"/>
      <c r="E513" s="64"/>
      <c r="F513" s="64"/>
      <c r="G513" s="64"/>
    </row>
    <row r="514" spans="1:7" ht="12.75">
      <c r="A514" s="64"/>
      <c r="B514" s="64"/>
      <c r="C514" s="64"/>
      <c r="D514" s="65"/>
      <c r="E514" s="64"/>
      <c r="F514" s="64"/>
      <c r="G514" s="64"/>
    </row>
    <row r="515" spans="1:7" ht="12.75">
      <c r="A515" s="64"/>
      <c r="B515" s="64"/>
      <c r="C515" s="64"/>
      <c r="D515" s="65"/>
      <c r="E515" s="64"/>
      <c r="F515" s="64"/>
      <c r="G515" s="64"/>
    </row>
    <row r="516" spans="1:7" ht="12.75">
      <c r="A516" s="64"/>
      <c r="B516" s="64"/>
      <c r="C516" s="64"/>
      <c r="D516" s="65"/>
      <c r="E516" s="64"/>
      <c r="F516" s="64"/>
      <c r="G516" s="64"/>
    </row>
    <row r="517" spans="1:7" ht="12.75">
      <c r="A517" s="64"/>
      <c r="B517" s="64"/>
      <c r="C517" s="64"/>
      <c r="D517" s="65"/>
      <c r="E517" s="64"/>
      <c r="F517" s="64"/>
      <c r="G517" s="64"/>
    </row>
    <row r="518" spans="1:7" ht="12.75">
      <c r="A518" s="64"/>
      <c r="B518" s="64"/>
      <c r="C518" s="64"/>
      <c r="D518" s="65"/>
      <c r="E518" s="64"/>
      <c r="F518" s="64"/>
      <c r="G518" s="64"/>
    </row>
    <row r="519" spans="1:7" ht="12.75">
      <c r="A519" s="64"/>
      <c r="B519" s="64"/>
      <c r="C519" s="64"/>
      <c r="D519" s="65"/>
      <c r="E519" s="64"/>
      <c r="F519" s="64"/>
      <c r="G519" s="64"/>
    </row>
    <row r="520" spans="1:7" ht="12.75">
      <c r="A520" s="64"/>
      <c r="B520" s="64"/>
      <c r="C520" s="64"/>
      <c r="D520" s="65"/>
      <c r="E520" s="64"/>
      <c r="F520" s="64"/>
      <c r="G520" s="64"/>
    </row>
    <row r="521" spans="1:7" ht="12.75">
      <c r="A521" s="64"/>
      <c r="B521" s="64"/>
      <c r="C521" s="64"/>
      <c r="D521" s="65"/>
      <c r="E521" s="64"/>
      <c r="F521" s="64"/>
      <c r="G521" s="64"/>
    </row>
    <row r="522" spans="1:7" ht="12.75">
      <c r="A522" s="64"/>
      <c r="B522" s="64"/>
      <c r="C522" s="64"/>
      <c r="D522" s="65"/>
      <c r="E522" s="64"/>
      <c r="F522" s="64"/>
      <c r="G522" s="64"/>
    </row>
    <row r="523" spans="1:7" ht="12.75">
      <c r="A523" s="64"/>
      <c r="B523" s="64"/>
      <c r="C523" s="64"/>
      <c r="D523" s="65"/>
      <c r="E523" s="64"/>
      <c r="F523" s="64"/>
      <c r="G523" s="64"/>
    </row>
    <row r="524" spans="1:7" ht="12.75">
      <c r="A524" s="64"/>
      <c r="B524" s="64"/>
      <c r="C524" s="64"/>
      <c r="D524" s="65"/>
      <c r="E524" s="64"/>
      <c r="F524" s="64"/>
      <c r="G524" s="64"/>
    </row>
    <row r="525" spans="1:7" ht="12.75">
      <c r="A525" s="64"/>
      <c r="B525" s="64"/>
      <c r="C525" s="64"/>
      <c r="D525" s="65"/>
      <c r="E525" s="64"/>
      <c r="F525" s="64"/>
      <c r="G525" s="64"/>
    </row>
    <row r="526" spans="1:7" ht="12.75">
      <c r="A526" s="64"/>
      <c r="B526" s="64"/>
      <c r="C526" s="64"/>
      <c r="D526" s="65"/>
      <c r="E526" s="64"/>
      <c r="F526" s="64"/>
      <c r="G526" s="64"/>
    </row>
    <row r="527" spans="1:7" ht="12.75">
      <c r="A527" s="64"/>
      <c r="B527" s="64"/>
      <c r="C527" s="64"/>
      <c r="D527" s="65"/>
      <c r="E527" s="64"/>
      <c r="F527" s="64"/>
      <c r="G527" s="64"/>
    </row>
    <row r="528" spans="1:7" ht="12.75">
      <c r="A528" s="64"/>
      <c r="B528" s="64"/>
      <c r="C528" s="64"/>
      <c r="D528" s="65"/>
      <c r="E528" s="64"/>
      <c r="F528" s="64"/>
      <c r="G528" s="64"/>
    </row>
    <row r="529" spans="1:7" ht="12.75">
      <c r="A529" s="64"/>
      <c r="B529" s="64"/>
      <c r="C529" s="64"/>
      <c r="D529" s="65"/>
      <c r="E529" s="64"/>
      <c r="F529" s="64"/>
      <c r="G529" s="64"/>
    </row>
    <row r="530" spans="1:7" ht="12.75">
      <c r="A530" s="64"/>
      <c r="B530" s="64"/>
      <c r="C530" s="64"/>
      <c r="D530" s="65"/>
      <c r="E530" s="64"/>
      <c r="F530" s="64"/>
      <c r="G530" s="64"/>
    </row>
    <row r="531" spans="1:7" ht="12.75">
      <c r="A531" s="64"/>
      <c r="B531" s="64"/>
      <c r="C531" s="64"/>
      <c r="D531" s="65"/>
      <c r="E531" s="64"/>
      <c r="F531" s="64"/>
      <c r="G531" s="64"/>
    </row>
    <row r="532" spans="1:7" ht="12.75">
      <c r="A532" s="64"/>
      <c r="B532" s="64"/>
      <c r="C532" s="64"/>
      <c r="D532" s="65"/>
      <c r="E532" s="64"/>
      <c r="F532" s="64"/>
      <c r="G532" s="64"/>
    </row>
    <row r="533" spans="1:7" ht="12.75">
      <c r="A533" s="64"/>
      <c r="B533" s="64"/>
      <c r="C533" s="64"/>
      <c r="D533" s="65"/>
      <c r="E533" s="64"/>
      <c r="F533" s="64"/>
      <c r="G533" s="64"/>
    </row>
    <row r="534" spans="1:7" ht="12.75">
      <c r="A534" s="64"/>
      <c r="B534" s="64"/>
      <c r="C534" s="64"/>
      <c r="D534" s="65"/>
      <c r="E534" s="64"/>
      <c r="F534" s="64"/>
      <c r="G534" s="64"/>
    </row>
    <row r="535" spans="1:7" ht="12.75">
      <c r="A535" s="64"/>
      <c r="B535" s="64"/>
      <c r="C535" s="64"/>
      <c r="D535" s="65"/>
      <c r="E535" s="64"/>
      <c r="F535" s="64"/>
      <c r="G535" s="64"/>
    </row>
    <row r="536" spans="1:7" ht="12.75">
      <c r="A536" s="64"/>
      <c r="B536" s="64"/>
      <c r="C536" s="64"/>
      <c r="D536" s="65"/>
      <c r="E536" s="64"/>
      <c r="F536" s="64"/>
      <c r="G536" s="64"/>
    </row>
    <row r="537" spans="1:7" ht="12.75">
      <c r="A537" s="64"/>
      <c r="B537" s="64"/>
      <c r="C537" s="64"/>
      <c r="D537" s="65"/>
      <c r="E537" s="64"/>
      <c r="F537" s="64"/>
      <c r="G537" s="64"/>
    </row>
    <row r="538" spans="1:7" ht="12.75">
      <c r="A538" s="64"/>
      <c r="B538" s="64"/>
      <c r="C538" s="64"/>
      <c r="D538" s="65"/>
      <c r="E538" s="64"/>
      <c r="F538" s="64"/>
      <c r="G538" s="64"/>
    </row>
    <row r="539" spans="1:7" ht="12.75">
      <c r="A539" s="64"/>
      <c r="B539" s="64"/>
      <c r="C539" s="64"/>
      <c r="D539" s="65"/>
      <c r="E539" s="64"/>
      <c r="F539" s="64"/>
      <c r="G539" s="64"/>
    </row>
    <row r="540" spans="1:7" ht="12.75">
      <c r="A540" s="64"/>
      <c r="B540" s="64"/>
      <c r="C540" s="64"/>
      <c r="D540" s="65"/>
      <c r="E540" s="64"/>
      <c r="F540" s="64"/>
      <c r="G540" s="64"/>
    </row>
    <row r="541" spans="1:7" ht="12.75">
      <c r="A541" s="64"/>
      <c r="B541" s="64"/>
      <c r="C541" s="64"/>
      <c r="D541" s="65"/>
      <c r="E541" s="64"/>
      <c r="F541" s="64"/>
      <c r="G541" s="64"/>
    </row>
    <row r="542" spans="1:7" ht="12.75">
      <c r="A542" s="64"/>
      <c r="B542" s="64"/>
      <c r="C542" s="64"/>
      <c r="D542" s="65"/>
      <c r="E542" s="64"/>
      <c r="F542" s="64"/>
      <c r="G542" s="64"/>
    </row>
    <row r="543" spans="1:7" ht="12.75">
      <c r="A543" s="64"/>
      <c r="B543" s="64"/>
      <c r="C543" s="64"/>
      <c r="D543" s="65"/>
      <c r="E543" s="64"/>
      <c r="F543" s="64"/>
      <c r="G543" s="64"/>
    </row>
    <row r="544" spans="1:7" ht="12.75">
      <c r="A544" s="64"/>
      <c r="B544" s="64"/>
      <c r="C544" s="64"/>
      <c r="D544" s="65"/>
      <c r="E544" s="64"/>
      <c r="F544" s="64"/>
      <c r="G544" s="64"/>
    </row>
    <row r="545" spans="1:7" ht="12.75">
      <c r="A545" s="64"/>
      <c r="B545" s="64"/>
      <c r="C545" s="64"/>
      <c r="D545" s="65"/>
      <c r="E545" s="64"/>
      <c r="F545" s="64"/>
      <c r="G545" s="64"/>
    </row>
    <row r="546" spans="1:7" ht="12.75">
      <c r="A546" s="64"/>
      <c r="B546" s="64"/>
      <c r="C546" s="64"/>
      <c r="D546" s="65"/>
      <c r="E546" s="64"/>
      <c r="F546" s="64"/>
      <c r="G546" s="64"/>
    </row>
    <row r="547" spans="1:7" ht="12.75">
      <c r="A547" s="64"/>
      <c r="B547" s="64"/>
      <c r="C547" s="64"/>
      <c r="D547" s="65"/>
      <c r="E547" s="64"/>
      <c r="F547" s="64"/>
      <c r="G547" s="64"/>
    </row>
    <row r="548" spans="1:7" ht="12.75">
      <c r="A548" s="64"/>
      <c r="B548" s="64"/>
      <c r="C548" s="64"/>
      <c r="D548" s="65"/>
      <c r="E548" s="64"/>
      <c r="F548" s="64"/>
      <c r="G548" s="64"/>
    </row>
    <row r="549" spans="1:7" ht="12.75">
      <c r="A549" s="64"/>
      <c r="B549" s="64"/>
      <c r="C549" s="64"/>
      <c r="D549" s="65"/>
      <c r="E549" s="64"/>
      <c r="F549" s="64"/>
      <c r="G549" s="64"/>
    </row>
    <row r="550" spans="1:7" ht="12.75">
      <c r="A550" s="64"/>
      <c r="B550" s="64"/>
      <c r="C550" s="64"/>
      <c r="D550" s="65"/>
      <c r="E550" s="64"/>
      <c r="F550" s="64"/>
      <c r="G550" s="64"/>
    </row>
    <row r="551" spans="1:7" ht="12.75">
      <c r="A551" s="64"/>
      <c r="B551" s="64"/>
      <c r="C551" s="64"/>
      <c r="D551" s="65"/>
      <c r="E551" s="64"/>
      <c r="F551" s="64"/>
      <c r="G551" s="64"/>
    </row>
    <row r="552" spans="1:7" ht="12.75">
      <c r="A552" s="64"/>
      <c r="B552" s="64"/>
      <c r="C552" s="64"/>
      <c r="D552" s="65"/>
      <c r="E552" s="64"/>
      <c r="F552" s="64"/>
      <c r="G552" s="64"/>
    </row>
    <row r="553" spans="1:7" ht="12.75">
      <c r="A553" s="64"/>
      <c r="B553" s="64"/>
      <c r="C553" s="64"/>
      <c r="D553" s="65"/>
      <c r="E553" s="64"/>
      <c r="F553" s="64"/>
      <c r="G553" s="64"/>
    </row>
    <row r="554" spans="1:7" ht="12.75">
      <c r="A554" s="64"/>
      <c r="B554" s="64"/>
      <c r="C554" s="64"/>
      <c r="D554" s="65"/>
      <c r="E554" s="64"/>
      <c r="F554" s="64"/>
      <c r="G554" s="64"/>
    </row>
    <row r="555" spans="1:7" ht="12.75">
      <c r="A555" s="64"/>
      <c r="B555" s="64"/>
      <c r="C555" s="64"/>
      <c r="D555" s="65"/>
      <c r="E555" s="64"/>
      <c r="F555" s="64"/>
      <c r="G555" s="64"/>
    </row>
    <row r="556" spans="1:7" ht="12.75">
      <c r="A556" s="64"/>
      <c r="B556" s="64"/>
      <c r="C556" s="64"/>
      <c r="D556" s="65"/>
      <c r="E556" s="64"/>
      <c r="F556" s="64"/>
      <c r="G556" s="64"/>
    </row>
    <row r="557" spans="1:7" ht="12.75">
      <c r="A557" s="64"/>
      <c r="B557" s="64"/>
      <c r="C557" s="64"/>
      <c r="D557" s="65"/>
      <c r="E557" s="64"/>
      <c r="F557" s="64"/>
      <c r="G557" s="64"/>
    </row>
    <row r="558" spans="1:7" ht="12.75">
      <c r="A558" s="64"/>
      <c r="B558" s="64"/>
      <c r="C558" s="64"/>
      <c r="D558" s="65"/>
      <c r="E558" s="64"/>
      <c r="F558" s="64"/>
      <c r="G558" s="64"/>
    </row>
    <row r="559" spans="1:7" ht="12.75">
      <c r="A559" s="64"/>
      <c r="B559" s="64"/>
      <c r="C559" s="64"/>
      <c r="D559" s="65"/>
      <c r="E559" s="64"/>
      <c r="F559" s="64"/>
      <c r="G559" s="64"/>
    </row>
    <row r="560" spans="1:7" ht="12.75">
      <c r="A560" s="64"/>
      <c r="B560" s="64"/>
      <c r="C560" s="64"/>
      <c r="D560" s="65"/>
      <c r="E560" s="64"/>
      <c r="F560" s="64"/>
      <c r="G560" s="64"/>
    </row>
    <row r="561" spans="1:7" ht="12.75">
      <c r="A561" s="64"/>
      <c r="B561" s="64"/>
      <c r="C561" s="64"/>
      <c r="D561" s="65"/>
      <c r="E561" s="64"/>
      <c r="F561" s="64"/>
      <c r="G561" s="64"/>
    </row>
    <row r="562" spans="1:7" ht="12.75">
      <c r="A562" s="64"/>
      <c r="B562" s="64"/>
      <c r="C562" s="64"/>
      <c r="D562" s="65"/>
      <c r="E562" s="64"/>
      <c r="F562" s="64"/>
      <c r="G562" s="64"/>
    </row>
    <row r="563" spans="1:7" ht="12.75">
      <c r="A563" s="64"/>
      <c r="B563" s="64"/>
      <c r="C563" s="64"/>
      <c r="D563" s="65"/>
      <c r="E563" s="64"/>
      <c r="F563" s="64"/>
      <c r="G563" s="64"/>
    </row>
    <row r="564" spans="1:7" ht="12.75">
      <c r="A564" s="64"/>
      <c r="B564" s="64"/>
      <c r="C564" s="64"/>
      <c r="D564" s="65"/>
      <c r="E564" s="64"/>
      <c r="F564" s="64"/>
      <c r="G564" s="64"/>
    </row>
    <row r="565" spans="1:7" ht="12.75">
      <c r="A565" s="64"/>
      <c r="B565" s="64"/>
      <c r="C565" s="64"/>
      <c r="D565" s="65"/>
      <c r="E565" s="64"/>
      <c r="F565" s="64"/>
      <c r="G565" s="64"/>
    </row>
    <row r="566" spans="1:7" ht="12.75">
      <c r="A566" s="64"/>
      <c r="B566" s="64"/>
      <c r="C566" s="64"/>
      <c r="D566" s="65"/>
      <c r="E566" s="64"/>
      <c r="F566" s="64"/>
      <c r="G566" s="64"/>
    </row>
    <row r="567" spans="1:7" ht="12.75">
      <c r="A567" s="64"/>
      <c r="B567" s="64"/>
      <c r="C567" s="64"/>
      <c r="D567" s="65"/>
      <c r="E567" s="64"/>
      <c r="F567" s="64"/>
      <c r="G567" s="64"/>
    </row>
    <row r="568" spans="1:7" ht="12.75">
      <c r="A568" s="64"/>
      <c r="B568" s="64"/>
      <c r="C568" s="64"/>
      <c r="D568" s="65"/>
      <c r="E568" s="64"/>
      <c r="F568" s="64"/>
      <c r="G568" s="64"/>
    </row>
    <row r="569" spans="1:7" ht="12.75">
      <c r="A569" s="64"/>
      <c r="B569" s="64"/>
      <c r="C569" s="64"/>
      <c r="D569" s="65"/>
      <c r="E569" s="64"/>
      <c r="F569" s="64"/>
      <c r="G569" s="64"/>
    </row>
    <row r="570" spans="1:7" ht="12.75">
      <c r="A570" s="64"/>
      <c r="B570" s="64"/>
      <c r="C570" s="64"/>
      <c r="D570" s="65"/>
      <c r="E570" s="64"/>
      <c r="F570" s="64"/>
      <c r="G570" s="64"/>
    </row>
    <row r="571" spans="1:7" ht="12.75">
      <c r="A571" s="64"/>
      <c r="B571" s="64"/>
      <c r="C571" s="64"/>
      <c r="D571" s="65"/>
      <c r="E571" s="64"/>
      <c r="F571" s="64"/>
      <c r="G571" s="64"/>
    </row>
    <row r="572" spans="1:7" ht="12.75">
      <c r="A572" s="64"/>
      <c r="B572" s="64"/>
      <c r="C572" s="64"/>
      <c r="D572" s="65"/>
      <c r="E572" s="64"/>
      <c r="F572" s="64"/>
      <c r="G572" s="64"/>
    </row>
    <row r="573" spans="1:7" ht="12.75">
      <c r="A573" s="64"/>
      <c r="B573" s="64"/>
      <c r="C573" s="64"/>
      <c r="D573" s="65"/>
      <c r="E573" s="64"/>
      <c r="F573" s="64"/>
      <c r="G573" s="64"/>
    </row>
    <row r="574" spans="1:7" ht="12.75">
      <c r="A574" s="64"/>
      <c r="B574" s="64"/>
      <c r="C574" s="64"/>
      <c r="D574" s="65"/>
      <c r="E574" s="64"/>
      <c r="F574" s="64"/>
      <c r="G574" s="64"/>
    </row>
    <row r="575" spans="1:7" ht="12.75">
      <c r="A575" s="64"/>
      <c r="B575" s="64"/>
      <c r="C575" s="64"/>
      <c r="D575" s="65"/>
      <c r="E575" s="64"/>
      <c r="F575" s="64"/>
      <c r="G575" s="64"/>
    </row>
    <row r="576" spans="1:7" ht="12.75">
      <c r="A576" s="64"/>
      <c r="B576" s="64"/>
      <c r="C576" s="64"/>
      <c r="D576" s="65"/>
      <c r="E576" s="64"/>
      <c r="F576" s="64"/>
      <c r="G576" s="64"/>
    </row>
    <row r="577" spans="1:7" ht="12.75">
      <c r="A577" s="64"/>
      <c r="B577" s="64"/>
      <c r="C577" s="64"/>
      <c r="D577" s="65"/>
      <c r="E577" s="64"/>
      <c r="F577" s="64"/>
      <c r="G577" s="64"/>
    </row>
    <row r="578" spans="1:7" ht="12.75">
      <c r="A578" s="64"/>
      <c r="B578" s="64"/>
      <c r="C578" s="64"/>
      <c r="D578" s="65"/>
      <c r="E578" s="64"/>
      <c r="F578" s="64"/>
      <c r="G578" s="64"/>
    </row>
    <row r="579" spans="1:7" ht="12.75">
      <c r="A579" s="64"/>
      <c r="B579" s="64"/>
      <c r="C579" s="64"/>
      <c r="D579" s="65"/>
      <c r="E579" s="64"/>
      <c r="F579" s="64"/>
      <c r="G579" s="64"/>
    </row>
    <row r="580" spans="1:7" ht="12.75">
      <c r="A580" s="64"/>
      <c r="B580" s="64"/>
      <c r="C580" s="64"/>
      <c r="D580" s="65"/>
      <c r="E580" s="64"/>
      <c r="F580" s="64"/>
      <c r="G580" s="64"/>
    </row>
    <row r="581" spans="1:7" ht="12.75">
      <c r="A581" s="64"/>
      <c r="B581" s="64"/>
      <c r="C581" s="64"/>
      <c r="D581" s="65"/>
      <c r="E581" s="64"/>
      <c r="F581" s="64"/>
      <c r="G581" s="64"/>
    </row>
    <row r="582" spans="1:7" ht="12.75">
      <c r="A582" s="64"/>
      <c r="B582" s="64"/>
      <c r="C582" s="64"/>
      <c r="D582" s="65"/>
      <c r="E582" s="64"/>
      <c r="F582" s="64"/>
      <c r="G582" s="64"/>
    </row>
    <row r="583" spans="1:7" ht="12.75">
      <c r="A583" s="64"/>
      <c r="B583" s="64"/>
      <c r="C583" s="64"/>
      <c r="D583" s="65"/>
      <c r="E583" s="64"/>
      <c r="F583" s="64"/>
      <c r="G583" s="64"/>
    </row>
    <row r="584" spans="1:7" ht="12.75">
      <c r="A584" s="64"/>
      <c r="B584" s="64"/>
      <c r="C584" s="64"/>
      <c r="D584" s="65"/>
      <c r="E584" s="64"/>
      <c r="F584" s="64"/>
      <c r="G584" s="64"/>
    </row>
    <row r="585" spans="1:7" ht="12.75">
      <c r="A585" s="64"/>
      <c r="B585" s="64"/>
      <c r="C585" s="64"/>
      <c r="D585" s="65"/>
      <c r="E585" s="64"/>
      <c r="F585" s="64"/>
      <c r="G585" s="64"/>
    </row>
    <row r="586" spans="1:7" ht="12.75">
      <c r="A586" s="64"/>
      <c r="B586" s="64"/>
      <c r="C586" s="64"/>
      <c r="D586" s="65"/>
      <c r="E586" s="64"/>
      <c r="F586" s="64"/>
      <c r="G586" s="64"/>
    </row>
    <row r="587" spans="1:7" ht="12.75">
      <c r="A587" s="64"/>
      <c r="B587" s="64"/>
      <c r="C587" s="64"/>
      <c r="D587" s="65"/>
      <c r="E587" s="64"/>
      <c r="F587" s="64"/>
      <c r="G587" s="64"/>
    </row>
    <row r="588" spans="1:7" ht="12.75">
      <c r="A588" s="64"/>
      <c r="B588" s="64"/>
      <c r="C588" s="64"/>
      <c r="D588" s="65"/>
      <c r="E588" s="64"/>
      <c r="F588" s="64"/>
      <c r="G588" s="64"/>
    </row>
    <row r="589" spans="1:7" ht="12.75">
      <c r="A589" s="64"/>
      <c r="B589" s="64"/>
      <c r="C589" s="64"/>
      <c r="D589" s="65"/>
      <c r="E589" s="64"/>
      <c r="F589" s="64"/>
      <c r="G589" s="64"/>
    </row>
    <row r="590" spans="1:7" ht="12.75">
      <c r="A590" s="64"/>
      <c r="B590" s="64"/>
      <c r="C590" s="64"/>
      <c r="D590" s="65"/>
      <c r="E590" s="64"/>
      <c r="F590" s="64"/>
      <c r="G590" s="64"/>
    </row>
    <row r="591" spans="1:7" ht="12.75">
      <c r="A591" s="64"/>
      <c r="B591" s="64"/>
      <c r="C591" s="64"/>
      <c r="D591" s="65"/>
      <c r="E591" s="64"/>
      <c r="F591" s="64"/>
      <c r="G591" s="64"/>
    </row>
    <row r="592" spans="1:7" ht="12.75">
      <c r="A592" s="64"/>
      <c r="B592" s="64"/>
      <c r="C592" s="64"/>
      <c r="D592" s="65"/>
      <c r="E592" s="64"/>
      <c r="F592" s="64"/>
      <c r="G592" s="64"/>
    </row>
    <row r="593" spans="1:7" ht="12.75">
      <c r="A593" s="64"/>
      <c r="B593" s="64"/>
      <c r="C593" s="64"/>
      <c r="D593" s="65"/>
      <c r="E593" s="64"/>
      <c r="F593" s="64"/>
      <c r="G593" s="64"/>
    </row>
    <row r="594" spans="1:7" ht="12.75">
      <c r="A594" s="64"/>
      <c r="B594" s="64"/>
      <c r="C594" s="64"/>
      <c r="D594" s="65"/>
      <c r="E594" s="64"/>
      <c r="F594" s="64"/>
      <c r="G594" s="64"/>
    </row>
    <row r="595" spans="1:7" ht="12.75">
      <c r="A595" s="64"/>
      <c r="B595" s="64"/>
      <c r="C595" s="64"/>
      <c r="D595" s="65"/>
      <c r="E595" s="64"/>
      <c r="F595" s="64"/>
      <c r="G595" s="64"/>
    </row>
    <row r="596" spans="1:7" ht="12.75">
      <c r="A596" s="64"/>
      <c r="B596" s="64"/>
      <c r="C596" s="64"/>
      <c r="D596" s="65"/>
      <c r="E596" s="64"/>
      <c r="F596" s="64"/>
      <c r="G596" s="64"/>
    </row>
    <row r="597" spans="1:7" ht="12.75">
      <c r="A597" s="64"/>
      <c r="B597" s="64"/>
      <c r="C597" s="64"/>
      <c r="D597" s="65"/>
      <c r="E597" s="64"/>
      <c r="F597" s="64"/>
      <c r="G597" s="64"/>
    </row>
    <row r="598" spans="1:7" ht="12.75">
      <c r="A598" s="64"/>
      <c r="B598" s="64"/>
      <c r="C598" s="64"/>
      <c r="D598" s="65"/>
      <c r="E598" s="64"/>
      <c r="F598" s="64"/>
      <c r="G598" s="64"/>
    </row>
    <row r="599" spans="1:7" ht="12.75">
      <c r="A599" s="64"/>
      <c r="B599" s="64"/>
      <c r="C599" s="64"/>
      <c r="D599" s="65"/>
      <c r="E599" s="64"/>
      <c r="F599" s="64"/>
      <c r="G599" s="64"/>
    </row>
    <row r="600" spans="1:7" ht="12.75">
      <c r="A600" s="64"/>
      <c r="B600" s="64"/>
      <c r="C600" s="64"/>
      <c r="D600" s="65"/>
      <c r="E600" s="64"/>
      <c r="F600" s="64"/>
      <c r="G600" s="64"/>
    </row>
    <row r="601" spans="1:7" ht="12.75">
      <c r="A601" s="64"/>
      <c r="B601" s="64"/>
      <c r="C601" s="64"/>
      <c r="D601" s="65"/>
      <c r="E601" s="64"/>
      <c r="F601" s="64"/>
      <c r="G601" s="64"/>
    </row>
    <row r="602" spans="1:7" ht="12.75">
      <c r="A602" s="64"/>
      <c r="B602" s="64"/>
      <c r="C602" s="64"/>
      <c r="D602" s="65"/>
      <c r="E602" s="64"/>
      <c r="F602" s="64"/>
      <c r="G602" s="64"/>
    </row>
    <row r="603" spans="1:7" ht="12.75">
      <c r="A603" s="64"/>
      <c r="B603" s="64"/>
      <c r="C603" s="64"/>
      <c r="D603" s="65"/>
      <c r="E603" s="64"/>
      <c r="F603" s="64"/>
      <c r="G603" s="64"/>
    </row>
    <row r="604" spans="1:7" ht="12.75">
      <c r="A604" s="64"/>
      <c r="B604" s="64"/>
      <c r="C604" s="64"/>
      <c r="D604" s="65"/>
      <c r="E604" s="64"/>
      <c r="F604" s="64"/>
      <c r="G604" s="64"/>
    </row>
    <row r="605" spans="1:7" ht="12.75">
      <c r="A605" s="64"/>
      <c r="B605" s="64"/>
      <c r="C605" s="64"/>
      <c r="D605" s="65"/>
      <c r="E605" s="64"/>
      <c r="F605" s="64"/>
      <c r="G605" s="64"/>
    </row>
    <row r="606" spans="1:7" ht="12.75">
      <c r="A606" s="64"/>
      <c r="B606" s="64"/>
      <c r="C606" s="64"/>
      <c r="D606" s="65"/>
      <c r="E606" s="64"/>
      <c r="F606" s="64"/>
      <c r="G606" s="64"/>
    </row>
    <row r="607" spans="1:7" ht="12.75">
      <c r="A607" s="64"/>
      <c r="B607" s="64"/>
      <c r="C607" s="64"/>
      <c r="D607" s="65"/>
      <c r="E607" s="64"/>
      <c r="F607" s="64"/>
      <c r="G607" s="64"/>
    </row>
    <row r="608" spans="1:7" ht="12.75">
      <c r="A608" s="64"/>
      <c r="B608" s="64"/>
      <c r="C608" s="64"/>
      <c r="D608" s="65"/>
      <c r="E608" s="64"/>
      <c r="F608" s="64"/>
      <c r="G608" s="64"/>
    </row>
    <row r="609" spans="1:7" ht="12.75">
      <c r="A609" s="64"/>
      <c r="B609" s="64"/>
      <c r="C609" s="64"/>
      <c r="D609" s="65"/>
      <c r="E609" s="64"/>
      <c r="F609" s="64"/>
      <c r="G609" s="64"/>
    </row>
    <row r="610" spans="1:7" ht="12.75">
      <c r="A610" s="64"/>
      <c r="B610" s="64"/>
      <c r="C610" s="64"/>
      <c r="D610" s="65"/>
      <c r="E610" s="64"/>
      <c r="F610" s="64"/>
      <c r="G610" s="64"/>
    </row>
    <row r="611" spans="1:7" ht="12.75">
      <c r="A611" s="64"/>
      <c r="B611" s="64"/>
      <c r="C611" s="64"/>
      <c r="D611" s="65"/>
      <c r="E611" s="64"/>
      <c r="F611" s="64"/>
      <c r="G611" s="64"/>
    </row>
    <row r="612" spans="1:7" ht="12.75">
      <c r="A612" s="64"/>
      <c r="B612" s="64"/>
      <c r="C612" s="64"/>
      <c r="D612" s="65"/>
      <c r="E612" s="64"/>
      <c r="F612" s="64"/>
      <c r="G612" s="64"/>
    </row>
    <row r="613" spans="1:7" ht="12.75">
      <c r="A613" s="64"/>
      <c r="B613" s="64"/>
      <c r="C613" s="64"/>
      <c r="D613" s="65"/>
      <c r="E613" s="64"/>
      <c r="F613" s="64"/>
      <c r="G613" s="64"/>
    </row>
    <row r="614" spans="1:7" ht="12.75">
      <c r="A614" s="64"/>
      <c r="B614" s="64"/>
      <c r="C614" s="64"/>
      <c r="D614" s="65"/>
      <c r="E614" s="64"/>
      <c r="F614" s="64"/>
      <c r="G614" s="64"/>
    </row>
    <row r="615" spans="1:7" ht="12.75">
      <c r="A615" s="64"/>
      <c r="B615" s="64"/>
      <c r="C615" s="64"/>
      <c r="D615" s="65"/>
      <c r="E615" s="64"/>
      <c r="F615" s="64"/>
      <c r="G615" s="64"/>
    </row>
    <row r="616" spans="1:7" ht="12.75">
      <c r="A616" s="64"/>
      <c r="B616" s="64"/>
      <c r="C616" s="64"/>
      <c r="D616" s="65"/>
      <c r="E616" s="64"/>
      <c r="F616" s="64"/>
      <c r="G616" s="64"/>
    </row>
    <row r="617" spans="1:7" ht="12.75">
      <c r="A617" s="64"/>
      <c r="B617" s="64"/>
      <c r="C617" s="64"/>
      <c r="D617" s="65"/>
      <c r="E617" s="64"/>
      <c r="F617" s="64"/>
      <c r="G617" s="64"/>
    </row>
    <row r="618" spans="1:7" ht="12.75">
      <c r="A618" s="64"/>
      <c r="B618" s="64"/>
      <c r="C618" s="64"/>
      <c r="D618" s="65"/>
      <c r="E618" s="64"/>
      <c r="F618" s="64"/>
      <c r="G618" s="64"/>
    </row>
    <row r="619" spans="1:7" ht="12.75">
      <c r="A619" s="64"/>
      <c r="B619" s="64"/>
      <c r="C619" s="64"/>
      <c r="D619" s="65"/>
      <c r="E619" s="64"/>
      <c r="F619" s="64"/>
      <c r="G619" s="64"/>
    </row>
    <row r="620" spans="1:7" ht="12.75">
      <c r="A620" s="64"/>
      <c r="B620" s="64"/>
      <c r="C620" s="64"/>
      <c r="D620" s="65"/>
      <c r="E620" s="64"/>
      <c r="F620" s="64"/>
      <c r="G620" s="64"/>
    </row>
    <row r="621" spans="1:7" ht="12.75">
      <c r="A621" s="64"/>
      <c r="B621" s="64"/>
      <c r="C621" s="64"/>
      <c r="D621" s="65"/>
      <c r="E621" s="64"/>
      <c r="F621" s="64"/>
      <c r="G621" s="64"/>
    </row>
    <row r="622" spans="1:7" ht="12.75">
      <c r="A622" s="64"/>
      <c r="B622" s="64"/>
      <c r="C622" s="64"/>
      <c r="D622" s="65"/>
      <c r="E622" s="64"/>
      <c r="F622" s="64"/>
      <c r="G622" s="64"/>
    </row>
    <row r="623" spans="1:7" ht="12.75">
      <c r="A623" s="64"/>
      <c r="B623" s="64"/>
      <c r="C623" s="64"/>
      <c r="D623" s="65"/>
      <c r="E623" s="64"/>
      <c r="F623" s="64"/>
      <c r="G623" s="64"/>
    </row>
    <row r="624" spans="1:7" ht="12.75">
      <c r="A624" s="64"/>
      <c r="B624" s="64"/>
      <c r="C624" s="64"/>
      <c r="D624" s="65"/>
      <c r="E624" s="64"/>
      <c r="F624" s="64"/>
      <c r="G624" s="64"/>
    </row>
    <row r="625" spans="1:7" ht="12.75">
      <c r="A625" s="64"/>
      <c r="B625" s="64"/>
      <c r="C625" s="64"/>
      <c r="D625" s="65"/>
      <c r="E625" s="64"/>
      <c r="F625" s="64"/>
      <c r="G625" s="64"/>
    </row>
    <row r="626" spans="1:7" ht="12.75">
      <c r="A626" s="64"/>
      <c r="B626" s="64"/>
      <c r="C626" s="64"/>
      <c r="D626" s="65"/>
      <c r="E626" s="64"/>
      <c r="F626" s="64"/>
      <c r="G626" s="64"/>
    </row>
    <row r="627" spans="1:7" ht="12.75">
      <c r="A627" s="64"/>
      <c r="B627" s="64"/>
      <c r="C627" s="64"/>
      <c r="D627" s="65"/>
      <c r="E627" s="64"/>
      <c r="F627" s="64"/>
      <c r="G627" s="64"/>
    </row>
    <row r="628" spans="1:7" ht="12.75">
      <c r="A628" s="64"/>
      <c r="B628" s="64"/>
      <c r="C628" s="64"/>
      <c r="D628" s="65"/>
      <c r="E628" s="64"/>
      <c r="F628" s="64"/>
      <c r="G628" s="64"/>
    </row>
    <row r="629" spans="1:7" ht="12.75">
      <c r="A629" s="64"/>
      <c r="B629" s="64"/>
      <c r="C629" s="64"/>
      <c r="D629" s="65"/>
      <c r="E629" s="64"/>
      <c r="F629" s="64"/>
      <c r="G629" s="64"/>
    </row>
    <row r="630" spans="1:7" ht="12.75">
      <c r="A630" s="64"/>
      <c r="B630" s="64"/>
      <c r="C630" s="64"/>
      <c r="D630" s="65"/>
      <c r="E630" s="64"/>
      <c r="F630" s="64"/>
      <c r="G630" s="64"/>
    </row>
    <row r="631" spans="1:7" ht="12.75">
      <c r="A631" s="64"/>
      <c r="B631" s="64"/>
      <c r="C631" s="64"/>
      <c r="D631" s="65"/>
      <c r="E631" s="64"/>
      <c r="F631" s="64"/>
      <c r="G631" s="64"/>
    </row>
    <row r="632" spans="1:7" ht="12.75">
      <c r="A632" s="64"/>
      <c r="B632" s="64"/>
      <c r="C632" s="64"/>
      <c r="D632" s="65"/>
      <c r="E632" s="64"/>
      <c r="F632" s="64"/>
      <c r="G632" s="64"/>
    </row>
    <row r="633" spans="1:7" ht="12.75">
      <c r="A633" s="64"/>
      <c r="B633" s="64"/>
      <c r="C633" s="64"/>
      <c r="D633" s="65"/>
      <c r="E633" s="64"/>
      <c r="F633" s="64"/>
      <c r="G633" s="64"/>
    </row>
    <row r="634" spans="1:7" ht="12.75">
      <c r="A634" s="64"/>
      <c r="B634" s="64"/>
      <c r="C634" s="64"/>
      <c r="D634" s="65"/>
      <c r="E634" s="64"/>
      <c r="F634" s="64"/>
      <c r="G634" s="64"/>
    </row>
    <row r="635" spans="1:7" ht="12.75">
      <c r="A635" s="64"/>
      <c r="B635" s="64"/>
      <c r="C635" s="64"/>
      <c r="D635" s="65"/>
      <c r="E635" s="64"/>
      <c r="F635" s="64"/>
      <c r="G635" s="64"/>
    </row>
    <row r="636" spans="1:7" ht="12.75">
      <c r="A636" s="64"/>
      <c r="B636" s="64"/>
      <c r="C636" s="64"/>
      <c r="D636" s="65"/>
      <c r="E636" s="64"/>
      <c r="F636" s="64"/>
      <c r="G636" s="64"/>
    </row>
    <row r="637" spans="1:7" ht="12.75">
      <c r="A637" s="64"/>
      <c r="B637" s="64"/>
      <c r="C637" s="64"/>
      <c r="D637" s="65"/>
      <c r="E637" s="64"/>
      <c r="F637" s="64"/>
      <c r="G637" s="64"/>
    </row>
    <row r="638" spans="1:7" ht="12.75">
      <c r="A638" s="64"/>
      <c r="B638" s="64"/>
      <c r="C638" s="64"/>
      <c r="D638" s="65"/>
      <c r="E638" s="64"/>
      <c r="F638" s="64"/>
      <c r="G638" s="64"/>
    </row>
    <row r="639" spans="1:7" ht="12.75">
      <c r="A639" s="64"/>
      <c r="B639" s="64"/>
      <c r="C639" s="64"/>
      <c r="D639" s="65"/>
      <c r="E639" s="64"/>
      <c r="F639" s="64"/>
      <c r="G639" s="64"/>
    </row>
    <row r="640" spans="1:7" ht="12.75">
      <c r="A640" s="64"/>
      <c r="B640" s="64"/>
      <c r="C640" s="64"/>
      <c r="D640" s="65"/>
      <c r="E640" s="64"/>
      <c r="F640" s="64"/>
      <c r="G640" s="64"/>
    </row>
    <row r="641" spans="1:7" ht="12.75">
      <c r="A641" s="64"/>
      <c r="B641" s="64"/>
      <c r="C641" s="64"/>
      <c r="D641" s="65"/>
      <c r="E641" s="64"/>
      <c r="F641" s="64"/>
      <c r="G641" s="64"/>
    </row>
    <row r="642" spans="1:7" ht="12.75">
      <c r="A642" s="64"/>
      <c r="B642" s="64"/>
      <c r="C642" s="64"/>
      <c r="D642" s="65"/>
      <c r="E642" s="64"/>
      <c r="F642" s="64"/>
      <c r="G642" s="64"/>
    </row>
    <row r="643" spans="1:7" ht="12.75">
      <c r="A643" s="64"/>
      <c r="B643" s="64"/>
      <c r="C643" s="64"/>
      <c r="D643" s="65"/>
      <c r="E643" s="64"/>
      <c r="F643" s="64"/>
      <c r="G643" s="64"/>
    </row>
    <row r="644" spans="1:7" ht="12.75">
      <c r="A644" s="64"/>
      <c r="B644" s="64"/>
      <c r="C644" s="64"/>
      <c r="D644" s="65"/>
      <c r="E644" s="64"/>
      <c r="F644" s="64"/>
      <c r="G644" s="64"/>
    </row>
    <row r="645" spans="1:7" ht="12.75">
      <c r="A645" s="64"/>
      <c r="B645" s="64"/>
      <c r="C645" s="64"/>
      <c r="D645" s="65"/>
      <c r="E645" s="64"/>
      <c r="F645" s="64"/>
      <c r="G645" s="64"/>
    </row>
    <row r="646" spans="1:7" ht="12.75">
      <c r="A646" s="64"/>
      <c r="B646" s="64"/>
      <c r="C646" s="64"/>
      <c r="D646" s="65"/>
      <c r="E646" s="64"/>
      <c r="F646" s="64"/>
      <c r="G646" s="64"/>
    </row>
    <row r="647" spans="1:7" ht="12.75">
      <c r="A647" s="64"/>
      <c r="B647" s="64"/>
      <c r="C647" s="64"/>
      <c r="D647" s="65"/>
      <c r="E647" s="64"/>
      <c r="F647" s="64"/>
      <c r="G647" s="64"/>
    </row>
    <row r="648" spans="1:7" ht="12.75">
      <c r="A648" s="64"/>
      <c r="B648" s="64"/>
      <c r="C648" s="64"/>
      <c r="D648" s="65"/>
      <c r="E648" s="64"/>
      <c r="F648" s="64"/>
      <c r="G648" s="64"/>
    </row>
    <row r="649" spans="1:7" ht="12.75">
      <c r="A649" s="64"/>
      <c r="B649" s="64"/>
      <c r="C649" s="64"/>
      <c r="D649" s="65"/>
      <c r="E649" s="64"/>
      <c r="F649" s="64"/>
      <c r="G649" s="64"/>
    </row>
    <row r="650" spans="1:7" ht="12.75">
      <c r="A650" s="64"/>
      <c r="B650" s="64"/>
      <c r="C650" s="64"/>
      <c r="D650" s="65"/>
      <c r="E650" s="64"/>
      <c r="F650" s="64"/>
      <c r="G650" s="64"/>
    </row>
    <row r="651" spans="1:7" ht="12.75">
      <c r="A651" s="64"/>
      <c r="B651" s="64"/>
      <c r="C651" s="64"/>
      <c r="D651" s="65"/>
      <c r="E651" s="64"/>
      <c r="F651" s="64"/>
      <c r="G651" s="64"/>
    </row>
    <row r="652" spans="1:7" ht="12.75">
      <c r="A652" s="64"/>
      <c r="B652" s="64"/>
      <c r="C652" s="64"/>
      <c r="D652" s="65"/>
      <c r="E652" s="64"/>
      <c r="F652" s="64"/>
      <c r="G652" s="64"/>
    </row>
    <row r="653" spans="1:7" ht="12.75">
      <c r="A653" s="64"/>
      <c r="B653" s="64"/>
      <c r="C653" s="64"/>
      <c r="D653" s="65"/>
      <c r="E653" s="64"/>
      <c r="F653" s="64"/>
      <c r="G653" s="64"/>
    </row>
    <row r="654" spans="1:7" ht="12.75">
      <c r="A654" s="64"/>
      <c r="B654" s="64"/>
      <c r="C654" s="64"/>
      <c r="D654" s="65"/>
      <c r="E654" s="64"/>
      <c r="F654" s="64"/>
      <c r="G654" s="64"/>
    </row>
    <row r="655" spans="1:7" ht="12.75">
      <c r="A655" s="64"/>
      <c r="B655" s="64"/>
      <c r="C655" s="64"/>
      <c r="D655" s="65"/>
      <c r="E655" s="64"/>
      <c r="F655" s="64"/>
      <c r="G655" s="64"/>
    </row>
    <row r="656" spans="1:7" ht="12.75">
      <c r="A656" s="64"/>
      <c r="B656" s="64"/>
      <c r="C656" s="64"/>
      <c r="D656" s="65"/>
      <c r="E656" s="64"/>
      <c r="F656" s="64"/>
      <c r="G656" s="64"/>
    </row>
    <row r="657" spans="1:7" ht="12.75">
      <c r="A657" s="64"/>
      <c r="B657" s="64"/>
      <c r="C657" s="64"/>
      <c r="D657" s="65"/>
      <c r="E657" s="64"/>
      <c r="F657" s="64"/>
      <c r="G657" s="64"/>
    </row>
    <row r="658" spans="1:7" ht="12.75">
      <c r="A658" s="64"/>
      <c r="B658" s="64"/>
      <c r="C658" s="64"/>
      <c r="D658" s="65"/>
      <c r="E658" s="64"/>
      <c r="F658" s="64"/>
      <c r="G658" s="64"/>
    </row>
    <row r="659" spans="1:7" ht="12.75">
      <c r="A659" s="64"/>
      <c r="B659" s="64"/>
      <c r="C659" s="64"/>
      <c r="D659" s="65"/>
      <c r="E659" s="64"/>
      <c r="F659" s="64"/>
      <c r="G659" s="64"/>
    </row>
    <row r="660" spans="1:7" ht="12.75">
      <c r="A660" s="64"/>
      <c r="B660" s="64"/>
      <c r="C660" s="64"/>
      <c r="D660" s="65"/>
      <c r="E660" s="64"/>
      <c r="F660" s="64"/>
      <c r="G660" s="64"/>
    </row>
    <row r="661" spans="1:7" ht="12.75">
      <c r="A661" s="64"/>
      <c r="B661" s="64"/>
      <c r="C661" s="64"/>
      <c r="D661" s="65"/>
      <c r="E661" s="64"/>
      <c r="F661" s="64"/>
      <c r="G661" s="64"/>
    </row>
    <row r="662" spans="1:7" ht="12.75">
      <c r="A662" s="64"/>
      <c r="B662" s="64"/>
      <c r="C662" s="64"/>
      <c r="D662" s="65"/>
      <c r="E662" s="64"/>
      <c r="F662" s="64"/>
      <c r="G662" s="64"/>
    </row>
    <row r="663" spans="1:7" ht="12.75">
      <c r="A663" s="64"/>
      <c r="B663" s="64"/>
      <c r="C663" s="64"/>
      <c r="D663" s="65"/>
      <c r="E663" s="64"/>
      <c r="F663" s="64"/>
      <c r="G663" s="64"/>
    </row>
    <row r="664" spans="1:7" ht="12.75">
      <c r="A664" s="64"/>
      <c r="B664" s="64"/>
      <c r="C664" s="64"/>
      <c r="D664" s="65"/>
      <c r="E664" s="64"/>
      <c r="F664" s="64"/>
      <c r="G664" s="64"/>
    </row>
    <row r="665" spans="1:7" ht="12.75">
      <c r="A665" s="64"/>
      <c r="B665" s="64"/>
      <c r="C665" s="64"/>
      <c r="D665" s="65"/>
      <c r="E665" s="64"/>
      <c r="F665" s="64"/>
      <c r="G665" s="64"/>
    </row>
    <row r="666" spans="1:7" ht="12.75">
      <c r="A666" s="64"/>
      <c r="B666" s="64"/>
      <c r="C666" s="64"/>
      <c r="D666" s="65"/>
      <c r="E666" s="64"/>
      <c r="F666" s="64"/>
      <c r="G666" s="64"/>
    </row>
    <row r="667" spans="1:7" ht="12.75">
      <c r="A667" s="64"/>
      <c r="B667" s="64"/>
      <c r="C667" s="64"/>
      <c r="D667" s="65"/>
      <c r="E667" s="64"/>
      <c r="F667" s="64"/>
      <c r="G667" s="64"/>
    </row>
  </sheetData>
  <autoFilter ref="A1:H91" xr:uid="{00000000-0009-0000-0000-000004000000}"/>
  <mergeCells count="33">
    <mergeCell ref="G85:G87"/>
    <mergeCell ref="G88:G91"/>
    <mergeCell ref="G92:G93"/>
    <mergeCell ref="G94:G95"/>
    <mergeCell ref="G96:G97"/>
    <mergeCell ref="D88:D91"/>
    <mergeCell ref="D20:D22"/>
    <mergeCell ref="D26:D28"/>
    <mergeCell ref="D33:D35"/>
    <mergeCell ref="D39:D40"/>
    <mergeCell ref="D45:D46"/>
    <mergeCell ref="D51:D53"/>
    <mergeCell ref="D57:D58"/>
    <mergeCell ref="G20:G25"/>
    <mergeCell ref="D63:D64"/>
    <mergeCell ref="D71:D73"/>
    <mergeCell ref="D78:D79"/>
    <mergeCell ref="D81:D82"/>
    <mergeCell ref="G71:G76"/>
    <mergeCell ref="G77:G84"/>
    <mergeCell ref="G26:G32"/>
    <mergeCell ref="G33:G38"/>
    <mergeCell ref="G39:G44"/>
    <mergeCell ref="G45:G50"/>
    <mergeCell ref="G51:G55"/>
    <mergeCell ref="G56:G62"/>
    <mergeCell ref="G63:G70"/>
    <mergeCell ref="G2:G7"/>
    <mergeCell ref="D3:D5"/>
    <mergeCell ref="D8:D10"/>
    <mergeCell ref="G8:G13"/>
    <mergeCell ref="D14:D16"/>
    <mergeCell ref="G14:G19"/>
  </mergeCells>
  <dataValidations count="3">
    <dataValidation type="list" allowBlank="1" showErrorMessage="1" sqref="H32 H69:H70" xr:uid="{00000000-0002-0000-0400-000000000000}">
      <formula1>"Active,Dormant,Down,To Implement,Installed,Terminated,Inactive"</formula1>
    </dataValidation>
    <dataValidation type="list" allowBlank="1" showErrorMessage="1" sqref="H2:H31 H33:H68 H71:H97" xr:uid="{00000000-0002-0000-0400-000001000000}">
      <formula1>"Active,Inactive,Ongoing,Assist,Terminated,Deactivated"</formula1>
    </dataValidation>
    <dataValidation type="list" allowBlank="1" showErrorMessage="1" sqref="G2 G8 G14 G20 G26 G33 G39 G45 G51 G56 G63 G71 G77 G85 G88 G92 G94 G96" xr:uid="{00000000-0002-0000-0400-000002000000}">
      <formula1>"Inactive,Active"</formula1>
    </dataValidation>
  </dataValidations>
  <printOptions horizontalCentered="1" gridLines="1"/>
  <pageMargins left="0.25" right="0.25" top="0.75" bottom="0.75" header="0" footer="0"/>
  <pageSetup paperSize="6"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137"/>
  <sheetViews>
    <sheetView workbookViewId="0">
      <pane ySplit="1" topLeftCell="A2" activePane="bottomLeft" state="frozen"/>
      <selection pane="bottomLeft" activeCell="B3" sqref="B3"/>
    </sheetView>
  </sheetViews>
  <sheetFormatPr defaultColWidth="12.5703125" defaultRowHeight="15.75" customHeight="1"/>
  <cols>
    <col min="1" max="1" width="53.5703125" customWidth="1"/>
    <col min="2" max="2" width="19.7109375" hidden="1" customWidth="1"/>
    <col min="3" max="3" width="20.42578125" hidden="1" customWidth="1"/>
    <col min="4" max="4" width="43.85546875" customWidth="1"/>
    <col min="5" max="5" width="17.42578125" customWidth="1"/>
    <col min="6" max="6" width="29.42578125" customWidth="1"/>
    <col min="9" max="9" width="26" hidden="1" customWidth="1"/>
  </cols>
  <sheetData>
    <row r="1" spans="1:9" ht="12.75">
      <c r="A1" s="5" t="s">
        <v>546</v>
      </c>
      <c r="B1" s="5"/>
      <c r="C1" s="5"/>
      <c r="D1" s="5" t="s">
        <v>5</v>
      </c>
      <c r="E1" s="9" t="s">
        <v>14</v>
      </c>
      <c r="F1" s="12" t="s">
        <v>550</v>
      </c>
      <c r="I1" s="5" t="s">
        <v>2</v>
      </c>
    </row>
    <row r="2" spans="1:9" ht="12.75">
      <c r="A2" s="14" t="s">
        <v>26</v>
      </c>
      <c r="B2" s="13">
        <v>9.4640299999999993</v>
      </c>
      <c r="C2" s="13">
        <v>125.57594</v>
      </c>
      <c r="D2" s="15" t="s">
        <v>26</v>
      </c>
      <c r="E2" s="16" t="s">
        <v>31</v>
      </c>
      <c r="F2" s="18"/>
      <c r="I2" s="514" t="s">
        <v>57</v>
      </c>
    </row>
    <row r="3" spans="1:9" ht="12.75">
      <c r="A3" s="14" t="s">
        <v>61</v>
      </c>
      <c r="B3" s="13">
        <v>9.4632009999999998</v>
      </c>
      <c r="C3" s="13">
        <v>125.57586000000001</v>
      </c>
      <c r="D3" s="515" t="s">
        <v>62</v>
      </c>
      <c r="E3" s="515" t="s">
        <v>65</v>
      </c>
      <c r="F3" s="521"/>
      <c r="I3" s="511"/>
    </row>
    <row r="4" spans="1:9" ht="12.75">
      <c r="A4" s="14" t="s">
        <v>87</v>
      </c>
      <c r="B4" s="13">
        <v>9.4632009999999998</v>
      </c>
      <c r="C4" s="13">
        <v>125.57586000000001</v>
      </c>
      <c r="D4" s="511"/>
      <c r="E4" s="511"/>
      <c r="F4" s="511"/>
      <c r="I4" s="511"/>
    </row>
    <row r="5" spans="1:9" ht="12.75">
      <c r="A5" s="14" t="s">
        <v>91</v>
      </c>
      <c r="B5" s="13">
        <v>9.4632009999999998</v>
      </c>
      <c r="C5" s="13">
        <v>125.57586000000001</v>
      </c>
      <c r="D5" s="512"/>
      <c r="E5" s="512"/>
      <c r="F5" s="512"/>
      <c r="I5" s="511"/>
    </row>
    <row r="6" spans="1:9" ht="12.75">
      <c r="A6" s="14" t="s">
        <v>96</v>
      </c>
      <c r="B6" s="13">
        <v>9.4626529999999995</v>
      </c>
      <c r="C6" s="13">
        <v>125.576849</v>
      </c>
      <c r="D6" s="15" t="s">
        <v>96</v>
      </c>
      <c r="E6" s="16" t="s">
        <v>99</v>
      </c>
      <c r="F6" s="18"/>
      <c r="I6" s="511"/>
    </row>
    <row r="7" spans="1:9" ht="12.75">
      <c r="A7" s="14" t="s">
        <v>102</v>
      </c>
      <c r="B7" s="13">
        <v>9.4641950000000001</v>
      </c>
      <c r="C7" s="13">
        <v>125.576086</v>
      </c>
      <c r="D7" s="15" t="s">
        <v>102</v>
      </c>
      <c r="E7" s="16" t="s">
        <v>103</v>
      </c>
      <c r="F7" s="18"/>
      <c r="I7" s="512"/>
    </row>
    <row r="8" spans="1:9" ht="12.75">
      <c r="A8" s="14" t="s">
        <v>105</v>
      </c>
      <c r="B8" s="13">
        <v>9.6080570000000005</v>
      </c>
      <c r="C8" s="13">
        <v>125.640231</v>
      </c>
      <c r="D8" s="515" t="s">
        <v>108</v>
      </c>
      <c r="E8" s="515" t="s">
        <v>65</v>
      </c>
      <c r="F8" s="515"/>
      <c r="I8" s="514" t="s">
        <v>117</v>
      </c>
    </row>
    <row r="9" spans="1:9" ht="12.75">
      <c r="A9" s="14" t="s">
        <v>120</v>
      </c>
      <c r="B9" s="13">
        <v>9.6080570000000005</v>
      </c>
      <c r="C9" s="13">
        <v>125.640231</v>
      </c>
      <c r="D9" s="511"/>
      <c r="E9" s="511"/>
      <c r="F9" s="511"/>
      <c r="I9" s="511"/>
    </row>
    <row r="10" spans="1:9" ht="12.75">
      <c r="A10" s="14" t="s">
        <v>124</v>
      </c>
      <c r="B10" s="13">
        <v>9.6080570000000005</v>
      </c>
      <c r="C10" s="13">
        <v>125.640231</v>
      </c>
      <c r="D10" s="512"/>
      <c r="E10" s="512"/>
      <c r="F10" s="512"/>
      <c r="I10" s="511"/>
    </row>
    <row r="11" spans="1:9" ht="12.75">
      <c r="A11" s="50" t="s">
        <v>234</v>
      </c>
      <c r="B11" s="13">
        <v>9.6137576760000005</v>
      </c>
      <c r="C11" s="13">
        <v>125.636044</v>
      </c>
      <c r="D11" s="13" t="s">
        <v>234</v>
      </c>
      <c r="E11" s="15" t="s">
        <v>128</v>
      </c>
      <c r="F11" s="18"/>
      <c r="I11" s="511"/>
    </row>
    <row r="12" spans="1:9" ht="12.75">
      <c r="A12" s="14" t="s">
        <v>130</v>
      </c>
      <c r="B12" s="13">
        <v>9.6088850000000008</v>
      </c>
      <c r="C12" s="13">
        <v>125.640559</v>
      </c>
      <c r="D12" s="15" t="s">
        <v>130</v>
      </c>
      <c r="E12" s="15" t="s">
        <v>31</v>
      </c>
      <c r="F12" s="18"/>
      <c r="I12" s="511"/>
    </row>
    <row r="13" spans="1:9" ht="12.75">
      <c r="A13" s="14" t="s">
        <v>131</v>
      </c>
      <c r="B13" s="13">
        <v>9.6085552760000006</v>
      </c>
      <c r="C13" s="13">
        <v>125.640615</v>
      </c>
      <c r="D13" s="15" t="s">
        <v>131</v>
      </c>
      <c r="E13" s="15" t="s">
        <v>103</v>
      </c>
      <c r="F13" s="18"/>
      <c r="I13" s="512"/>
    </row>
    <row r="14" spans="1:9" ht="12.75">
      <c r="A14" s="14" t="s">
        <v>133</v>
      </c>
      <c r="B14" s="13">
        <v>9.5739180000000008</v>
      </c>
      <c r="C14" s="13">
        <v>125.73276</v>
      </c>
      <c r="D14" s="515" t="s">
        <v>134</v>
      </c>
      <c r="E14" s="515" t="s">
        <v>65</v>
      </c>
      <c r="F14" s="515"/>
      <c r="I14" s="514" t="s">
        <v>136</v>
      </c>
    </row>
    <row r="15" spans="1:9" ht="12.75">
      <c r="A15" s="14" t="s">
        <v>138</v>
      </c>
      <c r="B15" s="13">
        <v>9.5739180000000008</v>
      </c>
      <c r="C15" s="13">
        <v>125.73276</v>
      </c>
      <c r="D15" s="512"/>
      <c r="E15" s="511"/>
      <c r="F15" s="512"/>
      <c r="I15" s="511"/>
    </row>
    <row r="16" spans="1:9" ht="12.75">
      <c r="A16" s="14" t="s">
        <v>145</v>
      </c>
      <c r="B16" s="13">
        <v>9.5735050000000008</v>
      </c>
      <c r="C16" s="13">
        <v>125.732704</v>
      </c>
      <c r="D16" s="13" t="s">
        <v>567</v>
      </c>
      <c r="E16" s="512"/>
      <c r="F16" s="15"/>
      <c r="I16" s="511"/>
    </row>
    <row r="17" spans="1:9" ht="12.75">
      <c r="A17" s="14" t="s">
        <v>147</v>
      </c>
      <c r="B17" s="13">
        <v>9.5738990000000008</v>
      </c>
      <c r="C17" s="13">
        <v>125.73335</v>
      </c>
      <c r="D17" s="15" t="s">
        <v>147</v>
      </c>
      <c r="E17" s="15" t="s">
        <v>103</v>
      </c>
      <c r="F17" s="18"/>
      <c r="I17" s="511"/>
    </row>
    <row r="18" spans="1:9" ht="12.75">
      <c r="A18" s="14" t="s">
        <v>150</v>
      </c>
      <c r="B18" s="13">
        <v>9.5722498080000005</v>
      </c>
      <c r="C18" s="13">
        <v>125.73289</v>
      </c>
      <c r="D18" s="15" t="s">
        <v>150</v>
      </c>
      <c r="E18" s="15" t="s">
        <v>151</v>
      </c>
      <c r="F18" s="18"/>
      <c r="I18" s="511"/>
    </row>
    <row r="19" spans="1:9" ht="12.75">
      <c r="A19" s="14" t="s">
        <v>154</v>
      </c>
      <c r="B19" s="13">
        <v>9.5767249999999997</v>
      </c>
      <c r="C19" s="13">
        <v>125.731375</v>
      </c>
      <c r="D19" s="15" t="s">
        <v>154</v>
      </c>
      <c r="E19" s="15" t="s">
        <v>155</v>
      </c>
      <c r="F19" s="18"/>
      <c r="I19" s="512"/>
    </row>
    <row r="20" spans="1:9" ht="12.75">
      <c r="A20" s="11" t="s">
        <v>159</v>
      </c>
      <c r="B20" s="4">
        <v>9.5953529999999994</v>
      </c>
      <c r="C20" s="4">
        <v>125.69732999999999</v>
      </c>
      <c r="D20" s="515" t="s">
        <v>160</v>
      </c>
      <c r="E20" s="515" t="s">
        <v>65</v>
      </c>
      <c r="F20" s="515"/>
      <c r="I20" s="514" t="s">
        <v>167</v>
      </c>
    </row>
    <row r="21" spans="1:9" ht="12.75">
      <c r="A21" s="11" t="s">
        <v>169</v>
      </c>
      <c r="B21" s="4">
        <v>9.5953529999999994</v>
      </c>
      <c r="C21" s="4">
        <v>125.69732999999999</v>
      </c>
      <c r="D21" s="511"/>
      <c r="E21" s="511"/>
      <c r="F21" s="511"/>
      <c r="I21" s="511"/>
    </row>
    <row r="22" spans="1:9" ht="12.75">
      <c r="A22" s="11" t="s">
        <v>174</v>
      </c>
      <c r="B22" s="4">
        <v>9.5953529999999994</v>
      </c>
      <c r="C22" s="4">
        <v>125.69732999999999</v>
      </c>
      <c r="D22" s="512"/>
      <c r="E22" s="512"/>
      <c r="F22" s="512"/>
      <c r="I22" s="511"/>
    </row>
    <row r="23" spans="1:9" ht="12.75">
      <c r="A23" s="11" t="s">
        <v>177</v>
      </c>
      <c r="B23" s="4">
        <v>9.5959573850000002</v>
      </c>
      <c r="C23" s="4">
        <v>125.698106</v>
      </c>
      <c r="D23" s="13" t="s">
        <v>177</v>
      </c>
      <c r="E23" s="15" t="s">
        <v>103</v>
      </c>
      <c r="F23" s="18"/>
      <c r="I23" s="511"/>
    </row>
    <row r="24" spans="1:9" ht="12.75">
      <c r="A24" s="11" t="s">
        <v>181</v>
      </c>
      <c r="B24" s="4">
        <v>9.5958871979999998</v>
      </c>
      <c r="C24" s="4">
        <v>125.697434</v>
      </c>
      <c r="D24" s="13" t="s">
        <v>182</v>
      </c>
      <c r="E24" s="15" t="s">
        <v>103</v>
      </c>
      <c r="F24" s="18"/>
      <c r="I24" s="511"/>
    </row>
    <row r="25" spans="1:9" ht="12.75">
      <c r="A25" s="11" t="s">
        <v>184</v>
      </c>
      <c r="B25" s="4">
        <v>9.593778855</v>
      </c>
      <c r="C25" s="4">
        <v>125.699009</v>
      </c>
      <c r="D25" s="13" t="s">
        <v>184</v>
      </c>
      <c r="E25" s="15" t="s">
        <v>155</v>
      </c>
      <c r="F25" s="18"/>
      <c r="I25" s="512"/>
    </row>
    <row r="26" spans="1:9" ht="12.75">
      <c r="A26" s="11" t="s">
        <v>188</v>
      </c>
      <c r="B26" s="4">
        <v>9.5406747420000002</v>
      </c>
      <c r="C26" s="4">
        <v>125.522983</v>
      </c>
      <c r="D26" s="13" t="s">
        <v>190</v>
      </c>
      <c r="E26" s="515" t="s">
        <v>65</v>
      </c>
      <c r="F26" s="514"/>
      <c r="I26" s="514" t="s">
        <v>198</v>
      </c>
    </row>
    <row r="27" spans="1:9" ht="12.75">
      <c r="A27" s="11" t="s">
        <v>201</v>
      </c>
      <c r="B27" s="4">
        <v>9.5404671749999999</v>
      </c>
      <c r="C27" s="4">
        <v>125.52278800000001</v>
      </c>
      <c r="D27" s="514" t="s">
        <v>583</v>
      </c>
      <c r="E27" s="511"/>
      <c r="F27" s="511"/>
      <c r="I27" s="511"/>
    </row>
    <row r="28" spans="1:9" ht="12.75">
      <c r="A28" s="11" t="s">
        <v>203</v>
      </c>
      <c r="B28" s="4">
        <v>9.5404671749999999</v>
      </c>
      <c r="C28" s="4">
        <v>125.52278800000001</v>
      </c>
      <c r="D28" s="512"/>
      <c r="E28" s="512"/>
      <c r="F28" s="512"/>
      <c r="I28" s="511"/>
    </row>
    <row r="29" spans="1:9" ht="12.75">
      <c r="A29" s="11" t="s">
        <v>205</v>
      </c>
      <c r="B29" s="4">
        <v>9.535276498</v>
      </c>
      <c r="C29" s="4">
        <v>125.523989</v>
      </c>
      <c r="D29" s="13" t="s">
        <v>205</v>
      </c>
      <c r="E29" s="15" t="s">
        <v>207</v>
      </c>
      <c r="F29" s="18"/>
      <c r="I29" s="511"/>
    </row>
    <row r="30" spans="1:9" ht="12.75">
      <c r="A30" s="11" t="s">
        <v>208</v>
      </c>
      <c r="B30" s="4">
        <v>9.5404892950000004</v>
      </c>
      <c r="C30" s="4">
        <v>125.523382</v>
      </c>
      <c r="D30" s="13" t="s">
        <v>208</v>
      </c>
      <c r="E30" s="15" t="s">
        <v>103</v>
      </c>
      <c r="F30" s="18"/>
      <c r="I30" s="511"/>
    </row>
    <row r="31" spans="1:9" ht="12.75">
      <c r="A31" s="11" t="s">
        <v>209</v>
      </c>
      <c r="B31" s="4">
        <v>9.5359444440000001</v>
      </c>
      <c r="C31" s="4">
        <v>125.523819</v>
      </c>
      <c r="D31" s="13" t="s">
        <v>209</v>
      </c>
      <c r="E31" s="15" t="s">
        <v>155</v>
      </c>
      <c r="F31" s="18"/>
      <c r="I31" s="512"/>
    </row>
    <row r="32" spans="1:9" ht="12.75">
      <c r="A32" s="11" t="s">
        <v>213</v>
      </c>
      <c r="B32" s="4">
        <v>9.6564809999999994</v>
      </c>
      <c r="C32" s="4">
        <v>125.602485</v>
      </c>
      <c r="D32" s="514" t="s">
        <v>214</v>
      </c>
      <c r="E32" s="515" t="s">
        <v>65</v>
      </c>
      <c r="F32" s="514"/>
      <c r="I32" s="514" t="s">
        <v>216</v>
      </c>
    </row>
    <row r="33" spans="1:9" ht="12.75">
      <c r="A33" s="11" t="s">
        <v>218</v>
      </c>
      <c r="B33" s="4">
        <v>9.6564809999999994</v>
      </c>
      <c r="C33" s="4">
        <v>125.602485</v>
      </c>
      <c r="D33" s="511"/>
      <c r="E33" s="511"/>
      <c r="F33" s="511"/>
      <c r="I33" s="511"/>
    </row>
    <row r="34" spans="1:9" ht="12.75">
      <c r="A34" s="11" t="s">
        <v>220</v>
      </c>
      <c r="B34" s="4">
        <v>9.6564809999999994</v>
      </c>
      <c r="C34" s="4">
        <v>125.602485</v>
      </c>
      <c r="D34" s="512"/>
      <c r="E34" s="512"/>
      <c r="F34" s="512"/>
      <c r="I34" s="511"/>
    </row>
    <row r="35" spans="1:9" ht="12.75">
      <c r="A35" s="11" t="s">
        <v>221</v>
      </c>
      <c r="B35" s="4">
        <v>9.6567349999999994</v>
      </c>
      <c r="C35" s="4">
        <v>125.59986600000001</v>
      </c>
      <c r="D35" s="13" t="s">
        <v>221</v>
      </c>
      <c r="E35" s="15" t="s">
        <v>155</v>
      </c>
      <c r="F35" s="18"/>
      <c r="I35" s="511"/>
    </row>
    <row r="36" spans="1:9" ht="12.75">
      <c r="A36" s="11" t="s">
        <v>223</v>
      </c>
      <c r="B36" s="4">
        <v>9.6584730000000008</v>
      </c>
      <c r="C36" s="4">
        <v>125.60086699999999</v>
      </c>
      <c r="D36" s="13" t="s">
        <v>223</v>
      </c>
      <c r="E36" s="15" t="s">
        <v>31</v>
      </c>
      <c r="F36" s="18"/>
      <c r="I36" s="511"/>
    </row>
    <row r="37" spans="1:9" ht="12.75">
      <c r="A37" s="11" t="s">
        <v>225</v>
      </c>
      <c r="B37" s="4">
        <v>9.6566426849999996</v>
      </c>
      <c r="C37" s="4">
        <v>125.60230199999999</v>
      </c>
      <c r="D37" s="13" t="s">
        <v>225</v>
      </c>
      <c r="E37" s="15" t="s">
        <v>103</v>
      </c>
      <c r="F37" s="18"/>
      <c r="I37" s="512"/>
    </row>
    <row r="38" spans="1:9" ht="12.75">
      <c r="A38" s="11" t="s">
        <v>226</v>
      </c>
      <c r="B38" s="4">
        <v>9.7767267130000004</v>
      </c>
      <c r="C38" s="4">
        <v>125.421119</v>
      </c>
      <c r="D38" s="514" t="s">
        <v>228</v>
      </c>
      <c r="E38" s="516" t="s">
        <v>65</v>
      </c>
      <c r="F38" s="514"/>
      <c r="I38" s="518" t="s">
        <v>229</v>
      </c>
    </row>
    <row r="39" spans="1:9" ht="12.75">
      <c r="A39" s="11" t="s">
        <v>233</v>
      </c>
      <c r="B39" s="4">
        <v>9.7767267130000004</v>
      </c>
      <c r="C39" s="4">
        <v>125.421119</v>
      </c>
      <c r="D39" s="512"/>
      <c r="E39" s="517"/>
      <c r="F39" s="512"/>
      <c r="I39" s="519"/>
    </row>
    <row r="40" spans="1:9" ht="12.75">
      <c r="A40" s="11" t="s">
        <v>236</v>
      </c>
      <c r="B40" s="4">
        <v>9.7765506000000002</v>
      </c>
      <c r="C40" s="4">
        <v>125.421609</v>
      </c>
      <c r="D40" s="13" t="s">
        <v>236</v>
      </c>
      <c r="E40" s="515" t="s">
        <v>238</v>
      </c>
      <c r="F40" s="18"/>
      <c r="I40" s="519"/>
    </row>
    <row r="41" spans="1:9" ht="12.75">
      <c r="A41" s="11" t="s">
        <v>243</v>
      </c>
      <c r="B41" s="4">
        <v>9.7768519999999999</v>
      </c>
      <c r="C41" s="4">
        <v>125.421207</v>
      </c>
      <c r="D41" s="13" t="s">
        <v>243</v>
      </c>
      <c r="E41" s="512"/>
      <c r="F41" s="18"/>
      <c r="I41" s="519"/>
    </row>
    <row r="42" spans="1:9" ht="12.75">
      <c r="A42" s="11" t="s">
        <v>246</v>
      </c>
      <c r="B42" s="4">
        <v>9.7785509820000005</v>
      </c>
      <c r="C42" s="4">
        <v>125.42179299999999</v>
      </c>
      <c r="D42" s="13" t="s">
        <v>246</v>
      </c>
      <c r="E42" s="15" t="s">
        <v>103</v>
      </c>
      <c r="F42" s="18"/>
      <c r="I42" s="519"/>
    </row>
    <row r="43" spans="1:9" ht="12.75">
      <c r="A43" s="11" t="s">
        <v>248</v>
      </c>
      <c r="B43" s="4">
        <v>9.7753305610000005</v>
      </c>
      <c r="C43" s="4">
        <v>125.424452</v>
      </c>
      <c r="D43" s="13" t="s">
        <v>248</v>
      </c>
      <c r="E43" s="15" t="s">
        <v>207</v>
      </c>
      <c r="F43" s="18"/>
      <c r="I43" s="520"/>
    </row>
    <row r="44" spans="1:9" ht="12.75">
      <c r="A44" s="11" t="s">
        <v>252</v>
      </c>
      <c r="B44" s="4">
        <v>9.6578099999999996</v>
      </c>
      <c r="C44" s="4">
        <v>125.528361</v>
      </c>
      <c r="D44" s="514" t="s">
        <v>253</v>
      </c>
      <c r="E44" s="516" t="s">
        <v>65</v>
      </c>
      <c r="F44" s="514"/>
      <c r="I44" s="518" t="s">
        <v>257</v>
      </c>
    </row>
    <row r="45" spans="1:9" ht="12.75">
      <c r="A45" s="11" t="s">
        <v>262</v>
      </c>
      <c r="B45" s="4">
        <v>9.6578099999999996</v>
      </c>
      <c r="C45" s="4">
        <v>125.528361</v>
      </c>
      <c r="D45" s="512"/>
      <c r="E45" s="517"/>
      <c r="F45" s="512"/>
      <c r="I45" s="519"/>
    </row>
    <row r="46" spans="1:9" ht="12.75">
      <c r="A46" s="11" t="s">
        <v>266</v>
      </c>
      <c r="B46" s="4">
        <v>9.6578742020000004</v>
      </c>
      <c r="C46" s="4">
        <v>125.52857299999999</v>
      </c>
      <c r="D46" s="13" t="s">
        <v>266</v>
      </c>
      <c r="E46" s="15" t="s">
        <v>31</v>
      </c>
      <c r="F46" s="18"/>
      <c r="I46" s="519"/>
    </row>
    <row r="47" spans="1:9" ht="12.75">
      <c r="A47" s="11" t="s">
        <v>270</v>
      </c>
      <c r="B47" s="4">
        <v>9.6573385799999993</v>
      </c>
      <c r="C47" s="4">
        <v>125.52869</v>
      </c>
      <c r="D47" s="13" t="s">
        <v>270</v>
      </c>
      <c r="E47" s="15" t="s">
        <v>271</v>
      </c>
      <c r="F47" s="18"/>
      <c r="I47" s="519"/>
    </row>
    <row r="48" spans="1:9" ht="12.75">
      <c r="A48" s="11" t="s">
        <v>272</v>
      </c>
      <c r="B48" s="4">
        <v>9.6578510729999998</v>
      </c>
      <c r="C48" s="4">
        <v>125.528133</v>
      </c>
      <c r="D48" s="13" t="s">
        <v>272</v>
      </c>
      <c r="E48" s="15" t="s">
        <v>103</v>
      </c>
      <c r="F48" s="18"/>
      <c r="I48" s="519"/>
    </row>
    <row r="49" spans="1:9" ht="12.75">
      <c r="A49" s="11" t="s">
        <v>274</v>
      </c>
      <c r="B49" s="4">
        <v>9.6577760000000001</v>
      </c>
      <c r="C49" s="4">
        <v>125.527168</v>
      </c>
      <c r="D49" s="13" t="s">
        <v>274</v>
      </c>
      <c r="E49" s="15" t="s">
        <v>155</v>
      </c>
      <c r="F49" s="18"/>
      <c r="I49" s="520"/>
    </row>
    <row r="50" spans="1:9" ht="12.75">
      <c r="A50" s="11" t="s">
        <v>280</v>
      </c>
      <c r="B50" s="4">
        <v>9.6979403959999999</v>
      </c>
      <c r="C50" s="4">
        <v>125.58390199999999</v>
      </c>
      <c r="D50" s="514" t="s">
        <v>282</v>
      </c>
      <c r="E50" s="516" t="s">
        <v>65</v>
      </c>
      <c r="F50" s="514"/>
      <c r="I50" s="518" t="s">
        <v>291</v>
      </c>
    </row>
    <row r="51" spans="1:9" ht="12.75">
      <c r="A51" s="11" t="s">
        <v>298</v>
      </c>
      <c r="B51" s="4">
        <v>9.6979403959999999</v>
      </c>
      <c r="C51" s="4">
        <v>125.58390199999999</v>
      </c>
      <c r="D51" s="511"/>
      <c r="E51" s="517"/>
      <c r="F51" s="511"/>
      <c r="I51" s="519"/>
    </row>
    <row r="52" spans="1:9" ht="12.75">
      <c r="A52" s="11" t="s">
        <v>302</v>
      </c>
      <c r="B52" s="4">
        <v>9.6979403959999999</v>
      </c>
      <c r="C52" s="4">
        <v>125.58390199999999</v>
      </c>
      <c r="D52" s="512"/>
      <c r="E52" s="517"/>
      <c r="F52" s="512"/>
      <c r="I52" s="519"/>
    </row>
    <row r="53" spans="1:9" ht="12.75">
      <c r="A53" s="11" t="s">
        <v>305</v>
      </c>
      <c r="B53" s="4">
        <v>9.6971539999999994</v>
      </c>
      <c r="C53" s="4">
        <v>125.58359</v>
      </c>
      <c r="D53" s="13" t="s">
        <v>305</v>
      </c>
      <c r="E53" s="15" t="s">
        <v>31</v>
      </c>
      <c r="F53" s="18"/>
      <c r="I53" s="519"/>
    </row>
    <row r="54" spans="1:9" ht="12.75">
      <c r="A54" s="11" t="s">
        <v>312</v>
      </c>
      <c r="B54" s="4">
        <v>9.6976480200000008</v>
      </c>
      <c r="C54" s="4">
        <v>125.583485</v>
      </c>
      <c r="D54" s="13" t="s">
        <v>312</v>
      </c>
      <c r="E54" s="15" t="s">
        <v>103</v>
      </c>
      <c r="F54" s="18"/>
      <c r="I54" s="519"/>
    </row>
    <row r="55" spans="1:9" ht="12.75">
      <c r="A55" s="11" t="s">
        <v>315</v>
      </c>
      <c r="B55" s="4">
        <v>9.6991980959999999</v>
      </c>
      <c r="C55" s="4">
        <v>125.585379</v>
      </c>
      <c r="D55" s="13" t="s">
        <v>315</v>
      </c>
      <c r="E55" s="15" t="s">
        <v>155</v>
      </c>
      <c r="F55" s="18"/>
      <c r="I55" s="520"/>
    </row>
    <row r="56" spans="1:9" ht="16.5" customHeight="1">
      <c r="A56" s="11" t="s">
        <v>319</v>
      </c>
      <c r="B56" s="4">
        <v>9.5538950000000007</v>
      </c>
      <c r="C56" s="4">
        <v>125.56960599999999</v>
      </c>
      <c r="D56" s="514" t="s">
        <v>613</v>
      </c>
      <c r="E56" s="516" t="s">
        <v>65</v>
      </c>
      <c r="F56" s="514"/>
      <c r="I56" s="518" t="s">
        <v>325</v>
      </c>
    </row>
    <row r="57" spans="1:9" ht="12.75">
      <c r="A57" s="11" t="s">
        <v>328</v>
      </c>
      <c r="B57" s="4">
        <v>9.5538950000000007</v>
      </c>
      <c r="C57" s="4">
        <v>125.56960599999999</v>
      </c>
      <c r="D57" s="512"/>
      <c r="E57" s="517"/>
      <c r="F57" s="512"/>
      <c r="I57" s="519"/>
    </row>
    <row r="58" spans="1:9" ht="12.75">
      <c r="A58" s="7" t="s">
        <v>332</v>
      </c>
      <c r="B58" s="4">
        <v>9.5538950000000007</v>
      </c>
      <c r="C58" s="4">
        <v>125.56960599999999</v>
      </c>
      <c r="D58" s="13" t="s">
        <v>334</v>
      </c>
      <c r="E58" s="13" t="s">
        <v>207</v>
      </c>
      <c r="F58" s="18"/>
      <c r="I58" s="519"/>
    </row>
    <row r="59" spans="1:9" ht="12.75">
      <c r="A59" s="11" t="s">
        <v>336</v>
      </c>
      <c r="B59" s="4">
        <v>9.5539050000000003</v>
      </c>
      <c r="C59" s="4">
        <v>125.567421</v>
      </c>
      <c r="D59" s="13" t="s">
        <v>338</v>
      </c>
      <c r="E59" s="15" t="s">
        <v>155</v>
      </c>
      <c r="F59" s="18"/>
      <c r="I59" s="519"/>
    </row>
    <row r="60" spans="1:9" ht="12.75">
      <c r="A60" s="11" t="s">
        <v>340</v>
      </c>
      <c r="B60" s="4">
        <v>9.553910514</v>
      </c>
      <c r="C60" s="4">
        <v>125.569897</v>
      </c>
      <c r="D60" s="13" t="s">
        <v>340</v>
      </c>
      <c r="E60" s="15" t="s">
        <v>31</v>
      </c>
      <c r="F60" s="18"/>
      <c r="I60" s="519"/>
    </row>
    <row r="61" spans="1:9" ht="12.75">
      <c r="A61" s="11" t="s">
        <v>344</v>
      </c>
      <c r="B61" s="4">
        <v>9.5541936060000001</v>
      </c>
      <c r="C61" s="4">
        <v>125.56947</v>
      </c>
      <c r="D61" s="13" t="s">
        <v>344</v>
      </c>
      <c r="E61" s="15" t="s">
        <v>103</v>
      </c>
      <c r="F61" s="18"/>
      <c r="I61" s="520"/>
    </row>
    <row r="62" spans="1:9" ht="12.75">
      <c r="A62" s="11" t="s">
        <v>42</v>
      </c>
      <c r="B62" s="4">
        <v>9.7852057030000008</v>
      </c>
      <c r="C62" s="4">
        <v>125.487904</v>
      </c>
      <c r="D62" s="514" t="s">
        <v>348</v>
      </c>
      <c r="E62" s="515" t="s">
        <v>351</v>
      </c>
      <c r="F62" s="514"/>
      <c r="I62" s="514" t="s">
        <v>268</v>
      </c>
    </row>
    <row r="63" spans="1:9" ht="12.75">
      <c r="A63" s="11" t="s">
        <v>43</v>
      </c>
      <c r="B63" s="4">
        <v>9.7852057030000008</v>
      </c>
      <c r="C63" s="4">
        <v>125.487904</v>
      </c>
      <c r="D63" s="512"/>
      <c r="E63" s="512"/>
      <c r="F63" s="512"/>
      <c r="I63" s="511"/>
    </row>
    <row r="64" spans="1:9" ht="12.75">
      <c r="A64" s="11" t="s">
        <v>56</v>
      </c>
      <c r="B64" s="4">
        <v>9.7853638370000002</v>
      </c>
      <c r="C64" s="4">
        <v>125.487532</v>
      </c>
      <c r="D64" s="13" t="s">
        <v>368</v>
      </c>
      <c r="E64" s="15" t="s">
        <v>155</v>
      </c>
      <c r="F64" s="18"/>
      <c r="I64" s="511"/>
    </row>
    <row r="65" spans="1:9" ht="12.75">
      <c r="A65" s="11" t="s">
        <v>59</v>
      </c>
      <c r="B65" s="4">
        <v>9.7855176270000008</v>
      </c>
      <c r="C65" s="4">
        <v>125.487695</v>
      </c>
      <c r="D65" s="13" t="s">
        <v>371</v>
      </c>
      <c r="E65" s="15" t="s">
        <v>31</v>
      </c>
      <c r="F65" s="18"/>
      <c r="I65" s="511"/>
    </row>
    <row r="66" spans="1:9" ht="12.75">
      <c r="A66" s="11" t="s">
        <v>51</v>
      </c>
      <c r="B66" s="4">
        <v>9.7862818039999997</v>
      </c>
      <c r="C66" s="4">
        <v>125.48858</v>
      </c>
      <c r="D66" s="13" t="s">
        <v>373</v>
      </c>
      <c r="E66" s="15" t="s">
        <v>374</v>
      </c>
      <c r="F66" s="18"/>
      <c r="I66" s="511"/>
    </row>
    <row r="67" spans="1:9" ht="12.75">
      <c r="A67" s="11" t="s">
        <v>41</v>
      </c>
      <c r="B67" s="4">
        <v>9.7858248559999996</v>
      </c>
      <c r="C67" s="4">
        <v>125.48851000000001</v>
      </c>
      <c r="D67" s="13" t="s">
        <v>377</v>
      </c>
      <c r="E67" s="15" t="s">
        <v>271</v>
      </c>
      <c r="F67" s="18"/>
      <c r="I67" s="512"/>
    </row>
    <row r="68" spans="1:9" ht="12.75">
      <c r="A68" s="11" t="s">
        <v>378</v>
      </c>
      <c r="B68" s="4">
        <v>9.6183148900000006</v>
      </c>
      <c r="C68" s="4">
        <v>125.401832</v>
      </c>
      <c r="D68" s="514" t="s">
        <v>379</v>
      </c>
      <c r="E68" s="516" t="s">
        <v>65</v>
      </c>
      <c r="F68" s="514"/>
      <c r="I68" s="518" t="s">
        <v>381</v>
      </c>
    </row>
    <row r="69" spans="1:9" ht="12.75">
      <c r="A69" s="11" t="s">
        <v>383</v>
      </c>
      <c r="B69" s="4">
        <v>9.6183148900000006</v>
      </c>
      <c r="C69" s="4">
        <v>125.401832</v>
      </c>
      <c r="D69" s="511"/>
      <c r="E69" s="517"/>
      <c r="F69" s="511"/>
      <c r="I69" s="519"/>
    </row>
    <row r="70" spans="1:9" ht="12.75">
      <c r="A70" s="11" t="s">
        <v>385</v>
      </c>
      <c r="B70" s="4">
        <v>9.6183148900000006</v>
      </c>
      <c r="C70" s="4">
        <v>125.401832</v>
      </c>
      <c r="D70" s="512"/>
      <c r="E70" s="517"/>
      <c r="F70" s="512"/>
      <c r="I70" s="519"/>
    </row>
    <row r="71" spans="1:9" ht="12.75">
      <c r="A71" s="11" t="s">
        <v>387</v>
      </c>
      <c r="B71" s="4">
        <v>9.6167219999999993</v>
      </c>
      <c r="C71" s="4">
        <v>125.40130000000001</v>
      </c>
      <c r="D71" s="13" t="s">
        <v>388</v>
      </c>
      <c r="E71" s="15" t="s">
        <v>155</v>
      </c>
      <c r="F71" s="18"/>
      <c r="I71" s="519"/>
    </row>
    <row r="72" spans="1:9" ht="12.75">
      <c r="A72" s="11" t="s">
        <v>390</v>
      </c>
      <c r="B72" s="4">
        <v>9.6187816060000007</v>
      </c>
      <c r="C72" s="4">
        <v>125.40195300000001</v>
      </c>
      <c r="D72" s="13" t="s">
        <v>390</v>
      </c>
      <c r="E72" s="15" t="s">
        <v>103</v>
      </c>
      <c r="F72" s="18"/>
      <c r="I72" s="519"/>
    </row>
    <row r="73" spans="1:9" ht="12.75">
      <c r="A73" s="11" t="s">
        <v>391</v>
      </c>
      <c r="B73" s="4">
        <v>9.6191619999999993</v>
      </c>
      <c r="C73" s="4">
        <v>125.40141800000001</v>
      </c>
      <c r="D73" s="13" t="s">
        <v>391</v>
      </c>
      <c r="E73" s="15" t="s">
        <v>31</v>
      </c>
      <c r="F73" s="18"/>
      <c r="I73" s="520"/>
    </row>
    <row r="74" spans="1:9" ht="12.75">
      <c r="A74" s="11" t="s">
        <v>21</v>
      </c>
      <c r="B74" s="4">
        <v>10.018162999999999</v>
      </c>
      <c r="C74" s="4">
        <v>126.073989</v>
      </c>
      <c r="D74" s="514" t="s">
        <v>16</v>
      </c>
      <c r="E74" s="516" t="s">
        <v>65</v>
      </c>
      <c r="F74" s="514"/>
      <c r="I74" s="518" t="s">
        <v>394</v>
      </c>
    </row>
    <row r="75" spans="1:9" ht="12.75">
      <c r="A75" s="11" t="s">
        <v>44</v>
      </c>
      <c r="B75" s="4">
        <v>10.018162999999999</v>
      </c>
      <c r="C75" s="4">
        <v>126.073989</v>
      </c>
      <c r="D75" s="511"/>
      <c r="E75" s="517"/>
      <c r="F75" s="511"/>
      <c r="I75" s="519"/>
    </row>
    <row r="76" spans="1:9" ht="12.75">
      <c r="A76" s="11" t="s">
        <v>49</v>
      </c>
      <c r="B76" s="4">
        <v>10.018162999999999</v>
      </c>
      <c r="C76" s="4">
        <v>126.073989</v>
      </c>
      <c r="D76" s="512"/>
      <c r="E76" s="517"/>
      <c r="F76" s="512"/>
      <c r="I76" s="519"/>
    </row>
    <row r="77" spans="1:9" ht="12.75">
      <c r="A77" s="11" t="s">
        <v>53</v>
      </c>
      <c r="B77" s="4">
        <v>10.018060999999999</v>
      </c>
      <c r="C77" s="4">
        <v>126.074361</v>
      </c>
      <c r="D77" s="13" t="s">
        <v>53</v>
      </c>
      <c r="E77" s="15" t="s">
        <v>238</v>
      </c>
      <c r="F77" s="18"/>
      <c r="I77" s="519"/>
    </row>
    <row r="78" spans="1:9" ht="12.75">
      <c r="A78" s="11" t="s">
        <v>58</v>
      </c>
      <c r="B78" s="4">
        <v>10.018311000000001</v>
      </c>
      <c r="C78" s="4">
        <v>126.074175</v>
      </c>
      <c r="D78" s="13" t="s">
        <v>58</v>
      </c>
      <c r="E78" s="15" t="s">
        <v>103</v>
      </c>
      <c r="F78" s="18"/>
      <c r="I78" s="519"/>
    </row>
    <row r="79" spans="1:9" ht="12.75">
      <c r="A79" s="11" t="s">
        <v>60</v>
      </c>
      <c r="B79" s="4">
        <v>10.018596000000001</v>
      </c>
      <c r="C79" s="4">
        <v>126.07436</v>
      </c>
      <c r="D79" s="13" t="s">
        <v>60</v>
      </c>
      <c r="E79" s="15" t="s">
        <v>31</v>
      </c>
      <c r="F79" s="18"/>
      <c r="I79" s="520"/>
    </row>
    <row r="80" spans="1:9" ht="12.75">
      <c r="A80" s="11" t="s">
        <v>70</v>
      </c>
      <c r="B80" s="4">
        <v>9.7563359999999992</v>
      </c>
      <c r="C80" s="4">
        <v>126.053104</v>
      </c>
      <c r="D80" s="13" t="s">
        <v>69</v>
      </c>
      <c r="E80" s="516" t="s">
        <v>65</v>
      </c>
      <c r="F80" s="13"/>
      <c r="I80" s="518" t="s">
        <v>67</v>
      </c>
    </row>
    <row r="81" spans="1:9" ht="12.75">
      <c r="A81" s="11" t="s">
        <v>73</v>
      </c>
      <c r="B81" s="4">
        <v>9.7571670000000008</v>
      </c>
      <c r="C81" s="4">
        <v>126.052707</v>
      </c>
      <c r="D81" s="13" t="s">
        <v>636</v>
      </c>
      <c r="E81" s="517"/>
      <c r="F81" s="13"/>
      <c r="I81" s="519"/>
    </row>
    <row r="82" spans="1:9" ht="12.75">
      <c r="A82" s="11" t="s">
        <v>74</v>
      </c>
      <c r="B82" s="4">
        <v>9.7569649999999992</v>
      </c>
      <c r="C82" s="4">
        <v>126.052666</v>
      </c>
      <c r="D82" s="13" t="s">
        <v>74</v>
      </c>
      <c r="E82" s="15" t="s">
        <v>238</v>
      </c>
      <c r="F82" s="18"/>
      <c r="I82" s="519"/>
    </row>
    <row r="83" spans="1:9" ht="12.75">
      <c r="A83" s="11" t="s">
        <v>77</v>
      </c>
      <c r="B83" s="4">
        <v>9.7555820000000004</v>
      </c>
      <c r="C83" s="4">
        <v>126.050471</v>
      </c>
      <c r="D83" s="13" t="s">
        <v>77</v>
      </c>
      <c r="E83" s="15" t="s">
        <v>99</v>
      </c>
      <c r="F83" s="18"/>
      <c r="I83" s="519"/>
    </row>
    <row r="84" spans="1:9" ht="12.75">
      <c r="A84" s="11" t="s">
        <v>78</v>
      </c>
      <c r="B84" s="4">
        <v>9.7550779999999992</v>
      </c>
      <c r="C84" s="4">
        <v>126.050397</v>
      </c>
      <c r="D84" s="13" t="s">
        <v>78</v>
      </c>
      <c r="E84" s="15" t="s">
        <v>408</v>
      </c>
      <c r="F84" s="18"/>
      <c r="I84" s="519"/>
    </row>
    <row r="85" spans="1:9" ht="12.75">
      <c r="A85" s="11" t="s">
        <v>80</v>
      </c>
      <c r="B85" s="4">
        <v>9.7543509999999998</v>
      </c>
      <c r="C85" s="4">
        <v>126.051422</v>
      </c>
      <c r="D85" s="13" t="s">
        <v>80</v>
      </c>
      <c r="E85" s="15" t="s">
        <v>103</v>
      </c>
      <c r="F85" s="18"/>
      <c r="I85" s="520"/>
    </row>
    <row r="86" spans="1:9" ht="12.75">
      <c r="A86" s="11" t="s">
        <v>85</v>
      </c>
      <c r="B86" s="4">
        <v>9.8820940000000004</v>
      </c>
      <c r="C86" s="4">
        <v>125.984093</v>
      </c>
      <c r="D86" s="514" t="s">
        <v>639</v>
      </c>
      <c r="E86" s="516" t="s">
        <v>65</v>
      </c>
      <c r="F86" s="514"/>
      <c r="I86" s="518" t="s">
        <v>81</v>
      </c>
    </row>
    <row r="87" spans="1:9" ht="12.75">
      <c r="A87" s="11" t="s">
        <v>86</v>
      </c>
      <c r="B87" s="4">
        <v>9.8696429999999999</v>
      </c>
      <c r="C87" s="4">
        <v>125.97028</v>
      </c>
      <c r="D87" s="511"/>
      <c r="E87" s="517"/>
      <c r="F87" s="511"/>
      <c r="I87" s="519"/>
    </row>
    <row r="88" spans="1:9" ht="12.75">
      <c r="A88" s="11" t="s">
        <v>88</v>
      </c>
      <c r="B88" s="4">
        <v>9.8696429999999999</v>
      </c>
      <c r="C88" s="4">
        <v>125.97028</v>
      </c>
      <c r="D88" s="511"/>
      <c r="E88" s="517"/>
      <c r="F88" s="511"/>
      <c r="I88" s="519"/>
    </row>
    <row r="89" spans="1:9" ht="12.75">
      <c r="A89" s="11" t="s">
        <v>90</v>
      </c>
      <c r="B89" s="4">
        <v>9.8690429999999996</v>
      </c>
      <c r="C89" s="4">
        <v>125.970156</v>
      </c>
      <c r="D89" s="512"/>
      <c r="E89" s="517"/>
      <c r="F89" s="512"/>
      <c r="I89" s="519"/>
    </row>
    <row r="90" spans="1:9" ht="12.75">
      <c r="A90" s="11" t="s">
        <v>92</v>
      </c>
      <c r="B90" s="4">
        <v>9.8711490000000008</v>
      </c>
      <c r="C90" s="4">
        <v>125.972757</v>
      </c>
      <c r="D90" s="13" t="s">
        <v>92</v>
      </c>
      <c r="E90" s="15" t="s">
        <v>31</v>
      </c>
      <c r="F90" s="18"/>
      <c r="I90" s="519"/>
    </row>
    <row r="91" spans="1:9" ht="12.75">
      <c r="A91" s="11" t="s">
        <v>94</v>
      </c>
      <c r="B91" s="4">
        <v>9.8827259999999999</v>
      </c>
      <c r="C91" s="4">
        <v>125.983636</v>
      </c>
      <c r="D91" s="13" t="s">
        <v>94</v>
      </c>
      <c r="E91" s="15" t="s">
        <v>238</v>
      </c>
      <c r="F91" s="18"/>
      <c r="I91" s="520"/>
    </row>
    <row r="92" spans="1:9" ht="12.75">
      <c r="A92" s="11" t="s">
        <v>100</v>
      </c>
      <c r="B92" s="4">
        <v>9.7823740000000008</v>
      </c>
      <c r="C92" s="4">
        <v>126.15665799999999</v>
      </c>
      <c r="D92" s="514" t="s">
        <v>98</v>
      </c>
      <c r="E92" s="516" t="s">
        <v>65</v>
      </c>
      <c r="F92" s="514"/>
      <c r="I92" s="518" t="s">
        <v>79</v>
      </c>
    </row>
    <row r="93" spans="1:9" ht="12.75">
      <c r="A93" s="11" t="s">
        <v>101</v>
      </c>
      <c r="B93" s="4">
        <v>9.7822689999999994</v>
      </c>
      <c r="C93" s="4">
        <v>126.156454</v>
      </c>
      <c r="D93" s="511"/>
      <c r="E93" s="517"/>
      <c r="F93" s="511"/>
      <c r="I93" s="519"/>
    </row>
    <row r="94" spans="1:9" ht="12.75">
      <c r="A94" s="11" t="s">
        <v>104</v>
      </c>
      <c r="B94" s="4">
        <v>9.7823740000000008</v>
      </c>
      <c r="C94" s="4">
        <v>126.15665799999999</v>
      </c>
      <c r="D94" s="512"/>
      <c r="E94" s="517"/>
      <c r="F94" s="512"/>
      <c r="I94" s="519"/>
    </row>
    <row r="95" spans="1:9" ht="12.75">
      <c r="A95" s="11" t="s">
        <v>107</v>
      </c>
      <c r="B95" s="4">
        <v>9.7811629999999994</v>
      </c>
      <c r="C95" s="4">
        <v>126.156639</v>
      </c>
      <c r="D95" s="13" t="s">
        <v>106</v>
      </c>
      <c r="E95" s="15" t="s">
        <v>238</v>
      </c>
      <c r="F95" s="18"/>
      <c r="I95" s="519"/>
    </row>
    <row r="96" spans="1:9" ht="12.75">
      <c r="A96" s="11" t="s">
        <v>109</v>
      </c>
      <c r="B96" s="4">
        <v>9.7825399999999991</v>
      </c>
      <c r="C96" s="4">
        <v>126.15658000000001</v>
      </c>
      <c r="D96" s="13" t="s">
        <v>109</v>
      </c>
      <c r="E96" s="15" t="s">
        <v>103</v>
      </c>
      <c r="F96" s="18"/>
      <c r="I96" s="519"/>
    </row>
    <row r="97" spans="1:9" ht="12.75">
      <c r="A97" s="11" t="s">
        <v>111</v>
      </c>
      <c r="B97" s="4">
        <v>9.781663</v>
      </c>
      <c r="C97" s="4">
        <v>126.156935</v>
      </c>
      <c r="D97" s="13" t="s">
        <v>111</v>
      </c>
      <c r="E97" s="15" t="s">
        <v>31</v>
      </c>
      <c r="F97" s="18"/>
      <c r="I97" s="520"/>
    </row>
    <row r="98" spans="1:9" ht="12.75">
      <c r="A98" s="11" t="s">
        <v>116</v>
      </c>
      <c r="B98" s="4">
        <v>9.8644020000000001</v>
      </c>
      <c r="C98" s="4">
        <v>126.100433</v>
      </c>
      <c r="D98" s="13" t="s">
        <v>115</v>
      </c>
      <c r="E98" s="15" t="s">
        <v>65</v>
      </c>
      <c r="F98" s="18"/>
      <c r="I98" s="514" t="s">
        <v>113</v>
      </c>
    </row>
    <row r="99" spans="1:9" ht="12.75">
      <c r="A99" s="11" t="s">
        <v>119</v>
      </c>
      <c r="B99" s="4">
        <v>9.8644479999999994</v>
      </c>
      <c r="C99" s="4">
        <v>126.100222</v>
      </c>
      <c r="D99" s="514" t="s">
        <v>118</v>
      </c>
      <c r="E99" s="515" t="s">
        <v>238</v>
      </c>
      <c r="F99" s="514"/>
      <c r="I99" s="511"/>
    </row>
    <row r="100" spans="1:9" ht="12.75">
      <c r="A100" s="11" t="s">
        <v>121</v>
      </c>
      <c r="B100" s="4">
        <v>9.8641930000000002</v>
      </c>
      <c r="C100" s="4">
        <v>126.100151</v>
      </c>
      <c r="D100" s="512"/>
      <c r="E100" s="512"/>
      <c r="F100" s="512"/>
      <c r="I100" s="511"/>
    </row>
    <row r="101" spans="1:9" ht="12.75">
      <c r="A101" s="11" t="s">
        <v>123</v>
      </c>
      <c r="B101" s="4">
        <v>9.8641930000000002</v>
      </c>
      <c r="C101" s="4">
        <v>126.100151</v>
      </c>
      <c r="D101" s="13" t="s">
        <v>122</v>
      </c>
      <c r="E101" s="15" t="s">
        <v>103</v>
      </c>
      <c r="F101" s="18"/>
      <c r="I101" s="511"/>
    </row>
    <row r="102" spans="1:9" ht="12.75">
      <c r="A102" s="11" t="s">
        <v>125</v>
      </c>
      <c r="B102" s="4">
        <v>9.8639559999999999</v>
      </c>
      <c r="C102" s="4">
        <v>126.1003</v>
      </c>
      <c r="D102" s="13" t="s">
        <v>125</v>
      </c>
      <c r="E102" s="15" t="s">
        <v>31</v>
      </c>
      <c r="F102" s="18"/>
      <c r="I102" s="511"/>
    </row>
    <row r="103" spans="1:9" ht="12.75">
      <c r="A103" s="11" t="s">
        <v>127</v>
      </c>
      <c r="B103" s="4">
        <v>9.8628359999999997</v>
      </c>
      <c r="C103" s="4">
        <v>126.09936500000001</v>
      </c>
      <c r="D103" s="13" t="s">
        <v>127</v>
      </c>
      <c r="E103" s="15" t="s">
        <v>155</v>
      </c>
      <c r="F103" s="18"/>
      <c r="I103" s="512"/>
    </row>
    <row r="104" spans="1:9" ht="12.75">
      <c r="A104" s="11" t="s">
        <v>146</v>
      </c>
      <c r="B104" s="4">
        <v>9.9366299999999992</v>
      </c>
      <c r="C104" s="4">
        <v>126.08703199999999</v>
      </c>
      <c r="D104" s="514" t="s">
        <v>143</v>
      </c>
      <c r="E104" s="515" t="s">
        <v>65</v>
      </c>
      <c r="F104" s="514"/>
      <c r="I104" s="514" t="s">
        <v>140</v>
      </c>
    </row>
    <row r="105" spans="1:9" ht="12.75">
      <c r="A105" s="11" t="s">
        <v>148</v>
      </c>
      <c r="B105" s="4">
        <v>9.9366299999999992</v>
      </c>
      <c r="C105" s="4">
        <v>126.08703199999999</v>
      </c>
      <c r="D105" s="512"/>
      <c r="E105" s="512"/>
      <c r="F105" s="512"/>
      <c r="I105" s="511"/>
    </row>
    <row r="106" spans="1:9" ht="12.75">
      <c r="A106" s="11" t="s">
        <v>153</v>
      </c>
      <c r="B106" s="4">
        <v>9.9365480000000002</v>
      </c>
      <c r="C106" s="4">
        <v>126.08649800000001</v>
      </c>
      <c r="D106" s="13" t="s">
        <v>153</v>
      </c>
      <c r="E106" s="515" t="s">
        <v>31</v>
      </c>
      <c r="F106" s="18"/>
      <c r="I106" s="511"/>
    </row>
    <row r="107" spans="1:9" ht="12.75">
      <c r="A107" s="11" t="s">
        <v>157</v>
      </c>
      <c r="B107" s="4">
        <v>9.9364369999999997</v>
      </c>
      <c r="C107" s="4">
        <v>126.08668</v>
      </c>
      <c r="D107" s="13" t="s">
        <v>157</v>
      </c>
      <c r="E107" s="512"/>
      <c r="F107" s="18"/>
      <c r="I107" s="511"/>
    </row>
    <row r="108" spans="1:9" ht="12.75">
      <c r="A108" s="11" t="s">
        <v>158</v>
      </c>
      <c r="B108" s="4">
        <v>9.9372220000000002</v>
      </c>
      <c r="C108" s="4">
        <v>126.08669399999999</v>
      </c>
      <c r="D108" s="13" t="s">
        <v>158</v>
      </c>
      <c r="E108" s="15" t="s">
        <v>238</v>
      </c>
      <c r="F108" s="18"/>
      <c r="I108" s="511"/>
    </row>
    <row r="109" spans="1:9" ht="12.75">
      <c r="A109" s="11" t="s">
        <v>164</v>
      </c>
      <c r="B109" s="4">
        <v>9.9379679999999997</v>
      </c>
      <c r="C109" s="4">
        <v>126.08846800000001</v>
      </c>
      <c r="D109" s="13" t="s">
        <v>164</v>
      </c>
      <c r="E109" s="15" t="s">
        <v>103</v>
      </c>
      <c r="F109" s="18"/>
      <c r="I109" s="512"/>
    </row>
    <row r="110" spans="1:9" ht="12.75">
      <c r="A110" s="11" t="s">
        <v>175</v>
      </c>
      <c r="B110" s="4">
        <v>9.9595330000000004</v>
      </c>
      <c r="C110" s="4">
        <v>126.007548</v>
      </c>
      <c r="D110" s="514" t="s">
        <v>173</v>
      </c>
      <c r="E110" s="522" t="s">
        <v>65</v>
      </c>
      <c r="F110" s="514"/>
      <c r="I110" s="514" t="s">
        <v>165</v>
      </c>
    </row>
    <row r="111" spans="1:9" ht="12.75">
      <c r="A111" s="11" t="s">
        <v>178</v>
      </c>
      <c r="B111" s="4">
        <v>9.9764300000000006</v>
      </c>
      <c r="C111" s="4">
        <v>126.02217400000001</v>
      </c>
      <c r="D111" s="511"/>
      <c r="E111" s="511"/>
      <c r="F111" s="511"/>
      <c r="I111" s="511"/>
    </row>
    <row r="112" spans="1:9" ht="12.75">
      <c r="A112" s="11" t="s">
        <v>180</v>
      </c>
      <c r="B112" s="4">
        <v>9.9595330000000004</v>
      </c>
      <c r="C112" s="4">
        <v>126.007548</v>
      </c>
      <c r="D112" s="512"/>
      <c r="E112" s="511"/>
      <c r="F112" s="512"/>
      <c r="I112" s="511"/>
    </row>
    <row r="113" spans="1:9" ht="12.75">
      <c r="A113" s="11" t="s">
        <v>187</v>
      </c>
      <c r="B113" s="4">
        <v>9.9595330000000004</v>
      </c>
      <c r="C113" s="4">
        <v>126.007548</v>
      </c>
      <c r="D113" s="13" t="s">
        <v>677</v>
      </c>
      <c r="E113" s="512"/>
      <c r="F113" s="13"/>
      <c r="I113" s="511"/>
    </row>
    <row r="114" spans="1:9" ht="12.75">
      <c r="A114" s="11" t="s">
        <v>192</v>
      </c>
      <c r="B114" s="4">
        <v>9.9596809999999998</v>
      </c>
      <c r="C114" s="4">
        <v>126.007367</v>
      </c>
      <c r="D114" s="13" t="s">
        <v>192</v>
      </c>
      <c r="E114" s="15" t="s">
        <v>103</v>
      </c>
      <c r="F114" s="18"/>
      <c r="I114" s="511"/>
    </row>
    <row r="115" spans="1:9" ht="12.75">
      <c r="A115" s="11" t="s">
        <v>195</v>
      </c>
      <c r="B115" s="4">
        <v>9.9590069999999997</v>
      </c>
      <c r="C115" s="4">
        <v>126.00693</v>
      </c>
      <c r="D115" s="13" t="s">
        <v>195</v>
      </c>
      <c r="E115" s="15" t="s">
        <v>31</v>
      </c>
      <c r="F115" s="18"/>
      <c r="I115" s="512"/>
    </row>
    <row r="116" spans="1:9" ht="12.75">
      <c r="A116" s="7" t="s">
        <v>215</v>
      </c>
      <c r="B116" s="4">
        <v>10.020443</v>
      </c>
      <c r="C116" s="4">
        <v>126.03608</v>
      </c>
      <c r="D116" s="514" t="s">
        <v>211</v>
      </c>
      <c r="E116" s="516" t="s">
        <v>65</v>
      </c>
      <c r="F116" s="514"/>
      <c r="I116" s="514" t="s">
        <v>176</v>
      </c>
    </row>
    <row r="117" spans="1:9" ht="12.75">
      <c r="A117" s="7" t="s">
        <v>217</v>
      </c>
      <c r="B117" s="4">
        <v>10.020443</v>
      </c>
      <c r="C117" s="4">
        <v>126.03608</v>
      </c>
      <c r="D117" s="511"/>
      <c r="E117" s="517"/>
      <c r="F117" s="511"/>
      <c r="I117" s="511"/>
    </row>
    <row r="118" spans="1:9" ht="12.75">
      <c r="A118" s="7" t="s">
        <v>219</v>
      </c>
      <c r="B118" s="4">
        <v>10.020443</v>
      </c>
      <c r="C118" s="4">
        <v>126.03608</v>
      </c>
      <c r="D118" s="512"/>
      <c r="E118" s="517"/>
      <c r="F118" s="512"/>
      <c r="I118" s="511"/>
    </row>
    <row r="119" spans="1:9" ht="12.75">
      <c r="A119" s="7" t="s">
        <v>222</v>
      </c>
      <c r="B119" s="4">
        <v>10.020189</v>
      </c>
      <c r="C119" s="4">
        <v>126.03633499999999</v>
      </c>
      <c r="D119" s="13" t="s">
        <v>222</v>
      </c>
      <c r="E119" s="15" t="s">
        <v>238</v>
      </c>
      <c r="F119" s="18"/>
      <c r="I119" s="511"/>
    </row>
    <row r="120" spans="1:9" ht="12.75">
      <c r="A120" s="7" t="s">
        <v>224</v>
      </c>
      <c r="B120" s="4">
        <v>10.018582</v>
      </c>
      <c r="C120" s="4">
        <v>126.037522</v>
      </c>
      <c r="D120" s="13" t="s">
        <v>224</v>
      </c>
      <c r="E120" s="15" t="s">
        <v>103</v>
      </c>
      <c r="F120" s="18"/>
      <c r="I120" s="511"/>
    </row>
    <row r="121" spans="1:9" ht="12.75">
      <c r="A121" s="11" t="s">
        <v>227</v>
      </c>
      <c r="B121" s="4">
        <v>10.021095000000001</v>
      </c>
      <c r="C121" s="4">
        <v>126.03719599999999</v>
      </c>
      <c r="D121" s="13" t="s">
        <v>227</v>
      </c>
      <c r="E121" s="15" t="s">
        <v>374</v>
      </c>
      <c r="F121" s="18"/>
      <c r="I121" s="512"/>
    </row>
    <row r="122" spans="1:9" ht="12.75">
      <c r="A122" s="11" t="s">
        <v>242</v>
      </c>
      <c r="B122" s="4">
        <v>9.6182909999999993</v>
      </c>
      <c r="C122" s="4">
        <v>125.966008</v>
      </c>
      <c r="D122" s="13" t="s">
        <v>242</v>
      </c>
      <c r="E122" s="15" t="s">
        <v>238</v>
      </c>
      <c r="F122" s="18"/>
      <c r="I122" s="514" t="s">
        <v>196</v>
      </c>
    </row>
    <row r="123" spans="1:9" ht="12.75">
      <c r="A123" s="11" t="s">
        <v>247</v>
      </c>
      <c r="B123" s="4">
        <v>9.6168420000000001</v>
      </c>
      <c r="C123" s="4">
        <v>125.965041</v>
      </c>
      <c r="D123" s="514" t="s">
        <v>245</v>
      </c>
      <c r="E123" s="515" t="s">
        <v>65</v>
      </c>
      <c r="F123" s="521"/>
      <c r="I123" s="511"/>
    </row>
    <row r="124" spans="1:9" ht="12.75">
      <c r="A124" s="11" t="s">
        <v>250</v>
      </c>
      <c r="B124" s="4">
        <v>9.6182909999999993</v>
      </c>
      <c r="C124" s="4">
        <v>125.966008</v>
      </c>
      <c r="D124" s="512"/>
      <c r="E124" s="512"/>
      <c r="F124" s="512"/>
      <c r="I124" s="511"/>
    </row>
    <row r="125" spans="1:9" ht="12.75">
      <c r="A125" s="11" t="s">
        <v>249</v>
      </c>
      <c r="B125" s="4">
        <v>9.6189780000000003</v>
      </c>
      <c r="C125" s="4">
        <v>125.965622</v>
      </c>
      <c r="D125" s="13" t="s">
        <v>249</v>
      </c>
      <c r="E125" s="15" t="s">
        <v>31</v>
      </c>
      <c r="F125" s="18"/>
      <c r="I125" s="511"/>
    </row>
    <row r="126" spans="1:9" ht="12.75">
      <c r="A126" s="11" t="s">
        <v>254</v>
      </c>
      <c r="B126" s="4">
        <v>9.6185960000000001</v>
      </c>
      <c r="C126" s="4">
        <v>125.96572399999999</v>
      </c>
      <c r="D126" s="13" t="s">
        <v>254</v>
      </c>
      <c r="E126" s="15" t="s">
        <v>103</v>
      </c>
      <c r="F126" s="18"/>
      <c r="I126" s="511"/>
    </row>
    <row r="127" spans="1:9" ht="12.75">
      <c r="A127" s="11" t="s">
        <v>255</v>
      </c>
      <c r="B127" s="4">
        <v>9.6169349999999998</v>
      </c>
      <c r="C127" s="4">
        <v>125.966363</v>
      </c>
      <c r="D127" s="13" t="s">
        <v>255</v>
      </c>
      <c r="E127" s="15" t="s">
        <v>408</v>
      </c>
      <c r="F127" s="18"/>
      <c r="I127" s="512"/>
    </row>
    <row r="128" spans="1:9" ht="12.75">
      <c r="A128" s="11" t="s">
        <v>33</v>
      </c>
      <c r="B128" s="4">
        <v>9.7919999999999998</v>
      </c>
      <c r="C128" s="4">
        <v>125.484514</v>
      </c>
      <c r="D128" s="13" t="s">
        <v>425</v>
      </c>
      <c r="E128" s="15" t="s">
        <v>155</v>
      </c>
      <c r="F128" s="521"/>
      <c r="I128" s="514" t="s">
        <v>268</v>
      </c>
    </row>
    <row r="129" spans="1:9" ht="12.75">
      <c r="A129" s="11" t="s">
        <v>34</v>
      </c>
      <c r="B129" s="4">
        <v>9.7921404279999997</v>
      </c>
      <c r="C129" s="4">
        <v>125.48480139999999</v>
      </c>
      <c r="D129" s="13" t="s">
        <v>499</v>
      </c>
      <c r="E129" s="15" t="s">
        <v>31</v>
      </c>
      <c r="F129" s="512"/>
      <c r="I129" s="512"/>
    </row>
    <row r="130" spans="1:9" ht="12.75">
      <c r="A130" s="77" t="s">
        <v>231</v>
      </c>
      <c r="B130" s="13">
        <v>9.8642450000000004</v>
      </c>
      <c r="C130" s="13">
        <v>125.012529</v>
      </c>
      <c r="D130" s="13" t="s">
        <v>500</v>
      </c>
      <c r="E130" s="15" t="s">
        <v>155</v>
      </c>
      <c r="F130" s="18"/>
      <c r="I130" s="514" t="s">
        <v>176</v>
      </c>
    </row>
    <row r="131" spans="1:9" ht="12.75">
      <c r="A131" s="84" t="s">
        <v>501</v>
      </c>
      <c r="B131" s="16">
        <v>10.020719700000001</v>
      </c>
      <c r="C131" s="16">
        <v>126.03591118</v>
      </c>
      <c r="D131" s="13" t="s">
        <v>502</v>
      </c>
      <c r="E131" s="86" t="s">
        <v>238</v>
      </c>
      <c r="F131" s="18"/>
      <c r="I131" s="512"/>
    </row>
    <row r="132" spans="1:9" ht="12.75">
      <c r="A132" s="77" t="s">
        <v>206</v>
      </c>
      <c r="B132" s="13">
        <v>9.8215315309999998</v>
      </c>
      <c r="C132" s="13">
        <v>125.6140971</v>
      </c>
      <c r="D132" s="13" t="s">
        <v>204</v>
      </c>
      <c r="E132" s="515" t="s">
        <v>155</v>
      </c>
      <c r="F132" s="18"/>
      <c r="I132" s="15" t="s">
        <v>165</v>
      </c>
    </row>
    <row r="133" spans="1:9" ht="12.75">
      <c r="A133" s="11" t="s">
        <v>363</v>
      </c>
      <c r="B133" s="4">
        <v>9.5420627800000002</v>
      </c>
      <c r="C133" s="4">
        <v>125.5224181</v>
      </c>
      <c r="D133" s="13" t="s">
        <v>358</v>
      </c>
      <c r="E133" s="512"/>
      <c r="F133" s="18"/>
      <c r="I133" s="8" t="s">
        <v>198</v>
      </c>
    </row>
    <row r="134" spans="1:9" ht="12.75">
      <c r="A134" s="11" t="s">
        <v>256</v>
      </c>
      <c r="B134" s="4">
        <v>9.6176959740000001</v>
      </c>
      <c r="C134" s="4">
        <v>125.966459</v>
      </c>
      <c r="D134" s="13" t="s">
        <v>256</v>
      </c>
      <c r="E134" s="15" t="s">
        <v>238</v>
      </c>
      <c r="F134" s="18"/>
      <c r="I134" s="8" t="s">
        <v>196</v>
      </c>
    </row>
    <row r="135" spans="1:9" ht="12.75">
      <c r="A135" s="11" t="s">
        <v>64</v>
      </c>
      <c r="B135" s="4" t="s">
        <v>690</v>
      </c>
      <c r="C135" s="4" t="s">
        <v>691</v>
      </c>
      <c r="D135" s="13" t="s">
        <v>64</v>
      </c>
      <c r="E135" s="15" t="s">
        <v>155</v>
      </c>
      <c r="F135" s="18"/>
      <c r="I135" s="8" t="s">
        <v>13</v>
      </c>
    </row>
    <row r="136" spans="1:9" ht="12.75">
      <c r="A136" s="11" t="s">
        <v>168</v>
      </c>
      <c r="B136" s="4">
        <v>9.9367263399999999</v>
      </c>
      <c r="C136" s="4">
        <v>126.08706239999999</v>
      </c>
      <c r="D136" s="13" t="s">
        <v>168</v>
      </c>
      <c r="E136" s="515" t="s">
        <v>491</v>
      </c>
      <c r="F136" s="18"/>
      <c r="I136" s="8" t="s">
        <v>140</v>
      </c>
    </row>
    <row r="137" spans="1:9" ht="12.75">
      <c r="A137" s="11" t="s">
        <v>132</v>
      </c>
      <c r="B137" s="4">
        <v>9.8645649300000002</v>
      </c>
      <c r="C137" s="4">
        <v>126.1006359</v>
      </c>
      <c r="D137" s="13" t="s">
        <v>132</v>
      </c>
      <c r="E137" s="512"/>
      <c r="F137" s="18"/>
      <c r="I137" s="8" t="s">
        <v>113</v>
      </c>
    </row>
  </sheetData>
  <mergeCells count="89">
    <mergeCell ref="F128:F129"/>
    <mergeCell ref="I128:I129"/>
    <mergeCell ref="I130:I131"/>
    <mergeCell ref="E132:E133"/>
    <mergeCell ref="E136:E137"/>
    <mergeCell ref="I56:I61"/>
    <mergeCell ref="I62:I67"/>
    <mergeCell ref="I110:I115"/>
    <mergeCell ref="I116:I121"/>
    <mergeCell ref="I122:I127"/>
    <mergeCell ref="I68:I73"/>
    <mergeCell ref="I74:I79"/>
    <mergeCell ref="I80:I85"/>
    <mergeCell ref="I86:I91"/>
    <mergeCell ref="I92:I97"/>
    <mergeCell ref="I98:I103"/>
    <mergeCell ref="I104:I109"/>
    <mergeCell ref="E44:E45"/>
    <mergeCell ref="F44:F45"/>
    <mergeCell ref="E50:E52"/>
    <mergeCell ref="F50:F52"/>
    <mergeCell ref="I26:I31"/>
    <mergeCell ref="I32:I37"/>
    <mergeCell ref="I38:I43"/>
    <mergeCell ref="I44:I49"/>
    <mergeCell ref="I50:I55"/>
    <mergeCell ref="E32:E34"/>
    <mergeCell ref="F32:F34"/>
    <mergeCell ref="E38:E39"/>
    <mergeCell ref="F38:F39"/>
    <mergeCell ref="E40:E41"/>
    <mergeCell ref="E20:E22"/>
    <mergeCell ref="F20:F22"/>
    <mergeCell ref="I20:I25"/>
    <mergeCell ref="E26:E28"/>
    <mergeCell ref="F26:F28"/>
    <mergeCell ref="E14:E16"/>
    <mergeCell ref="F14:F15"/>
    <mergeCell ref="I2:I7"/>
    <mergeCell ref="E3:E5"/>
    <mergeCell ref="F3:F5"/>
    <mergeCell ref="E8:E10"/>
    <mergeCell ref="F8:F10"/>
    <mergeCell ref="I8:I13"/>
    <mergeCell ref="I14:I19"/>
    <mergeCell ref="D123:D124"/>
    <mergeCell ref="E123:E124"/>
    <mergeCell ref="F123:F124"/>
    <mergeCell ref="E74:E76"/>
    <mergeCell ref="E80:E81"/>
    <mergeCell ref="E86:E89"/>
    <mergeCell ref="F86:F89"/>
    <mergeCell ref="E92:E94"/>
    <mergeCell ref="F92:F94"/>
    <mergeCell ref="D99:D100"/>
    <mergeCell ref="D110:D112"/>
    <mergeCell ref="D116:D118"/>
    <mergeCell ref="D74:D76"/>
    <mergeCell ref="D86:D89"/>
    <mergeCell ref="D92:D94"/>
    <mergeCell ref="D104:D105"/>
    <mergeCell ref="E68:E70"/>
    <mergeCell ref="F68:F70"/>
    <mergeCell ref="F74:F76"/>
    <mergeCell ref="E116:E118"/>
    <mergeCell ref="F116:F118"/>
    <mergeCell ref="E99:E100"/>
    <mergeCell ref="F99:F100"/>
    <mergeCell ref="E104:E105"/>
    <mergeCell ref="F104:F105"/>
    <mergeCell ref="E106:E107"/>
    <mergeCell ref="E110:E113"/>
    <mergeCell ref="F110:F112"/>
    <mergeCell ref="E56:E57"/>
    <mergeCell ref="F56:F57"/>
    <mergeCell ref="D56:D57"/>
    <mergeCell ref="D62:D63"/>
    <mergeCell ref="E62:E63"/>
    <mergeCell ref="F62:F63"/>
    <mergeCell ref="D3:D5"/>
    <mergeCell ref="D20:D22"/>
    <mergeCell ref="D27:D28"/>
    <mergeCell ref="D32:D34"/>
    <mergeCell ref="D38:D39"/>
    <mergeCell ref="D44:D45"/>
    <mergeCell ref="D50:D52"/>
    <mergeCell ref="D8:D10"/>
    <mergeCell ref="D14:D15"/>
    <mergeCell ref="D68:D7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outlinePr summaryBelow="0" summaryRight="0"/>
    <pageSetUpPr fitToPage="1"/>
  </sheetPr>
  <dimension ref="A1:Z858"/>
  <sheetViews>
    <sheetView showGridLines="0" workbookViewId="0">
      <pane xSplit="5" ySplit="1" topLeftCell="F2" activePane="bottomRight" state="frozen"/>
      <selection pane="topRight" activeCell="F1" sqref="F1"/>
      <selection pane="bottomLeft" activeCell="A2" sqref="A2"/>
      <selection pane="bottomRight" activeCell="F2" sqref="F2"/>
    </sheetView>
  </sheetViews>
  <sheetFormatPr defaultColWidth="12.5703125" defaultRowHeight="15.75" customHeight="1"/>
  <cols>
    <col min="1" max="1" width="7.42578125" customWidth="1"/>
    <col min="2" max="2" width="19.85546875" customWidth="1"/>
    <col min="3" max="3" width="29.28515625" customWidth="1"/>
    <col min="4" max="4" width="8.85546875" customWidth="1"/>
    <col min="5" max="5" width="52.28515625" customWidth="1"/>
    <col min="6" max="6" width="16.5703125" customWidth="1"/>
    <col min="7" max="9" width="16.5703125" hidden="1" customWidth="1"/>
    <col min="10" max="10" width="16.7109375" hidden="1" customWidth="1"/>
    <col min="11" max="11" width="17.5703125" hidden="1" customWidth="1"/>
    <col min="12" max="13" width="21.7109375" customWidth="1"/>
    <col min="14" max="14" width="15.85546875" hidden="1" customWidth="1"/>
    <col min="15" max="15" width="20.85546875" hidden="1" customWidth="1"/>
    <col min="16" max="16" width="54.7109375" hidden="1" customWidth="1"/>
    <col min="17" max="18" width="15.42578125" hidden="1" customWidth="1"/>
    <col min="19" max="20" width="20.5703125" hidden="1" customWidth="1"/>
    <col min="21" max="21" width="26.42578125" hidden="1" customWidth="1"/>
    <col min="22" max="22" width="26" hidden="1" customWidth="1"/>
    <col min="23" max="23" width="19.28515625" hidden="1" customWidth="1"/>
    <col min="24" max="24" width="37.28515625" hidden="1" customWidth="1"/>
    <col min="25" max="26" width="12.5703125" hidden="1"/>
  </cols>
  <sheetData>
    <row r="1" spans="1:24" ht="25.5">
      <c r="A1" s="89"/>
      <c r="B1" s="2" t="s">
        <v>2</v>
      </c>
      <c r="C1" s="3" t="s">
        <v>1</v>
      </c>
      <c r="D1" s="1" t="s">
        <v>0</v>
      </c>
      <c r="E1" s="3" t="s">
        <v>3</v>
      </c>
      <c r="F1" s="3" t="s">
        <v>14</v>
      </c>
      <c r="G1" s="2" t="s">
        <v>640</v>
      </c>
      <c r="H1" s="2" t="s">
        <v>641</v>
      </c>
      <c r="I1" s="2" t="s">
        <v>642</v>
      </c>
      <c r="J1" s="2" t="s">
        <v>644</v>
      </c>
      <c r="K1" s="2" t="s">
        <v>645</v>
      </c>
      <c r="L1" s="2" t="s">
        <v>7</v>
      </c>
      <c r="M1" s="2" t="s">
        <v>20</v>
      </c>
      <c r="N1" s="2" t="s">
        <v>7</v>
      </c>
      <c r="O1" s="2" t="s">
        <v>648</v>
      </c>
      <c r="P1" s="90" t="s">
        <v>650</v>
      </c>
      <c r="Q1" s="91" t="s">
        <v>652</v>
      </c>
      <c r="R1" s="91" t="s">
        <v>655</v>
      </c>
      <c r="S1" s="91" t="s">
        <v>656</v>
      </c>
      <c r="T1" s="91" t="s">
        <v>657</v>
      </c>
      <c r="U1" s="90" t="s">
        <v>20</v>
      </c>
      <c r="V1" s="90" t="s">
        <v>71</v>
      </c>
      <c r="W1" s="90" t="s">
        <v>72</v>
      </c>
      <c r="X1" s="90" t="s">
        <v>75</v>
      </c>
    </row>
    <row r="2" spans="1:24" ht="14.25">
      <c r="A2" s="6">
        <v>1</v>
      </c>
      <c r="B2" s="15" t="s">
        <v>57</v>
      </c>
      <c r="C2" s="15" t="s">
        <v>191</v>
      </c>
      <c r="D2" s="6">
        <v>2</v>
      </c>
      <c r="E2" s="14" t="s">
        <v>26</v>
      </c>
      <c r="F2" s="15" t="s">
        <v>31</v>
      </c>
      <c r="G2" s="92">
        <v>45255</v>
      </c>
      <c r="H2" s="13">
        <v>9.4640299999999993</v>
      </c>
      <c r="I2" s="13">
        <v>125.57594</v>
      </c>
      <c r="J2" s="13" t="s">
        <v>665</v>
      </c>
      <c r="K2" s="13" t="s">
        <v>667</v>
      </c>
      <c r="L2" s="13" t="s">
        <v>22</v>
      </c>
      <c r="M2" s="13"/>
      <c r="N2" s="13" t="s">
        <v>199</v>
      </c>
      <c r="O2" s="93">
        <v>45944.961354166669</v>
      </c>
      <c r="P2" s="13"/>
      <c r="Q2" s="94"/>
      <c r="R2" s="95"/>
      <c r="S2" s="95"/>
      <c r="T2" s="95"/>
      <c r="U2" s="96"/>
      <c r="V2" s="96"/>
      <c r="W2" s="96"/>
      <c r="X2" s="96"/>
    </row>
    <row r="3" spans="1:24" ht="14.25">
      <c r="A3" s="6">
        <v>2</v>
      </c>
      <c r="B3" s="15" t="s">
        <v>57</v>
      </c>
      <c r="C3" s="15" t="s">
        <v>212</v>
      </c>
      <c r="D3" s="6">
        <v>2</v>
      </c>
      <c r="E3" s="14" t="s">
        <v>61</v>
      </c>
      <c r="F3" s="15" t="s">
        <v>65</v>
      </c>
      <c r="G3" s="92">
        <v>45246</v>
      </c>
      <c r="H3" s="13">
        <v>9.4632009999999998</v>
      </c>
      <c r="I3" s="13">
        <v>125.57586000000001</v>
      </c>
      <c r="J3" s="13" t="s">
        <v>669</v>
      </c>
      <c r="K3" s="13" t="s">
        <v>670</v>
      </c>
      <c r="L3" s="13" t="s">
        <v>22</v>
      </c>
      <c r="M3" s="13"/>
      <c r="N3" s="13" t="s">
        <v>199</v>
      </c>
      <c r="O3" s="93">
        <v>45950.961458333331</v>
      </c>
      <c r="P3" s="96"/>
      <c r="Q3" s="95"/>
      <c r="R3" s="95"/>
      <c r="S3" s="95"/>
      <c r="T3" s="95"/>
      <c r="U3" s="96"/>
      <c r="V3" s="96"/>
      <c r="W3" s="96"/>
      <c r="X3" s="96"/>
    </row>
    <row r="4" spans="1:24" ht="14.25">
      <c r="A4" s="6">
        <v>3</v>
      </c>
      <c r="B4" s="15" t="s">
        <v>57</v>
      </c>
      <c r="C4" s="15" t="s">
        <v>212</v>
      </c>
      <c r="D4" s="6">
        <v>2</v>
      </c>
      <c r="E4" s="14" t="s">
        <v>87</v>
      </c>
      <c r="F4" s="15" t="s">
        <v>65</v>
      </c>
      <c r="G4" s="92">
        <v>45246</v>
      </c>
      <c r="H4" s="13">
        <v>9.4632009999999998</v>
      </c>
      <c r="I4" s="13">
        <v>125.57586000000001</v>
      </c>
      <c r="J4" s="13" t="s">
        <v>671</v>
      </c>
      <c r="K4" s="13" t="s">
        <v>672</v>
      </c>
      <c r="L4" s="13" t="s">
        <v>22</v>
      </c>
      <c r="M4" s="13"/>
      <c r="N4" s="13" t="s">
        <v>199</v>
      </c>
      <c r="O4" s="93">
        <v>45950.961481481485</v>
      </c>
      <c r="P4" s="93"/>
      <c r="Q4" s="95"/>
      <c r="R4" s="95"/>
      <c r="S4" s="95"/>
      <c r="T4" s="95"/>
      <c r="U4" s="96"/>
      <c r="V4" s="96"/>
      <c r="W4" s="96"/>
      <c r="X4" s="96"/>
    </row>
    <row r="5" spans="1:24" ht="14.25">
      <c r="A5" s="6">
        <v>4</v>
      </c>
      <c r="B5" s="15" t="s">
        <v>57</v>
      </c>
      <c r="C5" s="15" t="s">
        <v>212</v>
      </c>
      <c r="D5" s="6">
        <v>2</v>
      </c>
      <c r="E5" s="14" t="s">
        <v>91</v>
      </c>
      <c r="F5" s="15" t="s">
        <v>65</v>
      </c>
      <c r="G5" s="92">
        <v>45246</v>
      </c>
      <c r="H5" s="13">
        <v>9.4632009999999998</v>
      </c>
      <c r="I5" s="13">
        <v>125.57586000000001</v>
      </c>
      <c r="J5" s="13" t="s">
        <v>673</v>
      </c>
      <c r="K5" s="13" t="s">
        <v>674</v>
      </c>
      <c r="L5" s="13" t="s">
        <v>22</v>
      </c>
      <c r="M5" s="13"/>
      <c r="N5" s="13" t="s">
        <v>199</v>
      </c>
      <c r="O5" s="93">
        <v>45950.961446759262</v>
      </c>
      <c r="P5" s="93"/>
      <c r="Q5" s="95"/>
      <c r="R5" s="95"/>
      <c r="S5" s="95"/>
      <c r="T5" s="95"/>
      <c r="U5" s="96"/>
      <c r="V5" s="96"/>
      <c r="W5" s="96"/>
      <c r="X5" s="96"/>
    </row>
    <row r="6" spans="1:24" ht="14.25">
      <c r="A6" s="6">
        <v>5</v>
      </c>
      <c r="B6" s="15" t="s">
        <v>57</v>
      </c>
      <c r="C6" s="15" t="s">
        <v>212</v>
      </c>
      <c r="D6" s="6">
        <v>2</v>
      </c>
      <c r="E6" s="14" t="s">
        <v>96</v>
      </c>
      <c r="F6" s="15" t="s">
        <v>99</v>
      </c>
      <c r="G6" s="92">
        <v>45255</v>
      </c>
      <c r="H6" s="13">
        <v>9.4626529999999995</v>
      </c>
      <c r="I6" s="13">
        <v>125.576849</v>
      </c>
      <c r="J6" s="13" t="s">
        <v>675</v>
      </c>
      <c r="K6" s="13" t="s">
        <v>676</v>
      </c>
      <c r="L6" s="13" t="s">
        <v>22</v>
      </c>
      <c r="M6" s="13"/>
      <c r="N6" s="13" t="s">
        <v>199</v>
      </c>
      <c r="O6" s="93">
        <v>45944.96466435185</v>
      </c>
      <c r="P6" s="93"/>
      <c r="Q6" s="95"/>
      <c r="R6" s="95"/>
      <c r="S6" s="95"/>
      <c r="T6" s="95"/>
      <c r="U6" s="96"/>
      <c r="V6" s="96"/>
      <c r="W6" s="96"/>
      <c r="X6" s="96"/>
    </row>
    <row r="7" spans="1:24" ht="14.25">
      <c r="A7" s="6">
        <v>6</v>
      </c>
      <c r="B7" s="15" t="s">
        <v>57</v>
      </c>
      <c r="C7" s="15" t="s">
        <v>212</v>
      </c>
      <c r="D7" s="6">
        <v>2</v>
      </c>
      <c r="E7" s="14" t="s">
        <v>102</v>
      </c>
      <c r="F7" s="15" t="s">
        <v>103</v>
      </c>
      <c r="G7" s="92">
        <v>45255</v>
      </c>
      <c r="H7" s="13">
        <v>9.4641950000000001</v>
      </c>
      <c r="I7" s="13">
        <v>125.576086</v>
      </c>
      <c r="J7" s="13" t="s">
        <v>678</v>
      </c>
      <c r="K7" s="13" t="s">
        <v>679</v>
      </c>
      <c r="L7" s="13" t="s">
        <v>22</v>
      </c>
      <c r="M7" s="13"/>
      <c r="N7" s="13" t="s">
        <v>199</v>
      </c>
      <c r="O7" s="93">
        <v>45943.318831018521</v>
      </c>
      <c r="P7" s="13"/>
      <c r="Q7" s="95"/>
      <c r="R7" s="95"/>
      <c r="S7" s="95"/>
      <c r="T7" s="95"/>
      <c r="U7" s="96"/>
      <c r="V7" s="96"/>
      <c r="W7" s="96"/>
      <c r="X7" s="96"/>
    </row>
    <row r="8" spans="1:24" ht="12.75">
      <c r="A8" s="6">
        <v>7</v>
      </c>
      <c r="B8" s="15" t="s">
        <v>117</v>
      </c>
      <c r="C8" s="15" t="s">
        <v>191</v>
      </c>
      <c r="D8" s="6">
        <v>2</v>
      </c>
      <c r="E8" s="14" t="s">
        <v>105</v>
      </c>
      <c r="F8" s="15" t="s">
        <v>65</v>
      </c>
      <c r="G8" s="92">
        <v>45245</v>
      </c>
      <c r="H8" s="13">
        <v>9.6080570000000005</v>
      </c>
      <c r="I8" s="13">
        <v>125.640231</v>
      </c>
      <c r="J8" s="13" t="s">
        <v>680</v>
      </c>
      <c r="K8" s="13" t="s">
        <v>681</v>
      </c>
      <c r="L8" s="13" t="s">
        <v>22</v>
      </c>
      <c r="M8" s="13"/>
      <c r="N8" s="13" t="s">
        <v>89</v>
      </c>
      <c r="O8" s="93"/>
      <c r="P8" s="98"/>
      <c r="Q8" s="99"/>
      <c r="R8" s="99"/>
      <c r="S8" s="99"/>
      <c r="T8" s="99"/>
      <c r="U8" s="96"/>
      <c r="V8" s="96"/>
      <c r="W8" s="96"/>
      <c r="X8" s="96"/>
    </row>
    <row r="9" spans="1:24" ht="12.75">
      <c r="A9" s="6">
        <v>8</v>
      </c>
      <c r="B9" s="15" t="s">
        <v>117</v>
      </c>
      <c r="C9" s="15" t="s">
        <v>191</v>
      </c>
      <c r="D9" s="6">
        <v>2</v>
      </c>
      <c r="E9" s="14" t="s">
        <v>120</v>
      </c>
      <c r="F9" s="15" t="s">
        <v>65</v>
      </c>
      <c r="G9" s="92">
        <v>45245</v>
      </c>
      <c r="H9" s="13">
        <v>9.6080570000000005</v>
      </c>
      <c r="I9" s="13">
        <v>125.640231</v>
      </c>
      <c r="J9" s="13" t="s">
        <v>682</v>
      </c>
      <c r="K9" s="13" t="s">
        <v>683</v>
      </c>
      <c r="L9" s="13" t="s">
        <v>22</v>
      </c>
      <c r="M9" s="13"/>
      <c r="N9" s="13" t="s">
        <v>89</v>
      </c>
      <c r="O9" s="93"/>
      <c r="P9" s="98"/>
      <c r="Q9" s="99"/>
      <c r="R9" s="99"/>
      <c r="S9" s="99"/>
      <c r="T9" s="99"/>
      <c r="U9" s="96"/>
      <c r="V9" s="96"/>
      <c r="W9" s="96"/>
      <c r="X9" s="96"/>
    </row>
    <row r="10" spans="1:24" ht="14.25">
      <c r="A10" s="6">
        <v>9</v>
      </c>
      <c r="B10" s="15" t="s">
        <v>117</v>
      </c>
      <c r="C10" s="15" t="s">
        <v>191</v>
      </c>
      <c r="D10" s="6">
        <v>2</v>
      </c>
      <c r="E10" s="14" t="s">
        <v>124</v>
      </c>
      <c r="F10" s="15" t="s">
        <v>65</v>
      </c>
      <c r="G10" s="92">
        <v>45245</v>
      </c>
      <c r="H10" s="13">
        <v>9.6080570000000005</v>
      </c>
      <c r="I10" s="13">
        <v>125.640231</v>
      </c>
      <c r="J10" s="13" t="s">
        <v>684</v>
      </c>
      <c r="K10" s="13" t="s">
        <v>685</v>
      </c>
      <c r="L10" s="13" t="s">
        <v>22</v>
      </c>
      <c r="M10" s="13"/>
      <c r="N10" s="13" t="s">
        <v>89</v>
      </c>
      <c r="O10" s="93"/>
      <c r="P10" s="98"/>
      <c r="Q10" s="100"/>
      <c r="R10" s="100"/>
      <c r="S10" s="100"/>
      <c r="T10" s="100"/>
      <c r="U10" s="96"/>
      <c r="V10" s="96"/>
      <c r="W10" s="96"/>
      <c r="X10" s="96"/>
    </row>
    <row r="11" spans="1:24" ht="14.25">
      <c r="A11" s="6">
        <v>10</v>
      </c>
      <c r="B11" s="15" t="s">
        <v>117</v>
      </c>
      <c r="C11" s="15" t="s">
        <v>191</v>
      </c>
      <c r="D11" s="6">
        <v>2</v>
      </c>
      <c r="E11" s="50" t="s">
        <v>234</v>
      </c>
      <c r="F11" s="15" t="s">
        <v>128</v>
      </c>
      <c r="G11" s="92">
        <v>45265</v>
      </c>
      <c r="H11" s="13">
        <v>9.6137576760000005</v>
      </c>
      <c r="I11" s="13">
        <v>125.636044</v>
      </c>
      <c r="J11" s="13" t="s">
        <v>686</v>
      </c>
      <c r="K11" s="13" t="s">
        <v>687</v>
      </c>
      <c r="L11" s="13" t="s">
        <v>22</v>
      </c>
      <c r="M11" s="13"/>
      <c r="N11" s="13" t="s">
        <v>89</v>
      </c>
      <c r="O11" s="93"/>
      <c r="P11" s="98"/>
      <c r="Q11" s="100"/>
      <c r="R11" s="100"/>
      <c r="S11" s="100"/>
      <c r="T11" s="100"/>
      <c r="U11" s="96"/>
      <c r="V11" s="96"/>
      <c r="W11" s="96"/>
      <c r="X11" s="96"/>
    </row>
    <row r="12" spans="1:24" ht="12.75">
      <c r="A12" s="6">
        <v>11</v>
      </c>
      <c r="B12" s="15" t="s">
        <v>117</v>
      </c>
      <c r="C12" s="15" t="s">
        <v>191</v>
      </c>
      <c r="D12" s="6">
        <v>2</v>
      </c>
      <c r="E12" s="14" t="s">
        <v>130</v>
      </c>
      <c r="F12" s="15" t="s">
        <v>31</v>
      </c>
      <c r="G12" s="92">
        <v>45257</v>
      </c>
      <c r="H12" s="13">
        <v>9.6088850000000008</v>
      </c>
      <c r="I12" s="13">
        <v>125.640559</v>
      </c>
      <c r="J12" s="13" t="s">
        <v>688</v>
      </c>
      <c r="K12" s="13" t="s">
        <v>689</v>
      </c>
      <c r="L12" s="13" t="s">
        <v>22</v>
      </c>
      <c r="M12" s="13"/>
      <c r="N12" s="13" t="s">
        <v>89</v>
      </c>
      <c r="O12" s="93"/>
      <c r="P12" s="13"/>
      <c r="Q12" s="99"/>
      <c r="R12" s="99"/>
      <c r="S12" s="99"/>
      <c r="T12" s="99"/>
      <c r="U12" s="96"/>
      <c r="V12" s="96"/>
      <c r="W12" s="96"/>
      <c r="X12" s="96"/>
    </row>
    <row r="13" spans="1:24" ht="12.75">
      <c r="A13" s="6">
        <v>12</v>
      </c>
      <c r="B13" s="15" t="s">
        <v>117</v>
      </c>
      <c r="C13" s="15" t="s">
        <v>191</v>
      </c>
      <c r="D13" s="6">
        <v>2</v>
      </c>
      <c r="E13" s="14" t="s">
        <v>131</v>
      </c>
      <c r="F13" s="15" t="s">
        <v>103</v>
      </c>
      <c r="G13" s="92">
        <v>45257</v>
      </c>
      <c r="H13" s="13">
        <v>9.6085552760000006</v>
      </c>
      <c r="I13" s="13">
        <v>125.640615</v>
      </c>
      <c r="J13" s="13" t="s">
        <v>692</v>
      </c>
      <c r="K13" s="13" t="s">
        <v>693</v>
      </c>
      <c r="L13" s="13" t="s">
        <v>22</v>
      </c>
      <c r="M13" s="13"/>
      <c r="N13" s="13" t="s">
        <v>89</v>
      </c>
      <c r="O13" s="93"/>
      <c r="P13" s="98"/>
      <c r="Q13" s="99"/>
      <c r="R13" s="99"/>
      <c r="S13" s="99"/>
      <c r="T13" s="99"/>
      <c r="U13" s="96"/>
      <c r="V13" s="96"/>
      <c r="W13" s="96"/>
      <c r="X13" s="96"/>
    </row>
    <row r="14" spans="1:24" ht="12.75">
      <c r="A14" s="6">
        <v>13</v>
      </c>
      <c r="B14" s="15" t="s">
        <v>136</v>
      </c>
      <c r="C14" s="15" t="s">
        <v>251</v>
      </c>
      <c r="D14" s="6">
        <v>2</v>
      </c>
      <c r="E14" s="14" t="s">
        <v>133</v>
      </c>
      <c r="F14" s="15" t="s">
        <v>65</v>
      </c>
      <c r="G14" s="92">
        <v>45233</v>
      </c>
      <c r="H14" s="13">
        <v>9.5739180000000008</v>
      </c>
      <c r="I14" s="13">
        <v>125.73276</v>
      </c>
      <c r="J14" s="13" t="s">
        <v>694</v>
      </c>
      <c r="K14" s="13" t="s">
        <v>695</v>
      </c>
      <c r="L14" s="13" t="s">
        <v>22</v>
      </c>
      <c r="M14" s="13"/>
      <c r="N14" s="13" t="s">
        <v>89</v>
      </c>
      <c r="O14" s="98"/>
      <c r="P14" s="13"/>
      <c r="Q14" s="101"/>
      <c r="R14" s="101"/>
      <c r="S14" s="101"/>
      <c r="T14" s="101"/>
      <c r="U14" s="96"/>
      <c r="V14" s="96"/>
      <c r="W14" s="96"/>
      <c r="X14" s="96"/>
    </row>
    <row r="15" spans="1:24" ht="12.75">
      <c r="A15" s="6">
        <v>14</v>
      </c>
      <c r="B15" s="15" t="s">
        <v>136</v>
      </c>
      <c r="C15" s="15" t="s">
        <v>251</v>
      </c>
      <c r="D15" s="6">
        <v>2</v>
      </c>
      <c r="E15" s="14" t="s">
        <v>138</v>
      </c>
      <c r="F15" s="15" t="s">
        <v>65</v>
      </c>
      <c r="G15" s="92">
        <v>45236</v>
      </c>
      <c r="H15" s="13">
        <v>9.5739180000000008</v>
      </c>
      <c r="I15" s="13">
        <v>125.73276</v>
      </c>
      <c r="J15" s="13" t="s">
        <v>696</v>
      </c>
      <c r="K15" s="13" t="s">
        <v>697</v>
      </c>
      <c r="L15" s="13" t="s">
        <v>22</v>
      </c>
      <c r="M15" s="13"/>
      <c r="N15" s="13" t="s">
        <v>89</v>
      </c>
      <c r="O15" s="98"/>
      <c r="P15" s="93"/>
      <c r="Q15" s="101"/>
      <c r="R15" s="101"/>
      <c r="S15" s="101"/>
      <c r="T15" s="101"/>
      <c r="U15" s="96"/>
      <c r="V15" s="96"/>
      <c r="W15" s="96"/>
      <c r="X15" s="96"/>
    </row>
    <row r="16" spans="1:24" ht="12.75">
      <c r="A16" s="6">
        <v>15</v>
      </c>
      <c r="B16" s="15" t="s">
        <v>136</v>
      </c>
      <c r="C16" s="15" t="s">
        <v>251</v>
      </c>
      <c r="D16" s="6">
        <v>2</v>
      </c>
      <c r="E16" s="14" t="s">
        <v>145</v>
      </c>
      <c r="F16" s="15" t="s">
        <v>65</v>
      </c>
      <c r="G16" s="92">
        <v>45239</v>
      </c>
      <c r="H16" s="13">
        <v>9.5735050000000008</v>
      </c>
      <c r="I16" s="13">
        <v>125.732704</v>
      </c>
      <c r="J16" s="13" t="s">
        <v>698</v>
      </c>
      <c r="K16" s="13" t="s">
        <v>699</v>
      </c>
      <c r="L16" s="13" t="s">
        <v>22</v>
      </c>
      <c r="M16" s="13"/>
      <c r="N16" s="13" t="s">
        <v>199</v>
      </c>
      <c r="O16" s="98">
        <v>45941.549386574072</v>
      </c>
      <c r="P16" s="13"/>
      <c r="Q16" s="101"/>
      <c r="R16" s="101"/>
      <c r="S16" s="101"/>
      <c r="T16" s="101"/>
      <c r="U16" s="96"/>
      <c r="V16" s="96"/>
      <c r="W16" s="96"/>
      <c r="X16" s="96"/>
    </row>
    <row r="17" spans="1:24" ht="12.75">
      <c r="A17" s="6">
        <v>16</v>
      </c>
      <c r="B17" s="15" t="s">
        <v>136</v>
      </c>
      <c r="C17" s="15" t="s">
        <v>251</v>
      </c>
      <c r="D17" s="6">
        <v>2</v>
      </c>
      <c r="E17" s="14" t="s">
        <v>147</v>
      </c>
      <c r="F17" s="15" t="s">
        <v>103</v>
      </c>
      <c r="G17" s="92">
        <v>45258</v>
      </c>
      <c r="H17" s="13">
        <v>9.5738990000000008</v>
      </c>
      <c r="I17" s="13">
        <v>125.73335</v>
      </c>
      <c r="J17" s="13" t="s">
        <v>701</v>
      </c>
      <c r="K17" s="13" t="s">
        <v>702</v>
      </c>
      <c r="L17" s="13" t="s">
        <v>22</v>
      </c>
      <c r="M17" s="13"/>
      <c r="N17" s="13" t="s">
        <v>199</v>
      </c>
      <c r="O17" s="98">
        <v>45941.5466087963</v>
      </c>
      <c r="P17" s="13"/>
      <c r="Q17" s="101"/>
      <c r="R17" s="101"/>
      <c r="S17" s="101"/>
      <c r="T17" s="101"/>
      <c r="U17" s="96"/>
      <c r="V17" s="96"/>
      <c r="W17" s="96"/>
      <c r="X17" s="96"/>
    </row>
    <row r="18" spans="1:24" ht="12.75">
      <c r="A18" s="6">
        <v>17</v>
      </c>
      <c r="B18" s="15" t="s">
        <v>136</v>
      </c>
      <c r="C18" s="15" t="s">
        <v>251</v>
      </c>
      <c r="D18" s="6">
        <v>2</v>
      </c>
      <c r="E18" s="14" t="s">
        <v>150</v>
      </c>
      <c r="F18" s="15" t="s">
        <v>151</v>
      </c>
      <c r="G18" s="92">
        <v>45258</v>
      </c>
      <c r="H18" s="13">
        <v>9.5722498080000005</v>
      </c>
      <c r="I18" s="13">
        <v>125.73289</v>
      </c>
      <c r="J18" s="13" t="s">
        <v>703</v>
      </c>
      <c r="K18" s="13" t="s">
        <v>704</v>
      </c>
      <c r="L18" s="13" t="s">
        <v>22</v>
      </c>
      <c r="M18" s="13"/>
      <c r="N18" s="13" t="s">
        <v>89</v>
      </c>
      <c r="O18" s="98"/>
      <c r="P18" s="98"/>
      <c r="Q18" s="101"/>
      <c r="R18" s="101"/>
      <c r="S18" s="101"/>
      <c r="T18" s="101"/>
      <c r="U18" s="96"/>
      <c r="V18" s="96"/>
      <c r="W18" s="96"/>
      <c r="X18" s="96"/>
    </row>
    <row r="19" spans="1:24" ht="12.75">
      <c r="A19" s="6">
        <v>18</v>
      </c>
      <c r="B19" s="15" t="s">
        <v>136</v>
      </c>
      <c r="C19" s="15" t="s">
        <v>283</v>
      </c>
      <c r="D19" s="6">
        <v>2</v>
      </c>
      <c r="E19" s="14" t="s">
        <v>154</v>
      </c>
      <c r="F19" s="15" t="s">
        <v>155</v>
      </c>
      <c r="G19" s="92">
        <v>45258</v>
      </c>
      <c r="H19" s="13">
        <v>9.5767249999999997</v>
      </c>
      <c r="I19" s="13">
        <v>125.731375</v>
      </c>
      <c r="J19" s="13" t="s">
        <v>705</v>
      </c>
      <c r="K19" s="13" t="s">
        <v>706</v>
      </c>
      <c r="L19" s="13" t="s">
        <v>22</v>
      </c>
      <c r="M19" s="13"/>
      <c r="N19" s="13" t="s">
        <v>89</v>
      </c>
      <c r="O19" s="98"/>
      <c r="P19" s="13"/>
      <c r="Q19" s="101"/>
      <c r="R19" s="101"/>
      <c r="S19" s="101"/>
      <c r="T19" s="101"/>
      <c r="U19" s="96"/>
      <c r="V19" s="96"/>
      <c r="W19" s="96"/>
      <c r="X19" s="96"/>
    </row>
    <row r="20" spans="1:24" ht="12.75">
      <c r="A20" s="6">
        <v>19</v>
      </c>
      <c r="B20" s="8" t="s">
        <v>167</v>
      </c>
      <c r="C20" s="8" t="s">
        <v>290</v>
      </c>
      <c r="D20" s="6">
        <v>2</v>
      </c>
      <c r="E20" s="11" t="s">
        <v>159</v>
      </c>
      <c r="F20" s="15" t="s">
        <v>65</v>
      </c>
      <c r="G20" s="92">
        <v>45247</v>
      </c>
      <c r="H20" s="13">
        <v>9.5953529999999994</v>
      </c>
      <c r="I20" s="13">
        <v>125.69732999999999</v>
      </c>
      <c r="J20" s="13" t="s">
        <v>709</v>
      </c>
      <c r="K20" s="13" t="s">
        <v>710</v>
      </c>
      <c r="L20" s="13" t="s">
        <v>22</v>
      </c>
      <c r="M20" s="13"/>
      <c r="N20" s="13" t="s">
        <v>89</v>
      </c>
      <c r="O20" s="98"/>
      <c r="P20" s="93"/>
      <c r="Q20" s="103"/>
      <c r="R20" s="103"/>
      <c r="S20" s="103"/>
      <c r="T20" s="103"/>
      <c r="U20" s="96"/>
      <c r="V20" s="96"/>
      <c r="W20" s="96"/>
      <c r="X20" s="96"/>
    </row>
    <row r="21" spans="1:24" ht="12.75">
      <c r="A21" s="6">
        <v>20</v>
      </c>
      <c r="B21" s="8" t="s">
        <v>167</v>
      </c>
      <c r="C21" s="8" t="s">
        <v>290</v>
      </c>
      <c r="D21" s="6">
        <v>2</v>
      </c>
      <c r="E21" s="11" t="s">
        <v>169</v>
      </c>
      <c r="F21" s="15" t="s">
        <v>65</v>
      </c>
      <c r="G21" s="92">
        <v>45247</v>
      </c>
      <c r="H21" s="13">
        <v>9.5953529999999994</v>
      </c>
      <c r="I21" s="13">
        <v>125.69732999999999</v>
      </c>
      <c r="J21" s="13" t="s">
        <v>712</v>
      </c>
      <c r="K21" s="13" t="s">
        <v>713</v>
      </c>
      <c r="L21" s="13" t="s">
        <v>22</v>
      </c>
      <c r="M21" s="13"/>
      <c r="N21" s="13" t="s">
        <v>89</v>
      </c>
      <c r="O21" s="98"/>
      <c r="P21" s="93"/>
      <c r="Q21" s="103"/>
      <c r="R21" s="103"/>
      <c r="S21" s="103"/>
      <c r="T21" s="103"/>
      <c r="U21" s="96"/>
      <c r="V21" s="96"/>
      <c r="W21" s="96"/>
      <c r="X21" s="96"/>
    </row>
    <row r="22" spans="1:24" ht="12.75">
      <c r="A22" s="6">
        <v>21</v>
      </c>
      <c r="B22" s="8" t="s">
        <v>167</v>
      </c>
      <c r="C22" s="8" t="s">
        <v>290</v>
      </c>
      <c r="D22" s="6">
        <v>2</v>
      </c>
      <c r="E22" s="11" t="s">
        <v>174</v>
      </c>
      <c r="F22" s="15" t="s">
        <v>65</v>
      </c>
      <c r="G22" s="92">
        <v>45247</v>
      </c>
      <c r="H22" s="13">
        <v>9.5953529999999994</v>
      </c>
      <c r="I22" s="13">
        <v>125.69732999999999</v>
      </c>
      <c r="J22" s="13" t="s">
        <v>714</v>
      </c>
      <c r="K22" s="13" t="s">
        <v>715</v>
      </c>
      <c r="L22" s="13" t="s">
        <v>22</v>
      </c>
      <c r="M22" s="13"/>
      <c r="N22" s="13" t="s">
        <v>89</v>
      </c>
      <c r="O22" s="98"/>
      <c r="P22" s="93"/>
      <c r="Q22" s="103"/>
      <c r="R22" s="103"/>
      <c r="S22" s="103"/>
      <c r="T22" s="103"/>
      <c r="U22" s="96"/>
      <c r="V22" s="96"/>
      <c r="W22" s="96"/>
      <c r="X22" s="96"/>
    </row>
    <row r="23" spans="1:24" ht="12.75">
      <c r="A23" s="6">
        <v>22</v>
      </c>
      <c r="B23" s="8" t="s">
        <v>167</v>
      </c>
      <c r="C23" s="8" t="s">
        <v>290</v>
      </c>
      <c r="D23" s="6">
        <v>2</v>
      </c>
      <c r="E23" s="11" t="s">
        <v>177</v>
      </c>
      <c r="F23" s="15" t="s">
        <v>103</v>
      </c>
      <c r="G23" s="92">
        <v>45256</v>
      </c>
      <c r="H23" s="13">
        <v>9.5959573850000002</v>
      </c>
      <c r="I23" s="13">
        <v>125.698106</v>
      </c>
      <c r="J23" s="13" t="s">
        <v>716</v>
      </c>
      <c r="K23" s="13" t="s">
        <v>717</v>
      </c>
      <c r="L23" s="13" t="s">
        <v>22</v>
      </c>
      <c r="M23" s="13"/>
      <c r="N23" s="13" t="s">
        <v>199</v>
      </c>
      <c r="O23" s="98">
        <v>45941.580636574072</v>
      </c>
      <c r="P23" s="93"/>
      <c r="Q23" s="103"/>
      <c r="R23" s="103"/>
      <c r="S23" s="103"/>
      <c r="T23" s="103"/>
      <c r="U23" s="96"/>
      <c r="V23" s="96"/>
      <c r="W23" s="96"/>
      <c r="X23" s="96"/>
    </row>
    <row r="24" spans="1:24" ht="12.75">
      <c r="A24" s="6">
        <v>23</v>
      </c>
      <c r="B24" s="8" t="s">
        <v>167</v>
      </c>
      <c r="C24" s="8" t="s">
        <v>140</v>
      </c>
      <c r="D24" s="6">
        <v>2</v>
      </c>
      <c r="E24" s="11" t="s">
        <v>181</v>
      </c>
      <c r="F24" s="15" t="s">
        <v>65</v>
      </c>
      <c r="G24" s="92">
        <v>45256</v>
      </c>
      <c r="H24" s="13">
        <v>9.5958871979999998</v>
      </c>
      <c r="I24" s="13">
        <v>125.697434</v>
      </c>
      <c r="J24" s="13" t="s">
        <v>718</v>
      </c>
      <c r="K24" s="13" t="s">
        <v>719</v>
      </c>
      <c r="L24" s="13" t="s">
        <v>22</v>
      </c>
      <c r="M24" s="13"/>
      <c r="N24" s="13" t="s">
        <v>89</v>
      </c>
      <c r="O24" s="98"/>
      <c r="P24" s="93"/>
      <c r="Q24" s="103"/>
      <c r="R24" s="103"/>
      <c r="S24" s="103"/>
      <c r="T24" s="103"/>
      <c r="U24" s="96"/>
      <c r="V24" s="96"/>
      <c r="W24" s="96"/>
      <c r="X24" s="96"/>
    </row>
    <row r="25" spans="1:24" ht="12.75">
      <c r="A25" s="6">
        <v>24</v>
      </c>
      <c r="B25" s="8" t="s">
        <v>167</v>
      </c>
      <c r="C25" s="8" t="s">
        <v>290</v>
      </c>
      <c r="D25" s="6">
        <v>2</v>
      </c>
      <c r="E25" s="11" t="s">
        <v>184</v>
      </c>
      <c r="F25" s="15" t="s">
        <v>155</v>
      </c>
      <c r="G25" s="92">
        <v>45256</v>
      </c>
      <c r="H25" s="13">
        <v>9.593778855</v>
      </c>
      <c r="I25" s="13">
        <v>125.699009</v>
      </c>
      <c r="J25" s="13" t="s">
        <v>720</v>
      </c>
      <c r="K25" s="13" t="s">
        <v>721</v>
      </c>
      <c r="L25" s="13" t="s">
        <v>22</v>
      </c>
      <c r="M25" s="13"/>
      <c r="N25" s="13" t="s">
        <v>89</v>
      </c>
      <c r="O25" s="98"/>
      <c r="P25" s="93"/>
      <c r="Q25" s="103"/>
      <c r="R25" s="103"/>
      <c r="S25" s="103"/>
      <c r="T25" s="103"/>
      <c r="U25" s="96"/>
      <c r="V25" s="96"/>
      <c r="W25" s="96"/>
      <c r="X25" s="96"/>
    </row>
    <row r="26" spans="1:24" ht="12.75">
      <c r="A26" s="6">
        <v>25</v>
      </c>
      <c r="B26" s="8" t="s">
        <v>198</v>
      </c>
      <c r="C26" s="8" t="s">
        <v>327</v>
      </c>
      <c r="D26" s="6">
        <v>2</v>
      </c>
      <c r="E26" s="11" t="s">
        <v>188</v>
      </c>
      <c r="F26" s="15" t="s">
        <v>65</v>
      </c>
      <c r="G26" s="92">
        <v>45255</v>
      </c>
      <c r="H26" s="13">
        <v>9.5406747420000002</v>
      </c>
      <c r="I26" s="13">
        <v>125.522983</v>
      </c>
      <c r="J26" s="13" t="s">
        <v>723</v>
      </c>
      <c r="K26" s="13" t="s">
        <v>724</v>
      </c>
      <c r="L26" s="13" t="s">
        <v>22</v>
      </c>
      <c r="M26" s="13"/>
      <c r="N26" s="13" t="s">
        <v>89</v>
      </c>
      <c r="O26" s="98"/>
      <c r="P26" s="525"/>
      <c r="Q26" s="103"/>
      <c r="R26" s="103"/>
      <c r="S26" s="103"/>
      <c r="T26" s="103"/>
      <c r="U26" s="96"/>
      <c r="V26" s="96"/>
      <c r="W26" s="96"/>
      <c r="X26" s="96"/>
    </row>
    <row r="27" spans="1:24" ht="12.75">
      <c r="A27" s="6">
        <v>26</v>
      </c>
      <c r="B27" s="8" t="s">
        <v>198</v>
      </c>
      <c r="C27" s="8" t="s">
        <v>327</v>
      </c>
      <c r="D27" s="6">
        <v>2</v>
      </c>
      <c r="E27" s="11" t="s">
        <v>201</v>
      </c>
      <c r="F27" s="15" t="s">
        <v>65</v>
      </c>
      <c r="G27" s="92">
        <v>45255</v>
      </c>
      <c r="H27" s="13">
        <v>9.5404671749999999</v>
      </c>
      <c r="I27" s="13">
        <v>125.52278800000001</v>
      </c>
      <c r="J27" s="13" t="s">
        <v>728</v>
      </c>
      <c r="K27" s="13" t="s">
        <v>729</v>
      </c>
      <c r="L27" s="13" t="s">
        <v>22</v>
      </c>
      <c r="M27" s="13"/>
      <c r="N27" s="13" t="s">
        <v>199</v>
      </c>
      <c r="O27" s="98">
        <v>45943.23641203704</v>
      </c>
      <c r="P27" s="511"/>
      <c r="Q27" s="103"/>
      <c r="R27" s="103"/>
      <c r="S27" s="103"/>
      <c r="T27" s="103"/>
      <c r="U27" s="96"/>
      <c r="V27" s="96"/>
      <c r="W27" s="96"/>
      <c r="X27" s="96"/>
    </row>
    <row r="28" spans="1:24" ht="12.75">
      <c r="A28" s="6">
        <v>27</v>
      </c>
      <c r="B28" s="8" t="s">
        <v>198</v>
      </c>
      <c r="C28" s="8" t="s">
        <v>327</v>
      </c>
      <c r="D28" s="6">
        <v>2</v>
      </c>
      <c r="E28" s="11" t="s">
        <v>203</v>
      </c>
      <c r="F28" s="15" t="s">
        <v>65</v>
      </c>
      <c r="G28" s="92">
        <v>45255</v>
      </c>
      <c r="H28" s="13">
        <v>9.5404671749999999</v>
      </c>
      <c r="I28" s="13">
        <v>125.52278800000001</v>
      </c>
      <c r="J28" s="13" t="s">
        <v>730</v>
      </c>
      <c r="K28" s="13" t="s">
        <v>731</v>
      </c>
      <c r="L28" s="13" t="s">
        <v>22</v>
      </c>
      <c r="M28" s="13"/>
      <c r="N28" s="13" t="s">
        <v>89</v>
      </c>
      <c r="O28" s="98"/>
      <c r="P28" s="511"/>
      <c r="Q28" s="103"/>
      <c r="R28" s="103"/>
      <c r="S28" s="103"/>
      <c r="T28" s="103"/>
      <c r="U28" s="96"/>
      <c r="V28" s="96"/>
      <c r="W28" s="96"/>
      <c r="X28" s="96"/>
    </row>
    <row r="29" spans="1:24" ht="12.75">
      <c r="A29" s="6">
        <v>28</v>
      </c>
      <c r="B29" s="8" t="s">
        <v>198</v>
      </c>
      <c r="C29" s="8" t="s">
        <v>345</v>
      </c>
      <c r="D29" s="6">
        <v>2</v>
      </c>
      <c r="E29" s="11" t="s">
        <v>205</v>
      </c>
      <c r="F29" s="15" t="s">
        <v>207</v>
      </c>
      <c r="G29" s="92">
        <v>45256</v>
      </c>
      <c r="H29" s="13">
        <v>9.535276498</v>
      </c>
      <c r="I29" s="13">
        <v>125.523989</v>
      </c>
      <c r="J29" s="13" t="s">
        <v>734</v>
      </c>
      <c r="K29" s="13" t="s">
        <v>735</v>
      </c>
      <c r="L29" s="13" t="s">
        <v>22</v>
      </c>
      <c r="M29" s="13"/>
      <c r="N29" s="13" t="s">
        <v>89</v>
      </c>
      <c r="O29" s="98"/>
      <c r="P29" s="511"/>
      <c r="Q29" s="103"/>
      <c r="R29" s="103"/>
      <c r="S29" s="103"/>
      <c r="T29" s="103"/>
      <c r="U29" s="96"/>
      <c r="V29" s="96"/>
      <c r="W29" s="96"/>
      <c r="X29" s="96"/>
    </row>
    <row r="30" spans="1:24" ht="12.75">
      <c r="A30" s="6">
        <v>29</v>
      </c>
      <c r="B30" s="8" t="s">
        <v>198</v>
      </c>
      <c r="C30" s="8" t="s">
        <v>327</v>
      </c>
      <c r="D30" s="6">
        <v>2</v>
      </c>
      <c r="E30" s="11" t="s">
        <v>208</v>
      </c>
      <c r="F30" s="15" t="s">
        <v>103</v>
      </c>
      <c r="G30" s="92">
        <v>45267</v>
      </c>
      <c r="H30" s="13">
        <v>9.5404892950000004</v>
      </c>
      <c r="I30" s="13">
        <v>125.523382</v>
      </c>
      <c r="J30" s="13" t="s">
        <v>738</v>
      </c>
      <c r="K30" s="13" t="s">
        <v>740</v>
      </c>
      <c r="L30" s="13" t="s">
        <v>22</v>
      </c>
      <c r="M30" s="13"/>
      <c r="N30" s="13" t="s">
        <v>89</v>
      </c>
      <c r="O30" s="98"/>
      <c r="P30" s="511"/>
      <c r="Q30" s="103"/>
      <c r="R30" s="103"/>
      <c r="S30" s="103"/>
      <c r="T30" s="103"/>
      <c r="U30" s="96"/>
      <c r="V30" s="96"/>
      <c r="W30" s="96"/>
      <c r="X30" s="96"/>
    </row>
    <row r="31" spans="1:24" ht="12.75">
      <c r="A31" s="6">
        <v>30</v>
      </c>
      <c r="B31" s="8" t="s">
        <v>198</v>
      </c>
      <c r="C31" s="8" t="s">
        <v>327</v>
      </c>
      <c r="D31" s="6">
        <v>2</v>
      </c>
      <c r="E31" s="11" t="s">
        <v>209</v>
      </c>
      <c r="F31" s="15" t="s">
        <v>155</v>
      </c>
      <c r="G31" s="92">
        <v>45257</v>
      </c>
      <c r="H31" s="13">
        <v>9.5359444440000001</v>
      </c>
      <c r="I31" s="13">
        <v>125.523819</v>
      </c>
      <c r="J31" s="13" t="s">
        <v>745</v>
      </c>
      <c r="K31" s="13" t="s">
        <v>746</v>
      </c>
      <c r="L31" s="13" t="s">
        <v>22</v>
      </c>
      <c r="M31" s="13"/>
      <c r="N31" s="13" t="s">
        <v>89</v>
      </c>
      <c r="O31" s="93"/>
      <c r="P31" s="512"/>
      <c r="Q31" s="103"/>
      <c r="R31" s="103"/>
      <c r="S31" s="103"/>
      <c r="T31" s="103"/>
      <c r="U31" s="96"/>
      <c r="V31" s="96"/>
      <c r="W31" s="96"/>
      <c r="X31" s="96"/>
    </row>
    <row r="32" spans="1:24" ht="12.75">
      <c r="A32" s="6">
        <v>31</v>
      </c>
      <c r="B32" s="8" t="s">
        <v>216</v>
      </c>
      <c r="C32" s="8" t="s">
        <v>376</v>
      </c>
      <c r="D32" s="6">
        <v>2</v>
      </c>
      <c r="E32" s="11" t="s">
        <v>213</v>
      </c>
      <c r="F32" s="15" t="s">
        <v>65</v>
      </c>
      <c r="G32" s="92">
        <v>45244</v>
      </c>
      <c r="H32" s="13">
        <v>9.6564809999999994</v>
      </c>
      <c r="I32" s="13">
        <v>125.602485</v>
      </c>
      <c r="J32" s="13" t="s">
        <v>751</v>
      </c>
      <c r="K32" s="13" t="s">
        <v>752</v>
      </c>
      <c r="L32" s="13" t="s">
        <v>22</v>
      </c>
      <c r="M32" s="13"/>
      <c r="N32" s="13" t="s">
        <v>89</v>
      </c>
      <c r="O32" s="93"/>
      <c r="P32" s="93"/>
      <c r="Q32" s="107"/>
      <c r="R32" s="107"/>
      <c r="S32" s="107"/>
      <c r="T32" s="107"/>
      <c r="U32" s="96"/>
      <c r="V32" s="96"/>
      <c r="W32" s="96"/>
      <c r="X32" s="96"/>
    </row>
    <row r="33" spans="1:24" ht="12.75">
      <c r="A33" s="6">
        <v>32</v>
      </c>
      <c r="B33" s="8" t="s">
        <v>216</v>
      </c>
      <c r="C33" s="8" t="s">
        <v>376</v>
      </c>
      <c r="D33" s="6">
        <v>2</v>
      </c>
      <c r="E33" s="11" t="s">
        <v>218</v>
      </c>
      <c r="F33" s="15" t="s">
        <v>65</v>
      </c>
      <c r="G33" s="92">
        <v>45244</v>
      </c>
      <c r="H33" s="13">
        <v>9.6564809999999994</v>
      </c>
      <c r="I33" s="13">
        <v>125.602485</v>
      </c>
      <c r="J33" s="13" t="s">
        <v>760</v>
      </c>
      <c r="K33" s="13" t="s">
        <v>761</v>
      </c>
      <c r="L33" s="13" t="s">
        <v>22</v>
      </c>
      <c r="M33" s="13"/>
      <c r="N33" s="13" t="s">
        <v>89</v>
      </c>
      <c r="O33" s="93"/>
      <c r="P33" s="93"/>
      <c r="Q33" s="107"/>
      <c r="R33" s="107"/>
      <c r="S33" s="107"/>
      <c r="T33" s="107"/>
      <c r="U33" s="96"/>
      <c r="V33" s="96"/>
      <c r="W33" s="96"/>
      <c r="X33" s="96"/>
    </row>
    <row r="34" spans="1:24" ht="12.75">
      <c r="A34" s="6">
        <v>33</v>
      </c>
      <c r="B34" s="8" t="s">
        <v>216</v>
      </c>
      <c r="C34" s="8" t="s">
        <v>376</v>
      </c>
      <c r="D34" s="6">
        <v>2</v>
      </c>
      <c r="E34" s="11" t="s">
        <v>220</v>
      </c>
      <c r="F34" s="15" t="s">
        <v>65</v>
      </c>
      <c r="G34" s="92">
        <v>45244</v>
      </c>
      <c r="H34" s="13">
        <v>9.6564809999999994</v>
      </c>
      <c r="I34" s="13">
        <v>125.602485</v>
      </c>
      <c r="J34" s="13" t="s">
        <v>766</v>
      </c>
      <c r="K34" s="13" t="s">
        <v>767</v>
      </c>
      <c r="L34" s="13" t="s">
        <v>22</v>
      </c>
      <c r="M34" s="13"/>
      <c r="N34" s="13" t="s">
        <v>89</v>
      </c>
      <c r="O34" s="93"/>
      <c r="P34" s="93"/>
      <c r="Q34" s="107"/>
      <c r="R34" s="107"/>
      <c r="S34" s="107"/>
      <c r="T34" s="107"/>
      <c r="U34" s="96"/>
      <c r="V34" s="96"/>
      <c r="W34" s="96"/>
      <c r="X34" s="96"/>
    </row>
    <row r="35" spans="1:24" ht="12.75">
      <c r="A35" s="6">
        <v>34</v>
      </c>
      <c r="B35" s="8" t="s">
        <v>216</v>
      </c>
      <c r="C35" s="8" t="s">
        <v>356</v>
      </c>
      <c r="D35" s="6">
        <v>2</v>
      </c>
      <c r="E35" s="11" t="s">
        <v>221</v>
      </c>
      <c r="F35" s="15" t="s">
        <v>155</v>
      </c>
      <c r="G35" s="92">
        <v>45244</v>
      </c>
      <c r="H35" s="13">
        <v>9.6567349999999994</v>
      </c>
      <c r="I35" s="13">
        <v>125.59986600000001</v>
      </c>
      <c r="J35" s="13" t="s">
        <v>772</v>
      </c>
      <c r="K35" s="13" t="s">
        <v>773</v>
      </c>
      <c r="L35" s="13" t="s">
        <v>22</v>
      </c>
      <c r="M35" s="13"/>
      <c r="N35" s="13" t="s">
        <v>89</v>
      </c>
      <c r="O35" s="93"/>
      <c r="P35" s="93"/>
      <c r="Q35" s="107"/>
      <c r="R35" s="107"/>
      <c r="S35" s="107"/>
      <c r="T35" s="107"/>
      <c r="U35" s="96"/>
      <c r="V35" s="96"/>
      <c r="W35" s="96"/>
      <c r="X35" s="96"/>
    </row>
    <row r="36" spans="1:24" ht="12.75">
      <c r="A36" s="6">
        <v>35</v>
      </c>
      <c r="B36" s="8" t="s">
        <v>216</v>
      </c>
      <c r="C36" s="8" t="s">
        <v>376</v>
      </c>
      <c r="D36" s="6">
        <v>2</v>
      </c>
      <c r="E36" s="11" t="s">
        <v>223</v>
      </c>
      <c r="F36" s="15" t="s">
        <v>31</v>
      </c>
      <c r="G36" s="92">
        <v>45244</v>
      </c>
      <c r="H36" s="13">
        <v>9.6584730000000008</v>
      </c>
      <c r="I36" s="13">
        <v>125.60086699999999</v>
      </c>
      <c r="J36" s="13" t="s">
        <v>778</v>
      </c>
      <c r="K36" s="13" t="s">
        <v>779</v>
      </c>
      <c r="L36" s="13" t="s">
        <v>22</v>
      </c>
      <c r="M36" s="13"/>
      <c r="N36" s="13" t="s">
        <v>89</v>
      </c>
      <c r="O36" s="93"/>
      <c r="P36" s="98"/>
      <c r="Q36" s="107"/>
      <c r="R36" s="107"/>
      <c r="S36" s="107"/>
      <c r="T36" s="107"/>
      <c r="U36" s="96"/>
      <c r="V36" s="96"/>
      <c r="W36" s="96"/>
      <c r="X36" s="96"/>
    </row>
    <row r="37" spans="1:24" ht="12.75">
      <c r="A37" s="6">
        <v>36</v>
      </c>
      <c r="B37" s="8" t="s">
        <v>216</v>
      </c>
      <c r="C37" s="8" t="s">
        <v>376</v>
      </c>
      <c r="D37" s="6">
        <v>2</v>
      </c>
      <c r="E37" s="11" t="s">
        <v>225</v>
      </c>
      <c r="F37" s="15" t="s">
        <v>103</v>
      </c>
      <c r="G37" s="92">
        <v>45257</v>
      </c>
      <c r="H37" s="13">
        <v>9.6566426849999996</v>
      </c>
      <c r="I37" s="13">
        <v>125.60230199999999</v>
      </c>
      <c r="J37" s="13" t="s">
        <v>785</v>
      </c>
      <c r="K37" s="13" t="s">
        <v>786</v>
      </c>
      <c r="L37" s="13" t="s">
        <v>22</v>
      </c>
      <c r="M37" s="13"/>
      <c r="N37" s="13" t="s">
        <v>199</v>
      </c>
      <c r="O37" s="93">
        <v>45941.50980324074</v>
      </c>
      <c r="P37" s="13"/>
      <c r="Q37" s="107"/>
      <c r="R37" s="107"/>
      <c r="S37" s="107"/>
      <c r="T37" s="107"/>
      <c r="U37" s="96"/>
      <c r="V37" s="96"/>
      <c r="W37" s="96"/>
      <c r="X37" s="96"/>
    </row>
    <row r="38" spans="1:24" ht="12.75">
      <c r="A38" s="6">
        <v>37</v>
      </c>
      <c r="B38" s="8" t="s">
        <v>397</v>
      </c>
      <c r="C38" s="8" t="s">
        <v>191</v>
      </c>
      <c r="D38" s="6">
        <v>2</v>
      </c>
      <c r="E38" s="11" t="s">
        <v>226</v>
      </c>
      <c r="F38" s="15" t="s">
        <v>65</v>
      </c>
      <c r="G38" s="92">
        <v>45261</v>
      </c>
      <c r="H38" s="13">
        <v>9.7767267130000004</v>
      </c>
      <c r="I38" s="13">
        <v>125.421119</v>
      </c>
      <c r="J38" s="13" t="s">
        <v>790</v>
      </c>
      <c r="K38" s="13" t="s">
        <v>791</v>
      </c>
      <c r="L38" s="13" t="s">
        <v>22</v>
      </c>
      <c r="M38" s="13"/>
      <c r="N38" s="13" t="s">
        <v>89</v>
      </c>
      <c r="O38" s="93"/>
      <c r="P38" s="13"/>
      <c r="Q38" s="103"/>
      <c r="R38" s="103"/>
      <c r="S38" s="103"/>
      <c r="T38" s="103"/>
      <c r="U38" s="96"/>
      <c r="V38" s="96"/>
      <c r="W38" s="96"/>
      <c r="X38" s="96"/>
    </row>
    <row r="39" spans="1:24" ht="12.75">
      <c r="A39" s="6">
        <v>38</v>
      </c>
      <c r="B39" s="8" t="s">
        <v>397</v>
      </c>
      <c r="C39" s="8" t="s">
        <v>191</v>
      </c>
      <c r="D39" s="6">
        <v>2</v>
      </c>
      <c r="E39" s="11" t="s">
        <v>233</v>
      </c>
      <c r="F39" s="15" t="s">
        <v>65</v>
      </c>
      <c r="G39" s="92">
        <v>45261</v>
      </c>
      <c r="H39" s="13">
        <v>9.7767267130000004</v>
      </c>
      <c r="I39" s="13">
        <v>125.421119</v>
      </c>
      <c r="J39" s="13" t="s">
        <v>795</v>
      </c>
      <c r="K39" s="13" t="s">
        <v>796</v>
      </c>
      <c r="L39" s="13" t="s">
        <v>22</v>
      </c>
      <c r="M39" s="13"/>
      <c r="N39" s="13" t="s">
        <v>199</v>
      </c>
      <c r="O39" s="93">
        <v>45939.716747685183</v>
      </c>
      <c r="P39" s="93"/>
      <c r="Q39" s="103"/>
      <c r="R39" s="103"/>
      <c r="S39" s="103"/>
      <c r="T39" s="103"/>
      <c r="U39" s="96"/>
      <c r="V39" s="96"/>
      <c r="W39" s="96"/>
      <c r="X39" s="96"/>
    </row>
    <row r="40" spans="1:24" ht="12.75">
      <c r="A40" s="6">
        <v>39</v>
      </c>
      <c r="B40" s="8" t="s">
        <v>397</v>
      </c>
      <c r="C40" s="8" t="s">
        <v>191</v>
      </c>
      <c r="D40" s="6">
        <v>2</v>
      </c>
      <c r="E40" s="11" t="s">
        <v>236</v>
      </c>
      <c r="F40" s="15" t="s">
        <v>238</v>
      </c>
      <c r="G40" s="92">
        <v>45261</v>
      </c>
      <c r="H40" s="13">
        <v>9.7765506000000002</v>
      </c>
      <c r="I40" s="13">
        <v>125.421609</v>
      </c>
      <c r="J40" s="13" t="s">
        <v>801</v>
      </c>
      <c r="K40" s="13" t="s">
        <v>802</v>
      </c>
      <c r="L40" s="13" t="s">
        <v>22</v>
      </c>
      <c r="M40" s="13"/>
      <c r="N40" s="13" t="s">
        <v>89</v>
      </c>
      <c r="O40" s="93"/>
      <c r="P40" s="13"/>
      <c r="Q40" s="103"/>
      <c r="R40" s="103"/>
      <c r="S40" s="103"/>
      <c r="T40" s="103"/>
      <c r="U40" s="96"/>
      <c r="V40" s="96"/>
      <c r="W40" s="96"/>
      <c r="X40" s="96"/>
    </row>
    <row r="41" spans="1:24" ht="12.75">
      <c r="A41" s="6">
        <v>40</v>
      </c>
      <c r="B41" s="8" t="s">
        <v>397</v>
      </c>
      <c r="C41" s="8" t="s">
        <v>191</v>
      </c>
      <c r="D41" s="6">
        <v>2</v>
      </c>
      <c r="E41" s="11" t="s">
        <v>243</v>
      </c>
      <c r="F41" s="15" t="s">
        <v>238</v>
      </c>
      <c r="G41" s="92">
        <v>45261</v>
      </c>
      <c r="H41" s="13">
        <v>9.7768519999999999</v>
      </c>
      <c r="I41" s="13">
        <v>125.421207</v>
      </c>
      <c r="J41" s="13" t="s">
        <v>805</v>
      </c>
      <c r="K41" s="13" t="s">
        <v>806</v>
      </c>
      <c r="L41" s="13" t="s">
        <v>22</v>
      </c>
      <c r="M41" s="13"/>
      <c r="N41" s="13" t="s">
        <v>199</v>
      </c>
      <c r="O41" s="93">
        <v>45939.718078703707</v>
      </c>
      <c r="P41" s="13"/>
      <c r="Q41" s="103"/>
      <c r="R41" s="103"/>
      <c r="S41" s="103"/>
      <c r="T41" s="103"/>
      <c r="U41" s="96"/>
      <c r="V41" s="96"/>
      <c r="W41" s="96"/>
      <c r="X41" s="96"/>
    </row>
    <row r="42" spans="1:24" ht="12.75">
      <c r="A42" s="6">
        <v>41</v>
      </c>
      <c r="B42" s="8" t="s">
        <v>397</v>
      </c>
      <c r="C42" s="8" t="s">
        <v>191</v>
      </c>
      <c r="D42" s="6">
        <v>2</v>
      </c>
      <c r="E42" s="11" t="s">
        <v>246</v>
      </c>
      <c r="F42" s="15" t="s">
        <v>103</v>
      </c>
      <c r="G42" s="92">
        <v>45265</v>
      </c>
      <c r="H42" s="13">
        <v>9.7785509820000005</v>
      </c>
      <c r="I42" s="13">
        <v>125.42179299999999</v>
      </c>
      <c r="J42" s="13" t="s">
        <v>809</v>
      </c>
      <c r="K42" s="13" t="s">
        <v>810</v>
      </c>
      <c r="L42" s="13" t="s">
        <v>22</v>
      </c>
      <c r="M42" s="13"/>
      <c r="N42" s="13" t="s">
        <v>89</v>
      </c>
      <c r="O42" s="93"/>
      <c r="P42" s="98"/>
      <c r="Q42" s="103"/>
      <c r="R42" s="103"/>
      <c r="S42" s="103"/>
      <c r="T42" s="103"/>
      <c r="U42" s="96"/>
      <c r="V42" s="96"/>
      <c r="W42" s="96"/>
      <c r="X42" s="96"/>
    </row>
    <row r="43" spans="1:24" ht="12.75">
      <c r="A43" s="6">
        <v>42</v>
      </c>
      <c r="B43" s="8" t="s">
        <v>397</v>
      </c>
      <c r="C43" s="8" t="s">
        <v>403</v>
      </c>
      <c r="D43" s="6">
        <v>2</v>
      </c>
      <c r="E43" s="11" t="s">
        <v>248</v>
      </c>
      <c r="F43" s="15" t="s">
        <v>207</v>
      </c>
      <c r="G43" s="92">
        <v>45265</v>
      </c>
      <c r="H43" s="13">
        <v>9.7753305610000005</v>
      </c>
      <c r="I43" s="13">
        <v>125.424452</v>
      </c>
      <c r="J43" s="13" t="s">
        <v>815</v>
      </c>
      <c r="K43" s="13" t="s">
        <v>816</v>
      </c>
      <c r="L43" s="13" t="s">
        <v>22</v>
      </c>
      <c r="M43" s="13"/>
      <c r="N43" s="13" t="s">
        <v>89</v>
      </c>
      <c r="O43" s="93"/>
      <c r="P43" s="93"/>
      <c r="Q43" s="103"/>
      <c r="R43" s="103"/>
      <c r="S43" s="103"/>
      <c r="T43" s="103"/>
      <c r="U43" s="96"/>
      <c r="V43" s="96"/>
      <c r="W43" s="96"/>
      <c r="X43" s="96"/>
    </row>
    <row r="44" spans="1:24" ht="12.75">
      <c r="A44" s="6">
        <v>43</v>
      </c>
      <c r="B44" s="8" t="s">
        <v>257</v>
      </c>
      <c r="C44" s="8" t="s">
        <v>405</v>
      </c>
      <c r="D44" s="6">
        <v>2</v>
      </c>
      <c r="E44" s="11" t="s">
        <v>252</v>
      </c>
      <c r="F44" s="15" t="s">
        <v>65</v>
      </c>
      <c r="G44" s="92">
        <v>45256</v>
      </c>
      <c r="H44" s="13">
        <v>9.6578099999999996</v>
      </c>
      <c r="I44" s="13">
        <v>125.528361</v>
      </c>
      <c r="J44" s="13" t="s">
        <v>819</v>
      </c>
      <c r="K44" s="13" t="s">
        <v>821</v>
      </c>
      <c r="L44" s="13" t="s">
        <v>22</v>
      </c>
      <c r="M44" s="13"/>
      <c r="N44" s="13" t="s">
        <v>89</v>
      </c>
      <c r="O44" s="93"/>
      <c r="P44" s="13"/>
      <c r="Q44" s="108"/>
      <c r="R44" s="108"/>
      <c r="S44" s="108"/>
      <c r="T44" s="108"/>
      <c r="U44" s="96"/>
      <c r="V44" s="96"/>
      <c r="W44" s="96"/>
      <c r="X44" s="96"/>
    </row>
    <row r="45" spans="1:24" ht="12.75">
      <c r="A45" s="6">
        <v>44</v>
      </c>
      <c r="B45" s="8" t="s">
        <v>257</v>
      </c>
      <c r="C45" s="8" t="s">
        <v>405</v>
      </c>
      <c r="D45" s="6">
        <v>2</v>
      </c>
      <c r="E45" s="11" t="s">
        <v>262</v>
      </c>
      <c r="F45" s="15" t="s">
        <v>65</v>
      </c>
      <c r="G45" s="92">
        <v>45256</v>
      </c>
      <c r="H45" s="13">
        <v>9.6578099999999996</v>
      </c>
      <c r="I45" s="13">
        <v>125.528361</v>
      </c>
      <c r="J45" s="13" t="s">
        <v>827</v>
      </c>
      <c r="K45" s="13" t="s">
        <v>828</v>
      </c>
      <c r="L45" s="13" t="s">
        <v>22</v>
      </c>
      <c r="M45" s="13"/>
      <c r="N45" s="13" t="s">
        <v>89</v>
      </c>
      <c r="O45" s="93"/>
      <c r="P45" s="13"/>
      <c r="Q45" s="108"/>
      <c r="R45" s="108"/>
      <c r="S45" s="108"/>
      <c r="T45" s="108"/>
      <c r="U45" s="96"/>
      <c r="V45" s="96"/>
      <c r="W45" s="96"/>
      <c r="X45" s="96"/>
    </row>
    <row r="46" spans="1:24" ht="12.75">
      <c r="A46" s="6">
        <v>45</v>
      </c>
      <c r="B46" s="8" t="s">
        <v>257</v>
      </c>
      <c r="C46" s="8" t="s">
        <v>405</v>
      </c>
      <c r="D46" s="6">
        <v>2</v>
      </c>
      <c r="E46" s="11" t="s">
        <v>266</v>
      </c>
      <c r="F46" s="15" t="s">
        <v>31</v>
      </c>
      <c r="G46" s="92">
        <v>45256</v>
      </c>
      <c r="H46" s="13">
        <v>9.6578742020000004</v>
      </c>
      <c r="I46" s="13">
        <v>125.52857299999999</v>
      </c>
      <c r="J46" s="13" t="s">
        <v>834</v>
      </c>
      <c r="K46" s="13" t="s">
        <v>835</v>
      </c>
      <c r="L46" s="13" t="s">
        <v>22</v>
      </c>
      <c r="M46" s="13"/>
      <c r="N46" s="13" t="s">
        <v>89</v>
      </c>
      <c r="O46" s="93"/>
      <c r="P46" s="13"/>
      <c r="Q46" s="109"/>
      <c r="R46" s="109"/>
      <c r="S46" s="109"/>
      <c r="T46" s="109"/>
      <c r="U46" s="96"/>
      <c r="V46" s="96"/>
      <c r="W46" s="96"/>
      <c r="X46" s="96"/>
    </row>
    <row r="47" spans="1:24" ht="12.75">
      <c r="A47" s="6">
        <v>46</v>
      </c>
      <c r="B47" s="8" t="s">
        <v>257</v>
      </c>
      <c r="C47" s="8" t="s">
        <v>405</v>
      </c>
      <c r="D47" s="6">
        <v>2</v>
      </c>
      <c r="E47" s="11" t="s">
        <v>270</v>
      </c>
      <c r="F47" s="15" t="s">
        <v>271</v>
      </c>
      <c r="G47" s="92">
        <v>45260</v>
      </c>
      <c r="H47" s="13">
        <v>9.6573385799999993</v>
      </c>
      <c r="I47" s="13">
        <v>125.52869</v>
      </c>
      <c r="J47" s="13" t="s">
        <v>840</v>
      </c>
      <c r="K47" s="13" t="s">
        <v>841</v>
      </c>
      <c r="L47" s="13" t="s">
        <v>22</v>
      </c>
      <c r="M47" s="13"/>
      <c r="N47" s="13" t="s">
        <v>199</v>
      </c>
      <c r="O47" s="93">
        <v>45939.882476851853</v>
      </c>
      <c r="P47" s="13"/>
      <c r="Q47" s="109"/>
      <c r="R47" s="109"/>
      <c r="S47" s="109"/>
      <c r="T47" s="109"/>
      <c r="U47" s="96"/>
      <c r="V47" s="96"/>
      <c r="W47" s="96"/>
      <c r="X47" s="96"/>
    </row>
    <row r="48" spans="1:24" ht="12.75">
      <c r="A48" s="6">
        <v>47</v>
      </c>
      <c r="B48" s="8" t="s">
        <v>257</v>
      </c>
      <c r="C48" s="8" t="s">
        <v>405</v>
      </c>
      <c r="D48" s="6">
        <v>2</v>
      </c>
      <c r="E48" s="11" t="s">
        <v>272</v>
      </c>
      <c r="F48" s="15" t="s">
        <v>103</v>
      </c>
      <c r="G48" s="92">
        <v>45267</v>
      </c>
      <c r="H48" s="13">
        <v>9.6578510729999998</v>
      </c>
      <c r="I48" s="13">
        <v>125.528133</v>
      </c>
      <c r="J48" s="13" t="s">
        <v>846</v>
      </c>
      <c r="K48" s="13" t="s">
        <v>847</v>
      </c>
      <c r="L48" s="13" t="s">
        <v>22</v>
      </c>
      <c r="M48" s="13"/>
      <c r="N48" s="13" t="s">
        <v>89</v>
      </c>
      <c r="O48" s="93"/>
      <c r="P48" s="13"/>
      <c r="Q48" s="109"/>
      <c r="R48" s="109"/>
      <c r="S48" s="109"/>
      <c r="T48" s="109"/>
      <c r="U48" s="96"/>
      <c r="V48" s="96"/>
      <c r="W48" s="96"/>
      <c r="X48" s="96"/>
    </row>
    <row r="49" spans="1:24" ht="12.75">
      <c r="A49" s="6">
        <v>48</v>
      </c>
      <c r="B49" s="8" t="s">
        <v>257</v>
      </c>
      <c r="C49" s="8" t="s">
        <v>405</v>
      </c>
      <c r="D49" s="6">
        <v>2</v>
      </c>
      <c r="E49" s="11" t="s">
        <v>274</v>
      </c>
      <c r="F49" s="15" t="s">
        <v>155</v>
      </c>
      <c r="G49" s="92">
        <v>45260</v>
      </c>
      <c r="H49" s="13">
        <v>9.6577760000000001</v>
      </c>
      <c r="I49" s="13">
        <v>125.527168</v>
      </c>
      <c r="J49" s="13" t="s">
        <v>852</v>
      </c>
      <c r="K49" s="13" t="s">
        <v>853</v>
      </c>
      <c r="L49" s="13" t="s">
        <v>22</v>
      </c>
      <c r="M49" s="13"/>
      <c r="N49" s="13" t="s">
        <v>89</v>
      </c>
      <c r="O49" s="93"/>
      <c r="P49" s="13"/>
      <c r="Q49" s="109"/>
      <c r="R49" s="109"/>
      <c r="S49" s="109"/>
      <c r="T49" s="109"/>
      <c r="U49" s="96"/>
      <c r="V49" s="96"/>
      <c r="W49" s="96"/>
      <c r="X49" s="96"/>
    </row>
    <row r="50" spans="1:24" ht="12.75">
      <c r="A50" s="6">
        <v>49</v>
      </c>
      <c r="B50" s="8" t="s">
        <v>291</v>
      </c>
      <c r="C50" s="8" t="s">
        <v>411</v>
      </c>
      <c r="D50" s="6">
        <v>2</v>
      </c>
      <c r="E50" s="11" t="s">
        <v>280</v>
      </c>
      <c r="F50" s="15" t="s">
        <v>65</v>
      </c>
      <c r="G50" s="92">
        <v>45259</v>
      </c>
      <c r="H50" s="13">
        <v>9.6979403959999999</v>
      </c>
      <c r="I50" s="13">
        <v>125.58390199999999</v>
      </c>
      <c r="J50" s="13" t="s">
        <v>861</v>
      </c>
      <c r="K50" s="13" t="s">
        <v>862</v>
      </c>
      <c r="L50" s="13" t="s">
        <v>22</v>
      </c>
      <c r="M50" s="13"/>
      <c r="N50" s="13" t="s">
        <v>89</v>
      </c>
      <c r="O50" s="93"/>
      <c r="P50" s="93"/>
      <c r="Q50" s="110"/>
      <c r="R50" s="110"/>
      <c r="S50" s="110"/>
      <c r="T50" s="110"/>
      <c r="U50" s="96"/>
      <c r="V50" s="96"/>
      <c r="W50" s="96"/>
      <c r="X50" s="96"/>
    </row>
    <row r="51" spans="1:24" ht="12.75">
      <c r="A51" s="6">
        <v>50</v>
      </c>
      <c r="B51" s="8" t="s">
        <v>291</v>
      </c>
      <c r="C51" s="8" t="s">
        <v>411</v>
      </c>
      <c r="D51" s="6">
        <v>2</v>
      </c>
      <c r="E51" s="11" t="s">
        <v>298</v>
      </c>
      <c r="F51" s="15" t="s">
        <v>65</v>
      </c>
      <c r="G51" s="92">
        <v>45259</v>
      </c>
      <c r="H51" s="13">
        <v>9.6979403959999999</v>
      </c>
      <c r="I51" s="13">
        <v>125.58390199999999</v>
      </c>
      <c r="J51" s="13" t="s">
        <v>866</v>
      </c>
      <c r="K51" s="13" t="s">
        <v>867</v>
      </c>
      <c r="L51" s="13" t="s">
        <v>22</v>
      </c>
      <c r="M51" s="13"/>
      <c r="N51" s="13" t="s">
        <v>89</v>
      </c>
      <c r="O51" s="93"/>
      <c r="P51" s="93"/>
      <c r="Q51" s="110"/>
      <c r="R51" s="110"/>
      <c r="S51" s="110"/>
      <c r="T51" s="110"/>
      <c r="U51" s="96"/>
      <c r="V51" s="96"/>
      <c r="W51" s="96"/>
      <c r="X51" s="96"/>
    </row>
    <row r="52" spans="1:24" ht="12.75">
      <c r="A52" s="6">
        <v>51</v>
      </c>
      <c r="B52" s="8" t="s">
        <v>291</v>
      </c>
      <c r="C52" s="8" t="s">
        <v>411</v>
      </c>
      <c r="D52" s="6">
        <v>2</v>
      </c>
      <c r="E52" s="11" t="s">
        <v>302</v>
      </c>
      <c r="F52" s="15" t="s">
        <v>65</v>
      </c>
      <c r="G52" s="92">
        <v>45259</v>
      </c>
      <c r="H52" s="13">
        <v>9.6979403959999999</v>
      </c>
      <c r="I52" s="13">
        <v>125.58390199999999</v>
      </c>
      <c r="J52" s="13" t="s">
        <v>870</v>
      </c>
      <c r="K52" s="13" t="s">
        <v>871</v>
      </c>
      <c r="L52" s="13" t="s">
        <v>22</v>
      </c>
      <c r="M52" s="13"/>
      <c r="N52" s="13" t="s">
        <v>89</v>
      </c>
      <c r="O52" s="93"/>
      <c r="P52" s="93"/>
      <c r="Q52" s="110"/>
      <c r="R52" s="110"/>
      <c r="S52" s="110"/>
      <c r="T52" s="110"/>
      <c r="U52" s="96"/>
      <c r="V52" s="96"/>
      <c r="W52" s="96"/>
      <c r="X52" s="96"/>
    </row>
    <row r="53" spans="1:24" ht="12.75">
      <c r="A53" s="6">
        <v>52</v>
      </c>
      <c r="B53" s="8" t="s">
        <v>291</v>
      </c>
      <c r="C53" s="8" t="s">
        <v>411</v>
      </c>
      <c r="D53" s="6">
        <v>2</v>
      </c>
      <c r="E53" s="11" t="s">
        <v>305</v>
      </c>
      <c r="F53" s="15" t="s">
        <v>31</v>
      </c>
      <c r="G53" s="92">
        <v>45259</v>
      </c>
      <c r="H53" s="13">
        <v>9.6971539999999994</v>
      </c>
      <c r="I53" s="13">
        <v>125.58359</v>
      </c>
      <c r="J53" s="13" t="s">
        <v>875</v>
      </c>
      <c r="K53" s="13" t="s">
        <v>876</v>
      </c>
      <c r="L53" s="13" t="s">
        <v>22</v>
      </c>
      <c r="M53" s="13"/>
      <c r="N53" s="13" t="s">
        <v>199</v>
      </c>
      <c r="O53" s="93">
        <v>45939.914664351854</v>
      </c>
      <c r="P53" s="93"/>
      <c r="Q53" s="110"/>
      <c r="R53" s="110"/>
      <c r="S53" s="110"/>
      <c r="T53" s="110"/>
      <c r="U53" s="96"/>
      <c r="V53" s="96"/>
      <c r="W53" s="96"/>
      <c r="X53" s="96"/>
    </row>
    <row r="54" spans="1:24" ht="12.75">
      <c r="A54" s="6">
        <v>53</v>
      </c>
      <c r="B54" s="8" t="s">
        <v>291</v>
      </c>
      <c r="C54" s="8" t="s">
        <v>411</v>
      </c>
      <c r="D54" s="6">
        <v>2</v>
      </c>
      <c r="E54" s="11" t="s">
        <v>312</v>
      </c>
      <c r="F54" s="15" t="s">
        <v>103</v>
      </c>
      <c r="G54" s="92">
        <v>45259</v>
      </c>
      <c r="H54" s="13">
        <v>9.6976480200000008</v>
      </c>
      <c r="I54" s="13">
        <v>125.583485</v>
      </c>
      <c r="J54" s="13" t="s">
        <v>882</v>
      </c>
      <c r="K54" s="13" t="s">
        <v>883</v>
      </c>
      <c r="L54" s="13" t="s">
        <v>22</v>
      </c>
      <c r="M54" s="13"/>
      <c r="N54" s="13" t="s">
        <v>89</v>
      </c>
      <c r="O54" s="93"/>
      <c r="P54" s="93"/>
      <c r="Q54" s="110"/>
      <c r="R54" s="110"/>
      <c r="S54" s="110"/>
      <c r="T54" s="110"/>
      <c r="U54" s="96"/>
      <c r="V54" s="96"/>
      <c r="W54" s="96"/>
      <c r="X54" s="96"/>
    </row>
    <row r="55" spans="1:24" ht="12.75">
      <c r="A55" s="6">
        <v>54</v>
      </c>
      <c r="B55" s="8" t="s">
        <v>291</v>
      </c>
      <c r="C55" s="8" t="s">
        <v>411</v>
      </c>
      <c r="D55" s="6">
        <v>2</v>
      </c>
      <c r="E55" s="11" t="s">
        <v>315</v>
      </c>
      <c r="F55" s="15" t="s">
        <v>155</v>
      </c>
      <c r="G55" s="92">
        <v>45259</v>
      </c>
      <c r="H55" s="13">
        <v>9.6991980959999999</v>
      </c>
      <c r="I55" s="13">
        <v>125.585379</v>
      </c>
      <c r="J55" s="13" t="s">
        <v>889</v>
      </c>
      <c r="K55" s="13" t="s">
        <v>890</v>
      </c>
      <c r="L55" s="13" t="s">
        <v>22</v>
      </c>
      <c r="M55" s="13"/>
      <c r="N55" s="13" t="s">
        <v>199</v>
      </c>
      <c r="O55" s="93">
        <v>45944.274918981479</v>
      </c>
      <c r="P55" s="93"/>
      <c r="Q55" s="110"/>
      <c r="R55" s="110"/>
      <c r="S55" s="110"/>
      <c r="T55" s="110"/>
      <c r="U55" s="96"/>
      <c r="V55" s="96"/>
      <c r="W55" s="96"/>
      <c r="X55" s="96"/>
    </row>
    <row r="56" spans="1:24" ht="12.75">
      <c r="A56" s="6">
        <v>55</v>
      </c>
      <c r="B56" s="8" t="s">
        <v>325</v>
      </c>
      <c r="C56" s="8" t="s">
        <v>415</v>
      </c>
      <c r="D56" s="6">
        <v>2</v>
      </c>
      <c r="E56" s="11" t="s">
        <v>319</v>
      </c>
      <c r="F56" s="15" t="s">
        <v>65</v>
      </c>
      <c r="G56" s="92">
        <v>45240</v>
      </c>
      <c r="H56" s="13">
        <v>9.5538950000000007</v>
      </c>
      <c r="I56" s="13">
        <v>125.56960599999999</v>
      </c>
      <c r="J56" s="13" t="s">
        <v>896</v>
      </c>
      <c r="K56" s="13" t="s">
        <v>897</v>
      </c>
      <c r="L56" s="13" t="s">
        <v>22</v>
      </c>
      <c r="M56" s="13"/>
      <c r="N56" s="13" t="s">
        <v>89</v>
      </c>
      <c r="O56" s="93"/>
      <c r="P56" s="111"/>
      <c r="Q56" s="110"/>
      <c r="R56" s="110"/>
      <c r="S56" s="110"/>
      <c r="T56" s="110"/>
      <c r="U56" s="96"/>
      <c r="V56" s="96"/>
      <c r="W56" s="96"/>
      <c r="X56" s="96"/>
    </row>
    <row r="57" spans="1:24" ht="12.75">
      <c r="A57" s="6">
        <v>56</v>
      </c>
      <c r="B57" s="8" t="s">
        <v>325</v>
      </c>
      <c r="C57" s="8" t="s">
        <v>415</v>
      </c>
      <c r="D57" s="6">
        <v>2</v>
      </c>
      <c r="E57" s="7" t="s">
        <v>332</v>
      </c>
      <c r="F57" s="13" t="s">
        <v>207</v>
      </c>
      <c r="G57" s="92">
        <v>45240</v>
      </c>
      <c r="H57" s="13">
        <v>9.5538950000000007</v>
      </c>
      <c r="I57" s="13">
        <v>125.56960599999999</v>
      </c>
      <c r="J57" s="13" t="s">
        <v>905</v>
      </c>
      <c r="K57" s="13" t="s">
        <v>906</v>
      </c>
      <c r="L57" s="13" t="s">
        <v>22</v>
      </c>
      <c r="M57" s="13"/>
      <c r="N57" s="13" t="s">
        <v>89</v>
      </c>
      <c r="O57" s="93"/>
      <c r="P57" s="98"/>
      <c r="Q57" s="110"/>
      <c r="R57" s="110"/>
      <c r="S57" s="110"/>
      <c r="T57" s="110"/>
      <c r="U57" s="96"/>
      <c r="V57" s="96"/>
      <c r="W57" s="96"/>
      <c r="X57" s="96"/>
    </row>
    <row r="58" spans="1:24" ht="12.75">
      <c r="A58" s="6">
        <v>57</v>
      </c>
      <c r="B58" s="8" t="s">
        <v>325</v>
      </c>
      <c r="C58" s="8" t="s">
        <v>415</v>
      </c>
      <c r="D58" s="6">
        <v>2</v>
      </c>
      <c r="E58" s="11" t="s">
        <v>328</v>
      </c>
      <c r="F58" s="15" t="s">
        <v>65</v>
      </c>
      <c r="G58" s="92">
        <v>45240</v>
      </c>
      <c r="H58" s="13">
        <v>9.5538950000000007</v>
      </c>
      <c r="I58" s="13">
        <v>125.56960599999999</v>
      </c>
      <c r="J58" s="13" t="s">
        <v>911</v>
      </c>
      <c r="K58" s="13" t="s">
        <v>913</v>
      </c>
      <c r="L58" s="13" t="s">
        <v>22</v>
      </c>
      <c r="M58" s="13"/>
      <c r="N58" s="13" t="s">
        <v>89</v>
      </c>
      <c r="O58" s="93"/>
      <c r="P58" s="98"/>
      <c r="Q58" s="110"/>
      <c r="R58" s="110"/>
      <c r="S58" s="110"/>
      <c r="T58" s="110"/>
      <c r="U58" s="96"/>
      <c r="V58" s="96"/>
      <c r="W58" s="96"/>
      <c r="X58" s="96"/>
    </row>
    <row r="59" spans="1:24" ht="12.75">
      <c r="A59" s="6">
        <v>58</v>
      </c>
      <c r="B59" s="8" t="s">
        <v>325</v>
      </c>
      <c r="C59" s="8" t="s">
        <v>415</v>
      </c>
      <c r="D59" s="6">
        <v>2</v>
      </c>
      <c r="E59" s="11" t="s">
        <v>336</v>
      </c>
      <c r="F59" s="15" t="s">
        <v>155</v>
      </c>
      <c r="G59" s="92">
        <v>45258</v>
      </c>
      <c r="H59" s="13">
        <v>9.5539050000000003</v>
      </c>
      <c r="I59" s="13">
        <v>125.567421</v>
      </c>
      <c r="J59" s="13" t="s">
        <v>915</v>
      </c>
      <c r="K59" s="13" t="s">
        <v>916</v>
      </c>
      <c r="L59" s="13" t="s">
        <v>22</v>
      </c>
      <c r="M59" s="13"/>
      <c r="N59" s="13" t="s">
        <v>199</v>
      </c>
      <c r="O59" s="93">
        <v>45949.622303240743</v>
      </c>
      <c r="P59" s="98"/>
      <c r="Q59" s="110"/>
      <c r="R59" s="110"/>
      <c r="S59" s="110"/>
      <c r="T59" s="110"/>
      <c r="U59" s="96"/>
      <c r="V59" s="96"/>
      <c r="W59" s="96"/>
      <c r="X59" s="96"/>
    </row>
    <row r="60" spans="1:24" ht="12.75">
      <c r="A60" s="6">
        <v>59</v>
      </c>
      <c r="B60" s="8" t="s">
        <v>325</v>
      </c>
      <c r="C60" s="8" t="s">
        <v>415</v>
      </c>
      <c r="D60" s="6">
        <v>2</v>
      </c>
      <c r="E60" s="11" t="s">
        <v>340</v>
      </c>
      <c r="F60" s="15" t="s">
        <v>31</v>
      </c>
      <c r="G60" s="92">
        <v>45258</v>
      </c>
      <c r="H60" s="13">
        <v>9.553910514</v>
      </c>
      <c r="I60" s="13">
        <v>125.569897</v>
      </c>
      <c r="J60" s="13" t="s">
        <v>919</v>
      </c>
      <c r="K60" s="13" t="s">
        <v>920</v>
      </c>
      <c r="L60" s="13" t="s">
        <v>22</v>
      </c>
      <c r="M60" s="13"/>
      <c r="N60" s="13" t="s">
        <v>199</v>
      </c>
      <c r="O60" s="93">
        <v>45939.707175925927</v>
      </c>
      <c r="P60" s="98"/>
      <c r="Q60" s="110"/>
      <c r="R60" s="110"/>
      <c r="S60" s="110"/>
      <c r="T60" s="110"/>
      <c r="U60" s="96"/>
      <c r="V60" s="96"/>
      <c r="W60" s="96"/>
      <c r="X60" s="96"/>
    </row>
    <row r="61" spans="1:24" ht="12.75">
      <c r="A61" s="6">
        <v>60</v>
      </c>
      <c r="B61" s="8" t="s">
        <v>325</v>
      </c>
      <c r="C61" s="8" t="s">
        <v>415</v>
      </c>
      <c r="D61" s="6">
        <v>2</v>
      </c>
      <c r="E61" s="11" t="s">
        <v>344</v>
      </c>
      <c r="F61" s="15" t="s">
        <v>103</v>
      </c>
      <c r="G61" s="92">
        <v>45267</v>
      </c>
      <c r="H61" s="13">
        <v>9.5541936060000001</v>
      </c>
      <c r="I61" s="13">
        <v>125.56947</v>
      </c>
      <c r="J61" s="13" t="s">
        <v>927</v>
      </c>
      <c r="K61" s="13" t="s">
        <v>929</v>
      </c>
      <c r="L61" s="13" t="s">
        <v>22</v>
      </c>
      <c r="M61" s="13"/>
      <c r="N61" s="13" t="s">
        <v>89</v>
      </c>
      <c r="O61" s="93"/>
      <c r="P61" s="13"/>
      <c r="Q61" s="110"/>
      <c r="R61" s="110"/>
      <c r="S61" s="110"/>
      <c r="T61" s="110"/>
      <c r="U61" s="96"/>
      <c r="V61" s="96"/>
      <c r="W61" s="96"/>
      <c r="X61" s="96"/>
    </row>
    <row r="62" spans="1:24" ht="12.75">
      <c r="A62" s="6">
        <v>61</v>
      </c>
      <c r="B62" s="8" t="s">
        <v>268</v>
      </c>
      <c r="C62" s="8" t="s">
        <v>40</v>
      </c>
      <c r="D62" s="6">
        <v>2</v>
      </c>
      <c r="E62" s="11" t="s">
        <v>42</v>
      </c>
      <c r="F62" s="15" t="s">
        <v>351</v>
      </c>
      <c r="G62" s="92">
        <v>45257</v>
      </c>
      <c r="H62" s="13">
        <v>9.7852057030000008</v>
      </c>
      <c r="I62" s="13">
        <v>125.487904</v>
      </c>
      <c r="J62" s="13" t="s">
        <v>935</v>
      </c>
      <c r="K62" s="13" t="s">
        <v>936</v>
      </c>
      <c r="L62" s="13" t="s">
        <v>22</v>
      </c>
      <c r="M62" s="13"/>
      <c r="N62" s="13" t="s">
        <v>89</v>
      </c>
      <c r="O62" s="93"/>
      <c r="P62" s="13"/>
      <c r="Q62" s="112"/>
      <c r="R62" s="112"/>
      <c r="S62" s="112"/>
      <c r="T62" s="112"/>
      <c r="U62" s="96"/>
      <c r="V62" s="96"/>
      <c r="W62" s="96"/>
      <c r="X62" s="96"/>
    </row>
    <row r="63" spans="1:24" ht="12.75">
      <c r="A63" s="6">
        <v>62</v>
      </c>
      <c r="B63" s="8" t="s">
        <v>268</v>
      </c>
      <c r="C63" s="8" t="s">
        <v>40</v>
      </c>
      <c r="D63" s="6">
        <v>2</v>
      </c>
      <c r="E63" s="11" t="s">
        <v>43</v>
      </c>
      <c r="F63" s="15" t="s">
        <v>351</v>
      </c>
      <c r="G63" s="92">
        <v>45257</v>
      </c>
      <c r="H63" s="13">
        <v>9.7852057030000008</v>
      </c>
      <c r="I63" s="13">
        <v>125.487904</v>
      </c>
      <c r="J63" s="13" t="s">
        <v>939</v>
      </c>
      <c r="K63" s="13" t="s">
        <v>940</v>
      </c>
      <c r="L63" s="13" t="s">
        <v>22</v>
      </c>
      <c r="M63" s="13"/>
      <c r="N63" s="13" t="s">
        <v>89</v>
      </c>
      <c r="O63" s="93"/>
      <c r="P63" s="13"/>
      <c r="Q63" s="112"/>
      <c r="R63" s="112"/>
      <c r="S63" s="112"/>
      <c r="T63" s="112"/>
      <c r="U63" s="96"/>
      <c r="V63" s="96"/>
      <c r="W63" s="96"/>
      <c r="X63" s="96"/>
    </row>
    <row r="64" spans="1:24" ht="12.75">
      <c r="A64" s="6">
        <v>63</v>
      </c>
      <c r="B64" s="8" t="s">
        <v>268</v>
      </c>
      <c r="C64" s="8" t="s">
        <v>40</v>
      </c>
      <c r="D64" s="6">
        <v>2</v>
      </c>
      <c r="E64" s="11" t="s">
        <v>56</v>
      </c>
      <c r="F64" s="15" t="s">
        <v>155</v>
      </c>
      <c r="G64" s="92">
        <v>45257</v>
      </c>
      <c r="H64" s="13">
        <v>9.7853638370000002</v>
      </c>
      <c r="I64" s="13">
        <v>125.487532</v>
      </c>
      <c r="J64" s="13" t="s">
        <v>942</v>
      </c>
      <c r="K64" s="13" t="s">
        <v>943</v>
      </c>
      <c r="L64" s="13" t="s">
        <v>22</v>
      </c>
      <c r="M64" s="13"/>
      <c r="N64" s="13" t="s">
        <v>89</v>
      </c>
      <c r="O64" s="93"/>
      <c r="P64" s="13"/>
      <c r="Q64" s="112"/>
      <c r="R64" s="112"/>
      <c r="S64" s="112"/>
      <c r="T64" s="112"/>
      <c r="U64" s="96"/>
      <c r="V64" s="96"/>
      <c r="W64" s="96"/>
      <c r="X64" s="96"/>
    </row>
    <row r="65" spans="1:24" ht="12.75">
      <c r="A65" s="6">
        <v>64</v>
      </c>
      <c r="B65" s="8" t="s">
        <v>268</v>
      </c>
      <c r="C65" s="8" t="s">
        <v>40</v>
      </c>
      <c r="D65" s="6">
        <v>2</v>
      </c>
      <c r="E65" s="11" t="s">
        <v>59</v>
      </c>
      <c r="F65" s="15" t="s">
        <v>31</v>
      </c>
      <c r="G65" s="92">
        <v>45257</v>
      </c>
      <c r="H65" s="13">
        <v>9.7855176270000008</v>
      </c>
      <c r="I65" s="13">
        <v>125.487695</v>
      </c>
      <c r="J65" s="13" t="s">
        <v>946</v>
      </c>
      <c r="K65" s="13" t="s">
        <v>948</v>
      </c>
      <c r="L65" s="13" t="s">
        <v>22</v>
      </c>
      <c r="M65" s="13"/>
      <c r="N65" s="13" t="s">
        <v>199</v>
      </c>
      <c r="O65" s="93">
        <v>45941.461909722224</v>
      </c>
      <c r="P65" s="13"/>
      <c r="Q65" s="112"/>
      <c r="R65" s="112"/>
      <c r="S65" s="112"/>
      <c r="T65" s="112"/>
      <c r="U65" s="96"/>
      <c r="V65" s="96"/>
      <c r="W65" s="96"/>
      <c r="X65" s="96"/>
    </row>
    <row r="66" spans="1:24" ht="12.75">
      <c r="A66" s="6">
        <v>65</v>
      </c>
      <c r="B66" s="8" t="s">
        <v>268</v>
      </c>
      <c r="C66" s="8" t="s">
        <v>40</v>
      </c>
      <c r="D66" s="6">
        <v>2</v>
      </c>
      <c r="E66" s="11" t="s">
        <v>51</v>
      </c>
      <c r="F66" s="15" t="s">
        <v>374</v>
      </c>
      <c r="G66" s="92">
        <v>45257</v>
      </c>
      <c r="H66" s="13">
        <v>9.7862818039999997</v>
      </c>
      <c r="I66" s="13">
        <v>125.48858</v>
      </c>
      <c r="J66" s="13" t="s">
        <v>951</v>
      </c>
      <c r="K66" s="13" t="s">
        <v>952</v>
      </c>
      <c r="L66" s="13" t="s">
        <v>22</v>
      </c>
      <c r="M66" s="13"/>
      <c r="N66" s="13" t="s">
        <v>89</v>
      </c>
      <c r="O66" s="93"/>
      <c r="P66" s="13"/>
      <c r="Q66" s="112"/>
      <c r="R66" s="112"/>
      <c r="S66" s="112"/>
      <c r="T66" s="112"/>
      <c r="U66" s="96"/>
      <c r="V66" s="96"/>
      <c r="W66" s="96"/>
      <c r="X66" s="96"/>
    </row>
    <row r="67" spans="1:24" ht="12.75">
      <c r="A67" s="6">
        <v>66</v>
      </c>
      <c r="B67" s="8" t="s">
        <v>268</v>
      </c>
      <c r="C67" s="8" t="s">
        <v>40</v>
      </c>
      <c r="D67" s="6">
        <v>2</v>
      </c>
      <c r="E67" s="11" t="s">
        <v>41</v>
      </c>
      <c r="F67" s="15" t="s">
        <v>271</v>
      </c>
      <c r="G67" s="92">
        <v>45257</v>
      </c>
      <c r="H67" s="13">
        <v>9.7858248559999996</v>
      </c>
      <c r="I67" s="13">
        <v>125.48851000000001</v>
      </c>
      <c r="J67" s="13" t="s">
        <v>956</v>
      </c>
      <c r="K67" s="13" t="s">
        <v>957</v>
      </c>
      <c r="L67" s="13" t="s">
        <v>22</v>
      </c>
      <c r="M67" s="13"/>
      <c r="N67" s="13" t="s">
        <v>89</v>
      </c>
      <c r="O67" s="98"/>
      <c r="P67" s="93"/>
      <c r="Q67" s="113"/>
      <c r="R67" s="113"/>
      <c r="S67" s="113"/>
      <c r="T67" s="113"/>
      <c r="U67" s="96"/>
      <c r="V67" s="96"/>
      <c r="W67" s="96"/>
      <c r="X67" s="96"/>
    </row>
    <row r="68" spans="1:24" ht="12.75">
      <c r="A68" s="6">
        <v>67</v>
      </c>
      <c r="B68" s="8" t="s">
        <v>381</v>
      </c>
      <c r="C68" s="8" t="s">
        <v>140</v>
      </c>
      <c r="D68" s="6">
        <v>2</v>
      </c>
      <c r="E68" s="11" t="s">
        <v>378</v>
      </c>
      <c r="F68" s="15" t="s">
        <v>65</v>
      </c>
      <c r="G68" s="92">
        <v>45262</v>
      </c>
      <c r="H68" s="13">
        <v>9.6183148900000006</v>
      </c>
      <c r="I68" s="13">
        <v>125.401832</v>
      </c>
      <c r="J68" s="13" t="s">
        <v>961</v>
      </c>
      <c r="K68" s="13" t="s">
        <v>962</v>
      </c>
      <c r="L68" s="13" t="s">
        <v>22</v>
      </c>
      <c r="M68" s="13"/>
      <c r="N68" s="13" t="s">
        <v>89</v>
      </c>
      <c r="O68" s="98"/>
      <c r="P68" s="13"/>
      <c r="Q68" s="114"/>
      <c r="R68" s="114"/>
      <c r="S68" s="114"/>
      <c r="T68" s="114"/>
      <c r="U68" s="96"/>
      <c r="V68" s="96"/>
      <c r="W68" s="96"/>
      <c r="X68" s="96"/>
    </row>
    <row r="69" spans="1:24" ht="12.75">
      <c r="A69" s="6">
        <v>68</v>
      </c>
      <c r="B69" s="8" t="s">
        <v>381</v>
      </c>
      <c r="C69" s="8" t="s">
        <v>140</v>
      </c>
      <c r="D69" s="6">
        <v>2</v>
      </c>
      <c r="E69" s="11" t="s">
        <v>383</v>
      </c>
      <c r="F69" s="15" t="s">
        <v>65</v>
      </c>
      <c r="G69" s="92">
        <v>45262</v>
      </c>
      <c r="H69" s="13">
        <v>9.6183148900000006</v>
      </c>
      <c r="I69" s="13">
        <v>125.401832</v>
      </c>
      <c r="J69" s="13" t="s">
        <v>965</v>
      </c>
      <c r="K69" s="13" t="s">
        <v>966</v>
      </c>
      <c r="L69" s="13" t="s">
        <v>22</v>
      </c>
      <c r="M69" s="13"/>
      <c r="N69" s="13" t="s">
        <v>89</v>
      </c>
      <c r="O69" s="98"/>
      <c r="P69" s="13"/>
      <c r="Q69" s="114"/>
      <c r="R69" s="114"/>
      <c r="S69" s="114"/>
      <c r="T69" s="114"/>
      <c r="U69" s="96"/>
      <c r="V69" s="96"/>
      <c r="W69" s="96"/>
      <c r="X69" s="96"/>
    </row>
    <row r="70" spans="1:24" ht="12.75">
      <c r="A70" s="6">
        <v>69</v>
      </c>
      <c r="B70" s="8" t="s">
        <v>381</v>
      </c>
      <c r="C70" s="8" t="s">
        <v>140</v>
      </c>
      <c r="D70" s="6">
        <v>2</v>
      </c>
      <c r="E70" s="11" t="s">
        <v>385</v>
      </c>
      <c r="F70" s="15" t="s">
        <v>65</v>
      </c>
      <c r="G70" s="92">
        <v>45262</v>
      </c>
      <c r="H70" s="13">
        <v>9.6183148900000006</v>
      </c>
      <c r="I70" s="13">
        <v>125.401832</v>
      </c>
      <c r="J70" s="13" t="s">
        <v>968</v>
      </c>
      <c r="K70" s="13" t="s">
        <v>969</v>
      </c>
      <c r="L70" s="13" t="s">
        <v>22</v>
      </c>
      <c r="M70" s="13"/>
      <c r="N70" s="13" t="s">
        <v>89</v>
      </c>
      <c r="O70" s="98"/>
      <c r="P70" s="13"/>
      <c r="Q70" s="114"/>
      <c r="R70" s="114"/>
      <c r="S70" s="114"/>
      <c r="T70" s="114"/>
      <c r="U70" s="96"/>
      <c r="V70" s="96"/>
      <c r="W70" s="96"/>
      <c r="X70" s="96"/>
    </row>
    <row r="71" spans="1:24" ht="12.75">
      <c r="A71" s="6">
        <v>70</v>
      </c>
      <c r="B71" s="8" t="s">
        <v>381</v>
      </c>
      <c r="C71" s="8" t="s">
        <v>140</v>
      </c>
      <c r="D71" s="6">
        <v>2</v>
      </c>
      <c r="E71" s="11" t="s">
        <v>387</v>
      </c>
      <c r="F71" s="15" t="s">
        <v>155</v>
      </c>
      <c r="G71" s="92">
        <v>45262</v>
      </c>
      <c r="H71" s="13">
        <v>9.6167219999999993</v>
      </c>
      <c r="I71" s="13">
        <v>125.40130000000001</v>
      </c>
      <c r="J71" s="13" t="s">
        <v>972</v>
      </c>
      <c r="K71" s="13" t="s">
        <v>973</v>
      </c>
      <c r="L71" s="13" t="s">
        <v>22</v>
      </c>
      <c r="M71" s="13"/>
      <c r="N71" s="13" t="s">
        <v>89</v>
      </c>
      <c r="O71" s="98"/>
      <c r="P71" s="93"/>
      <c r="Q71" s="114"/>
      <c r="R71" s="114"/>
      <c r="S71" s="114"/>
      <c r="T71" s="114"/>
      <c r="U71" s="96"/>
      <c r="V71" s="96"/>
      <c r="W71" s="96"/>
      <c r="X71" s="96"/>
    </row>
    <row r="72" spans="1:24" ht="12.75">
      <c r="A72" s="6">
        <v>71</v>
      </c>
      <c r="B72" s="8" t="s">
        <v>381</v>
      </c>
      <c r="C72" s="8" t="s">
        <v>140</v>
      </c>
      <c r="D72" s="6">
        <v>2</v>
      </c>
      <c r="E72" s="11" t="s">
        <v>390</v>
      </c>
      <c r="F72" s="15" t="s">
        <v>103</v>
      </c>
      <c r="G72" s="92">
        <v>45262</v>
      </c>
      <c r="H72" s="13">
        <v>9.6187816060000007</v>
      </c>
      <c r="I72" s="13">
        <v>125.40195300000001</v>
      </c>
      <c r="J72" s="13" t="s">
        <v>975</v>
      </c>
      <c r="K72" s="13" t="s">
        <v>976</v>
      </c>
      <c r="L72" s="13" t="s">
        <v>22</v>
      </c>
      <c r="M72" s="13"/>
      <c r="N72" s="13" t="s">
        <v>89</v>
      </c>
      <c r="O72" s="98"/>
      <c r="P72" s="93"/>
      <c r="Q72" s="114"/>
      <c r="R72" s="114"/>
      <c r="S72" s="114"/>
      <c r="T72" s="114"/>
      <c r="U72" s="96"/>
      <c r="V72" s="96"/>
      <c r="W72" s="96"/>
      <c r="X72" s="96"/>
    </row>
    <row r="73" spans="1:24" ht="12.75">
      <c r="A73" s="6">
        <v>72</v>
      </c>
      <c r="B73" s="8" t="s">
        <v>381</v>
      </c>
      <c r="C73" s="8" t="s">
        <v>140</v>
      </c>
      <c r="D73" s="6">
        <v>2</v>
      </c>
      <c r="E73" s="11" t="s">
        <v>391</v>
      </c>
      <c r="F73" s="15" t="s">
        <v>31</v>
      </c>
      <c r="G73" s="92">
        <v>45262</v>
      </c>
      <c r="H73" s="13">
        <v>9.6191619999999993</v>
      </c>
      <c r="I73" s="13">
        <v>125.40141800000001</v>
      </c>
      <c r="J73" s="13" t="s">
        <v>979</v>
      </c>
      <c r="K73" s="13" t="s">
        <v>980</v>
      </c>
      <c r="L73" s="13" t="s">
        <v>22</v>
      </c>
      <c r="M73" s="13"/>
      <c r="N73" s="13" t="s">
        <v>89</v>
      </c>
      <c r="O73" s="98"/>
      <c r="P73" s="93"/>
      <c r="Q73" s="114"/>
      <c r="R73" s="114"/>
      <c r="S73" s="114"/>
      <c r="T73" s="114"/>
      <c r="U73" s="96"/>
      <c r="V73" s="96"/>
      <c r="W73" s="96"/>
      <c r="X73" s="96"/>
    </row>
    <row r="74" spans="1:24" ht="12.75">
      <c r="A74" s="6">
        <v>73</v>
      </c>
      <c r="B74" s="8" t="s">
        <v>13</v>
      </c>
      <c r="C74" s="8" t="s">
        <v>15</v>
      </c>
      <c r="D74" s="6">
        <v>1</v>
      </c>
      <c r="E74" s="11" t="s">
        <v>21</v>
      </c>
      <c r="F74" s="15" t="s">
        <v>65</v>
      </c>
      <c r="G74" s="92">
        <v>45215</v>
      </c>
      <c r="H74" s="13">
        <v>10.018162999999999</v>
      </c>
      <c r="I74" s="13">
        <v>126.073989</v>
      </c>
      <c r="J74" s="13" t="s">
        <v>986</v>
      </c>
      <c r="K74" s="13" t="s">
        <v>987</v>
      </c>
      <c r="L74" s="13" t="s">
        <v>22</v>
      </c>
      <c r="M74" s="13"/>
      <c r="N74" s="13" t="s">
        <v>89</v>
      </c>
      <c r="O74" s="93"/>
      <c r="P74" s="115"/>
      <c r="Q74" s="114"/>
      <c r="R74" s="114"/>
      <c r="S74" s="114"/>
      <c r="T74" s="114"/>
      <c r="U74" s="96"/>
      <c r="V74" s="96"/>
      <c r="W74" s="96"/>
      <c r="X74" s="96"/>
    </row>
    <row r="75" spans="1:24" ht="12.75">
      <c r="A75" s="6">
        <v>74</v>
      </c>
      <c r="B75" s="8" t="s">
        <v>13</v>
      </c>
      <c r="C75" s="8" t="s">
        <v>15</v>
      </c>
      <c r="D75" s="6">
        <v>1</v>
      </c>
      <c r="E75" s="11" t="s">
        <v>44</v>
      </c>
      <c r="F75" s="15" t="s">
        <v>65</v>
      </c>
      <c r="G75" s="92">
        <v>45215</v>
      </c>
      <c r="H75" s="13">
        <v>10.018162999999999</v>
      </c>
      <c r="I75" s="13">
        <v>126.073989</v>
      </c>
      <c r="J75" s="13" t="s">
        <v>993</v>
      </c>
      <c r="K75" s="13" t="s">
        <v>995</v>
      </c>
      <c r="L75" s="13" t="s">
        <v>22</v>
      </c>
      <c r="M75" s="13"/>
      <c r="N75" s="13" t="s">
        <v>89</v>
      </c>
      <c r="O75" s="93"/>
      <c r="P75" s="115"/>
      <c r="Q75" s="114"/>
      <c r="R75" s="114"/>
      <c r="S75" s="114"/>
      <c r="T75" s="114"/>
      <c r="U75" s="96"/>
      <c r="V75" s="96"/>
      <c r="W75" s="96"/>
      <c r="X75" s="96"/>
    </row>
    <row r="76" spans="1:24" ht="12.75">
      <c r="A76" s="6">
        <v>75</v>
      </c>
      <c r="B76" s="8" t="s">
        <v>13</v>
      </c>
      <c r="C76" s="8" t="s">
        <v>15</v>
      </c>
      <c r="D76" s="6">
        <v>1</v>
      </c>
      <c r="E76" s="11" t="s">
        <v>49</v>
      </c>
      <c r="F76" s="15" t="s">
        <v>65</v>
      </c>
      <c r="G76" s="92">
        <v>45215</v>
      </c>
      <c r="H76" s="13">
        <v>10.018162999999999</v>
      </c>
      <c r="I76" s="13">
        <v>126.073989</v>
      </c>
      <c r="J76" s="13" t="s">
        <v>1003</v>
      </c>
      <c r="K76" s="13" t="s">
        <v>1004</v>
      </c>
      <c r="L76" s="13" t="s">
        <v>22</v>
      </c>
      <c r="M76" s="13"/>
      <c r="N76" s="13" t="s">
        <v>89</v>
      </c>
      <c r="O76" s="93"/>
      <c r="P76" s="115"/>
      <c r="Q76" s="114"/>
      <c r="R76" s="114"/>
      <c r="S76" s="114"/>
      <c r="T76" s="114"/>
      <c r="U76" s="96"/>
      <c r="V76" s="96"/>
      <c r="W76" s="96"/>
      <c r="X76" s="96"/>
    </row>
    <row r="77" spans="1:24" ht="12.75">
      <c r="A77" s="6">
        <v>76</v>
      </c>
      <c r="B77" s="8" t="s">
        <v>13</v>
      </c>
      <c r="C77" s="8" t="s">
        <v>15</v>
      </c>
      <c r="D77" s="6">
        <v>1</v>
      </c>
      <c r="E77" s="11" t="s">
        <v>53</v>
      </c>
      <c r="F77" s="15" t="s">
        <v>238</v>
      </c>
      <c r="G77" s="92">
        <v>45215</v>
      </c>
      <c r="H77" s="13">
        <v>10.018060999999999</v>
      </c>
      <c r="I77" s="13">
        <v>126.074361</v>
      </c>
      <c r="J77" s="13" t="s">
        <v>1011</v>
      </c>
      <c r="K77" s="13" t="s">
        <v>1013</v>
      </c>
      <c r="L77" s="13" t="s">
        <v>22</v>
      </c>
      <c r="M77" s="13"/>
      <c r="N77" s="13" t="s">
        <v>89</v>
      </c>
      <c r="O77" s="93"/>
      <c r="P77" s="115"/>
      <c r="Q77" s="114"/>
      <c r="R77" s="114"/>
      <c r="S77" s="114"/>
      <c r="T77" s="114"/>
      <c r="U77" s="96"/>
      <c r="V77" s="96"/>
      <c r="W77" s="96"/>
      <c r="X77" s="96"/>
    </row>
    <row r="78" spans="1:24" ht="12.75">
      <c r="A78" s="6">
        <v>77</v>
      </c>
      <c r="B78" s="8" t="s">
        <v>13</v>
      </c>
      <c r="C78" s="8" t="s">
        <v>15</v>
      </c>
      <c r="D78" s="6">
        <v>1</v>
      </c>
      <c r="E78" s="11" t="s">
        <v>58</v>
      </c>
      <c r="F78" s="15" t="s">
        <v>103</v>
      </c>
      <c r="G78" s="92">
        <v>45215</v>
      </c>
      <c r="H78" s="13">
        <v>10.018311000000001</v>
      </c>
      <c r="I78" s="13">
        <v>126.074175</v>
      </c>
      <c r="J78" s="13" t="s">
        <v>1020</v>
      </c>
      <c r="K78" s="13" t="s">
        <v>1021</v>
      </c>
      <c r="L78" s="13" t="s">
        <v>22</v>
      </c>
      <c r="M78" s="13"/>
      <c r="N78" s="13" t="s">
        <v>89</v>
      </c>
      <c r="O78" s="93"/>
      <c r="P78" s="115"/>
      <c r="Q78" s="114"/>
      <c r="R78" s="114"/>
      <c r="S78" s="114"/>
      <c r="T78" s="114"/>
      <c r="U78" s="96"/>
      <c r="V78" s="96"/>
      <c r="W78" s="96"/>
      <c r="X78" s="96"/>
    </row>
    <row r="79" spans="1:24" ht="12.75">
      <c r="A79" s="6">
        <v>78</v>
      </c>
      <c r="B79" s="8" t="s">
        <v>13</v>
      </c>
      <c r="C79" s="8" t="s">
        <v>15</v>
      </c>
      <c r="D79" s="6">
        <v>1</v>
      </c>
      <c r="E79" s="11" t="s">
        <v>60</v>
      </c>
      <c r="F79" s="15" t="s">
        <v>31</v>
      </c>
      <c r="G79" s="92">
        <v>45215</v>
      </c>
      <c r="H79" s="13">
        <v>10.018596000000001</v>
      </c>
      <c r="I79" s="13">
        <v>126.07436</v>
      </c>
      <c r="J79" s="13" t="s">
        <v>1025</v>
      </c>
      <c r="K79" s="13" t="s">
        <v>1026</v>
      </c>
      <c r="L79" s="13" t="s">
        <v>22</v>
      </c>
      <c r="M79" s="13"/>
      <c r="N79" s="13" t="s">
        <v>89</v>
      </c>
      <c r="O79" s="93"/>
      <c r="P79" s="115"/>
      <c r="Q79" s="114"/>
      <c r="R79" s="114"/>
      <c r="S79" s="114"/>
      <c r="T79" s="114"/>
      <c r="U79" s="96"/>
      <c r="V79" s="96"/>
      <c r="W79" s="96"/>
      <c r="X79" s="96"/>
    </row>
    <row r="80" spans="1:24" ht="12.75">
      <c r="A80" s="6">
        <v>79</v>
      </c>
      <c r="B80" s="8" t="s">
        <v>67</v>
      </c>
      <c r="C80" s="8" t="s">
        <v>68</v>
      </c>
      <c r="D80" s="6">
        <v>1</v>
      </c>
      <c r="E80" s="11" t="s">
        <v>70</v>
      </c>
      <c r="F80" s="15" t="s">
        <v>65</v>
      </c>
      <c r="G80" s="92">
        <v>45226</v>
      </c>
      <c r="H80" s="13">
        <v>9.7563359999999992</v>
      </c>
      <c r="I80" s="13">
        <v>126.053104</v>
      </c>
      <c r="J80" s="13" t="s">
        <v>1036</v>
      </c>
      <c r="K80" s="13" t="s">
        <v>1037</v>
      </c>
      <c r="L80" s="13" t="s">
        <v>22</v>
      </c>
      <c r="M80" s="13"/>
      <c r="N80" s="13" t="s">
        <v>89</v>
      </c>
      <c r="O80" s="93"/>
      <c r="P80" s="115"/>
      <c r="Q80" s="114"/>
      <c r="R80" s="114"/>
      <c r="S80" s="114"/>
      <c r="T80" s="114"/>
      <c r="U80" s="96"/>
      <c r="V80" s="96"/>
      <c r="W80" s="96"/>
      <c r="X80" s="96"/>
    </row>
    <row r="81" spans="1:24" ht="12.75">
      <c r="A81" s="6">
        <v>80</v>
      </c>
      <c r="B81" s="8" t="s">
        <v>67</v>
      </c>
      <c r="C81" s="8" t="s">
        <v>68</v>
      </c>
      <c r="D81" s="6">
        <v>1</v>
      </c>
      <c r="E81" s="11" t="s">
        <v>73</v>
      </c>
      <c r="F81" s="15" t="s">
        <v>65</v>
      </c>
      <c r="G81" s="92">
        <v>45226</v>
      </c>
      <c r="H81" s="13">
        <v>9.7571670000000008</v>
      </c>
      <c r="I81" s="13">
        <v>126.052707</v>
      </c>
      <c r="J81" s="13" t="s">
        <v>1042</v>
      </c>
      <c r="K81" s="13" t="s">
        <v>1043</v>
      </c>
      <c r="L81" s="13" t="s">
        <v>22</v>
      </c>
      <c r="M81" s="13"/>
      <c r="N81" s="13" t="s">
        <v>199</v>
      </c>
      <c r="O81" s="93">
        <v>45932.88140046296</v>
      </c>
      <c r="P81" s="115"/>
      <c r="Q81" s="114"/>
      <c r="R81" s="114"/>
      <c r="S81" s="114"/>
      <c r="T81" s="114"/>
      <c r="U81" s="96"/>
      <c r="V81" s="96"/>
      <c r="W81" s="96"/>
      <c r="X81" s="96"/>
    </row>
    <row r="82" spans="1:24" ht="12.75">
      <c r="A82" s="6">
        <v>81</v>
      </c>
      <c r="B82" s="8" t="s">
        <v>67</v>
      </c>
      <c r="C82" s="8" t="s">
        <v>68</v>
      </c>
      <c r="D82" s="6">
        <v>1</v>
      </c>
      <c r="E82" s="11" t="s">
        <v>74</v>
      </c>
      <c r="F82" s="15" t="s">
        <v>238</v>
      </c>
      <c r="G82" s="92">
        <v>45226</v>
      </c>
      <c r="H82" s="13">
        <v>9.7569649999999992</v>
      </c>
      <c r="I82" s="13">
        <v>126.052666</v>
      </c>
      <c r="J82" s="13" t="s">
        <v>1052</v>
      </c>
      <c r="K82" s="13" t="s">
        <v>1053</v>
      </c>
      <c r="L82" s="13" t="s">
        <v>22</v>
      </c>
      <c r="M82" s="13"/>
      <c r="N82" s="13" t="s">
        <v>199</v>
      </c>
      <c r="O82" s="93">
        <v>45943.865370370368</v>
      </c>
      <c r="P82" s="115"/>
      <c r="Q82" s="114"/>
      <c r="R82" s="114"/>
      <c r="S82" s="114"/>
      <c r="T82" s="114"/>
      <c r="U82" s="96"/>
      <c r="V82" s="96"/>
      <c r="W82" s="96"/>
      <c r="X82" s="96"/>
    </row>
    <row r="83" spans="1:24" ht="12.75">
      <c r="A83" s="6">
        <v>82</v>
      </c>
      <c r="B83" s="8" t="s">
        <v>67</v>
      </c>
      <c r="C83" s="8" t="s">
        <v>76</v>
      </c>
      <c r="D83" s="6">
        <v>1</v>
      </c>
      <c r="E83" s="11" t="s">
        <v>77</v>
      </c>
      <c r="F83" s="15" t="s">
        <v>99</v>
      </c>
      <c r="G83" s="92">
        <v>45226</v>
      </c>
      <c r="H83" s="13">
        <v>9.7555820000000004</v>
      </c>
      <c r="I83" s="13">
        <v>126.050471</v>
      </c>
      <c r="J83" s="13" t="s">
        <v>1058</v>
      </c>
      <c r="K83" s="13" t="s">
        <v>1059</v>
      </c>
      <c r="L83" s="13" t="s">
        <v>22</v>
      </c>
      <c r="M83" s="13"/>
      <c r="N83" s="13" t="s">
        <v>89</v>
      </c>
      <c r="O83" s="93"/>
      <c r="P83" s="115"/>
      <c r="Q83" s="114"/>
      <c r="R83" s="114"/>
      <c r="S83" s="114"/>
      <c r="T83" s="114"/>
      <c r="U83" s="96"/>
      <c r="V83" s="96"/>
      <c r="W83" s="96"/>
      <c r="X83" s="96"/>
    </row>
    <row r="84" spans="1:24" ht="12.75">
      <c r="A84" s="6">
        <v>83</v>
      </c>
      <c r="B84" s="8" t="s">
        <v>67</v>
      </c>
      <c r="C84" s="8" t="s">
        <v>76</v>
      </c>
      <c r="D84" s="6">
        <v>1</v>
      </c>
      <c r="E84" s="11" t="s">
        <v>78</v>
      </c>
      <c r="F84" s="15" t="s">
        <v>408</v>
      </c>
      <c r="G84" s="92">
        <v>45226</v>
      </c>
      <c r="H84" s="13">
        <v>9.7550779999999992</v>
      </c>
      <c r="I84" s="13">
        <v>126.050397</v>
      </c>
      <c r="J84" s="13" t="s">
        <v>1064</v>
      </c>
      <c r="K84" s="13" t="s">
        <v>1066</v>
      </c>
      <c r="L84" s="13" t="s">
        <v>22</v>
      </c>
      <c r="M84" s="13"/>
      <c r="N84" s="13" t="s">
        <v>89</v>
      </c>
      <c r="O84" s="93"/>
      <c r="P84" s="115"/>
      <c r="Q84" s="114"/>
      <c r="R84" s="114"/>
      <c r="S84" s="114"/>
      <c r="T84" s="114"/>
      <c r="U84" s="96"/>
      <c r="V84" s="96"/>
      <c r="W84" s="96"/>
      <c r="X84" s="96"/>
    </row>
    <row r="85" spans="1:24" ht="12.75">
      <c r="A85" s="6">
        <v>84</v>
      </c>
      <c r="B85" s="8" t="s">
        <v>67</v>
      </c>
      <c r="C85" s="8" t="s">
        <v>68</v>
      </c>
      <c r="D85" s="6">
        <v>1</v>
      </c>
      <c r="E85" s="11" t="s">
        <v>80</v>
      </c>
      <c r="F85" s="15" t="s">
        <v>103</v>
      </c>
      <c r="G85" s="92">
        <v>45226</v>
      </c>
      <c r="H85" s="13">
        <v>9.7543509999999998</v>
      </c>
      <c r="I85" s="13">
        <v>126.051422</v>
      </c>
      <c r="J85" s="13" t="s">
        <v>1073</v>
      </c>
      <c r="K85" s="13" t="s">
        <v>1075</v>
      </c>
      <c r="L85" s="13" t="s">
        <v>22</v>
      </c>
      <c r="M85" s="13"/>
      <c r="N85" s="13" t="s">
        <v>89</v>
      </c>
      <c r="O85" s="93"/>
      <c r="P85" s="115"/>
      <c r="Q85" s="114"/>
      <c r="R85" s="114"/>
      <c r="S85" s="114"/>
      <c r="T85" s="114"/>
      <c r="U85" s="96"/>
      <c r="V85" s="96"/>
      <c r="W85" s="96"/>
      <c r="X85" s="96"/>
    </row>
    <row r="86" spans="1:24" ht="12.75">
      <c r="A86" s="6">
        <v>85</v>
      </c>
      <c r="B86" s="8" t="s">
        <v>81</v>
      </c>
      <c r="C86" s="8" t="s">
        <v>82</v>
      </c>
      <c r="D86" s="6">
        <v>1</v>
      </c>
      <c r="E86" s="11" t="s">
        <v>85</v>
      </c>
      <c r="F86" s="15" t="s">
        <v>65</v>
      </c>
      <c r="G86" s="92">
        <v>45237</v>
      </c>
      <c r="H86" s="13">
        <v>9.8820940000000004</v>
      </c>
      <c r="I86" s="13">
        <v>125.984093</v>
      </c>
      <c r="J86" s="13" t="s">
        <v>1082</v>
      </c>
      <c r="K86" s="13" t="s">
        <v>1084</v>
      </c>
      <c r="L86" s="13" t="s">
        <v>22</v>
      </c>
      <c r="M86" s="13"/>
      <c r="N86" s="13" t="s">
        <v>89</v>
      </c>
      <c r="O86" s="93"/>
      <c r="P86" s="115"/>
      <c r="Q86" s="114"/>
      <c r="R86" s="114"/>
      <c r="S86" s="114"/>
      <c r="T86" s="114"/>
      <c r="U86" s="96"/>
      <c r="V86" s="96"/>
      <c r="W86" s="96"/>
      <c r="X86" s="96"/>
    </row>
    <row r="87" spans="1:24" ht="12.75">
      <c r="A87" s="6">
        <v>86</v>
      </c>
      <c r="B87" s="8" t="s">
        <v>81</v>
      </c>
      <c r="C87" s="8" t="s">
        <v>82</v>
      </c>
      <c r="D87" s="6">
        <v>1</v>
      </c>
      <c r="E87" s="11" t="s">
        <v>86</v>
      </c>
      <c r="F87" s="15" t="s">
        <v>65</v>
      </c>
      <c r="G87" s="92">
        <v>45237</v>
      </c>
      <c r="H87" s="13">
        <v>9.8696429999999999</v>
      </c>
      <c r="I87" s="13">
        <v>125.97028</v>
      </c>
      <c r="J87" s="13" t="s">
        <v>1086</v>
      </c>
      <c r="K87" s="13" t="s">
        <v>1087</v>
      </c>
      <c r="L87" s="13" t="s">
        <v>22</v>
      </c>
      <c r="M87" s="13"/>
      <c r="N87" s="13" t="s">
        <v>89</v>
      </c>
      <c r="O87" s="93"/>
      <c r="P87" s="115"/>
      <c r="Q87" s="114"/>
      <c r="R87" s="114"/>
      <c r="S87" s="114"/>
      <c r="T87" s="114"/>
      <c r="U87" s="96"/>
      <c r="V87" s="96"/>
      <c r="W87" s="96"/>
      <c r="X87" s="96"/>
    </row>
    <row r="88" spans="1:24" ht="12.75">
      <c r="A88" s="6">
        <v>87</v>
      </c>
      <c r="B88" s="8" t="s">
        <v>81</v>
      </c>
      <c r="C88" s="8" t="s">
        <v>82</v>
      </c>
      <c r="D88" s="6">
        <v>1</v>
      </c>
      <c r="E88" s="11" t="s">
        <v>88</v>
      </c>
      <c r="F88" s="15" t="s">
        <v>65</v>
      </c>
      <c r="G88" s="92">
        <v>45237</v>
      </c>
      <c r="H88" s="13">
        <v>9.8696429999999999</v>
      </c>
      <c r="I88" s="13">
        <v>125.97028</v>
      </c>
      <c r="J88" s="13" t="s">
        <v>1090</v>
      </c>
      <c r="K88" s="13" t="s">
        <v>1093</v>
      </c>
      <c r="L88" s="13" t="s">
        <v>22</v>
      </c>
      <c r="M88" s="13"/>
      <c r="N88" s="13" t="s">
        <v>89</v>
      </c>
      <c r="O88" s="93"/>
      <c r="P88" s="115"/>
      <c r="Q88" s="114"/>
      <c r="R88" s="114"/>
      <c r="S88" s="114"/>
      <c r="T88" s="114"/>
      <c r="U88" s="96"/>
      <c r="V88" s="96"/>
      <c r="W88" s="96"/>
      <c r="X88" s="96"/>
    </row>
    <row r="89" spans="1:24" ht="12.75">
      <c r="A89" s="6">
        <v>88</v>
      </c>
      <c r="B89" s="8" t="s">
        <v>81</v>
      </c>
      <c r="C89" s="8" t="s">
        <v>82</v>
      </c>
      <c r="D89" s="6">
        <v>1</v>
      </c>
      <c r="E89" s="11" t="s">
        <v>90</v>
      </c>
      <c r="F89" s="15" t="s">
        <v>65</v>
      </c>
      <c r="G89" s="92">
        <v>45245</v>
      </c>
      <c r="H89" s="13">
        <v>9.8690429999999996</v>
      </c>
      <c r="I89" s="13">
        <v>125.970156</v>
      </c>
      <c r="J89" s="13" t="s">
        <v>1104</v>
      </c>
      <c r="K89" s="13" t="s">
        <v>1106</v>
      </c>
      <c r="L89" s="13" t="s">
        <v>22</v>
      </c>
      <c r="M89" s="13"/>
      <c r="N89" s="13" t="s">
        <v>89</v>
      </c>
      <c r="O89" s="93"/>
      <c r="P89" s="115"/>
      <c r="Q89" s="114"/>
      <c r="R89" s="114"/>
      <c r="S89" s="114"/>
      <c r="T89" s="114"/>
      <c r="U89" s="96"/>
      <c r="V89" s="96"/>
      <c r="W89" s="96"/>
      <c r="X89" s="96"/>
    </row>
    <row r="90" spans="1:24" ht="12.75">
      <c r="A90" s="6">
        <v>89</v>
      </c>
      <c r="B90" s="8" t="s">
        <v>81</v>
      </c>
      <c r="C90" s="8" t="s">
        <v>82</v>
      </c>
      <c r="D90" s="6">
        <v>1</v>
      </c>
      <c r="E90" s="11" t="s">
        <v>92</v>
      </c>
      <c r="F90" s="15" t="s">
        <v>31</v>
      </c>
      <c r="G90" s="92">
        <v>45237</v>
      </c>
      <c r="H90" s="13">
        <v>9.8711490000000008</v>
      </c>
      <c r="I90" s="13">
        <v>125.972757</v>
      </c>
      <c r="J90" s="13" t="s">
        <v>1113</v>
      </c>
      <c r="K90" s="13" t="s">
        <v>1114</v>
      </c>
      <c r="L90" s="13" t="s">
        <v>22</v>
      </c>
      <c r="M90" s="13"/>
      <c r="N90" s="13" t="s">
        <v>89</v>
      </c>
      <c r="O90" s="93"/>
      <c r="P90" s="116"/>
      <c r="Q90" s="114"/>
      <c r="R90" s="114"/>
      <c r="S90" s="114"/>
      <c r="T90" s="114"/>
      <c r="U90" s="96"/>
      <c r="V90" s="96"/>
      <c r="W90" s="96"/>
      <c r="X90" s="96"/>
    </row>
    <row r="91" spans="1:24" ht="12.75">
      <c r="A91" s="6">
        <v>90</v>
      </c>
      <c r="B91" s="8" t="s">
        <v>81</v>
      </c>
      <c r="C91" s="8" t="s">
        <v>82</v>
      </c>
      <c r="D91" s="6">
        <v>1</v>
      </c>
      <c r="E91" s="11" t="s">
        <v>94</v>
      </c>
      <c r="F91" s="15" t="s">
        <v>238</v>
      </c>
      <c r="G91" s="92">
        <v>45237</v>
      </c>
      <c r="H91" s="13">
        <v>9.8827259999999999</v>
      </c>
      <c r="I91" s="13">
        <v>125.983636</v>
      </c>
      <c r="J91" s="13" t="s">
        <v>1125</v>
      </c>
      <c r="K91" s="13" t="s">
        <v>1126</v>
      </c>
      <c r="L91" s="13" t="s">
        <v>22</v>
      </c>
      <c r="M91" s="13"/>
      <c r="N91" s="13" t="s">
        <v>89</v>
      </c>
      <c r="O91" s="93"/>
      <c r="P91" s="102"/>
      <c r="Q91" s="114"/>
      <c r="R91" s="114"/>
      <c r="S91" s="114"/>
      <c r="T91" s="114"/>
      <c r="U91" s="96"/>
      <c r="V91" s="96"/>
      <c r="W91" s="96"/>
      <c r="X91" s="96"/>
    </row>
    <row r="92" spans="1:24" ht="12.75">
      <c r="A92" s="6">
        <v>91</v>
      </c>
      <c r="B92" s="8" t="s">
        <v>79</v>
      </c>
      <c r="C92" s="8" t="s">
        <v>97</v>
      </c>
      <c r="D92" s="6">
        <v>1</v>
      </c>
      <c r="E92" s="11" t="s">
        <v>100</v>
      </c>
      <c r="F92" s="15" t="s">
        <v>65</v>
      </c>
      <c r="G92" s="92">
        <v>45211</v>
      </c>
      <c r="H92" s="13">
        <v>9.7823740000000008</v>
      </c>
      <c r="I92" s="13">
        <v>126.15665799999999</v>
      </c>
      <c r="J92" s="13" t="s">
        <v>1136</v>
      </c>
      <c r="K92" s="13" t="s">
        <v>1138</v>
      </c>
      <c r="L92" s="13" t="s">
        <v>22</v>
      </c>
      <c r="M92" s="13"/>
      <c r="N92" s="13" t="s">
        <v>199</v>
      </c>
      <c r="O92" s="93">
        <v>45929.378877314812</v>
      </c>
      <c r="P92" s="115"/>
      <c r="Q92" s="114"/>
      <c r="R92" s="114"/>
      <c r="S92" s="114"/>
      <c r="T92" s="114"/>
      <c r="U92" s="96"/>
      <c r="V92" s="96"/>
      <c r="W92" s="96"/>
      <c r="X92" s="96"/>
    </row>
    <row r="93" spans="1:24" ht="12.75">
      <c r="A93" s="6">
        <v>92</v>
      </c>
      <c r="B93" s="8" t="s">
        <v>79</v>
      </c>
      <c r="C93" s="8" t="s">
        <v>97</v>
      </c>
      <c r="D93" s="6">
        <v>1</v>
      </c>
      <c r="E93" s="11" t="s">
        <v>101</v>
      </c>
      <c r="F93" s="15" t="s">
        <v>65</v>
      </c>
      <c r="G93" s="92">
        <v>45211</v>
      </c>
      <c r="H93" s="13">
        <v>9.7822689999999994</v>
      </c>
      <c r="I93" s="13">
        <v>126.156454</v>
      </c>
      <c r="J93" s="13" t="s">
        <v>1145</v>
      </c>
      <c r="K93" s="13" t="s">
        <v>1147</v>
      </c>
      <c r="L93" s="13" t="s">
        <v>22</v>
      </c>
      <c r="M93" s="13"/>
      <c r="N93" s="13" t="s">
        <v>199</v>
      </c>
      <c r="O93" s="93">
        <v>45929.328784722224</v>
      </c>
      <c r="P93" s="115"/>
      <c r="Q93" s="114"/>
      <c r="R93" s="114"/>
      <c r="S93" s="114"/>
      <c r="T93" s="114"/>
      <c r="U93" s="96"/>
      <c r="V93" s="96"/>
      <c r="W93" s="96"/>
      <c r="X93" s="96"/>
    </row>
    <row r="94" spans="1:24" ht="12.75">
      <c r="A94" s="6">
        <v>93</v>
      </c>
      <c r="B94" s="8" t="s">
        <v>79</v>
      </c>
      <c r="C94" s="8" t="s">
        <v>97</v>
      </c>
      <c r="D94" s="6">
        <v>1</v>
      </c>
      <c r="E94" s="11" t="s">
        <v>104</v>
      </c>
      <c r="F94" s="15" t="s">
        <v>65</v>
      </c>
      <c r="G94" s="92">
        <v>45211</v>
      </c>
      <c r="H94" s="13">
        <v>9.7823740000000008</v>
      </c>
      <c r="I94" s="13">
        <v>126.15665799999999</v>
      </c>
      <c r="J94" s="13" t="s">
        <v>1155</v>
      </c>
      <c r="K94" s="13" t="s">
        <v>1156</v>
      </c>
      <c r="L94" s="13" t="s">
        <v>22</v>
      </c>
      <c r="M94" s="13"/>
      <c r="N94" s="13" t="s">
        <v>89</v>
      </c>
      <c r="O94" s="93"/>
      <c r="P94" s="115"/>
      <c r="Q94" s="114"/>
      <c r="R94" s="114"/>
      <c r="S94" s="114"/>
      <c r="T94" s="114"/>
      <c r="U94" s="96"/>
      <c r="V94" s="96"/>
      <c r="W94" s="96"/>
      <c r="X94" s="96"/>
    </row>
    <row r="95" spans="1:24" ht="12.75">
      <c r="A95" s="6">
        <v>94</v>
      </c>
      <c r="B95" s="8" t="s">
        <v>79</v>
      </c>
      <c r="C95" s="8" t="s">
        <v>97</v>
      </c>
      <c r="D95" s="6">
        <v>1</v>
      </c>
      <c r="E95" s="11" t="s">
        <v>107</v>
      </c>
      <c r="F95" s="15" t="s">
        <v>238</v>
      </c>
      <c r="G95" s="92">
        <v>45211</v>
      </c>
      <c r="H95" s="13">
        <v>9.7811629999999994</v>
      </c>
      <c r="I95" s="13">
        <v>126.156639</v>
      </c>
      <c r="J95" s="13" t="s">
        <v>1165</v>
      </c>
      <c r="K95" s="13" t="s">
        <v>1167</v>
      </c>
      <c r="L95" s="13" t="s">
        <v>22</v>
      </c>
      <c r="M95" s="13"/>
      <c r="N95" s="13" t="s">
        <v>89</v>
      </c>
      <c r="O95" s="93"/>
      <c r="P95" s="115"/>
      <c r="Q95" s="114"/>
      <c r="R95" s="114"/>
      <c r="S95" s="114"/>
      <c r="T95" s="114"/>
      <c r="U95" s="96"/>
      <c r="V95" s="96"/>
      <c r="W95" s="96"/>
      <c r="X95" s="96"/>
    </row>
    <row r="96" spans="1:24" ht="12.75">
      <c r="A96" s="6">
        <v>95</v>
      </c>
      <c r="B96" s="8" t="s">
        <v>79</v>
      </c>
      <c r="C96" s="8" t="s">
        <v>97</v>
      </c>
      <c r="D96" s="6">
        <v>1</v>
      </c>
      <c r="E96" s="11" t="s">
        <v>109</v>
      </c>
      <c r="F96" s="15" t="s">
        <v>103</v>
      </c>
      <c r="G96" s="92">
        <v>45211</v>
      </c>
      <c r="H96" s="13">
        <v>9.7825399999999991</v>
      </c>
      <c r="I96" s="13">
        <v>126.15658000000001</v>
      </c>
      <c r="J96" s="13" t="s">
        <v>1173</v>
      </c>
      <c r="K96" s="13" t="s">
        <v>1175</v>
      </c>
      <c r="L96" s="13" t="s">
        <v>22</v>
      </c>
      <c r="M96" s="13"/>
      <c r="N96" s="13" t="s">
        <v>89</v>
      </c>
      <c r="O96" s="93"/>
      <c r="P96" s="115"/>
      <c r="Q96" s="114"/>
      <c r="R96" s="114"/>
      <c r="S96" s="114"/>
      <c r="T96" s="114"/>
      <c r="U96" s="96"/>
      <c r="V96" s="96"/>
      <c r="W96" s="96"/>
      <c r="X96" s="96"/>
    </row>
    <row r="97" spans="1:24" ht="12.75">
      <c r="A97" s="6">
        <v>96</v>
      </c>
      <c r="B97" s="8" t="s">
        <v>79</v>
      </c>
      <c r="C97" s="8" t="s">
        <v>97</v>
      </c>
      <c r="D97" s="6">
        <v>1</v>
      </c>
      <c r="E97" s="11" t="s">
        <v>111</v>
      </c>
      <c r="F97" s="15" t="s">
        <v>31</v>
      </c>
      <c r="G97" s="92">
        <v>45211</v>
      </c>
      <c r="H97" s="13">
        <v>9.781663</v>
      </c>
      <c r="I97" s="13">
        <v>126.156935</v>
      </c>
      <c r="J97" s="13" t="s">
        <v>1182</v>
      </c>
      <c r="K97" s="13" t="s">
        <v>1183</v>
      </c>
      <c r="L97" s="13" t="s">
        <v>22</v>
      </c>
      <c r="M97" s="13"/>
      <c r="N97" s="13" t="s">
        <v>89</v>
      </c>
      <c r="O97" s="93"/>
      <c r="P97" s="102"/>
      <c r="Q97" s="114"/>
      <c r="R97" s="114"/>
      <c r="S97" s="114"/>
      <c r="T97" s="114"/>
      <c r="U97" s="96"/>
      <c r="V97" s="96"/>
      <c r="W97" s="96"/>
      <c r="X97" s="96"/>
    </row>
    <row r="98" spans="1:24" ht="12.75">
      <c r="A98" s="6">
        <v>97</v>
      </c>
      <c r="B98" s="8" t="s">
        <v>113</v>
      </c>
      <c r="C98" s="8" t="s">
        <v>114</v>
      </c>
      <c r="D98" s="6">
        <v>1</v>
      </c>
      <c r="E98" s="11" t="s">
        <v>116</v>
      </c>
      <c r="F98" s="15" t="s">
        <v>65</v>
      </c>
      <c r="G98" s="92">
        <v>45212</v>
      </c>
      <c r="H98" s="13">
        <v>9.8644020000000001</v>
      </c>
      <c r="I98" s="13">
        <v>126.100433</v>
      </c>
      <c r="J98" s="13" t="s">
        <v>1191</v>
      </c>
      <c r="K98" s="13" t="s">
        <v>1193</v>
      </c>
      <c r="L98" s="13" t="s">
        <v>22</v>
      </c>
      <c r="M98" s="13"/>
      <c r="N98" s="13" t="s">
        <v>89</v>
      </c>
      <c r="O98" s="93"/>
      <c r="P98" s="115"/>
      <c r="Q98" s="114"/>
      <c r="R98" s="114"/>
      <c r="S98" s="114"/>
      <c r="T98" s="114"/>
      <c r="U98" s="96"/>
      <c r="V98" s="96"/>
      <c r="W98" s="96"/>
      <c r="X98" s="96"/>
    </row>
    <row r="99" spans="1:24" ht="12.75">
      <c r="A99" s="6">
        <v>98</v>
      </c>
      <c r="B99" s="8" t="s">
        <v>113</v>
      </c>
      <c r="C99" s="8" t="s">
        <v>114</v>
      </c>
      <c r="D99" s="6">
        <v>1</v>
      </c>
      <c r="E99" s="11" t="s">
        <v>119</v>
      </c>
      <c r="F99" s="15" t="s">
        <v>238</v>
      </c>
      <c r="G99" s="92">
        <v>45212</v>
      </c>
      <c r="H99" s="13">
        <v>9.8644479999999994</v>
      </c>
      <c r="I99" s="13">
        <v>126.100222</v>
      </c>
      <c r="J99" s="13" t="s">
        <v>1201</v>
      </c>
      <c r="K99" s="13" t="s">
        <v>1202</v>
      </c>
      <c r="L99" s="13" t="s">
        <v>22</v>
      </c>
      <c r="M99" s="13"/>
      <c r="N99" s="13" t="s">
        <v>89</v>
      </c>
      <c r="O99" s="93"/>
      <c r="P99" s="115"/>
      <c r="Q99" s="114"/>
      <c r="R99" s="114"/>
      <c r="S99" s="114"/>
      <c r="T99" s="114"/>
      <c r="U99" s="96"/>
      <c r="V99" s="96"/>
      <c r="W99" s="96"/>
      <c r="X99" s="96"/>
    </row>
    <row r="100" spans="1:24" ht="12.75">
      <c r="A100" s="6">
        <v>99</v>
      </c>
      <c r="B100" s="8" t="s">
        <v>113</v>
      </c>
      <c r="C100" s="8" t="s">
        <v>114</v>
      </c>
      <c r="D100" s="6">
        <v>1</v>
      </c>
      <c r="E100" s="11" t="s">
        <v>121</v>
      </c>
      <c r="F100" s="15" t="s">
        <v>238</v>
      </c>
      <c r="G100" s="92">
        <v>45212</v>
      </c>
      <c r="H100" s="13">
        <v>9.8641930000000002</v>
      </c>
      <c r="I100" s="13">
        <v>126.100151</v>
      </c>
      <c r="J100" s="13" t="s">
        <v>1205</v>
      </c>
      <c r="K100" s="13" t="s">
        <v>1206</v>
      </c>
      <c r="L100" s="13" t="s">
        <v>22</v>
      </c>
      <c r="M100" s="13"/>
      <c r="N100" s="13" t="s">
        <v>89</v>
      </c>
      <c r="O100" s="93"/>
      <c r="P100" s="115"/>
      <c r="Q100" s="114"/>
      <c r="R100" s="114"/>
      <c r="S100" s="114"/>
      <c r="T100" s="114"/>
      <c r="U100" s="96"/>
      <c r="V100" s="96"/>
      <c r="W100" s="96"/>
      <c r="X100" s="96"/>
    </row>
    <row r="101" spans="1:24" ht="12.75">
      <c r="A101" s="6">
        <v>100</v>
      </c>
      <c r="B101" s="8" t="s">
        <v>113</v>
      </c>
      <c r="C101" s="8" t="s">
        <v>114</v>
      </c>
      <c r="D101" s="6">
        <v>1</v>
      </c>
      <c r="E101" s="11" t="s">
        <v>123</v>
      </c>
      <c r="F101" s="15" t="s">
        <v>103</v>
      </c>
      <c r="G101" s="92">
        <v>45212</v>
      </c>
      <c r="H101" s="13">
        <v>9.8641930000000002</v>
      </c>
      <c r="I101" s="13">
        <v>126.100151</v>
      </c>
      <c r="J101" s="13" t="s">
        <v>1211</v>
      </c>
      <c r="K101" s="13" t="s">
        <v>1212</v>
      </c>
      <c r="L101" s="13" t="s">
        <v>22</v>
      </c>
      <c r="M101" s="13"/>
      <c r="N101" s="13" t="s">
        <v>89</v>
      </c>
      <c r="O101" s="93"/>
      <c r="P101" s="115"/>
      <c r="Q101" s="114"/>
      <c r="R101" s="114"/>
      <c r="S101" s="114"/>
      <c r="T101" s="114"/>
      <c r="U101" s="96"/>
      <c r="V101" s="96"/>
      <c r="W101" s="96"/>
      <c r="X101" s="96"/>
    </row>
    <row r="102" spans="1:24" ht="12.75">
      <c r="A102" s="6">
        <v>101</v>
      </c>
      <c r="B102" s="8" t="s">
        <v>113</v>
      </c>
      <c r="C102" s="8" t="s">
        <v>114</v>
      </c>
      <c r="D102" s="6">
        <v>1</v>
      </c>
      <c r="E102" s="11" t="s">
        <v>125</v>
      </c>
      <c r="F102" s="15" t="s">
        <v>31</v>
      </c>
      <c r="G102" s="92">
        <v>45212</v>
      </c>
      <c r="H102" s="13">
        <v>9.8639559999999999</v>
      </c>
      <c r="I102" s="13">
        <v>126.1003</v>
      </c>
      <c r="J102" s="13" t="s">
        <v>1219</v>
      </c>
      <c r="K102" s="13" t="s">
        <v>1220</v>
      </c>
      <c r="L102" s="13" t="s">
        <v>22</v>
      </c>
      <c r="M102" s="13"/>
      <c r="N102" s="13" t="s">
        <v>89</v>
      </c>
      <c r="O102" s="93"/>
      <c r="P102" s="115"/>
      <c r="Q102" s="114"/>
      <c r="R102" s="114"/>
      <c r="S102" s="114"/>
      <c r="T102" s="114"/>
      <c r="U102" s="96"/>
      <c r="V102" s="96"/>
      <c r="W102" s="96"/>
      <c r="X102" s="96"/>
    </row>
    <row r="103" spans="1:24" ht="12.75">
      <c r="A103" s="6">
        <v>102</v>
      </c>
      <c r="B103" s="8" t="s">
        <v>113</v>
      </c>
      <c r="C103" s="8" t="s">
        <v>114</v>
      </c>
      <c r="D103" s="6">
        <v>1</v>
      </c>
      <c r="E103" s="11" t="s">
        <v>127</v>
      </c>
      <c r="F103" s="15" t="s">
        <v>155</v>
      </c>
      <c r="G103" s="92">
        <v>45212</v>
      </c>
      <c r="H103" s="13">
        <v>9.8628359999999997</v>
      </c>
      <c r="I103" s="13">
        <v>126.09936500000001</v>
      </c>
      <c r="J103" s="13" t="s">
        <v>1227</v>
      </c>
      <c r="K103" s="13" t="s">
        <v>1229</v>
      </c>
      <c r="L103" s="13" t="s">
        <v>22</v>
      </c>
      <c r="M103" s="13"/>
      <c r="N103" s="13" t="s">
        <v>89</v>
      </c>
      <c r="O103" s="93"/>
      <c r="P103" s="115"/>
      <c r="Q103" s="114"/>
      <c r="R103" s="114"/>
      <c r="S103" s="114"/>
      <c r="T103" s="114"/>
      <c r="U103" s="96"/>
      <c r="V103" s="96"/>
      <c r="W103" s="96"/>
      <c r="X103" s="96"/>
    </row>
    <row r="104" spans="1:24" ht="12.75">
      <c r="A104" s="6">
        <v>103</v>
      </c>
      <c r="B104" s="8" t="s">
        <v>140</v>
      </c>
      <c r="C104" s="8" t="s">
        <v>141</v>
      </c>
      <c r="D104" s="6">
        <v>1</v>
      </c>
      <c r="E104" s="11" t="s">
        <v>146</v>
      </c>
      <c r="F104" s="15" t="s">
        <v>65</v>
      </c>
      <c r="G104" s="92">
        <v>45227</v>
      </c>
      <c r="H104" s="13">
        <v>9.9366299999999992</v>
      </c>
      <c r="I104" s="13">
        <v>126.08703199999999</v>
      </c>
      <c r="J104" s="13" t="s">
        <v>1234</v>
      </c>
      <c r="K104" s="13" t="s">
        <v>1235</v>
      </c>
      <c r="L104" s="13" t="s">
        <v>22</v>
      </c>
      <c r="M104" s="13"/>
      <c r="N104" s="13" t="s">
        <v>89</v>
      </c>
      <c r="O104" s="93"/>
      <c r="P104" s="115"/>
      <c r="Q104" s="114"/>
      <c r="R104" s="114"/>
      <c r="S104" s="114"/>
      <c r="T104" s="114"/>
      <c r="U104" s="96"/>
      <c r="V104" s="96"/>
      <c r="W104" s="96"/>
      <c r="X104" s="96"/>
    </row>
    <row r="105" spans="1:24" ht="12.75">
      <c r="A105" s="6">
        <v>104</v>
      </c>
      <c r="B105" s="8" t="s">
        <v>140</v>
      </c>
      <c r="C105" s="8" t="s">
        <v>141</v>
      </c>
      <c r="D105" s="6">
        <v>1</v>
      </c>
      <c r="E105" s="11" t="s">
        <v>148</v>
      </c>
      <c r="F105" s="15" t="s">
        <v>65</v>
      </c>
      <c r="G105" s="92">
        <v>45227</v>
      </c>
      <c r="H105" s="13">
        <v>9.9366299999999992</v>
      </c>
      <c r="I105" s="13">
        <v>126.08703199999999</v>
      </c>
      <c r="J105" s="13" t="s">
        <v>1238</v>
      </c>
      <c r="K105" s="13" t="s">
        <v>1240</v>
      </c>
      <c r="L105" s="13" t="s">
        <v>22</v>
      </c>
      <c r="M105" s="13"/>
      <c r="N105" s="13" t="s">
        <v>89</v>
      </c>
      <c r="O105" s="93"/>
      <c r="P105" s="115"/>
      <c r="Q105" s="114"/>
      <c r="R105" s="114"/>
      <c r="S105" s="114"/>
      <c r="T105" s="114"/>
      <c r="U105" s="96"/>
      <c r="V105" s="96"/>
      <c r="W105" s="96"/>
      <c r="X105" s="96"/>
    </row>
    <row r="106" spans="1:24" ht="12.75">
      <c r="A106" s="6">
        <v>105</v>
      </c>
      <c r="B106" s="8" t="s">
        <v>140</v>
      </c>
      <c r="C106" s="8" t="s">
        <v>141</v>
      </c>
      <c r="D106" s="6">
        <v>1</v>
      </c>
      <c r="E106" s="11" t="s">
        <v>153</v>
      </c>
      <c r="F106" s="15" t="s">
        <v>31</v>
      </c>
      <c r="G106" s="92">
        <v>45227</v>
      </c>
      <c r="H106" s="13">
        <v>9.9365480000000002</v>
      </c>
      <c r="I106" s="13">
        <v>126.08649800000001</v>
      </c>
      <c r="J106" s="13" t="s">
        <v>1245</v>
      </c>
      <c r="K106" s="13" t="s">
        <v>1248</v>
      </c>
      <c r="L106" s="13" t="s">
        <v>22</v>
      </c>
      <c r="M106" s="13"/>
      <c r="N106" s="13" t="s">
        <v>89</v>
      </c>
      <c r="O106" s="93"/>
      <c r="P106" s="115"/>
      <c r="Q106" s="114"/>
      <c r="R106" s="114"/>
      <c r="S106" s="114"/>
      <c r="T106" s="114"/>
      <c r="U106" s="96"/>
      <c r="V106" s="96"/>
      <c r="W106" s="96"/>
      <c r="X106" s="96"/>
    </row>
    <row r="107" spans="1:24" ht="12.75">
      <c r="A107" s="6">
        <v>106</v>
      </c>
      <c r="B107" s="8" t="s">
        <v>140</v>
      </c>
      <c r="C107" s="8" t="s">
        <v>141</v>
      </c>
      <c r="D107" s="6">
        <v>1</v>
      </c>
      <c r="E107" s="11" t="s">
        <v>158</v>
      </c>
      <c r="F107" s="15" t="s">
        <v>238</v>
      </c>
      <c r="G107" s="92">
        <v>45227</v>
      </c>
      <c r="H107" s="13">
        <v>9.9364369999999997</v>
      </c>
      <c r="I107" s="13">
        <v>126.08668</v>
      </c>
      <c r="J107" s="13" t="s">
        <v>1256</v>
      </c>
      <c r="K107" s="13" t="s">
        <v>1257</v>
      </c>
      <c r="L107" s="13" t="s">
        <v>22</v>
      </c>
      <c r="M107" s="13"/>
      <c r="N107" s="13" t="s">
        <v>89</v>
      </c>
      <c r="O107" s="93"/>
      <c r="P107" s="115"/>
      <c r="Q107" s="114"/>
      <c r="R107" s="114"/>
      <c r="S107" s="114"/>
      <c r="T107" s="114"/>
      <c r="U107" s="96"/>
      <c r="V107" s="96"/>
      <c r="W107" s="96"/>
      <c r="X107" s="96"/>
    </row>
    <row r="108" spans="1:24" ht="12.75">
      <c r="A108" s="6">
        <v>107</v>
      </c>
      <c r="B108" s="8" t="s">
        <v>140</v>
      </c>
      <c r="C108" s="8" t="s">
        <v>141</v>
      </c>
      <c r="D108" s="6">
        <v>1</v>
      </c>
      <c r="E108" s="11" t="s">
        <v>157</v>
      </c>
      <c r="F108" s="15" t="s">
        <v>31</v>
      </c>
      <c r="G108" s="92">
        <v>45235</v>
      </c>
      <c r="H108" s="13">
        <v>9.9372220000000002</v>
      </c>
      <c r="I108" s="13">
        <v>126.08669399999999</v>
      </c>
      <c r="J108" s="13" t="s">
        <v>1264</v>
      </c>
      <c r="K108" s="13" t="s">
        <v>1265</v>
      </c>
      <c r="L108" s="13" t="s">
        <v>22</v>
      </c>
      <c r="M108" s="13"/>
      <c r="N108" s="13" t="s">
        <v>89</v>
      </c>
      <c r="O108" s="93"/>
      <c r="P108" s="115"/>
      <c r="Q108" s="114"/>
      <c r="R108" s="114"/>
      <c r="S108" s="114"/>
      <c r="T108" s="114"/>
      <c r="U108" s="96"/>
      <c r="V108" s="96"/>
      <c r="W108" s="96"/>
      <c r="X108" s="96"/>
    </row>
    <row r="109" spans="1:24" ht="12.75">
      <c r="A109" s="6">
        <v>108</v>
      </c>
      <c r="B109" s="8" t="s">
        <v>140</v>
      </c>
      <c r="C109" s="8" t="s">
        <v>141</v>
      </c>
      <c r="D109" s="6">
        <v>1</v>
      </c>
      <c r="E109" s="11" t="s">
        <v>164</v>
      </c>
      <c r="F109" s="15" t="s">
        <v>103</v>
      </c>
      <c r="G109" s="92">
        <v>45227</v>
      </c>
      <c r="H109" s="13">
        <v>9.9379679999999997</v>
      </c>
      <c r="I109" s="13">
        <v>126.08846800000001</v>
      </c>
      <c r="J109" s="13" t="s">
        <v>1271</v>
      </c>
      <c r="K109" s="13" t="s">
        <v>1272</v>
      </c>
      <c r="L109" s="13" t="s">
        <v>22</v>
      </c>
      <c r="M109" s="13"/>
      <c r="N109" s="13" t="s">
        <v>89</v>
      </c>
      <c r="O109" s="93"/>
      <c r="P109" s="115"/>
      <c r="Q109" s="114"/>
      <c r="R109" s="114"/>
      <c r="S109" s="114"/>
      <c r="T109" s="114"/>
      <c r="U109" s="96"/>
      <c r="V109" s="96"/>
      <c r="W109" s="96"/>
      <c r="X109" s="96"/>
    </row>
    <row r="110" spans="1:24" ht="12.75">
      <c r="A110" s="6">
        <v>109</v>
      </c>
      <c r="B110" s="8" t="s">
        <v>165</v>
      </c>
      <c r="C110" s="8" t="s">
        <v>172</v>
      </c>
      <c r="D110" s="6">
        <v>1</v>
      </c>
      <c r="E110" s="11" t="s">
        <v>175</v>
      </c>
      <c r="F110" s="15" t="s">
        <v>65</v>
      </c>
      <c r="G110" s="92">
        <v>45235</v>
      </c>
      <c r="H110" s="13">
        <v>9.9595330000000004</v>
      </c>
      <c r="I110" s="13">
        <v>126.007548</v>
      </c>
      <c r="J110" s="13" t="s">
        <v>1280</v>
      </c>
      <c r="K110" s="13" t="s">
        <v>1281</v>
      </c>
      <c r="L110" s="13" t="s">
        <v>22</v>
      </c>
      <c r="M110" s="13"/>
      <c r="N110" s="13" t="s">
        <v>89</v>
      </c>
      <c r="O110" s="93"/>
      <c r="P110" s="72"/>
      <c r="Q110" s="114"/>
      <c r="R110" s="114"/>
      <c r="S110" s="114"/>
      <c r="T110" s="114"/>
      <c r="U110" s="96"/>
      <c r="V110" s="96"/>
      <c r="W110" s="96"/>
      <c r="X110" s="96"/>
    </row>
    <row r="111" spans="1:24" ht="12.75">
      <c r="A111" s="6">
        <v>110</v>
      </c>
      <c r="B111" s="8" t="s">
        <v>165</v>
      </c>
      <c r="C111" s="8" t="s">
        <v>172</v>
      </c>
      <c r="D111" s="6">
        <v>1</v>
      </c>
      <c r="E111" s="11" t="s">
        <v>178</v>
      </c>
      <c r="F111" s="15" t="s">
        <v>65</v>
      </c>
      <c r="G111" s="92">
        <v>45235</v>
      </c>
      <c r="H111" s="13">
        <v>9.9764300000000006</v>
      </c>
      <c r="I111" s="13">
        <v>126.02217400000001</v>
      </c>
      <c r="J111" s="13" t="s">
        <v>1285</v>
      </c>
      <c r="K111" s="13" t="s">
        <v>1287</v>
      </c>
      <c r="L111" s="13" t="s">
        <v>22</v>
      </c>
      <c r="M111" s="13"/>
      <c r="N111" s="13" t="s">
        <v>89</v>
      </c>
      <c r="O111" s="93"/>
      <c r="P111" s="72"/>
      <c r="Q111" s="114"/>
      <c r="R111" s="114"/>
      <c r="S111" s="114"/>
      <c r="T111" s="114"/>
      <c r="U111" s="96"/>
      <c r="V111" s="96"/>
      <c r="W111" s="96"/>
      <c r="X111" s="96"/>
    </row>
    <row r="112" spans="1:24" ht="12.75">
      <c r="A112" s="6">
        <v>111</v>
      </c>
      <c r="B112" s="8" t="s">
        <v>165</v>
      </c>
      <c r="C112" s="8" t="s">
        <v>172</v>
      </c>
      <c r="D112" s="6">
        <v>1</v>
      </c>
      <c r="E112" s="11" t="s">
        <v>180</v>
      </c>
      <c r="F112" s="15" t="s">
        <v>65</v>
      </c>
      <c r="G112" s="92">
        <v>45235</v>
      </c>
      <c r="H112" s="13">
        <v>9.9595330000000004</v>
      </c>
      <c r="I112" s="13">
        <v>126.007548</v>
      </c>
      <c r="J112" s="13" t="s">
        <v>1293</v>
      </c>
      <c r="K112" s="13" t="s">
        <v>1294</v>
      </c>
      <c r="L112" s="13" t="s">
        <v>22</v>
      </c>
      <c r="M112" s="13"/>
      <c r="N112" s="13" t="s">
        <v>89</v>
      </c>
      <c r="O112" s="93"/>
      <c r="P112" s="72"/>
      <c r="Q112" s="114"/>
      <c r="R112" s="114"/>
      <c r="S112" s="114"/>
      <c r="T112" s="114"/>
      <c r="U112" s="96"/>
      <c r="V112" s="96"/>
      <c r="W112" s="96"/>
      <c r="X112" s="96"/>
    </row>
    <row r="113" spans="1:24" ht="12.75">
      <c r="A113" s="6">
        <v>112</v>
      </c>
      <c r="B113" s="8" t="s">
        <v>165</v>
      </c>
      <c r="C113" s="8" t="s">
        <v>183</v>
      </c>
      <c r="D113" s="6">
        <v>1</v>
      </c>
      <c r="E113" s="11" t="s">
        <v>187</v>
      </c>
      <c r="F113" s="15" t="s">
        <v>65</v>
      </c>
      <c r="G113" s="92">
        <v>45235</v>
      </c>
      <c r="H113" s="13">
        <v>9.9595330000000004</v>
      </c>
      <c r="I113" s="13">
        <v>126.007548</v>
      </c>
      <c r="J113" s="13" t="s">
        <v>1300</v>
      </c>
      <c r="K113" s="13" t="s">
        <v>1301</v>
      </c>
      <c r="L113" s="13" t="s">
        <v>22</v>
      </c>
      <c r="M113" s="13"/>
      <c r="N113" s="13" t="s">
        <v>89</v>
      </c>
      <c r="O113" s="93"/>
      <c r="P113" s="72"/>
      <c r="Q113" s="114"/>
      <c r="R113" s="114"/>
      <c r="S113" s="114"/>
      <c r="T113" s="114"/>
      <c r="U113" s="96"/>
      <c r="V113" s="96"/>
      <c r="W113" s="96"/>
      <c r="X113" s="96"/>
    </row>
    <row r="114" spans="1:24" ht="12.75">
      <c r="A114" s="6">
        <v>113</v>
      </c>
      <c r="B114" s="8" t="s">
        <v>165</v>
      </c>
      <c r="C114" s="8" t="s">
        <v>172</v>
      </c>
      <c r="D114" s="6">
        <v>1</v>
      </c>
      <c r="E114" s="11" t="s">
        <v>192</v>
      </c>
      <c r="F114" s="15" t="s">
        <v>103</v>
      </c>
      <c r="G114" s="92">
        <v>45235</v>
      </c>
      <c r="H114" s="13">
        <v>9.9596809999999998</v>
      </c>
      <c r="I114" s="13">
        <v>126.007367</v>
      </c>
      <c r="J114" s="13" t="s">
        <v>1311</v>
      </c>
      <c r="K114" s="13" t="s">
        <v>1312</v>
      </c>
      <c r="L114" s="13" t="s">
        <v>22</v>
      </c>
      <c r="M114" s="13"/>
      <c r="N114" s="13" t="s">
        <v>89</v>
      </c>
      <c r="O114" s="93"/>
      <c r="P114" s="72"/>
      <c r="Q114" s="114"/>
      <c r="R114" s="114"/>
      <c r="S114" s="114"/>
      <c r="T114" s="114"/>
      <c r="U114" s="96"/>
      <c r="V114" s="96"/>
      <c r="W114" s="96"/>
      <c r="X114" s="96"/>
    </row>
    <row r="115" spans="1:24" ht="12.75">
      <c r="A115" s="6">
        <v>114</v>
      </c>
      <c r="B115" s="8" t="s">
        <v>165</v>
      </c>
      <c r="C115" s="8" t="s">
        <v>29</v>
      </c>
      <c r="D115" s="6">
        <v>1</v>
      </c>
      <c r="E115" s="11" t="s">
        <v>195</v>
      </c>
      <c r="F115" s="15" t="s">
        <v>31</v>
      </c>
      <c r="G115" s="92">
        <v>45235</v>
      </c>
      <c r="H115" s="13">
        <v>9.9590069999999997</v>
      </c>
      <c r="I115" s="13">
        <v>126.00693</v>
      </c>
      <c r="J115" s="13" t="s">
        <v>1323</v>
      </c>
      <c r="K115" s="13" t="s">
        <v>1324</v>
      </c>
      <c r="L115" s="13" t="s">
        <v>22</v>
      </c>
      <c r="M115" s="13"/>
      <c r="N115" s="13" t="s">
        <v>89</v>
      </c>
      <c r="O115" s="93"/>
      <c r="P115" s="72"/>
      <c r="Q115" s="114"/>
      <c r="R115" s="114"/>
      <c r="S115" s="114"/>
      <c r="T115" s="114"/>
      <c r="U115" s="96"/>
      <c r="V115" s="96"/>
      <c r="W115" s="96"/>
      <c r="X115" s="96"/>
    </row>
    <row r="116" spans="1:24" ht="12.75">
      <c r="A116" s="6">
        <v>115</v>
      </c>
      <c r="B116" s="15" t="s">
        <v>176</v>
      </c>
      <c r="C116" s="8" t="s">
        <v>210</v>
      </c>
      <c r="D116" s="6">
        <v>1</v>
      </c>
      <c r="E116" s="7" t="s">
        <v>215</v>
      </c>
      <c r="F116" s="15" t="s">
        <v>65</v>
      </c>
      <c r="G116" s="92">
        <v>45227</v>
      </c>
      <c r="H116" s="13">
        <v>10.020443</v>
      </c>
      <c r="I116" s="13">
        <v>126.03608</v>
      </c>
      <c r="J116" s="13" t="s">
        <v>1330</v>
      </c>
      <c r="K116" s="13" t="s">
        <v>1331</v>
      </c>
      <c r="L116" s="13" t="s">
        <v>22</v>
      </c>
      <c r="M116" s="13"/>
      <c r="N116" s="13" t="s">
        <v>199</v>
      </c>
      <c r="O116" s="93">
        <v>45926.713773148149</v>
      </c>
      <c r="P116" s="115"/>
      <c r="Q116" s="114"/>
      <c r="R116" s="114"/>
      <c r="S116" s="114"/>
      <c r="T116" s="114"/>
      <c r="U116" s="96"/>
      <c r="V116" s="96"/>
      <c r="W116" s="96"/>
      <c r="X116" s="96"/>
    </row>
    <row r="117" spans="1:24" ht="12.75">
      <c r="A117" s="6">
        <v>116</v>
      </c>
      <c r="B117" s="15" t="s">
        <v>176</v>
      </c>
      <c r="C117" s="8" t="s">
        <v>210</v>
      </c>
      <c r="D117" s="6">
        <v>1</v>
      </c>
      <c r="E117" s="7" t="s">
        <v>217</v>
      </c>
      <c r="F117" s="15" t="s">
        <v>65</v>
      </c>
      <c r="G117" s="92">
        <v>45227</v>
      </c>
      <c r="H117" s="13">
        <v>10.020443</v>
      </c>
      <c r="I117" s="13">
        <v>126.03608</v>
      </c>
      <c r="J117" s="13" t="s">
        <v>1338</v>
      </c>
      <c r="K117" s="13" t="s">
        <v>1339</v>
      </c>
      <c r="L117" s="13" t="s">
        <v>22</v>
      </c>
      <c r="M117" s="13"/>
      <c r="N117" s="13" t="s">
        <v>199</v>
      </c>
      <c r="O117" s="93">
        <v>45926.713402777779</v>
      </c>
      <c r="P117" s="115"/>
      <c r="Q117" s="114"/>
      <c r="R117" s="114"/>
      <c r="S117" s="114"/>
      <c r="T117" s="114"/>
      <c r="U117" s="96"/>
      <c r="V117" s="96"/>
      <c r="W117" s="96"/>
      <c r="X117" s="96"/>
    </row>
    <row r="118" spans="1:24" ht="12.75">
      <c r="A118" s="6">
        <v>117</v>
      </c>
      <c r="B118" s="15" t="s">
        <v>176</v>
      </c>
      <c r="C118" s="8" t="s">
        <v>210</v>
      </c>
      <c r="D118" s="6">
        <v>1</v>
      </c>
      <c r="E118" s="7" t="s">
        <v>219</v>
      </c>
      <c r="F118" s="15" t="s">
        <v>65</v>
      </c>
      <c r="G118" s="92">
        <v>45227</v>
      </c>
      <c r="H118" s="13">
        <v>10.020443</v>
      </c>
      <c r="I118" s="13">
        <v>126.03608</v>
      </c>
      <c r="J118" s="13" t="s">
        <v>1342</v>
      </c>
      <c r="K118" s="13" t="s">
        <v>1343</v>
      </c>
      <c r="L118" s="13" t="s">
        <v>22</v>
      </c>
      <c r="M118" s="13"/>
      <c r="N118" s="13" t="s">
        <v>199</v>
      </c>
      <c r="O118" s="93">
        <v>45926.713750000003</v>
      </c>
      <c r="P118" s="115"/>
      <c r="Q118" s="114"/>
      <c r="R118" s="114"/>
      <c r="S118" s="114"/>
      <c r="T118" s="114"/>
      <c r="U118" s="96"/>
      <c r="V118" s="96"/>
      <c r="W118" s="96"/>
      <c r="X118" s="96"/>
    </row>
    <row r="119" spans="1:24" ht="12.75">
      <c r="A119" s="6">
        <v>118</v>
      </c>
      <c r="B119" s="15" t="s">
        <v>176</v>
      </c>
      <c r="C119" s="8" t="s">
        <v>210</v>
      </c>
      <c r="D119" s="6">
        <v>1</v>
      </c>
      <c r="E119" s="7" t="s">
        <v>222</v>
      </c>
      <c r="F119" s="15" t="s">
        <v>238</v>
      </c>
      <c r="G119" s="92">
        <v>45227</v>
      </c>
      <c r="H119" s="13">
        <v>10.020189</v>
      </c>
      <c r="I119" s="13">
        <v>126.03633499999999</v>
      </c>
      <c r="J119" s="13" t="s">
        <v>1347</v>
      </c>
      <c r="K119" s="13" t="s">
        <v>1348</v>
      </c>
      <c r="L119" s="13" t="s">
        <v>22</v>
      </c>
      <c r="M119" s="13"/>
      <c r="N119" s="13" t="s">
        <v>199</v>
      </c>
      <c r="O119" s="93">
        <v>45926.71366898148</v>
      </c>
      <c r="P119" s="102"/>
      <c r="Q119" s="114"/>
      <c r="R119" s="114"/>
      <c r="S119" s="114"/>
      <c r="T119" s="114"/>
      <c r="U119" s="96"/>
      <c r="V119" s="96"/>
      <c r="W119" s="96"/>
      <c r="X119" s="96"/>
    </row>
    <row r="120" spans="1:24" ht="16.5" customHeight="1">
      <c r="A120" s="6">
        <v>119</v>
      </c>
      <c r="B120" s="15" t="s">
        <v>176</v>
      </c>
      <c r="C120" s="8" t="s">
        <v>210</v>
      </c>
      <c r="D120" s="6">
        <v>1</v>
      </c>
      <c r="E120" s="7" t="s">
        <v>224</v>
      </c>
      <c r="F120" s="15" t="s">
        <v>103</v>
      </c>
      <c r="G120" s="92">
        <v>45227</v>
      </c>
      <c r="H120" s="13">
        <v>10.018582</v>
      </c>
      <c r="I120" s="13">
        <v>126.037522</v>
      </c>
      <c r="J120" s="13" t="s">
        <v>1352</v>
      </c>
      <c r="K120" s="13" t="s">
        <v>1353</v>
      </c>
      <c r="L120" s="13" t="s">
        <v>22</v>
      </c>
      <c r="M120" s="13"/>
      <c r="N120" s="13" t="s">
        <v>199</v>
      </c>
      <c r="O120" s="93">
        <v>45862.616759259261</v>
      </c>
      <c r="P120" s="16"/>
      <c r="Q120" s="114"/>
      <c r="R120" s="114"/>
      <c r="S120" s="114"/>
      <c r="T120" s="114"/>
      <c r="U120" s="96"/>
      <c r="V120" s="96"/>
      <c r="W120" s="96"/>
      <c r="X120" s="96"/>
    </row>
    <row r="121" spans="1:24" ht="12.75">
      <c r="A121" s="6">
        <v>120</v>
      </c>
      <c r="B121" s="15" t="s">
        <v>176</v>
      </c>
      <c r="C121" s="8" t="s">
        <v>210</v>
      </c>
      <c r="D121" s="6">
        <v>1</v>
      </c>
      <c r="E121" s="11" t="s">
        <v>227</v>
      </c>
      <c r="F121" s="15" t="s">
        <v>374</v>
      </c>
      <c r="G121" s="92">
        <v>45228</v>
      </c>
      <c r="H121" s="13">
        <v>10.021095000000001</v>
      </c>
      <c r="I121" s="13">
        <v>126.03719599999999</v>
      </c>
      <c r="J121" s="13" t="s">
        <v>1359</v>
      </c>
      <c r="K121" s="13" t="s">
        <v>1361</v>
      </c>
      <c r="L121" s="13" t="s">
        <v>22</v>
      </c>
      <c r="M121" s="13"/>
      <c r="N121" s="13" t="s">
        <v>199</v>
      </c>
      <c r="O121" s="93">
        <v>45895.939571759256</v>
      </c>
      <c r="P121" s="16"/>
      <c r="Q121" s="114"/>
      <c r="R121" s="114"/>
      <c r="S121" s="114"/>
      <c r="T121" s="114"/>
      <c r="U121" s="96"/>
      <c r="V121" s="96"/>
      <c r="W121" s="96"/>
      <c r="X121" s="96"/>
    </row>
    <row r="122" spans="1:24" ht="12.75">
      <c r="A122" s="6">
        <v>121</v>
      </c>
      <c r="B122" s="8" t="s">
        <v>196</v>
      </c>
      <c r="C122" s="8" t="s">
        <v>241</v>
      </c>
      <c r="D122" s="6">
        <v>1</v>
      </c>
      <c r="E122" s="11" t="s">
        <v>242</v>
      </c>
      <c r="F122" s="15" t="s">
        <v>238</v>
      </c>
      <c r="G122" s="92">
        <v>45240</v>
      </c>
      <c r="H122" s="13">
        <v>9.6182909999999993</v>
      </c>
      <c r="I122" s="13">
        <v>125.966008</v>
      </c>
      <c r="J122" s="13" t="s">
        <v>1365</v>
      </c>
      <c r="K122" s="13" t="s">
        <v>1366</v>
      </c>
      <c r="L122" s="13" t="s">
        <v>22</v>
      </c>
      <c r="M122" s="13"/>
      <c r="N122" s="13" t="s">
        <v>89</v>
      </c>
      <c r="O122" s="93"/>
      <c r="P122" s="115"/>
      <c r="Q122" s="114"/>
      <c r="R122" s="114"/>
      <c r="S122" s="114"/>
      <c r="T122" s="114"/>
      <c r="U122" s="96"/>
      <c r="V122" s="96"/>
      <c r="W122" s="96"/>
      <c r="X122" s="96"/>
    </row>
    <row r="123" spans="1:24" ht="12.75">
      <c r="A123" s="6">
        <v>122</v>
      </c>
      <c r="B123" s="8" t="s">
        <v>196</v>
      </c>
      <c r="C123" s="8" t="s">
        <v>241</v>
      </c>
      <c r="D123" s="6">
        <v>1</v>
      </c>
      <c r="E123" s="11" t="s">
        <v>247</v>
      </c>
      <c r="F123" s="15" t="s">
        <v>65</v>
      </c>
      <c r="G123" s="92">
        <v>45240</v>
      </c>
      <c r="H123" s="13">
        <v>9.6168420000000001</v>
      </c>
      <c r="I123" s="13">
        <v>125.965041</v>
      </c>
      <c r="J123" s="13" t="s">
        <v>1373</v>
      </c>
      <c r="K123" s="13" t="s">
        <v>1374</v>
      </c>
      <c r="L123" s="13" t="s">
        <v>22</v>
      </c>
      <c r="M123" s="13"/>
      <c r="N123" s="13" t="s">
        <v>89</v>
      </c>
      <c r="O123" s="93"/>
      <c r="P123" s="115"/>
      <c r="Q123" s="114"/>
      <c r="R123" s="114"/>
      <c r="S123" s="119"/>
      <c r="T123" s="114"/>
      <c r="U123" s="96"/>
      <c r="V123" s="96"/>
      <c r="W123" s="96"/>
      <c r="X123" s="96"/>
    </row>
    <row r="124" spans="1:24" ht="12.75">
      <c r="A124" s="6">
        <v>123</v>
      </c>
      <c r="B124" s="8" t="s">
        <v>196</v>
      </c>
      <c r="C124" s="8" t="s">
        <v>241</v>
      </c>
      <c r="D124" s="6">
        <v>1</v>
      </c>
      <c r="E124" s="11" t="s">
        <v>249</v>
      </c>
      <c r="F124" s="15" t="s">
        <v>31</v>
      </c>
      <c r="G124" s="92">
        <v>45241</v>
      </c>
      <c r="H124" s="13">
        <v>9.6182909999999993</v>
      </c>
      <c r="I124" s="13">
        <v>125.966008</v>
      </c>
      <c r="J124" s="13" t="s">
        <v>1382</v>
      </c>
      <c r="K124" s="13" t="s">
        <v>1383</v>
      </c>
      <c r="L124" s="13" t="s">
        <v>22</v>
      </c>
      <c r="M124" s="13"/>
      <c r="N124" s="13" t="s">
        <v>89</v>
      </c>
      <c r="O124" s="93"/>
      <c r="P124" s="115"/>
      <c r="Q124" s="114"/>
      <c r="R124" s="114"/>
      <c r="S124" s="114"/>
      <c r="T124" s="114"/>
      <c r="U124" s="96"/>
      <c r="V124" s="96"/>
      <c r="W124" s="96"/>
      <c r="X124" s="96"/>
    </row>
    <row r="125" spans="1:24" ht="12.75">
      <c r="A125" s="6">
        <v>124</v>
      </c>
      <c r="B125" s="8" t="s">
        <v>196</v>
      </c>
      <c r="C125" s="8" t="s">
        <v>241</v>
      </c>
      <c r="D125" s="6">
        <v>1</v>
      </c>
      <c r="E125" s="11" t="s">
        <v>250</v>
      </c>
      <c r="F125" s="15" t="s">
        <v>65</v>
      </c>
      <c r="G125" s="92">
        <v>45240</v>
      </c>
      <c r="H125" s="13">
        <v>9.6189780000000003</v>
      </c>
      <c r="I125" s="13">
        <v>125.965622</v>
      </c>
      <c r="J125" s="13" t="s">
        <v>1390</v>
      </c>
      <c r="K125" s="13" t="s">
        <v>1391</v>
      </c>
      <c r="L125" s="13" t="s">
        <v>22</v>
      </c>
      <c r="M125" s="13"/>
      <c r="N125" s="13" t="s">
        <v>89</v>
      </c>
      <c r="O125" s="93"/>
      <c r="P125" s="115"/>
      <c r="Q125" s="114"/>
      <c r="R125" s="114"/>
      <c r="S125" s="114"/>
      <c r="T125" s="114"/>
      <c r="U125" s="96"/>
      <c r="V125" s="96"/>
      <c r="W125" s="96"/>
      <c r="X125" s="96"/>
    </row>
    <row r="126" spans="1:24" ht="12.75">
      <c r="A126" s="6">
        <v>125</v>
      </c>
      <c r="B126" s="8" t="s">
        <v>196</v>
      </c>
      <c r="C126" s="8" t="s">
        <v>241</v>
      </c>
      <c r="D126" s="6">
        <v>1</v>
      </c>
      <c r="E126" s="11" t="s">
        <v>254</v>
      </c>
      <c r="F126" s="15" t="s">
        <v>103</v>
      </c>
      <c r="G126" s="92">
        <v>45240</v>
      </c>
      <c r="H126" s="13">
        <v>9.6185960000000001</v>
      </c>
      <c r="I126" s="13">
        <v>125.96572399999999</v>
      </c>
      <c r="J126" s="13" t="s">
        <v>1397</v>
      </c>
      <c r="K126" s="13" t="s">
        <v>1399</v>
      </c>
      <c r="L126" s="13" t="s">
        <v>22</v>
      </c>
      <c r="M126" s="13"/>
      <c r="N126" s="13" t="s">
        <v>89</v>
      </c>
      <c r="O126" s="93"/>
      <c r="P126" s="115"/>
      <c r="Q126" s="114"/>
      <c r="R126" s="114"/>
      <c r="S126" s="114"/>
      <c r="T126" s="114"/>
      <c r="U126" s="96"/>
      <c r="V126" s="96"/>
      <c r="W126" s="96"/>
      <c r="X126" s="96"/>
    </row>
    <row r="127" spans="1:24" ht="12.75">
      <c r="A127" s="6">
        <v>126</v>
      </c>
      <c r="B127" s="8" t="s">
        <v>196</v>
      </c>
      <c r="C127" s="8" t="s">
        <v>241</v>
      </c>
      <c r="D127" s="6">
        <v>1</v>
      </c>
      <c r="E127" s="11" t="s">
        <v>255</v>
      </c>
      <c r="F127" s="15" t="s">
        <v>408</v>
      </c>
      <c r="G127" s="92">
        <v>45241</v>
      </c>
      <c r="H127" s="13">
        <v>9.6169349999999998</v>
      </c>
      <c r="I127" s="13">
        <v>125.966363</v>
      </c>
      <c r="J127" s="13"/>
      <c r="K127" s="13" t="s">
        <v>1406</v>
      </c>
      <c r="L127" s="13" t="s">
        <v>22</v>
      </c>
      <c r="M127" s="13"/>
      <c r="N127" s="13" t="s">
        <v>89</v>
      </c>
      <c r="O127" s="93"/>
      <c r="P127" s="115"/>
      <c r="Q127" s="114"/>
      <c r="R127" s="114"/>
      <c r="S127" s="114"/>
      <c r="T127" s="114"/>
      <c r="U127" s="96"/>
      <c r="V127" s="96"/>
      <c r="W127" s="96"/>
      <c r="X127" s="96"/>
    </row>
    <row r="128" spans="1:24" ht="12.75">
      <c r="A128" s="6">
        <v>127</v>
      </c>
      <c r="B128" s="8" t="s">
        <v>67</v>
      </c>
      <c r="C128" s="8" t="s">
        <v>258</v>
      </c>
      <c r="D128" s="6">
        <v>1</v>
      </c>
      <c r="E128" s="7" t="s">
        <v>260</v>
      </c>
      <c r="F128" s="15" t="s">
        <v>155</v>
      </c>
      <c r="G128" s="13" t="s">
        <v>1413</v>
      </c>
      <c r="H128" s="13">
        <v>9.7789249999999992</v>
      </c>
      <c r="I128" s="13">
        <v>126.010543</v>
      </c>
      <c r="J128" s="13" t="s">
        <v>1418</v>
      </c>
      <c r="K128" s="13" t="s">
        <v>1420</v>
      </c>
      <c r="L128" s="13" t="s">
        <v>261</v>
      </c>
      <c r="M128" s="13"/>
      <c r="N128" s="13" t="s">
        <v>89</v>
      </c>
      <c r="O128" s="106"/>
      <c r="P128" s="115"/>
      <c r="Q128" s="120"/>
      <c r="R128" s="121" t="s">
        <v>1428</v>
      </c>
      <c r="S128" s="122"/>
      <c r="T128" s="123" t="s">
        <v>386</v>
      </c>
      <c r="U128" s="96"/>
      <c r="V128" s="96" t="s">
        <v>1442</v>
      </c>
      <c r="W128" s="96">
        <v>9468497413</v>
      </c>
      <c r="X128" s="96" t="s">
        <v>1443</v>
      </c>
    </row>
    <row r="129" spans="1:24" ht="12.75">
      <c r="A129" s="6">
        <v>128</v>
      </c>
      <c r="B129" s="8" t="s">
        <v>67</v>
      </c>
      <c r="C129" s="8" t="s">
        <v>258</v>
      </c>
      <c r="D129" s="6">
        <v>1</v>
      </c>
      <c r="E129" s="7" t="s">
        <v>264</v>
      </c>
      <c r="F129" s="15" t="s">
        <v>374</v>
      </c>
      <c r="G129" s="13" t="s">
        <v>1413</v>
      </c>
      <c r="H129" s="13">
        <v>9.7816779999999994</v>
      </c>
      <c r="I129" s="13">
        <v>126.012574</v>
      </c>
      <c r="J129" s="13" t="s">
        <v>1445</v>
      </c>
      <c r="K129" s="13" t="s">
        <v>1446</v>
      </c>
      <c r="L129" s="13" t="s">
        <v>261</v>
      </c>
      <c r="M129" s="13"/>
      <c r="N129" s="13" t="s">
        <v>89</v>
      </c>
      <c r="O129" s="124"/>
      <c r="P129" s="115"/>
      <c r="Q129" s="120"/>
      <c r="R129" s="121" t="s">
        <v>1428</v>
      </c>
      <c r="S129" s="122"/>
      <c r="T129" s="123" t="s">
        <v>386</v>
      </c>
      <c r="U129" s="96"/>
      <c r="V129" s="96"/>
      <c r="W129" s="96"/>
      <c r="X129" s="96"/>
    </row>
    <row r="130" spans="1:24" ht="12.75">
      <c r="A130" s="6">
        <v>129</v>
      </c>
      <c r="B130" s="8" t="s">
        <v>67</v>
      </c>
      <c r="C130" s="8" t="s">
        <v>265</v>
      </c>
      <c r="D130" s="6">
        <v>1</v>
      </c>
      <c r="E130" s="54" t="s">
        <v>269</v>
      </c>
      <c r="F130" s="15" t="s">
        <v>374</v>
      </c>
      <c r="G130" s="92">
        <v>45355</v>
      </c>
      <c r="H130" s="13">
        <v>9.7644529999999996</v>
      </c>
      <c r="I130" s="13">
        <v>126.0416</v>
      </c>
      <c r="J130" s="13" t="s">
        <v>1447</v>
      </c>
      <c r="K130" s="13" t="s">
        <v>1448</v>
      </c>
      <c r="L130" s="13" t="s">
        <v>261</v>
      </c>
      <c r="M130" s="13"/>
      <c r="N130" s="13" t="s">
        <v>89</v>
      </c>
      <c r="O130" s="93"/>
      <c r="P130" s="115"/>
      <c r="Q130" s="120"/>
      <c r="R130" s="529" t="s">
        <v>1428</v>
      </c>
      <c r="S130" s="526" t="s">
        <v>386</v>
      </c>
      <c r="T130" s="526" t="s">
        <v>386</v>
      </c>
      <c r="U130" s="525"/>
      <c r="V130" s="525" t="s">
        <v>1449</v>
      </c>
      <c r="W130" s="525">
        <v>9106119488</v>
      </c>
      <c r="X130" s="525" t="s">
        <v>1450</v>
      </c>
    </row>
    <row r="131" spans="1:24" ht="12.75">
      <c r="A131" s="6">
        <v>130</v>
      </c>
      <c r="B131" s="8" t="s">
        <v>67</v>
      </c>
      <c r="C131" s="8" t="s">
        <v>265</v>
      </c>
      <c r="D131" s="6">
        <v>1</v>
      </c>
      <c r="E131" s="55" t="s">
        <v>273</v>
      </c>
      <c r="F131" s="15" t="s">
        <v>374</v>
      </c>
      <c r="G131" s="92">
        <v>45355</v>
      </c>
      <c r="H131" s="13">
        <v>9.7644529999999996</v>
      </c>
      <c r="I131" s="13">
        <v>126.0416</v>
      </c>
      <c r="J131" s="13" t="s">
        <v>1451</v>
      </c>
      <c r="K131" s="13" t="s">
        <v>1452</v>
      </c>
      <c r="L131" s="13" t="s">
        <v>261</v>
      </c>
      <c r="M131" s="13"/>
      <c r="N131" s="13" t="s">
        <v>89</v>
      </c>
      <c r="O131" s="93"/>
      <c r="P131" s="115"/>
      <c r="Q131" s="121" t="s">
        <v>652</v>
      </c>
      <c r="R131" s="512"/>
      <c r="S131" s="512"/>
      <c r="T131" s="512"/>
      <c r="U131" s="512"/>
      <c r="V131" s="512"/>
      <c r="W131" s="512"/>
      <c r="X131" s="512"/>
    </row>
    <row r="132" spans="1:24" ht="31.5" customHeight="1">
      <c r="A132" s="6">
        <v>131</v>
      </c>
      <c r="B132" s="15" t="s">
        <v>67</v>
      </c>
      <c r="C132" s="15" t="s">
        <v>275</v>
      </c>
      <c r="D132" s="6">
        <v>1</v>
      </c>
      <c r="E132" s="55" t="s">
        <v>277</v>
      </c>
      <c r="F132" s="15" t="s">
        <v>155</v>
      </c>
      <c r="G132" s="92">
        <v>45356</v>
      </c>
      <c r="H132" s="13">
        <v>9.7640999999999991</v>
      </c>
      <c r="I132" s="13">
        <v>126.042</v>
      </c>
      <c r="J132" s="97" t="s">
        <v>1453</v>
      </c>
      <c r="K132" s="97" t="s">
        <v>1454</v>
      </c>
      <c r="L132" s="13" t="s">
        <v>261</v>
      </c>
      <c r="M132" s="13"/>
      <c r="N132" s="13" t="s">
        <v>89</v>
      </c>
      <c r="O132" s="93"/>
      <c r="P132" s="115"/>
      <c r="Q132" s="120"/>
      <c r="R132" s="121" t="s">
        <v>1428</v>
      </c>
      <c r="S132" s="123" t="s">
        <v>386</v>
      </c>
      <c r="T132" s="122"/>
      <c r="U132" s="96"/>
      <c r="V132" s="96"/>
      <c r="W132" s="96"/>
      <c r="X132" s="96" t="s">
        <v>1455</v>
      </c>
    </row>
    <row r="133" spans="1:24" ht="38.25">
      <c r="A133" s="6">
        <v>132</v>
      </c>
      <c r="B133" s="8" t="s">
        <v>67</v>
      </c>
      <c r="C133" s="8" t="s">
        <v>278</v>
      </c>
      <c r="D133" s="6">
        <v>1</v>
      </c>
      <c r="E133" s="11" t="s">
        <v>281</v>
      </c>
      <c r="F133" s="15" t="s">
        <v>155</v>
      </c>
      <c r="G133" s="92">
        <v>45362</v>
      </c>
      <c r="H133" s="13">
        <v>9.7460000000000004</v>
      </c>
      <c r="I133" s="13">
        <v>126.03164599999999</v>
      </c>
      <c r="J133" s="97" t="s">
        <v>1456</v>
      </c>
      <c r="K133" s="97" t="s">
        <v>1457</v>
      </c>
      <c r="L133" s="13" t="s">
        <v>261</v>
      </c>
      <c r="M133" s="13"/>
      <c r="N133" s="13" t="s">
        <v>89</v>
      </c>
      <c r="O133" s="93"/>
      <c r="P133" s="102"/>
      <c r="Q133" s="121" t="s">
        <v>1458</v>
      </c>
      <c r="R133" s="121" t="s">
        <v>1428</v>
      </c>
      <c r="S133" s="123" t="s">
        <v>386</v>
      </c>
      <c r="T133" s="123" t="s">
        <v>386</v>
      </c>
      <c r="U133" s="96"/>
      <c r="V133" s="96" t="s">
        <v>1459</v>
      </c>
      <c r="W133" s="96">
        <v>9704464382</v>
      </c>
      <c r="X133" s="96" t="s">
        <v>1461</v>
      </c>
    </row>
    <row r="134" spans="1:24" ht="12.75">
      <c r="A134" s="6">
        <v>133</v>
      </c>
      <c r="B134" s="8" t="s">
        <v>67</v>
      </c>
      <c r="C134" s="8" t="s">
        <v>278</v>
      </c>
      <c r="D134" s="6">
        <v>1</v>
      </c>
      <c r="E134" s="11" t="s">
        <v>285</v>
      </c>
      <c r="F134" s="15" t="s">
        <v>374</v>
      </c>
      <c r="G134" s="92">
        <v>45362</v>
      </c>
      <c r="H134" s="13">
        <v>9.7465609999999998</v>
      </c>
      <c r="I134" s="13">
        <v>126.032076</v>
      </c>
      <c r="J134" s="16" t="s">
        <v>1462</v>
      </c>
      <c r="K134" s="16" t="s">
        <v>1463</v>
      </c>
      <c r="L134" s="13" t="s">
        <v>261</v>
      </c>
      <c r="M134" s="13"/>
      <c r="N134" s="13" t="s">
        <v>89</v>
      </c>
      <c r="O134" s="93"/>
      <c r="P134" s="102"/>
      <c r="Q134" s="120"/>
      <c r="R134" s="121" t="s">
        <v>1428</v>
      </c>
      <c r="S134" s="123" t="s">
        <v>386</v>
      </c>
      <c r="T134" s="122"/>
      <c r="U134" s="96"/>
      <c r="V134" s="96" t="s">
        <v>1465</v>
      </c>
      <c r="W134" s="96">
        <v>9485413825</v>
      </c>
      <c r="X134" s="96"/>
    </row>
    <row r="135" spans="1:24" ht="38.25">
      <c r="A135" s="6">
        <v>134</v>
      </c>
      <c r="B135" s="8" t="s">
        <v>81</v>
      </c>
      <c r="C135" s="8" t="s">
        <v>286</v>
      </c>
      <c r="D135" s="6">
        <v>1</v>
      </c>
      <c r="E135" s="20" t="s">
        <v>289</v>
      </c>
      <c r="F135" s="15" t="s">
        <v>155</v>
      </c>
      <c r="G135" s="92">
        <v>45357</v>
      </c>
      <c r="H135" s="13">
        <v>9.8737630000000003</v>
      </c>
      <c r="I135" s="13">
        <v>126.013057</v>
      </c>
      <c r="J135" s="97" t="s">
        <v>1467</v>
      </c>
      <c r="K135" s="97" t="s">
        <v>1468</v>
      </c>
      <c r="L135" s="13" t="s">
        <v>261</v>
      </c>
      <c r="M135" s="13"/>
      <c r="N135" s="13" t="s">
        <v>89</v>
      </c>
      <c r="O135" s="93"/>
      <c r="P135" s="16"/>
      <c r="Q135" s="128" t="s">
        <v>652</v>
      </c>
      <c r="R135" s="121" t="s">
        <v>1428</v>
      </c>
      <c r="S135" s="123" t="s">
        <v>386</v>
      </c>
      <c r="T135" s="123" t="s">
        <v>386</v>
      </c>
      <c r="U135" s="96"/>
      <c r="V135" s="96" t="s">
        <v>1482</v>
      </c>
      <c r="W135" s="96">
        <v>9540947651</v>
      </c>
      <c r="X135" s="96" t="s">
        <v>1483</v>
      </c>
    </row>
    <row r="136" spans="1:24" ht="12.75">
      <c r="A136" s="6">
        <v>135</v>
      </c>
      <c r="B136" s="8" t="s">
        <v>81</v>
      </c>
      <c r="C136" s="8" t="s">
        <v>286</v>
      </c>
      <c r="D136" s="6">
        <v>1</v>
      </c>
      <c r="E136" s="20" t="s">
        <v>293</v>
      </c>
      <c r="F136" s="15" t="s">
        <v>374</v>
      </c>
      <c r="G136" s="92">
        <v>45357</v>
      </c>
      <c r="H136" s="13">
        <v>9.8732070000000007</v>
      </c>
      <c r="I136" s="13">
        <v>126.012621</v>
      </c>
      <c r="J136" s="16" t="s">
        <v>1484</v>
      </c>
      <c r="K136" s="16" t="s">
        <v>1485</v>
      </c>
      <c r="L136" s="13" t="s">
        <v>261</v>
      </c>
      <c r="M136" s="13"/>
      <c r="N136" s="13" t="s">
        <v>89</v>
      </c>
      <c r="O136" s="93"/>
      <c r="P136" s="16"/>
      <c r="Q136" s="120"/>
      <c r="R136" s="121" t="s">
        <v>1428</v>
      </c>
      <c r="S136" s="123" t="s">
        <v>386</v>
      </c>
      <c r="T136" s="122"/>
      <c r="U136" s="96"/>
      <c r="V136" s="96"/>
      <c r="W136" s="96"/>
      <c r="X136" s="96"/>
    </row>
    <row r="137" spans="1:24" ht="17.25" customHeight="1">
      <c r="A137" s="6">
        <v>136</v>
      </c>
      <c r="B137" s="8" t="s">
        <v>81</v>
      </c>
      <c r="C137" s="8" t="s">
        <v>294</v>
      </c>
      <c r="D137" s="6">
        <v>1</v>
      </c>
      <c r="E137" s="20" t="s">
        <v>297</v>
      </c>
      <c r="F137" s="15" t="s">
        <v>155</v>
      </c>
      <c r="G137" s="92">
        <v>45405</v>
      </c>
      <c r="H137" s="13">
        <v>9.8644245000000002</v>
      </c>
      <c r="I137" s="13">
        <v>126.012529</v>
      </c>
      <c r="J137" s="97" t="s">
        <v>1489</v>
      </c>
      <c r="K137" s="97" t="s">
        <v>1490</v>
      </c>
      <c r="L137" s="13" t="s">
        <v>261</v>
      </c>
      <c r="M137" s="13"/>
      <c r="N137" s="13" t="s">
        <v>199</v>
      </c>
      <c r="O137" s="93">
        <v>45714.507280092592</v>
      </c>
      <c r="P137" s="16"/>
      <c r="Q137" s="120"/>
      <c r="R137" s="121" t="s">
        <v>1428</v>
      </c>
      <c r="S137" s="123" t="s">
        <v>386</v>
      </c>
      <c r="T137" s="122"/>
      <c r="U137" s="96"/>
      <c r="V137" s="96" t="s">
        <v>1494</v>
      </c>
      <c r="W137" s="96"/>
      <c r="X137" s="96"/>
    </row>
    <row r="138" spans="1:24" ht="38.25">
      <c r="A138" s="6">
        <v>137</v>
      </c>
      <c r="B138" s="15" t="s">
        <v>140</v>
      </c>
      <c r="C138" s="15" t="s">
        <v>299</v>
      </c>
      <c r="D138" s="6">
        <v>1</v>
      </c>
      <c r="E138" s="20" t="s">
        <v>301</v>
      </c>
      <c r="F138" s="15" t="s">
        <v>155</v>
      </c>
      <c r="G138" s="92">
        <v>45358</v>
      </c>
      <c r="H138" s="13">
        <v>9.9414829999999998</v>
      </c>
      <c r="I138" s="13">
        <v>126.065558</v>
      </c>
      <c r="J138" s="97" t="s">
        <v>1495</v>
      </c>
      <c r="K138" s="97" t="s">
        <v>1496</v>
      </c>
      <c r="L138" s="13" t="s">
        <v>261</v>
      </c>
      <c r="M138" s="13"/>
      <c r="N138" s="13" t="s">
        <v>89</v>
      </c>
      <c r="O138" s="93"/>
      <c r="P138" s="133"/>
      <c r="Q138" s="121" t="s">
        <v>652</v>
      </c>
      <c r="R138" s="121" t="s">
        <v>1428</v>
      </c>
      <c r="S138" s="123" t="s">
        <v>386</v>
      </c>
      <c r="T138" s="122"/>
      <c r="U138" s="96"/>
      <c r="V138" s="96" t="s">
        <v>1503</v>
      </c>
      <c r="W138" s="96">
        <v>9450742278</v>
      </c>
      <c r="X138" s="96" t="s">
        <v>1504</v>
      </c>
    </row>
    <row r="139" spans="1:24" ht="12.75">
      <c r="A139" s="6">
        <v>138</v>
      </c>
      <c r="B139" s="8" t="s">
        <v>140</v>
      </c>
      <c r="C139" s="8" t="s">
        <v>299</v>
      </c>
      <c r="D139" s="6">
        <v>1</v>
      </c>
      <c r="E139" s="20" t="s">
        <v>304</v>
      </c>
      <c r="F139" s="15" t="s">
        <v>374</v>
      </c>
      <c r="G139" s="92">
        <v>45358</v>
      </c>
      <c r="H139" s="13">
        <v>9.9421652139999992</v>
      </c>
      <c r="I139" s="13">
        <v>126.0661104</v>
      </c>
      <c r="J139" s="16" t="s">
        <v>1505</v>
      </c>
      <c r="K139" s="16" t="s">
        <v>1506</v>
      </c>
      <c r="L139" s="13" t="s">
        <v>261</v>
      </c>
      <c r="M139" s="13"/>
      <c r="N139" s="13" t="s">
        <v>89</v>
      </c>
      <c r="O139" s="93"/>
      <c r="P139" s="133"/>
      <c r="Q139" s="120"/>
      <c r="R139" s="121" t="s">
        <v>1428</v>
      </c>
      <c r="S139" s="123" t="s">
        <v>386</v>
      </c>
      <c r="T139" s="134"/>
      <c r="U139" s="96"/>
      <c r="V139" s="96"/>
      <c r="W139" s="96"/>
      <c r="X139" s="96"/>
    </row>
    <row r="140" spans="1:24" ht="12.75">
      <c r="A140" s="6">
        <v>139</v>
      </c>
      <c r="B140" s="8" t="s">
        <v>268</v>
      </c>
      <c r="C140" s="8" t="s">
        <v>40</v>
      </c>
      <c r="D140" s="6">
        <v>2</v>
      </c>
      <c r="E140" s="20" t="s">
        <v>45</v>
      </c>
      <c r="F140" s="15" t="s">
        <v>351</v>
      </c>
      <c r="G140" s="92">
        <v>45341</v>
      </c>
      <c r="H140" s="13">
        <v>9.7852460000000008</v>
      </c>
      <c r="I140" s="13">
        <v>125.487915</v>
      </c>
      <c r="J140" s="16" t="s">
        <v>1509</v>
      </c>
      <c r="K140" s="16" t="s">
        <v>1510</v>
      </c>
      <c r="L140" s="13" t="s">
        <v>261</v>
      </c>
      <c r="M140" s="13"/>
      <c r="N140" s="13" t="s">
        <v>89</v>
      </c>
      <c r="O140" s="93"/>
      <c r="P140" s="133"/>
      <c r="Q140" s="114"/>
      <c r="R140" s="114"/>
      <c r="S140" s="114"/>
      <c r="T140" s="114"/>
      <c r="U140" s="96"/>
      <c r="V140" s="96"/>
      <c r="W140" s="96"/>
      <c r="X140" s="96"/>
    </row>
    <row r="141" spans="1:24" ht="12.75">
      <c r="A141" s="6">
        <v>140</v>
      </c>
      <c r="B141" s="8" t="s">
        <v>268</v>
      </c>
      <c r="C141" s="8" t="s">
        <v>29</v>
      </c>
      <c r="D141" s="6">
        <v>2</v>
      </c>
      <c r="E141" s="20" t="s">
        <v>30</v>
      </c>
      <c r="F141" s="15" t="s">
        <v>207</v>
      </c>
      <c r="G141" s="92">
        <v>45350</v>
      </c>
      <c r="H141" s="13">
        <v>9.7888110620000006</v>
      </c>
      <c r="I141" s="13">
        <v>125.4798043</v>
      </c>
      <c r="J141" s="16" t="s">
        <v>1513</v>
      </c>
      <c r="K141" s="16" t="s">
        <v>1514</v>
      </c>
      <c r="L141" s="13" t="s">
        <v>261</v>
      </c>
      <c r="M141" s="13"/>
      <c r="N141" s="13" t="s">
        <v>89</v>
      </c>
      <c r="O141" s="93"/>
      <c r="P141" s="136"/>
      <c r="Q141" s="137"/>
      <c r="R141" s="530" t="s">
        <v>1428</v>
      </c>
      <c r="S141" s="531" t="s">
        <v>386</v>
      </c>
      <c r="T141" s="139"/>
      <c r="U141" s="96" t="s">
        <v>1519</v>
      </c>
      <c r="V141" s="96" t="s">
        <v>1520</v>
      </c>
      <c r="W141" s="96">
        <v>9270271711</v>
      </c>
      <c r="X141" s="96"/>
    </row>
    <row r="142" spans="1:24" ht="12.75">
      <c r="A142" s="6">
        <v>141</v>
      </c>
      <c r="B142" s="8" t="s">
        <v>268</v>
      </c>
      <c r="C142" s="8" t="s">
        <v>29</v>
      </c>
      <c r="D142" s="6">
        <v>2</v>
      </c>
      <c r="E142" s="20" t="s">
        <v>32</v>
      </c>
      <c r="F142" s="15" t="s">
        <v>207</v>
      </c>
      <c r="G142" s="92">
        <v>45520</v>
      </c>
      <c r="H142" s="13">
        <v>9.7882259999999999</v>
      </c>
      <c r="I142" s="13">
        <v>125.47993099999999</v>
      </c>
      <c r="J142" s="16" t="s">
        <v>1521</v>
      </c>
      <c r="K142" s="16" t="s">
        <v>1522</v>
      </c>
      <c r="L142" s="13" t="s">
        <v>261</v>
      </c>
      <c r="M142" s="13"/>
      <c r="N142" s="13" t="s">
        <v>89</v>
      </c>
      <c r="O142" s="93"/>
      <c r="P142" s="141"/>
      <c r="Q142" s="137"/>
      <c r="R142" s="520"/>
      <c r="S142" s="520"/>
      <c r="T142" s="139"/>
      <c r="U142" s="96"/>
      <c r="V142" s="96"/>
      <c r="W142" s="96"/>
      <c r="X142" s="96"/>
    </row>
    <row r="143" spans="1:24" ht="12.75">
      <c r="A143" s="6">
        <v>142</v>
      </c>
      <c r="B143" s="8" t="s">
        <v>268</v>
      </c>
      <c r="C143" s="8" t="s">
        <v>18</v>
      </c>
      <c r="D143" s="6">
        <v>2</v>
      </c>
      <c r="E143" s="20" t="s">
        <v>444</v>
      </c>
      <c r="F143" s="15" t="s">
        <v>271</v>
      </c>
      <c r="G143" s="92">
        <v>45377</v>
      </c>
      <c r="H143" s="13" t="s">
        <v>1525</v>
      </c>
      <c r="I143" s="13" t="s">
        <v>1526</v>
      </c>
      <c r="J143" s="16" t="s">
        <v>1527</v>
      </c>
      <c r="K143" s="16" t="s">
        <v>1528</v>
      </c>
      <c r="L143" s="13" t="s">
        <v>261</v>
      </c>
      <c r="M143" s="13"/>
      <c r="N143" s="13" t="s">
        <v>89</v>
      </c>
      <c r="O143" s="93"/>
      <c r="P143" s="136"/>
      <c r="Q143" s="120"/>
      <c r="R143" s="121" t="s">
        <v>1428</v>
      </c>
      <c r="S143" s="123" t="s">
        <v>386</v>
      </c>
      <c r="T143" s="122"/>
      <c r="U143" s="96" t="s">
        <v>1519</v>
      </c>
      <c r="V143" s="96" t="s">
        <v>1532</v>
      </c>
      <c r="W143" s="96">
        <v>9939572700</v>
      </c>
      <c r="X143" s="96" t="s">
        <v>1533</v>
      </c>
    </row>
    <row r="144" spans="1:24" ht="12.75">
      <c r="A144" s="6">
        <v>143</v>
      </c>
      <c r="B144" s="8" t="s">
        <v>268</v>
      </c>
      <c r="C144" s="8" t="s">
        <v>23</v>
      </c>
      <c r="D144" s="6">
        <v>2</v>
      </c>
      <c r="E144" s="20" t="s">
        <v>447</v>
      </c>
      <c r="F144" s="15" t="s">
        <v>207</v>
      </c>
      <c r="G144" s="92">
        <v>45399</v>
      </c>
      <c r="H144" s="13">
        <v>9.7809790000000003</v>
      </c>
      <c r="I144" s="13">
        <v>125.46532999999999</v>
      </c>
      <c r="J144" s="16" t="s">
        <v>1534</v>
      </c>
      <c r="K144" s="16" t="s">
        <v>1535</v>
      </c>
      <c r="L144" s="13" t="s">
        <v>261</v>
      </c>
      <c r="M144" s="13"/>
      <c r="N144" s="13" t="s">
        <v>89</v>
      </c>
      <c r="O144" s="93"/>
      <c r="P144" s="115"/>
      <c r="Q144" s="120"/>
      <c r="R144" s="121" t="s">
        <v>1428</v>
      </c>
      <c r="S144" s="123" t="s">
        <v>386</v>
      </c>
      <c r="T144" s="122"/>
      <c r="U144" s="96" t="s">
        <v>1519</v>
      </c>
      <c r="V144" s="96" t="s">
        <v>1539</v>
      </c>
      <c r="W144" s="96">
        <v>9855806966</v>
      </c>
      <c r="X144" s="96" t="s">
        <v>1540</v>
      </c>
    </row>
    <row r="145" spans="1:24" ht="38.25">
      <c r="A145" s="6">
        <v>144</v>
      </c>
      <c r="B145" s="8" t="s">
        <v>268</v>
      </c>
      <c r="C145" s="8" t="s">
        <v>23</v>
      </c>
      <c r="D145" s="6">
        <v>2</v>
      </c>
      <c r="E145" s="20" t="s">
        <v>27</v>
      </c>
      <c r="F145" s="15" t="s">
        <v>155</v>
      </c>
      <c r="G145" s="92">
        <v>45399</v>
      </c>
      <c r="H145" s="13">
        <v>9.7801919999999996</v>
      </c>
      <c r="I145" s="13">
        <v>125.46521</v>
      </c>
      <c r="J145" s="97" t="s">
        <v>1541</v>
      </c>
      <c r="K145" s="97" t="s">
        <v>1542</v>
      </c>
      <c r="L145" s="13" t="s">
        <v>261</v>
      </c>
      <c r="M145" s="13"/>
      <c r="N145" s="13" t="s">
        <v>89</v>
      </c>
      <c r="O145" s="93"/>
      <c r="P145" s="16"/>
      <c r="Q145" s="120"/>
      <c r="R145" s="121" t="s">
        <v>1428</v>
      </c>
      <c r="S145" s="123" t="s">
        <v>386</v>
      </c>
      <c r="T145" s="122"/>
      <c r="U145" s="96"/>
      <c r="V145" s="96"/>
      <c r="W145" s="96"/>
      <c r="X145" s="96"/>
    </row>
    <row r="146" spans="1:24" ht="12.75">
      <c r="A146" s="6">
        <v>145</v>
      </c>
      <c r="B146" s="8" t="s">
        <v>268</v>
      </c>
      <c r="C146" s="8" t="s">
        <v>23</v>
      </c>
      <c r="D146" s="6">
        <v>2</v>
      </c>
      <c r="E146" s="20" t="s">
        <v>24</v>
      </c>
      <c r="F146" s="15" t="s">
        <v>374</v>
      </c>
      <c r="G146" s="92">
        <v>45415</v>
      </c>
      <c r="H146" s="13">
        <v>9.7802439999999997</v>
      </c>
      <c r="I146" s="13">
        <v>125.465183</v>
      </c>
      <c r="J146" s="16" t="s">
        <v>1549</v>
      </c>
      <c r="K146" s="16" t="s">
        <v>1550</v>
      </c>
      <c r="L146" s="13" t="s">
        <v>261</v>
      </c>
      <c r="M146" s="13"/>
      <c r="N146" s="13" t="s">
        <v>89</v>
      </c>
      <c r="O146" s="93"/>
      <c r="P146" s="16"/>
      <c r="Q146" s="120"/>
      <c r="R146" s="121" t="s">
        <v>1428</v>
      </c>
      <c r="S146" s="123" t="s">
        <v>386</v>
      </c>
      <c r="T146" s="122"/>
      <c r="U146" s="96"/>
      <c r="V146" s="96"/>
      <c r="W146" s="96"/>
      <c r="X146" s="96"/>
    </row>
    <row r="147" spans="1:24" ht="12.75">
      <c r="A147" s="6">
        <v>146</v>
      </c>
      <c r="B147" s="8" t="s">
        <v>268</v>
      </c>
      <c r="C147" s="8" t="s">
        <v>23</v>
      </c>
      <c r="D147" s="6">
        <v>2</v>
      </c>
      <c r="E147" s="20" t="s">
        <v>28</v>
      </c>
      <c r="F147" s="15" t="s">
        <v>207</v>
      </c>
      <c r="G147" s="92">
        <v>45399</v>
      </c>
      <c r="H147" s="13">
        <v>9.7812230000000007</v>
      </c>
      <c r="I147" s="13">
        <v>125.465266</v>
      </c>
      <c r="J147" s="16" t="s">
        <v>1553</v>
      </c>
      <c r="K147" s="16" t="s">
        <v>1554</v>
      </c>
      <c r="L147" s="13" t="s">
        <v>261</v>
      </c>
      <c r="M147" s="13"/>
      <c r="N147" s="13" t="s">
        <v>89</v>
      </c>
      <c r="O147" s="93"/>
      <c r="P147" s="115"/>
      <c r="Q147" s="120"/>
      <c r="R147" s="121" t="s">
        <v>1428</v>
      </c>
      <c r="S147" s="123" t="s">
        <v>386</v>
      </c>
      <c r="T147" s="122"/>
      <c r="U147" s="96"/>
      <c r="V147" s="96"/>
      <c r="W147" s="96"/>
      <c r="X147" s="96"/>
    </row>
    <row r="148" spans="1:24" ht="21" customHeight="1">
      <c r="A148" s="6">
        <v>147</v>
      </c>
      <c r="B148" s="8" t="s">
        <v>268</v>
      </c>
      <c r="C148" s="8" t="s">
        <v>40</v>
      </c>
      <c r="D148" s="6">
        <v>2</v>
      </c>
      <c r="E148" s="20" t="s">
        <v>52</v>
      </c>
      <c r="F148" s="15" t="s">
        <v>491</v>
      </c>
      <c r="G148" s="92">
        <v>45400</v>
      </c>
      <c r="H148" s="13" t="s">
        <v>1556</v>
      </c>
      <c r="I148" s="13" t="s">
        <v>1557</v>
      </c>
      <c r="J148" s="97" t="s">
        <v>1558</v>
      </c>
      <c r="K148" s="97" t="s">
        <v>1560</v>
      </c>
      <c r="L148" s="13" t="s">
        <v>261</v>
      </c>
      <c r="M148" s="13"/>
      <c r="N148" s="13" t="s">
        <v>89</v>
      </c>
      <c r="O148" s="93"/>
      <c r="P148" s="150"/>
      <c r="Q148" s="154" t="s">
        <v>652</v>
      </c>
      <c r="R148" s="530" t="s">
        <v>1428</v>
      </c>
      <c r="S148" s="531" t="s">
        <v>386</v>
      </c>
      <c r="T148" s="139"/>
      <c r="U148" s="96" t="s">
        <v>1519</v>
      </c>
      <c r="V148" s="96" t="s">
        <v>1574</v>
      </c>
      <c r="W148" s="96" t="s">
        <v>1576</v>
      </c>
      <c r="X148" s="96" t="s">
        <v>1577</v>
      </c>
    </row>
    <row r="149" spans="1:24" ht="38.25">
      <c r="A149" s="6">
        <v>148</v>
      </c>
      <c r="B149" s="8" t="s">
        <v>268</v>
      </c>
      <c r="C149" s="8" t="s">
        <v>40</v>
      </c>
      <c r="D149" s="6">
        <v>2</v>
      </c>
      <c r="E149" s="20" t="s">
        <v>54</v>
      </c>
      <c r="F149" s="15" t="s">
        <v>65</v>
      </c>
      <c r="G149" s="92">
        <v>45400</v>
      </c>
      <c r="H149" s="13">
        <v>9.791296762</v>
      </c>
      <c r="I149" s="13">
        <v>125.4933723</v>
      </c>
      <c r="J149" s="97" t="s">
        <v>1578</v>
      </c>
      <c r="K149" s="97" t="s">
        <v>1579</v>
      </c>
      <c r="L149" s="13" t="s">
        <v>261</v>
      </c>
      <c r="M149" s="13"/>
      <c r="N149" s="13" t="s">
        <v>89</v>
      </c>
      <c r="O149" s="93"/>
      <c r="P149" s="156"/>
      <c r="Q149" s="157"/>
      <c r="R149" s="519"/>
      <c r="S149" s="519"/>
      <c r="T149" s="139"/>
      <c r="U149" s="96"/>
      <c r="V149" s="96"/>
      <c r="W149" s="96"/>
      <c r="X149" s="96"/>
    </row>
    <row r="150" spans="1:24" ht="12.75">
      <c r="A150" s="6">
        <v>149</v>
      </c>
      <c r="B150" s="8" t="s">
        <v>268</v>
      </c>
      <c r="C150" s="8" t="s">
        <v>40</v>
      </c>
      <c r="D150" s="6">
        <v>2</v>
      </c>
      <c r="E150" s="20" t="s">
        <v>55</v>
      </c>
      <c r="F150" s="15" t="s">
        <v>103</v>
      </c>
      <c r="G150" s="92">
        <v>45415</v>
      </c>
      <c r="H150" s="13">
        <v>9.7905340019999993</v>
      </c>
      <c r="I150" s="13">
        <v>125.4937614</v>
      </c>
      <c r="J150" s="16" t="s">
        <v>1584</v>
      </c>
      <c r="K150" s="16" t="s">
        <v>1586</v>
      </c>
      <c r="L150" s="13" t="s">
        <v>261</v>
      </c>
      <c r="M150" s="13"/>
      <c r="N150" s="13" t="s">
        <v>89</v>
      </c>
      <c r="O150" s="93"/>
      <c r="P150" s="150"/>
      <c r="Q150" s="158"/>
      <c r="R150" s="520"/>
      <c r="S150" s="520"/>
      <c r="T150" s="139"/>
      <c r="U150" s="96"/>
      <c r="V150" s="96"/>
      <c r="W150" s="96"/>
      <c r="X150" s="96"/>
    </row>
    <row r="151" spans="1:24" ht="19.5" customHeight="1">
      <c r="A151" s="6">
        <v>150</v>
      </c>
      <c r="B151" s="8" t="s">
        <v>268</v>
      </c>
      <c r="C151" s="8" t="s">
        <v>40</v>
      </c>
      <c r="D151" s="6">
        <v>2</v>
      </c>
      <c r="E151" s="70" t="s">
        <v>46</v>
      </c>
      <c r="F151" s="15" t="s">
        <v>493</v>
      </c>
      <c r="G151" s="92">
        <v>45435</v>
      </c>
      <c r="H151" s="13">
        <v>9.7814669999999992</v>
      </c>
      <c r="I151" s="13">
        <v>125.488632</v>
      </c>
      <c r="J151" s="16" t="s">
        <v>1590</v>
      </c>
      <c r="K151" s="16" t="s">
        <v>1591</v>
      </c>
      <c r="L151" s="13" t="s">
        <v>261</v>
      </c>
      <c r="M151" s="13"/>
      <c r="N151" s="13" t="s">
        <v>89</v>
      </c>
      <c r="O151" s="93"/>
      <c r="P151" s="156"/>
      <c r="Q151" s="157"/>
      <c r="R151" s="532" t="s">
        <v>1592</v>
      </c>
      <c r="S151" s="533" t="s">
        <v>1595</v>
      </c>
      <c r="T151" s="139"/>
      <c r="U151" s="96" t="s">
        <v>1519</v>
      </c>
      <c r="V151" s="96" t="s">
        <v>1597</v>
      </c>
      <c r="W151" s="96">
        <v>9107636296</v>
      </c>
      <c r="X151" s="160" t="s">
        <v>1599</v>
      </c>
    </row>
    <row r="152" spans="1:24" ht="12.75">
      <c r="A152" s="6">
        <v>151</v>
      </c>
      <c r="B152" s="8" t="s">
        <v>268</v>
      </c>
      <c r="C152" s="8" t="s">
        <v>40</v>
      </c>
      <c r="D152" s="6">
        <v>2</v>
      </c>
      <c r="E152" s="70" t="s">
        <v>47</v>
      </c>
      <c r="F152" s="15" t="s">
        <v>493</v>
      </c>
      <c r="G152" s="92">
        <v>45440</v>
      </c>
      <c r="H152" s="13">
        <v>9.7814029999999992</v>
      </c>
      <c r="I152" s="13">
        <v>125.488497</v>
      </c>
      <c r="J152" s="16" t="s">
        <v>1602</v>
      </c>
      <c r="K152" s="16" t="s">
        <v>1603</v>
      </c>
      <c r="L152" s="13" t="s">
        <v>261</v>
      </c>
      <c r="M152" s="13"/>
      <c r="N152" s="13" t="s">
        <v>89</v>
      </c>
      <c r="O152" s="93"/>
      <c r="P152" s="150"/>
      <c r="Q152" s="158"/>
      <c r="R152" s="519"/>
      <c r="S152" s="519"/>
      <c r="T152" s="139"/>
      <c r="U152" s="96"/>
      <c r="V152" s="96"/>
      <c r="W152" s="96"/>
      <c r="X152" s="96"/>
    </row>
    <row r="153" spans="1:24" ht="12.75">
      <c r="A153" s="6">
        <v>152</v>
      </c>
      <c r="B153" s="8" t="s">
        <v>268</v>
      </c>
      <c r="C153" s="8" t="s">
        <v>40</v>
      </c>
      <c r="D153" s="6">
        <v>2</v>
      </c>
      <c r="E153" s="70" t="s">
        <v>48</v>
      </c>
      <c r="F153" s="15" t="s">
        <v>493</v>
      </c>
      <c r="G153" s="92">
        <v>45439</v>
      </c>
      <c r="H153" s="13">
        <v>9.7813870000000005</v>
      </c>
      <c r="I153" s="13">
        <v>125.48945500000001</v>
      </c>
      <c r="J153" s="16" t="s">
        <v>1605</v>
      </c>
      <c r="K153" s="16" t="s">
        <v>1606</v>
      </c>
      <c r="L153" s="13" t="s">
        <v>261</v>
      </c>
      <c r="M153" s="13"/>
      <c r="N153" s="13" t="s">
        <v>89</v>
      </c>
      <c r="O153" s="93"/>
      <c r="P153" s="156"/>
      <c r="Q153" s="157"/>
      <c r="R153" s="519"/>
      <c r="S153" s="519"/>
      <c r="T153" s="139"/>
      <c r="U153" s="96"/>
      <c r="V153" s="96"/>
      <c r="W153" s="96"/>
      <c r="X153" s="96"/>
    </row>
    <row r="154" spans="1:24" ht="38.25">
      <c r="A154" s="6">
        <v>153</v>
      </c>
      <c r="B154" s="8" t="s">
        <v>268</v>
      </c>
      <c r="C154" s="8" t="s">
        <v>40</v>
      </c>
      <c r="D154" s="6">
        <v>2</v>
      </c>
      <c r="E154" s="75" t="s">
        <v>463</v>
      </c>
      <c r="F154" s="15" t="s">
        <v>238</v>
      </c>
      <c r="G154" s="92">
        <v>45440</v>
      </c>
      <c r="H154" s="13">
        <v>9.7808799999999998</v>
      </c>
      <c r="I154" s="13">
        <v>125.489118</v>
      </c>
      <c r="J154" s="97" t="s">
        <v>1607</v>
      </c>
      <c r="K154" s="97" t="s">
        <v>1608</v>
      </c>
      <c r="L154" s="13" t="s">
        <v>261</v>
      </c>
      <c r="M154" s="13"/>
      <c r="N154" s="13" t="s">
        <v>199</v>
      </c>
      <c r="O154" s="93">
        <v>45940.404247685183</v>
      </c>
      <c r="P154" s="150"/>
      <c r="Q154" s="158"/>
      <c r="R154" s="520"/>
      <c r="S154" s="520"/>
      <c r="T154" s="139"/>
      <c r="U154" s="96"/>
      <c r="V154" s="96"/>
      <c r="W154" s="96"/>
      <c r="X154" s="96"/>
    </row>
    <row r="155" spans="1:24" ht="25.5">
      <c r="A155" s="6">
        <v>154</v>
      </c>
      <c r="B155" s="8" t="s">
        <v>268</v>
      </c>
      <c r="C155" s="8" t="s">
        <v>29</v>
      </c>
      <c r="D155" s="6">
        <v>2</v>
      </c>
      <c r="E155" s="70" t="s">
        <v>33</v>
      </c>
      <c r="F155" s="15" t="s">
        <v>155</v>
      </c>
      <c r="G155" s="92">
        <v>45484</v>
      </c>
      <c r="H155" s="13">
        <v>9.7919999999999998</v>
      </c>
      <c r="I155" s="13">
        <v>125.484514</v>
      </c>
      <c r="J155" s="97" t="s">
        <v>1609</v>
      </c>
      <c r="K155" s="97" t="s">
        <v>1610</v>
      </c>
      <c r="L155" s="13" t="s">
        <v>66</v>
      </c>
      <c r="M155" s="13"/>
      <c r="N155" s="23" t="s">
        <v>89</v>
      </c>
      <c r="O155" s="93"/>
      <c r="P155" s="115"/>
      <c r="Q155" s="120"/>
      <c r="R155" s="161" t="s">
        <v>1613</v>
      </c>
      <c r="S155" s="162" t="s">
        <v>1615</v>
      </c>
      <c r="T155" s="122"/>
      <c r="U155" s="96"/>
      <c r="V155" s="96"/>
      <c r="W155" s="96"/>
      <c r="X155" s="96"/>
    </row>
    <row r="156" spans="1:24" ht="25.5">
      <c r="A156" s="6">
        <v>155</v>
      </c>
      <c r="B156" s="8" t="s">
        <v>268</v>
      </c>
      <c r="C156" s="8" t="s">
        <v>29</v>
      </c>
      <c r="D156" s="6">
        <v>2</v>
      </c>
      <c r="E156" s="70" t="s">
        <v>429</v>
      </c>
      <c r="F156" s="15" t="s">
        <v>31</v>
      </c>
      <c r="G156" s="92">
        <v>45485</v>
      </c>
      <c r="H156" s="13">
        <v>9.7921404279999997</v>
      </c>
      <c r="I156" s="13">
        <v>125.48480139999999</v>
      </c>
      <c r="J156" s="97" t="s">
        <v>1620</v>
      </c>
      <c r="K156" s="97" t="s">
        <v>1621</v>
      </c>
      <c r="L156" s="13" t="s">
        <v>66</v>
      </c>
      <c r="M156" s="13"/>
      <c r="N156" s="23" t="s">
        <v>89</v>
      </c>
      <c r="O156" s="93"/>
      <c r="P156" s="115"/>
      <c r="Q156" s="114"/>
      <c r="R156" s="114"/>
      <c r="S156" s="162" t="s">
        <v>1622</v>
      </c>
      <c r="T156" s="122"/>
      <c r="U156" s="96"/>
      <c r="V156" s="96"/>
      <c r="W156" s="96"/>
      <c r="X156" s="96"/>
    </row>
    <row r="157" spans="1:24" ht="25.5">
      <c r="A157" s="6">
        <v>156</v>
      </c>
      <c r="B157" s="15" t="s">
        <v>176</v>
      </c>
      <c r="C157" s="15" t="s">
        <v>82</v>
      </c>
      <c r="D157" s="6">
        <v>1</v>
      </c>
      <c r="E157" s="20" t="s">
        <v>231</v>
      </c>
      <c r="F157" s="15" t="s">
        <v>155</v>
      </c>
      <c r="G157" s="92">
        <v>45405</v>
      </c>
      <c r="H157" s="13">
        <v>9.8642450000000004</v>
      </c>
      <c r="I157" s="13">
        <v>125.012529</v>
      </c>
      <c r="J157" s="97" t="s">
        <v>1623</v>
      </c>
      <c r="K157" s="97" t="s">
        <v>1624</v>
      </c>
      <c r="L157" s="13" t="s">
        <v>66</v>
      </c>
      <c r="M157" s="13"/>
      <c r="N157" s="23" t="s">
        <v>199</v>
      </c>
      <c r="O157" s="93">
        <v>45926.713356481479</v>
      </c>
      <c r="P157" s="163"/>
      <c r="Q157" s="120"/>
      <c r="R157" s="161" t="s">
        <v>1625</v>
      </c>
      <c r="S157" s="165" t="s">
        <v>1628</v>
      </c>
      <c r="T157" s="166"/>
      <c r="U157" s="96"/>
      <c r="V157" s="96"/>
      <c r="W157" s="96"/>
      <c r="X157" s="96"/>
    </row>
    <row r="158" spans="1:24" ht="38.25">
      <c r="A158" s="6">
        <v>157</v>
      </c>
      <c r="B158" s="17" t="s">
        <v>176</v>
      </c>
      <c r="C158" s="17" t="s">
        <v>210</v>
      </c>
      <c r="D158" s="48">
        <v>1</v>
      </c>
      <c r="E158" s="20" t="s">
        <v>239</v>
      </c>
      <c r="F158" s="86" t="s">
        <v>238</v>
      </c>
      <c r="G158" s="167">
        <v>45743</v>
      </c>
      <c r="H158" s="23">
        <v>10.020719700000001</v>
      </c>
      <c r="I158" s="13">
        <v>126.03591118</v>
      </c>
      <c r="J158" s="97" t="s">
        <v>1630</v>
      </c>
      <c r="K158" s="97" t="s">
        <v>1631</v>
      </c>
      <c r="L158" s="13" t="s">
        <v>66</v>
      </c>
      <c r="M158" s="13"/>
      <c r="N158" s="23" t="s">
        <v>199</v>
      </c>
      <c r="O158" s="93">
        <v>45940.437581018516</v>
      </c>
      <c r="P158" s="163"/>
      <c r="Q158" s="120"/>
      <c r="R158" s="120"/>
      <c r="S158" s="166"/>
      <c r="T158" s="166"/>
      <c r="U158" s="96"/>
      <c r="V158" s="96"/>
      <c r="W158" s="96"/>
      <c r="X158" s="96"/>
    </row>
    <row r="159" spans="1:24" ht="25.5">
      <c r="A159" s="6">
        <v>158</v>
      </c>
      <c r="B159" s="15" t="s">
        <v>165</v>
      </c>
      <c r="C159" s="15" t="s">
        <v>183</v>
      </c>
      <c r="D159" s="6">
        <v>1</v>
      </c>
      <c r="E159" s="20" t="s">
        <v>206</v>
      </c>
      <c r="F159" s="15" t="s">
        <v>155</v>
      </c>
      <c r="G159" s="92">
        <v>45478</v>
      </c>
      <c r="H159" s="13">
        <v>9.8215315309999998</v>
      </c>
      <c r="I159" s="13">
        <v>125.6140971</v>
      </c>
      <c r="J159" s="97" t="s">
        <v>1633</v>
      </c>
      <c r="K159" s="97" t="s">
        <v>1634</v>
      </c>
      <c r="L159" s="13" t="s">
        <v>66</v>
      </c>
      <c r="M159" s="13"/>
      <c r="N159" s="23" t="s">
        <v>89</v>
      </c>
      <c r="O159" s="93"/>
      <c r="P159" s="16"/>
      <c r="Q159" s="120"/>
      <c r="R159" s="161" t="s">
        <v>1635</v>
      </c>
      <c r="S159" s="162" t="s">
        <v>1636</v>
      </c>
      <c r="T159" s="122"/>
      <c r="U159" s="96"/>
      <c r="V159" s="96"/>
      <c r="W159" s="96"/>
      <c r="X159" s="96"/>
    </row>
    <row r="160" spans="1:24" ht="38.25">
      <c r="A160" s="6">
        <v>159</v>
      </c>
      <c r="B160" s="8" t="s">
        <v>198</v>
      </c>
      <c r="C160" s="8" t="s">
        <v>356</v>
      </c>
      <c r="D160" s="6">
        <v>2</v>
      </c>
      <c r="E160" s="20" t="s">
        <v>363</v>
      </c>
      <c r="F160" s="15" t="s">
        <v>155</v>
      </c>
      <c r="G160" s="92">
        <v>45562</v>
      </c>
      <c r="H160" s="13">
        <v>9.5420627800000002</v>
      </c>
      <c r="I160" s="13">
        <v>125.5224181</v>
      </c>
      <c r="J160" s="97" t="s">
        <v>1641</v>
      </c>
      <c r="K160" s="97" t="s">
        <v>1642</v>
      </c>
      <c r="L160" s="13" t="s">
        <v>66</v>
      </c>
      <c r="M160" s="13"/>
      <c r="N160" s="23" t="s">
        <v>199</v>
      </c>
      <c r="O160" s="93">
        <v>45939.666122685187</v>
      </c>
      <c r="P160" s="16"/>
      <c r="Q160" s="120"/>
      <c r="R160" s="161" t="s">
        <v>1643</v>
      </c>
      <c r="S160" s="162" t="s">
        <v>1644</v>
      </c>
      <c r="T160" s="122"/>
      <c r="U160" s="96"/>
      <c r="V160" s="96"/>
      <c r="W160" s="96"/>
      <c r="X160" s="96"/>
    </row>
    <row r="161" spans="1:26" ht="38.25">
      <c r="A161" s="6">
        <v>160</v>
      </c>
      <c r="B161" s="8" t="s">
        <v>196</v>
      </c>
      <c r="C161" s="8" t="s">
        <v>241</v>
      </c>
      <c r="D161" s="6">
        <v>1</v>
      </c>
      <c r="E161" s="20" t="s">
        <v>256</v>
      </c>
      <c r="F161" s="15" t="s">
        <v>238</v>
      </c>
      <c r="G161" s="92">
        <v>45547</v>
      </c>
      <c r="H161" s="13">
        <v>9.6176959740000001</v>
      </c>
      <c r="I161" s="13">
        <v>125.966459</v>
      </c>
      <c r="J161" s="97" t="s">
        <v>1647</v>
      </c>
      <c r="K161" s="97" t="s">
        <v>1648</v>
      </c>
      <c r="L161" s="13" t="s">
        <v>66</v>
      </c>
      <c r="M161" s="13"/>
      <c r="N161" s="23" t="s">
        <v>89</v>
      </c>
      <c r="O161" s="93"/>
      <c r="P161" s="115"/>
      <c r="Q161" s="114"/>
      <c r="R161" s="114"/>
      <c r="S161" s="162" t="s">
        <v>1649</v>
      </c>
      <c r="T161" s="122"/>
      <c r="U161" s="96"/>
      <c r="V161" s="96"/>
      <c r="W161" s="96"/>
      <c r="X161" s="96"/>
    </row>
    <row r="162" spans="1:26" ht="38.25">
      <c r="A162" s="6">
        <v>161</v>
      </c>
      <c r="B162" s="8" t="s">
        <v>13</v>
      </c>
      <c r="C162" s="8" t="s">
        <v>15</v>
      </c>
      <c r="D162" s="6">
        <v>1</v>
      </c>
      <c r="E162" s="20" t="s">
        <v>64</v>
      </c>
      <c r="F162" s="15" t="s">
        <v>155</v>
      </c>
      <c r="G162" s="92">
        <v>45567</v>
      </c>
      <c r="H162" s="13" t="s">
        <v>690</v>
      </c>
      <c r="I162" s="13" t="s">
        <v>691</v>
      </c>
      <c r="J162" s="97" t="s">
        <v>1650</v>
      </c>
      <c r="K162" s="97" t="s">
        <v>1651</v>
      </c>
      <c r="L162" s="13" t="s">
        <v>66</v>
      </c>
      <c r="M162" s="13"/>
      <c r="N162" s="23" t="s">
        <v>199</v>
      </c>
      <c r="O162" s="93">
        <v>45940.442442129628</v>
      </c>
      <c r="P162" s="115"/>
      <c r="Q162" s="119"/>
      <c r="R162" s="119"/>
      <c r="S162" s="168" t="s">
        <v>1652</v>
      </c>
      <c r="T162" s="119"/>
      <c r="U162" s="96"/>
      <c r="V162" s="96"/>
      <c r="W162" s="96"/>
      <c r="X162" s="96"/>
    </row>
    <row r="163" spans="1:26" ht="21" customHeight="1">
      <c r="A163" s="6">
        <v>162</v>
      </c>
      <c r="B163" s="8" t="s">
        <v>140</v>
      </c>
      <c r="C163" s="8" t="s">
        <v>306</v>
      </c>
      <c r="D163" s="6">
        <v>1</v>
      </c>
      <c r="E163" s="20" t="s">
        <v>307</v>
      </c>
      <c r="F163" s="15" t="s">
        <v>155</v>
      </c>
      <c r="G163" s="92">
        <v>45625</v>
      </c>
      <c r="H163" s="13">
        <v>9.9540810000000004</v>
      </c>
      <c r="I163" s="13">
        <v>126.0676</v>
      </c>
      <c r="J163" s="97" t="s">
        <v>1654</v>
      </c>
      <c r="K163" s="97" t="s">
        <v>1655</v>
      </c>
      <c r="L163" s="13" t="s">
        <v>261</v>
      </c>
      <c r="M163" s="13"/>
      <c r="N163" s="23" t="s">
        <v>199</v>
      </c>
      <c r="O163" s="93">
        <v>45929.626134259262</v>
      </c>
      <c r="P163" s="115"/>
      <c r="Q163" s="120"/>
      <c r="R163" s="161" t="s">
        <v>1656</v>
      </c>
      <c r="S163" s="162" t="s">
        <v>1657</v>
      </c>
      <c r="T163" s="122"/>
      <c r="U163" s="96"/>
      <c r="V163" s="96" t="s">
        <v>1658</v>
      </c>
      <c r="W163" s="96">
        <v>9976044204</v>
      </c>
      <c r="X163" s="96" t="s">
        <v>1659</v>
      </c>
    </row>
    <row r="164" spans="1:26" ht="16.5" customHeight="1">
      <c r="A164" s="6">
        <v>163</v>
      </c>
      <c r="B164" s="8" t="s">
        <v>140</v>
      </c>
      <c r="C164" s="8" t="s">
        <v>141</v>
      </c>
      <c r="D164" s="6">
        <v>1</v>
      </c>
      <c r="E164" s="20" t="s">
        <v>168</v>
      </c>
      <c r="F164" s="15" t="s">
        <v>491</v>
      </c>
      <c r="G164" s="92">
        <v>45670</v>
      </c>
      <c r="H164" s="13">
        <v>9.9367263399999999</v>
      </c>
      <c r="I164" s="13">
        <v>126.08706239999999</v>
      </c>
      <c r="J164" s="97" t="s">
        <v>1654</v>
      </c>
      <c r="K164" s="97" t="s">
        <v>1655</v>
      </c>
      <c r="L164" s="13" t="s">
        <v>66</v>
      </c>
      <c r="M164" s="13"/>
      <c r="N164" s="23" t="s">
        <v>89</v>
      </c>
      <c r="O164" s="93"/>
      <c r="P164" s="16"/>
      <c r="Q164" s="114"/>
      <c r="R164" s="114"/>
      <c r="S164" s="162" t="s">
        <v>1661</v>
      </c>
      <c r="T164" s="122"/>
      <c r="U164" s="96"/>
      <c r="V164" s="96"/>
      <c r="W164" s="96"/>
      <c r="X164" s="96"/>
    </row>
    <row r="165" spans="1:26" ht="25.5">
      <c r="A165" s="6">
        <v>164</v>
      </c>
      <c r="B165" s="8" t="s">
        <v>113</v>
      </c>
      <c r="C165" s="8" t="s">
        <v>114</v>
      </c>
      <c r="D165" s="6">
        <v>1</v>
      </c>
      <c r="E165" s="20" t="s">
        <v>132</v>
      </c>
      <c r="F165" s="15" t="s">
        <v>491</v>
      </c>
      <c r="G165" s="92">
        <v>45671</v>
      </c>
      <c r="H165" s="13">
        <v>9.8645649300000002</v>
      </c>
      <c r="I165" s="13">
        <v>126.1006359</v>
      </c>
      <c r="J165" s="97" t="s">
        <v>1662</v>
      </c>
      <c r="K165" s="97" t="s">
        <v>1663</v>
      </c>
      <c r="L165" s="13" t="s">
        <v>66</v>
      </c>
      <c r="M165" s="13"/>
      <c r="N165" s="23" t="s">
        <v>89</v>
      </c>
      <c r="O165" s="93"/>
      <c r="P165" s="115"/>
      <c r="Q165" s="114"/>
      <c r="R165" s="114"/>
      <c r="S165" s="162" t="s">
        <v>1664</v>
      </c>
      <c r="T165" s="122"/>
      <c r="U165" s="96"/>
      <c r="V165" s="96"/>
      <c r="W165" s="96"/>
      <c r="X165" s="96"/>
    </row>
    <row r="166" spans="1:26" ht="25.5">
      <c r="A166" s="6">
        <v>165</v>
      </c>
      <c r="B166" s="8" t="s">
        <v>79</v>
      </c>
      <c r="C166" s="8" t="s">
        <v>1665</v>
      </c>
      <c r="D166" s="6">
        <v>1</v>
      </c>
      <c r="E166" s="54" t="s">
        <v>510</v>
      </c>
      <c r="F166" s="15" t="s">
        <v>128</v>
      </c>
      <c r="G166" s="92">
        <v>45581</v>
      </c>
      <c r="H166" s="13">
        <v>9.8123750699999999</v>
      </c>
      <c r="I166" s="13">
        <v>126.1638323</v>
      </c>
      <c r="J166" s="97" t="s">
        <v>1666</v>
      </c>
      <c r="K166" s="97" t="s">
        <v>1667</v>
      </c>
      <c r="L166" s="13" t="s">
        <v>513</v>
      </c>
      <c r="M166" s="13"/>
      <c r="N166" s="13" t="s">
        <v>89</v>
      </c>
      <c r="O166" s="93"/>
      <c r="P166" s="115"/>
      <c r="Q166" s="119"/>
      <c r="R166" s="527" t="s">
        <v>1428</v>
      </c>
      <c r="S166" s="527" t="s">
        <v>386</v>
      </c>
      <c r="T166" s="527" t="s">
        <v>386</v>
      </c>
      <c r="U166" s="96"/>
      <c r="V166" s="525" t="s">
        <v>1672</v>
      </c>
      <c r="W166" s="528" t="s">
        <v>1673</v>
      </c>
      <c r="X166" s="525" t="s">
        <v>1675</v>
      </c>
      <c r="Y166" s="534" t="b">
        <v>0</v>
      </c>
      <c r="Z166" s="534" t="b">
        <v>1</v>
      </c>
    </row>
    <row r="167" spans="1:26" ht="38.25">
      <c r="A167" s="6">
        <v>166</v>
      </c>
      <c r="B167" s="8" t="s">
        <v>79</v>
      </c>
      <c r="C167" s="8" t="s">
        <v>1665</v>
      </c>
      <c r="D167" s="6">
        <v>1</v>
      </c>
      <c r="E167" s="55" t="s">
        <v>517</v>
      </c>
      <c r="F167" s="15" t="s">
        <v>128</v>
      </c>
      <c r="G167" s="92">
        <v>45581</v>
      </c>
      <c r="H167" s="13">
        <v>9.8127084199999999</v>
      </c>
      <c r="I167" s="13">
        <v>126.16365279999999</v>
      </c>
      <c r="J167" s="97" t="s">
        <v>1676</v>
      </c>
      <c r="K167" s="97" t="s">
        <v>1677</v>
      </c>
      <c r="L167" s="13" t="s">
        <v>513</v>
      </c>
      <c r="M167" s="13"/>
      <c r="N167" s="13" t="s">
        <v>89</v>
      </c>
      <c r="O167" s="93"/>
      <c r="P167" s="115"/>
      <c r="Q167" s="119"/>
      <c r="R167" s="511"/>
      <c r="S167" s="511"/>
      <c r="T167" s="511"/>
      <c r="U167" s="96"/>
      <c r="V167" s="511"/>
      <c r="W167" s="511"/>
      <c r="X167" s="511"/>
      <c r="Y167" s="517"/>
      <c r="Z167" s="517"/>
    </row>
    <row r="168" spans="1:26" ht="38.25">
      <c r="A168" s="6">
        <v>167</v>
      </c>
      <c r="B168" s="8" t="s">
        <v>79</v>
      </c>
      <c r="C168" s="8" t="s">
        <v>1665</v>
      </c>
      <c r="D168" s="6">
        <v>1</v>
      </c>
      <c r="E168" s="55" t="s">
        <v>518</v>
      </c>
      <c r="F168" s="15" t="s">
        <v>128</v>
      </c>
      <c r="G168" s="92">
        <v>45581</v>
      </c>
      <c r="H168" s="13">
        <v>9.8121245199999994</v>
      </c>
      <c r="I168" s="13">
        <v>126.16345440000001</v>
      </c>
      <c r="J168" s="97" t="s">
        <v>1678</v>
      </c>
      <c r="K168" s="97" t="s">
        <v>1679</v>
      </c>
      <c r="L168" s="13" t="s">
        <v>513</v>
      </c>
      <c r="M168" s="13"/>
      <c r="N168" s="13" t="s">
        <v>89</v>
      </c>
      <c r="O168" s="169"/>
      <c r="P168" s="115"/>
      <c r="Q168" s="119"/>
      <c r="R168" s="512"/>
      <c r="S168" s="512"/>
      <c r="T168" s="512"/>
      <c r="U168" s="96"/>
      <c r="V168" s="512"/>
      <c r="W168" s="512"/>
      <c r="X168" s="512"/>
      <c r="Y168" s="517"/>
      <c r="Z168" s="517"/>
    </row>
    <row r="169" spans="1:26" ht="12.75">
      <c r="A169" s="6">
        <v>168</v>
      </c>
      <c r="B169" s="8" t="s">
        <v>79</v>
      </c>
      <c r="C169" s="8" t="s">
        <v>15</v>
      </c>
      <c r="D169" s="6">
        <v>1</v>
      </c>
      <c r="E169" s="55" t="s">
        <v>519</v>
      </c>
      <c r="F169" s="15" t="s">
        <v>207</v>
      </c>
      <c r="G169" s="92">
        <v>45582</v>
      </c>
      <c r="H169" s="13">
        <v>9.7826132999999995</v>
      </c>
      <c r="I169" s="13">
        <v>126.15794219999999</v>
      </c>
      <c r="J169" s="23" t="s">
        <v>1683</v>
      </c>
      <c r="K169" s="23" t="s">
        <v>1684</v>
      </c>
      <c r="L169" s="13" t="s">
        <v>513</v>
      </c>
      <c r="M169" s="13"/>
      <c r="N169" s="13" t="s">
        <v>89</v>
      </c>
      <c r="O169" s="169"/>
      <c r="P169" s="115"/>
      <c r="Q169" s="119"/>
      <c r="R169" s="527" t="s">
        <v>1428</v>
      </c>
      <c r="S169" s="527" t="s">
        <v>386</v>
      </c>
      <c r="T169" s="527" t="s">
        <v>386</v>
      </c>
      <c r="U169" s="96"/>
      <c r="V169" s="525" t="s">
        <v>1687</v>
      </c>
      <c r="W169" s="528" t="s">
        <v>1688</v>
      </c>
      <c r="X169" s="525" t="s">
        <v>1689</v>
      </c>
      <c r="Y169" s="534" t="b">
        <v>0</v>
      </c>
      <c r="Z169" s="534" t="b">
        <v>1</v>
      </c>
    </row>
    <row r="170" spans="1:26" ht="12.75">
      <c r="A170" s="6">
        <v>169</v>
      </c>
      <c r="B170" s="8" t="s">
        <v>79</v>
      </c>
      <c r="C170" s="8" t="s">
        <v>15</v>
      </c>
      <c r="D170" s="6">
        <v>1</v>
      </c>
      <c r="E170" s="70" t="s">
        <v>521</v>
      </c>
      <c r="F170" s="15" t="s">
        <v>207</v>
      </c>
      <c r="G170" s="92">
        <v>45582</v>
      </c>
      <c r="H170" s="13">
        <v>9.7824388100000004</v>
      </c>
      <c r="I170" s="13">
        <v>126.1579481</v>
      </c>
      <c r="J170" s="23" t="s">
        <v>1691</v>
      </c>
      <c r="K170" s="23" t="s">
        <v>1692</v>
      </c>
      <c r="L170" s="13" t="s">
        <v>513</v>
      </c>
      <c r="M170" s="13"/>
      <c r="N170" s="13" t="s">
        <v>89</v>
      </c>
      <c r="O170" s="93"/>
      <c r="P170" s="115"/>
      <c r="Q170" s="119"/>
      <c r="R170" s="512"/>
      <c r="S170" s="512"/>
      <c r="T170" s="512"/>
      <c r="U170" s="96"/>
      <c r="V170" s="512"/>
      <c r="W170" s="512"/>
      <c r="X170" s="512"/>
      <c r="Y170" s="517"/>
      <c r="Z170" s="517"/>
    </row>
    <row r="171" spans="1:26" ht="12.75">
      <c r="A171" s="6">
        <v>170</v>
      </c>
      <c r="B171" s="8" t="s">
        <v>79</v>
      </c>
      <c r="C171" s="8" t="s">
        <v>15</v>
      </c>
      <c r="D171" s="6">
        <v>1</v>
      </c>
      <c r="E171" s="70" t="s">
        <v>522</v>
      </c>
      <c r="F171" s="15" t="s">
        <v>374</v>
      </c>
      <c r="G171" s="92">
        <v>45582</v>
      </c>
      <c r="H171" s="13">
        <v>9.7824229999999996</v>
      </c>
      <c r="I171" s="13">
        <v>126.157258</v>
      </c>
      <c r="J171" s="23" t="s">
        <v>1693</v>
      </c>
      <c r="K171" s="23" t="s">
        <v>1694</v>
      </c>
      <c r="L171" s="13" t="s">
        <v>513</v>
      </c>
      <c r="M171" s="13"/>
      <c r="N171" s="13" t="s">
        <v>89</v>
      </c>
      <c r="O171" s="93"/>
      <c r="P171" s="115"/>
      <c r="Q171" s="119"/>
      <c r="R171" s="128" t="s">
        <v>1428</v>
      </c>
      <c r="S171" s="128" t="s">
        <v>386</v>
      </c>
      <c r="T171" s="119"/>
      <c r="U171" s="96"/>
      <c r="V171" s="96" t="s">
        <v>1696</v>
      </c>
      <c r="W171" s="96">
        <v>9260027256</v>
      </c>
      <c r="X171" s="96" t="s">
        <v>1697</v>
      </c>
      <c r="Y171" s="31" t="b">
        <v>0</v>
      </c>
      <c r="Z171" s="31" t="b">
        <v>1</v>
      </c>
    </row>
    <row r="172" spans="1:26" ht="38.25">
      <c r="A172" s="6">
        <v>171</v>
      </c>
      <c r="B172" s="8" t="s">
        <v>79</v>
      </c>
      <c r="C172" s="8" t="s">
        <v>15</v>
      </c>
      <c r="D172" s="6">
        <v>1</v>
      </c>
      <c r="E172" s="70" t="s">
        <v>524</v>
      </c>
      <c r="F172" s="15" t="s">
        <v>238</v>
      </c>
      <c r="G172" s="92">
        <v>45582</v>
      </c>
      <c r="H172" s="13">
        <v>9.7824287400000003</v>
      </c>
      <c r="I172" s="13">
        <v>126.15844199999999</v>
      </c>
      <c r="J172" s="97" t="s">
        <v>1700</v>
      </c>
      <c r="K172" s="97" t="s">
        <v>1701</v>
      </c>
      <c r="L172" s="13" t="s">
        <v>513</v>
      </c>
      <c r="M172" s="13"/>
      <c r="N172" s="13" t="s">
        <v>89</v>
      </c>
      <c r="O172" s="169"/>
      <c r="P172" s="115"/>
      <c r="Q172" s="119"/>
      <c r="R172" s="128" t="s">
        <v>1428</v>
      </c>
      <c r="S172" s="128" t="s">
        <v>386</v>
      </c>
      <c r="T172" s="119"/>
      <c r="U172" s="96"/>
      <c r="V172" s="96" t="s">
        <v>1702</v>
      </c>
      <c r="W172" s="96">
        <v>9514539087</v>
      </c>
      <c r="X172" s="96" t="s">
        <v>1703</v>
      </c>
      <c r="Y172" s="31" t="b">
        <v>0</v>
      </c>
      <c r="Z172" s="31" t="b">
        <v>1</v>
      </c>
    </row>
    <row r="173" spans="1:26" ht="38.25">
      <c r="A173" s="6">
        <v>172</v>
      </c>
      <c r="B173" s="8" t="s">
        <v>79</v>
      </c>
      <c r="C173" s="8" t="s">
        <v>258</v>
      </c>
      <c r="D173" s="6">
        <v>1</v>
      </c>
      <c r="E173" s="70" t="s">
        <v>526</v>
      </c>
      <c r="F173" s="15" t="s">
        <v>238</v>
      </c>
      <c r="G173" s="92">
        <v>45580</v>
      </c>
      <c r="H173" s="13">
        <v>9.8407395300000005</v>
      </c>
      <c r="I173" s="13">
        <v>126.1400117</v>
      </c>
      <c r="J173" s="97" t="s">
        <v>1704</v>
      </c>
      <c r="K173" s="97" t="s">
        <v>1705</v>
      </c>
      <c r="L173" s="13" t="s">
        <v>513</v>
      </c>
      <c r="M173" s="13"/>
      <c r="N173" s="13" t="s">
        <v>199</v>
      </c>
      <c r="O173" s="93">
        <v>45948.745162037034</v>
      </c>
      <c r="P173" s="16"/>
      <c r="Q173" s="119"/>
      <c r="R173" s="128" t="s">
        <v>1428</v>
      </c>
      <c r="S173" s="128" t="s">
        <v>386</v>
      </c>
      <c r="T173" s="119"/>
      <c r="U173" s="96"/>
      <c r="V173" s="96" t="s">
        <v>1702</v>
      </c>
      <c r="W173" s="96">
        <v>9514539087</v>
      </c>
      <c r="X173" s="96" t="s">
        <v>1703</v>
      </c>
      <c r="Y173" s="31" t="b">
        <v>0</v>
      </c>
      <c r="Z173" s="31" t="b">
        <v>1</v>
      </c>
    </row>
    <row r="174" spans="1:26" ht="38.25">
      <c r="A174" s="6">
        <v>173</v>
      </c>
      <c r="B174" s="8" t="s">
        <v>79</v>
      </c>
      <c r="C174" s="8" t="s">
        <v>258</v>
      </c>
      <c r="D174" s="6">
        <v>1</v>
      </c>
      <c r="E174" s="70" t="s">
        <v>528</v>
      </c>
      <c r="F174" s="15" t="s">
        <v>155</v>
      </c>
      <c r="G174" s="92">
        <v>45580</v>
      </c>
      <c r="H174" s="13">
        <v>9.8409222599999993</v>
      </c>
      <c r="I174" s="13">
        <v>126.13875</v>
      </c>
      <c r="J174" s="97" t="s">
        <v>1710</v>
      </c>
      <c r="K174" s="97" t="s">
        <v>1711</v>
      </c>
      <c r="L174" s="13" t="s">
        <v>513</v>
      </c>
      <c r="M174" s="13"/>
      <c r="N174" s="13" t="s">
        <v>89</v>
      </c>
      <c r="O174" s="169"/>
      <c r="P174" s="115"/>
      <c r="Q174" s="119"/>
      <c r="R174" s="128" t="s">
        <v>1428</v>
      </c>
      <c r="S174" s="128" t="s">
        <v>386</v>
      </c>
      <c r="T174" s="128" t="s">
        <v>386</v>
      </c>
      <c r="U174" s="96"/>
      <c r="V174" s="96" t="s">
        <v>1713</v>
      </c>
      <c r="W174" s="96">
        <v>9639833464</v>
      </c>
      <c r="X174" s="96" t="s">
        <v>1714</v>
      </c>
      <c r="Y174" s="31" t="b">
        <v>0</v>
      </c>
      <c r="Z174" s="31" t="b">
        <v>1</v>
      </c>
    </row>
    <row r="175" spans="1:26" ht="12.75">
      <c r="A175" s="6">
        <v>174</v>
      </c>
      <c r="B175" s="8" t="s">
        <v>79</v>
      </c>
      <c r="C175" s="8" t="s">
        <v>258</v>
      </c>
      <c r="D175" s="6">
        <v>1</v>
      </c>
      <c r="E175" s="70" t="s">
        <v>530</v>
      </c>
      <c r="F175" s="15" t="s">
        <v>374</v>
      </c>
      <c r="G175" s="92">
        <v>45580</v>
      </c>
      <c r="H175" s="13">
        <v>9.8409222599999993</v>
      </c>
      <c r="I175" s="13">
        <v>126.13875</v>
      </c>
      <c r="J175" s="23" t="s">
        <v>1715</v>
      </c>
      <c r="K175" s="23" t="s">
        <v>1717</v>
      </c>
      <c r="L175" s="13" t="s">
        <v>513</v>
      </c>
      <c r="M175" s="13"/>
      <c r="N175" s="13" t="s">
        <v>199</v>
      </c>
      <c r="O175" s="93">
        <v>45944.335277777776</v>
      </c>
      <c r="P175" s="16"/>
      <c r="Q175" s="119"/>
      <c r="R175" s="128" t="s">
        <v>1428</v>
      </c>
      <c r="S175" s="128" t="s">
        <v>386</v>
      </c>
      <c r="T175" s="119"/>
      <c r="U175" s="96"/>
      <c r="V175" s="96" t="s">
        <v>1719</v>
      </c>
      <c r="W175" s="96">
        <v>9476349225</v>
      </c>
      <c r="X175" s="96" t="s">
        <v>1721</v>
      </c>
      <c r="Y175" s="31" t="b">
        <v>0</v>
      </c>
      <c r="Z175" s="31" t="b">
        <v>1</v>
      </c>
    </row>
    <row r="176" spans="1:26" ht="12.75">
      <c r="A176" s="6">
        <v>175</v>
      </c>
      <c r="B176" s="8" t="s">
        <v>79</v>
      </c>
      <c r="C176" s="8" t="s">
        <v>1723</v>
      </c>
      <c r="D176" s="6">
        <v>1</v>
      </c>
      <c r="E176" s="70" t="s">
        <v>531</v>
      </c>
      <c r="F176" s="15" t="s">
        <v>207</v>
      </c>
      <c r="G176" s="92">
        <v>45601</v>
      </c>
      <c r="H176" s="13" t="s">
        <v>1724</v>
      </c>
      <c r="I176" s="13" t="s">
        <v>1725</v>
      </c>
      <c r="J176" s="23" t="s">
        <v>1726</v>
      </c>
      <c r="K176" s="23" t="s">
        <v>1727</v>
      </c>
      <c r="L176" s="13" t="s">
        <v>513</v>
      </c>
      <c r="M176" s="13"/>
      <c r="N176" s="13" t="s">
        <v>89</v>
      </c>
      <c r="O176" s="169"/>
      <c r="P176" s="115"/>
      <c r="Q176" s="119"/>
      <c r="R176" s="527" t="s">
        <v>1428</v>
      </c>
      <c r="S176" s="527" t="s">
        <v>386</v>
      </c>
      <c r="T176" s="119"/>
      <c r="U176" s="96"/>
      <c r="V176" s="525" t="s">
        <v>1733</v>
      </c>
      <c r="W176" s="525" t="s">
        <v>1734</v>
      </c>
      <c r="X176" s="525" t="s">
        <v>1735</v>
      </c>
      <c r="Y176" s="534" t="b">
        <v>0</v>
      </c>
      <c r="Z176" s="534" t="b">
        <v>1</v>
      </c>
    </row>
    <row r="177" spans="1:26" ht="12.75">
      <c r="A177" s="6">
        <v>176</v>
      </c>
      <c r="B177" s="8" t="s">
        <v>79</v>
      </c>
      <c r="C177" s="8" t="s">
        <v>1723</v>
      </c>
      <c r="D177" s="6">
        <v>1</v>
      </c>
      <c r="E177" s="70" t="s">
        <v>533</v>
      </c>
      <c r="F177" s="15" t="s">
        <v>207</v>
      </c>
      <c r="G177" s="92">
        <v>45601</v>
      </c>
      <c r="H177" s="13" t="s">
        <v>1737</v>
      </c>
      <c r="I177" s="13" t="s">
        <v>1738</v>
      </c>
      <c r="J177" s="23" t="s">
        <v>1740</v>
      </c>
      <c r="K177" s="23" t="s">
        <v>1727</v>
      </c>
      <c r="L177" s="13" t="s">
        <v>513</v>
      </c>
      <c r="M177" s="13"/>
      <c r="N177" s="13" t="s">
        <v>89</v>
      </c>
      <c r="O177" s="93"/>
      <c r="P177" s="115"/>
      <c r="Q177" s="119"/>
      <c r="R177" s="512"/>
      <c r="S177" s="512"/>
      <c r="T177" s="119"/>
      <c r="U177" s="96"/>
      <c r="V177" s="512"/>
      <c r="W177" s="512"/>
      <c r="X177" s="512"/>
      <c r="Y177" s="517"/>
      <c r="Z177" s="517"/>
    </row>
    <row r="178" spans="1:26" ht="12.75">
      <c r="A178" s="6">
        <v>177</v>
      </c>
      <c r="B178" s="8" t="s">
        <v>79</v>
      </c>
      <c r="C178" s="8" t="s">
        <v>1723</v>
      </c>
      <c r="D178" s="6">
        <v>1</v>
      </c>
      <c r="E178" s="70" t="s">
        <v>534</v>
      </c>
      <c r="F178" s="15" t="s">
        <v>374</v>
      </c>
      <c r="G178" s="92">
        <v>45583</v>
      </c>
      <c r="H178" s="13">
        <v>9.7968492299999994</v>
      </c>
      <c r="I178" s="13">
        <v>126.1008222</v>
      </c>
      <c r="J178" s="23" t="s">
        <v>1742</v>
      </c>
      <c r="K178" s="23" t="s">
        <v>1743</v>
      </c>
      <c r="L178" s="13" t="s">
        <v>513</v>
      </c>
      <c r="M178" s="13"/>
      <c r="N178" s="13" t="s">
        <v>89</v>
      </c>
      <c r="O178" s="169"/>
      <c r="P178" s="115"/>
      <c r="Q178" s="119"/>
      <c r="R178" s="128" t="s">
        <v>1428</v>
      </c>
      <c r="S178" s="128" t="s">
        <v>386</v>
      </c>
      <c r="T178" s="128" t="s">
        <v>386</v>
      </c>
      <c r="U178" s="96"/>
      <c r="V178" s="96" t="s">
        <v>1753</v>
      </c>
      <c r="W178" s="96">
        <v>9171023980</v>
      </c>
      <c r="X178" s="96" t="s">
        <v>1755</v>
      </c>
      <c r="Y178" s="38" t="b">
        <v>0</v>
      </c>
      <c r="Z178" s="31" t="b">
        <v>1</v>
      </c>
    </row>
    <row r="179" spans="1:26" ht="25.5">
      <c r="A179" s="6">
        <v>178</v>
      </c>
      <c r="B179" s="8" t="s">
        <v>79</v>
      </c>
      <c r="C179" s="8" t="s">
        <v>1723</v>
      </c>
      <c r="D179" s="6">
        <v>1</v>
      </c>
      <c r="E179" s="70" t="s">
        <v>83</v>
      </c>
      <c r="F179" s="15" t="s">
        <v>155</v>
      </c>
      <c r="G179" s="92">
        <v>45583</v>
      </c>
      <c r="H179" s="13">
        <v>9.7960316699999996</v>
      </c>
      <c r="I179" s="13">
        <v>126.2087296</v>
      </c>
      <c r="J179" s="23" t="s">
        <v>1756</v>
      </c>
      <c r="K179" s="23" t="s">
        <v>1757</v>
      </c>
      <c r="L179" s="13" t="s">
        <v>513</v>
      </c>
      <c r="M179" s="13"/>
      <c r="N179" s="13" t="s">
        <v>89</v>
      </c>
      <c r="O179" s="172"/>
      <c r="P179" s="115"/>
      <c r="Q179" s="119"/>
      <c r="R179" s="128" t="s">
        <v>1428</v>
      </c>
      <c r="S179" s="128" t="s">
        <v>386</v>
      </c>
      <c r="T179" s="119"/>
      <c r="U179" s="96"/>
      <c r="V179" s="96" t="s">
        <v>93</v>
      </c>
      <c r="W179" s="96" t="s">
        <v>95</v>
      </c>
      <c r="X179" s="96"/>
      <c r="Y179" s="38" t="b">
        <v>0</v>
      </c>
      <c r="Z179" s="38" t="b">
        <v>0</v>
      </c>
    </row>
    <row r="180" spans="1:26" ht="12.75">
      <c r="A180" s="6">
        <v>179</v>
      </c>
      <c r="B180" s="8" t="s">
        <v>13</v>
      </c>
      <c r="C180" s="8" t="s">
        <v>15</v>
      </c>
      <c r="D180" s="6">
        <v>1</v>
      </c>
      <c r="E180" s="70" t="s">
        <v>537</v>
      </c>
      <c r="F180" s="15" t="s">
        <v>207</v>
      </c>
      <c r="G180" s="92">
        <v>45567</v>
      </c>
      <c r="H180" s="13">
        <v>10.01681262</v>
      </c>
      <c r="I180" s="13">
        <v>126.074563</v>
      </c>
      <c r="J180" s="23" t="s">
        <v>1764</v>
      </c>
      <c r="K180" s="23" t="s">
        <v>1765</v>
      </c>
      <c r="L180" s="13" t="s">
        <v>513</v>
      </c>
      <c r="M180" s="13"/>
      <c r="N180" s="13" t="s">
        <v>89</v>
      </c>
      <c r="O180" s="93"/>
      <c r="P180" s="102"/>
      <c r="Q180" s="119"/>
      <c r="R180" s="527" t="s">
        <v>1428</v>
      </c>
      <c r="S180" s="527" t="s">
        <v>386</v>
      </c>
      <c r="T180" s="527" t="s">
        <v>386</v>
      </c>
      <c r="U180" s="96"/>
      <c r="V180" s="525" t="s">
        <v>1772</v>
      </c>
      <c r="W180" s="525" t="s">
        <v>1773</v>
      </c>
      <c r="X180" s="525" t="s">
        <v>1774</v>
      </c>
      <c r="Y180" s="38" t="b">
        <v>0</v>
      </c>
      <c r="Z180" s="534" t="b">
        <v>1</v>
      </c>
    </row>
    <row r="181" spans="1:26" ht="12.75">
      <c r="A181" s="6">
        <v>180</v>
      </c>
      <c r="B181" s="8" t="s">
        <v>13</v>
      </c>
      <c r="C181" s="8" t="s">
        <v>15</v>
      </c>
      <c r="D181" s="6">
        <v>1</v>
      </c>
      <c r="E181" s="70" t="s">
        <v>539</v>
      </c>
      <c r="F181" s="15" t="s">
        <v>207</v>
      </c>
      <c r="G181" s="92">
        <v>45567</v>
      </c>
      <c r="H181" s="13">
        <v>10.01681262</v>
      </c>
      <c r="I181" s="13">
        <v>126.074563</v>
      </c>
      <c r="J181" s="23"/>
      <c r="K181" s="23" t="s">
        <v>1777</v>
      </c>
      <c r="L181" s="13" t="s">
        <v>513</v>
      </c>
      <c r="M181" s="13"/>
      <c r="N181" s="13" t="s">
        <v>89</v>
      </c>
      <c r="O181" s="93"/>
      <c r="P181" s="102"/>
      <c r="Q181" s="119"/>
      <c r="R181" s="512"/>
      <c r="S181" s="512"/>
      <c r="T181" s="512"/>
      <c r="U181" s="96"/>
      <c r="V181" s="512"/>
      <c r="W181" s="512"/>
      <c r="X181" s="512"/>
      <c r="Y181" s="38" t="b">
        <v>0</v>
      </c>
      <c r="Z181" s="517"/>
    </row>
    <row r="182" spans="1:26" ht="25.5">
      <c r="A182" s="6">
        <v>181</v>
      </c>
      <c r="B182" s="8" t="s">
        <v>13</v>
      </c>
      <c r="C182" s="8" t="s">
        <v>15</v>
      </c>
      <c r="D182" s="6">
        <v>1</v>
      </c>
      <c r="E182" s="70" t="s">
        <v>1778</v>
      </c>
      <c r="F182" s="15" t="s">
        <v>374</v>
      </c>
      <c r="G182" s="92">
        <v>45567</v>
      </c>
      <c r="H182" s="13">
        <v>10.016940419999999</v>
      </c>
      <c r="I182" s="13">
        <v>126.07366930000001</v>
      </c>
      <c r="J182" s="23" t="s">
        <v>1779</v>
      </c>
      <c r="K182" s="23" t="s">
        <v>1780</v>
      </c>
      <c r="L182" s="13" t="s">
        <v>513</v>
      </c>
      <c r="M182" s="13"/>
      <c r="N182" s="13" t="s">
        <v>89</v>
      </c>
      <c r="O182" s="93"/>
      <c r="P182" s="102"/>
      <c r="Q182" s="119"/>
      <c r="R182" s="128" t="s">
        <v>1428</v>
      </c>
      <c r="S182" s="128" t="s">
        <v>386</v>
      </c>
      <c r="T182" s="119"/>
      <c r="U182" s="96"/>
      <c r="V182" s="96" t="s">
        <v>1785</v>
      </c>
      <c r="W182" s="96" t="s">
        <v>1786</v>
      </c>
      <c r="X182" s="96" t="s">
        <v>1787</v>
      </c>
      <c r="Y182" s="38" t="b">
        <v>0</v>
      </c>
      <c r="Z182" s="31" t="b">
        <v>1</v>
      </c>
    </row>
    <row r="183" spans="1:26" ht="25.5">
      <c r="A183" s="6">
        <v>182</v>
      </c>
      <c r="B183" s="8" t="s">
        <v>13</v>
      </c>
      <c r="C183" s="8" t="s">
        <v>1788</v>
      </c>
      <c r="D183" s="6">
        <v>1</v>
      </c>
      <c r="E183" s="117" t="s">
        <v>1789</v>
      </c>
      <c r="F183" s="15" t="s">
        <v>155</v>
      </c>
      <c r="G183" s="92">
        <v>45566</v>
      </c>
      <c r="H183" s="13">
        <v>9.9666666999999993</v>
      </c>
      <c r="I183" s="13">
        <v>126.0738131</v>
      </c>
      <c r="J183" s="23" t="s">
        <v>1790</v>
      </c>
      <c r="K183" s="23" t="s">
        <v>1791</v>
      </c>
      <c r="L183" s="13" t="s">
        <v>513</v>
      </c>
      <c r="M183" s="13"/>
      <c r="N183" s="13" t="s">
        <v>199</v>
      </c>
      <c r="O183" s="93">
        <v>45904.440694444442</v>
      </c>
      <c r="P183" s="115"/>
      <c r="Q183" s="119"/>
      <c r="R183" s="128" t="s">
        <v>1428</v>
      </c>
      <c r="S183" s="128" t="s">
        <v>386</v>
      </c>
      <c r="T183" s="128" t="s">
        <v>386</v>
      </c>
      <c r="U183" s="96"/>
      <c r="V183" s="96" t="s">
        <v>1795</v>
      </c>
      <c r="W183" s="96" t="s">
        <v>1796</v>
      </c>
      <c r="X183" s="96" t="s">
        <v>1798</v>
      </c>
      <c r="Y183" s="31" t="b">
        <v>0</v>
      </c>
      <c r="Z183" s="31" t="b">
        <v>1</v>
      </c>
    </row>
    <row r="184" spans="1:26" ht="12.75">
      <c r="A184" s="6">
        <v>183</v>
      </c>
      <c r="B184" s="8" t="s">
        <v>13</v>
      </c>
      <c r="C184" s="8" t="s">
        <v>1788</v>
      </c>
      <c r="D184" s="6">
        <v>1</v>
      </c>
      <c r="E184" s="70" t="s">
        <v>544</v>
      </c>
      <c r="F184" s="15" t="s">
        <v>374</v>
      </c>
      <c r="G184" s="92">
        <v>45566</v>
      </c>
      <c r="H184" s="13">
        <v>9.9668931999999995</v>
      </c>
      <c r="I184" s="13">
        <v>126.0736825</v>
      </c>
      <c r="J184" s="23" t="s">
        <v>1799</v>
      </c>
      <c r="K184" s="23" t="s">
        <v>1800</v>
      </c>
      <c r="L184" s="13" t="s">
        <v>513</v>
      </c>
      <c r="M184" s="13"/>
      <c r="N184" s="13" t="s">
        <v>199</v>
      </c>
      <c r="O184" s="93">
        <v>45904.441111111111</v>
      </c>
      <c r="P184" s="115"/>
      <c r="Q184" s="119"/>
      <c r="R184" s="128" t="s">
        <v>1428</v>
      </c>
      <c r="S184" s="128" t="s">
        <v>386</v>
      </c>
      <c r="T184" s="119"/>
      <c r="U184" s="96"/>
      <c r="V184" s="96" t="s">
        <v>1802</v>
      </c>
      <c r="W184" s="96">
        <v>9056071814</v>
      </c>
      <c r="X184" s="96" t="s">
        <v>1803</v>
      </c>
      <c r="Y184" s="38" t="b">
        <v>0</v>
      </c>
      <c r="Z184" s="31" t="b">
        <v>1</v>
      </c>
    </row>
    <row r="185" spans="1:26" ht="12.75">
      <c r="A185" s="6">
        <v>184</v>
      </c>
      <c r="B185" s="8" t="s">
        <v>67</v>
      </c>
      <c r="C185" s="8" t="s">
        <v>1804</v>
      </c>
      <c r="D185" s="6">
        <v>1</v>
      </c>
      <c r="E185" s="70" t="s">
        <v>1805</v>
      </c>
      <c r="F185" s="15" t="s">
        <v>155</v>
      </c>
      <c r="G185" s="92">
        <v>45561</v>
      </c>
      <c r="H185" s="13">
        <v>9.6897739900000008</v>
      </c>
      <c r="I185" s="13">
        <v>126.00788369999999</v>
      </c>
      <c r="J185" s="23" t="s">
        <v>1806</v>
      </c>
      <c r="K185" s="23" t="s">
        <v>1807</v>
      </c>
      <c r="L185" s="13" t="s">
        <v>513</v>
      </c>
      <c r="M185" s="13"/>
      <c r="N185" s="13" t="s">
        <v>89</v>
      </c>
      <c r="O185" s="93"/>
      <c r="P185" s="115"/>
      <c r="Q185" s="119"/>
      <c r="R185" s="527" t="s">
        <v>1428</v>
      </c>
      <c r="S185" s="527" t="s">
        <v>386</v>
      </c>
      <c r="T185" s="119"/>
      <c r="U185" s="96"/>
      <c r="V185" s="525" t="s">
        <v>1818</v>
      </c>
      <c r="W185" s="525" t="s">
        <v>1819</v>
      </c>
      <c r="X185" s="525" t="s">
        <v>1820</v>
      </c>
      <c r="Y185" s="38" t="b">
        <v>0</v>
      </c>
      <c r="Z185" s="534" t="b">
        <v>1</v>
      </c>
    </row>
    <row r="186" spans="1:26" ht="12.75">
      <c r="A186" s="6">
        <v>185</v>
      </c>
      <c r="B186" s="8" t="s">
        <v>67</v>
      </c>
      <c r="C186" s="8" t="s">
        <v>1804</v>
      </c>
      <c r="D186" s="6">
        <v>1</v>
      </c>
      <c r="E186" s="70" t="s">
        <v>1822</v>
      </c>
      <c r="F186" s="15" t="s">
        <v>155</v>
      </c>
      <c r="G186" s="92">
        <v>45561</v>
      </c>
      <c r="H186" s="13">
        <v>9.6897739900000008</v>
      </c>
      <c r="I186" s="13">
        <v>126.00788369999999</v>
      </c>
      <c r="J186" s="23" t="s">
        <v>1823</v>
      </c>
      <c r="K186" s="23" t="s">
        <v>1824</v>
      </c>
      <c r="L186" s="13" t="s">
        <v>513</v>
      </c>
      <c r="M186" s="13"/>
      <c r="N186" s="13" t="s">
        <v>89</v>
      </c>
      <c r="O186" s="93"/>
      <c r="P186" s="115"/>
      <c r="Q186" s="119"/>
      <c r="R186" s="512"/>
      <c r="S186" s="512"/>
      <c r="T186" s="119"/>
      <c r="U186" s="96"/>
      <c r="V186" s="512"/>
      <c r="W186" s="512"/>
      <c r="X186" s="512"/>
      <c r="Y186" s="38" t="b">
        <v>0</v>
      </c>
      <c r="Z186" s="517"/>
    </row>
    <row r="187" spans="1:26" ht="12.75">
      <c r="A187" s="6">
        <v>186</v>
      </c>
      <c r="B187" s="8" t="s">
        <v>67</v>
      </c>
      <c r="C187" s="8" t="s">
        <v>1804</v>
      </c>
      <c r="D187" s="6">
        <v>1</v>
      </c>
      <c r="E187" s="70" t="s">
        <v>1826</v>
      </c>
      <c r="F187" s="15" t="s">
        <v>207</v>
      </c>
      <c r="G187" s="92">
        <v>45561</v>
      </c>
      <c r="H187" s="13">
        <v>9.6909738599999997</v>
      </c>
      <c r="I187" s="13">
        <v>126.00930049999999</v>
      </c>
      <c r="J187" s="23" t="s">
        <v>1827</v>
      </c>
      <c r="K187" s="23" t="s">
        <v>1828</v>
      </c>
      <c r="L187" s="13" t="s">
        <v>513</v>
      </c>
      <c r="M187" s="13"/>
      <c r="N187" s="13" t="s">
        <v>89</v>
      </c>
      <c r="O187" s="93"/>
      <c r="P187" s="115"/>
      <c r="Q187" s="119"/>
      <c r="R187" s="527" t="s">
        <v>1428</v>
      </c>
      <c r="S187" s="527" t="s">
        <v>386</v>
      </c>
      <c r="T187" s="119"/>
      <c r="U187" s="96"/>
      <c r="V187" s="525" t="s">
        <v>1832</v>
      </c>
      <c r="W187" s="525">
        <v>9482607644</v>
      </c>
      <c r="X187" s="525" t="s">
        <v>1833</v>
      </c>
      <c r="Y187" s="38" t="b">
        <v>0</v>
      </c>
      <c r="Z187" s="534" t="b">
        <v>1</v>
      </c>
    </row>
    <row r="188" spans="1:26" ht="12.75">
      <c r="A188" s="6">
        <v>187</v>
      </c>
      <c r="B188" s="8" t="s">
        <v>67</v>
      </c>
      <c r="C188" s="8" t="s">
        <v>1804</v>
      </c>
      <c r="D188" s="6">
        <v>1</v>
      </c>
      <c r="E188" s="70" t="s">
        <v>1834</v>
      </c>
      <c r="F188" s="15" t="s">
        <v>207</v>
      </c>
      <c r="G188" s="92">
        <v>45561</v>
      </c>
      <c r="H188" s="13">
        <v>9.6909738599999997</v>
      </c>
      <c r="I188" s="13">
        <v>126.00930049999999</v>
      </c>
      <c r="J188" s="23" t="s">
        <v>1827</v>
      </c>
      <c r="K188" s="23" t="s">
        <v>1828</v>
      </c>
      <c r="L188" s="13" t="s">
        <v>513</v>
      </c>
      <c r="M188" s="13"/>
      <c r="N188" s="13" t="s">
        <v>89</v>
      </c>
      <c r="O188" s="93"/>
      <c r="P188" s="115"/>
      <c r="Q188" s="119"/>
      <c r="R188" s="512"/>
      <c r="S188" s="512"/>
      <c r="T188" s="119"/>
      <c r="U188" s="96"/>
      <c r="V188" s="512"/>
      <c r="W188" s="512"/>
      <c r="X188" s="512"/>
      <c r="Y188" s="38" t="b">
        <v>0</v>
      </c>
      <c r="Z188" s="517"/>
    </row>
    <row r="189" spans="1:26" ht="12.75">
      <c r="A189" s="6">
        <v>188</v>
      </c>
      <c r="B189" s="8" t="s">
        <v>67</v>
      </c>
      <c r="C189" s="8" t="s">
        <v>1804</v>
      </c>
      <c r="D189" s="6">
        <v>1</v>
      </c>
      <c r="E189" s="70" t="s">
        <v>1835</v>
      </c>
      <c r="F189" s="15" t="s">
        <v>374</v>
      </c>
      <c r="G189" s="92">
        <v>45561</v>
      </c>
      <c r="H189" s="13">
        <v>9.6912521999999992</v>
      </c>
      <c r="I189" s="13">
        <v>126.00746599999999</v>
      </c>
      <c r="J189" s="23" t="s">
        <v>1836</v>
      </c>
      <c r="K189" s="23" t="s">
        <v>1837</v>
      </c>
      <c r="L189" s="13" t="s">
        <v>513</v>
      </c>
      <c r="M189" s="13"/>
      <c r="N189" s="13" t="s">
        <v>199</v>
      </c>
      <c r="O189" s="93">
        <v>45839.774270833332</v>
      </c>
      <c r="P189" s="16"/>
      <c r="Q189" s="119"/>
      <c r="R189" s="128" t="s">
        <v>1428</v>
      </c>
      <c r="S189" s="128" t="s">
        <v>386</v>
      </c>
      <c r="T189" s="119"/>
      <c r="U189" s="96"/>
      <c r="V189" s="96" t="s">
        <v>1845</v>
      </c>
      <c r="W189" s="96"/>
      <c r="X189" s="96" t="s">
        <v>1846</v>
      </c>
      <c r="Y189" s="31" t="b">
        <v>0</v>
      </c>
      <c r="Z189" s="31" t="b">
        <v>1</v>
      </c>
    </row>
    <row r="190" spans="1:26" ht="12.75">
      <c r="A190" s="6">
        <v>189</v>
      </c>
      <c r="B190" s="8" t="s">
        <v>67</v>
      </c>
      <c r="C190" s="8" t="s">
        <v>1848</v>
      </c>
      <c r="D190" s="6">
        <v>1</v>
      </c>
      <c r="E190" s="50" t="s">
        <v>110</v>
      </c>
      <c r="F190" s="15" t="s">
        <v>553</v>
      </c>
      <c r="G190" s="92">
        <v>45688</v>
      </c>
      <c r="H190" s="13">
        <v>9.7586759500000007</v>
      </c>
      <c r="I190" s="13">
        <v>126.0574337</v>
      </c>
      <c r="J190" s="23" t="s">
        <v>1850</v>
      </c>
      <c r="K190" s="23" t="s">
        <v>1851</v>
      </c>
      <c r="L190" s="13" t="s">
        <v>513</v>
      </c>
      <c r="M190" s="13"/>
      <c r="N190" s="13" t="s">
        <v>199</v>
      </c>
      <c r="O190" s="93">
        <v>45938.33966435185</v>
      </c>
      <c r="P190" s="115"/>
      <c r="Q190" s="119"/>
      <c r="R190" s="527" t="s">
        <v>1428</v>
      </c>
      <c r="S190" s="527" t="s">
        <v>386</v>
      </c>
      <c r="T190" s="527" t="s">
        <v>386</v>
      </c>
      <c r="U190" s="96"/>
      <c r="V190" s="525" t="s">
        <v>112</v>
      </c>
      <c r="W190" s="525">
        <v>9951552647</v>
      </c>
      <c r="X190" s="525"/>
      <c r="Y190" s="38" t="b">
        <v>0</v>
      </c>
      <c r="Z190" s="537" t="b">
        <v>0</v>
      </c>
    </row>
    <row r="191" spans="1:26" ht="12.75">
      <c r="A191" s="6">
        <v>190</v>
      </c>
      <c r="B191" s="8" t="s">
        <v>67</v>
      </c>
      <c r="C191" s="8" t="s">
        <v>1848</v>
      </c>
      <c r="D191" s="6">
        <v>1</v>
      </c>
      <c r="E191" s="50" t="s">
        <v>129</v>
      </c>
      <c r="F191" s="15" t="s">
        <v>553</v>
      </c>
      <c r="G191" s="92">
        <v>45688</v>
      </c>
      <c r="H191" s="13">
        <v>9.7586759500000007</v>
      </c>
      <c r="I191" s="13">
        <v>126.0574337</v>
      </c>
      <c r="J191" s="23" t="s">
        <v>1864</v>
      </c>
      <c r="K191" s="23" t="s">
        <v>1865</v>
      </c>
      <c r="L191" s="13" t="s">
        <v>513</v>
      </c>
      <c r="M191" s="13"/>
      <c r="N191" s="13" t="s">
        <v>199</v>
      </c>
      <c r="O191" s="93">
        <v>45916.619803240741</v>
      </c>
      <c r="P191" s="102"/>
      <c r="Q191" s="119"/>
      <c r="R191" s="511"/>
      <c r="S191" s="511"/>
      <c r="T191" s="511"/>
      <c r="U191" s="96"/>
      <c r="V191" s="511"/>
      <c r="W191" s="511"/>
      <c r="X191" s="511"/>
      <c r="Y191" s="38" t="b">
        <v>0</v>
      </c>
      <c r="Z191" s="517"/>
    </row>
    <row r="192" spans="1:26" ht="12.75">
      <c r="A192" s="6">
        <v>191</v>
      </c>
      <c r="B192" s="8" t="s">
        <v>67</v>
      </c>
      <c r="C192" s="8" t="s">
        <v>1848</v>
      </c>
      <c r="D192" s="6">
        <v>1</v>
      </c>
      <c r="E192" s="50" t="s">
        <v>135</v>
      </c>
      <c r="F192" s="15" t="s">
        <v>553</v>
      </c>
      <c r="G192" s="92">
        <v>45688</v>
      </c>
      <c r="H192" s="13">
        <v>9.7586759500000007</v>
      </c>
      <c r="I192" s="13">
        <v>126.0574337</v>
      </c>
      <c r="J192" s="23" t="s">
        <v>1866</v>
      </c>
      <c r="K192" s="23" t="s">
        <v>1868</v>
      </c>
      <c r="L192" s="13" t="s">
        <v>513</v>
      </c>
      <c r="M192" s="13"/>
      <c r="N192" s="13" t="s">
        <v>199</v>
      </c>
      <c r="O192" s="93">
        <v>45938.337488425925</v>
      </c>
      <c r="P192" s="115"/>
      <c r="Q192" s="119"/>
      <c r="R192" s="512"/>
      <c r="S192" s="512"/>
      <c r="T192" s="512"/>
      <c r="U192" s="96"/>
      <c r="V192" s="512"/>
      <c r="W192" s="512"/>
      <c r="X192" s="512"/>
      <c r="Y192" s="38" t="b">
        <v>0</v>
      </c>
      <c r="Z192" s="517"/>
    </row>
    <row r="193" spans="1:26" ht="25.5">
      <c r="A193" s="6">
        <v>192</v>
      </c>
      <c r="B193" s="8" t="s">
        <v>81</v>
      </c>
      <c r="C193" s="8" t="s">
        <v>1869</v>
      </c>
      <c r="D193" s="6">
        <v>1</v>
      </c>
      <c r="E193" s="70" t="s">
        <v>554</v>
      </c>
      <c r="F193" s="15" t="s">
        <v>155</v>
      </c>
      <c r="G193" s="92">
        <v>45575</v>
      </c>
      <c r="H193" s="13">
        <v>9.7904040800000001</v>
      </c>
      <c r="I193" s="13">
        <v>126.0110839</v>
      </c>
      <c r="J193" s="23" t="s">
        <v>1871</v>
      </c>
      <c r="K193" s="23" t="s">
        <v>1872</v>
      </c>
      <c r="L193" s="13" t="s">
        <v>513</v>
      </c>
      <c r="M193" s="13"/>
      <c r="N193" s="13" t="s">
        <v>89</v>
      </c>
      <c r="O193" s="23"/>
      <c r="P193" s="115"/>
      <c r="Q193" s="119"/>
      <c r="R193" s="128" t="s">
        <v>1428</v>
      </c>
      <c r="S193" s="128" t="s">
        <v>386</v>
      </c>
      <c r="T193" s="128" t="s">
        <v>386</v>
      </c>
      <c r="U193" s="96"/>
      <c r="V193" s="96" t="s">
        <v>1879</v>
      </c>
      <c r="W193" s="96" t="s">
        <v>1880</v>
      </c>
      <c r="X193" s="96" t="s">
        <v>1881</v>
      </c>
      <c r="Y193" s="38" t="b">
        <v>0</v>
      </c>
      <c r="Z193" s="31" t="b">
        <v>1</v>
      </c>
    </row>
    <row r="194" spans="1:26" ht="12.75">
      <c r="A194" s="6">
        <v>193</v>
      </c>
      <c r="B194" s="8" t="s">
        <v>81</v>
      </c>
      <c r="C194" s="8" t="s">
        <v>1869</v>
      </c>
      <c r="D194" s="6">
        <v>1</v>
      </c>
      <c r="E194" s="70" t="s">
        <v>556</v>
      </c>
      <c r="F194" s="15" t="s">
        <v>374</v>
      </c>
      <c r="G194" s="92">
        <v>45575</v>
      </c>
      <c r="H194" s="13">
        <v>9.7909622699999996</v>
      </c>
      <c r="I194" s="13">
        <v>126.01117379999999</v>
      </c>
      <c r="J194" s="23" t="s">
        <v>1883</v>
      </c>
      <c r="K194" s="23" t="s">
        <v>1884</v>
      </c>
      <c r="L194" s="13" t="s">
        <v>513</v>
      </c>
      <c r="M194" s="13"/>
      <c r="N194" s="13" t="s">
        <v>89</v>
      </c>
      <c r="O194" s="93"/>
      <c r="P194" s="115"/>
      <c r="Q194" s="119"/>
      <c r="R194" s="128" t="s">
        <v>1428</v>
      </c>
      <c r="S194" s="128" t="s">
        <v>386</v>
      </c>
      <c r="T194" s="119"/>
      <c r="U194" s="96"/>
      <c r="V194" s="96" t="s">
        <v>1887</v>
      </c>
      <c r="W194" s="96">
        <v>9197550530</v>
      </c>
      <c r="X194" s="96" t="s">
        <v>1888</v>
      </c>
      <c r="Y194" s="38" t="b">
        <v>0</v>
      </c>
      <c r="Z194" s="31" t="b">
        <v>1</v>
      </c>
    </row>
    <row r="195" spans="1:26" ht="25.5">
      <c r="A195" s="6">
        <v>194</v>
      </c>
      <c r="B195" s="8" t="s">
        <v>81</v>
      </c>
      <c r="C195" s="8" t="s">
        <v>1889</v>
      </c>
      <c r="D195" s="6">
        <v>1</v>
      </c>
      <c r="E195" s="70" t="s">
        <v>1890</v>
      </c>
      <c r="F195" s="15" t="s">
        <v>155</v>
      </c>
      <c r="G195" s="92">
        <v>45570</v>
      </c>
      <c r="H195" s="13">
        <v>9.5824010000000008</v>
      </c>
      <c r="I195" s="13">
        <v>126.0099115</v>
      </c>
      <c r="J195" s="23" t="s">
        <v>1891</v>
      </c>
      <c r="K195" s="23" t="s">
        <v>1892</v>
      </c>
      <c r="L195" s="13" t="s">
        <v>513</v>
      </c>
      <c r="M195" s="13"/>
      <c r="N195" s="13" t="s">
        <v>89</v>
      </c>
      <c r="O195" s="93"/>
      <c r="P195" s="102"/>
      <c r="Q195" s="119"/>
      <c r="R195" s="128" t="s">
        <v>1428</v>
      </c>
      <c r="S195" s="128" t="s">
        <v>386</v>
      </c>
      <c r="T195" s="128" t="s">
        <v>386</v>
      </c>
      <c r="U195" s="96"/>
      <c r="V195" s="96" t="s">
        <v>1895</v>
      </c>
      <c r="W195" s="96" t="s">
        <v>1896</v>
      </c>
      <c r="X195" s="96" t="s">
        <v>1897</v>
      </c>
      <c r="Y195" s="38" t="b">
        <v>0</v>
      </c>
      <c r="Z195" s="31" t="b">
        <v>1</v>
      </c>
    </row>
    <row r="196" spans="1:26" ht="25.5">
      <c r="A196" s="6">
        <v>195</v>
      </c>
      <c r="B196" s="8" t="s">
        <v>81</v>
      </c>
      <c r="C196" s="8" t="s">
        <v>1889</v>
      </c>
      <c r="D196" s="6">
        <v>1</v>
      </c>
      <c r="E196" s="70" t="s">
        <v>1900</v>
      </c>
      <c r="F196" s="15" t="s">
        <v>374</v>
      </c>
      <c r="G196" s="92">
        <v>45570</v>
      </c>
      <c r="H196" s="13">
        <v>9.8019778899999999</v>
      </c>
      <c r="I196" s="13">
        <v>126.0095889</v>
      </c>
      <c r="J196" s="23" t="s">
        <v>1901</v>
      </c>
      <c r="K196" s="23" t="s">
        <v>1902</v>
      </c>
      <c r="L196" s="13" t="s">
        <v>513</v>
      </c>
      <c r="M196" s="13"/>
      <c r="N196" s="13" t="s">
        <v>199</v>
      </c>
      <c r="O196" s="93">
        <v>45946.669502314813</v>
      </c>
      <c r="P196" s="16"/>
      <c r="Q196" s="119"/>
      <c r="R196" s="128" t="s">
        <v>1428</v>
      </c>
      <c r="S196" s="128" t="s">
        <v>386</v>
      </c>
      <c r="T196" s="119"/>
      <c r="U196" s="96"/>
      <c r="V196" s="96" t="s">
        <v>1910</v>
      </c>
      <c r="W196" s="96">
        <v>9308060015</v>
      </c>
      <c r="X196" s="96" t="s">
        <v>1911</v>
      </c>
      <c r="Y196" s="38" t="b">
        <v>0</v>
      </c>
      <c r="Z196" s="31" t="b">
        <v>1</v>
      </c>
    </row>
    <row r="197" spans="1:26" ht="25.5">
      <c r="A197" s="6">
        <v>196</v>
      </c>
      <c r="B197" s="8" t="s">
        <v>81</v>
      </c>
      <c r="C197" s="8" t="s">
        <v>283</v>
      </c>
      <c r="D197" s="6">
        <v>1</v>
      </c>
      <c r="E197" s="70" t="s">
        <v>137</v>
      </c>
      <c r="F197" s="15" t="s">
        <v>155</v>
      </c>
      <c r="G197" s="92">
        <v>45576</v>
      </c>
      <c r="H197" s="13">
        <v>9.8955821999999998</v>
      </c>
      <c r="I197" s="13">
        <v>126.0275461</v>
      </c>
      <c r="J197" s="23" t="s">
        <v>1913</v>
      </c>
      <c r="K197" s="23" t="s">
        <v>1914</v>
      </c>
      <c r="L197" s="13" t="s">
        <v>513</v>
      </c>
      <c r="M197" s="13"/>
      <c r="N197" s="13" t="s">
        <v>89</v>
      </c>
      <c r="O197" s="93"/>
      <c r="P197" s="115"/>
      <c r="Q197" s="119"/>
      <c r="R197" s="128" t="s">
        <v>1428</v>
      </c>
      <c r="S197" s="128" t="s">
        <v>386</v>
      </c>
      <c r="T197" s="123" t="s">
        <v>386</v>
      </c>
      <c r="U197" s="96"/>
      <c r="V197" s="96" t="s">
        <v>139</v>
      </c>
      <c r="W197" s="96" t="s">
        <v>142</v>
      </c>
      <c r="X197" s="96"/>
      <c r="Y197" s="38" t="b">
        <v>0</v>
      </c>
      <c r="Z197" s="38" t="b">
        <v>0</v>
      </c>
    </row>
    <row r="198" spans="1:26" ht="12.75">
      <c r="A198" s="6">
        <v>197</v>
      </c>
      <c r="B198" s="8" t="s">
        <v>81</v>
      </c>
      <c r="C198" s="8" t="s">
        <v>283</v>
      </c>
      <c r="D198" s="6">
        <v>1</v>
      </c>
      <c r="E198" s="70" t="s">
        <v>1925</v>
      </c>
      <c r="F198" s="15" t="s">
        <v>374</v>
      </c>
      <c r="G198" s="92">
        <v>45576</v>
      </c>
      <c r="H198" s="13">
        <v>9.8957569400000001</v>
      </c>
      <c r="I198" s="13">
        <v>126.026736</v>
      </c>
      <c r="J198" s="23" t="s">
        <v>1926</v>
      </c>
      <c r="K198" s="23" t="s">
        <v>1927</v>
      </c>
      <c r="L198" s="13" t="s">
        <v>513</v>
      </c>
      <c r="M198" s="13"/>
      <c r="N198" s="13" t="s">
        <v>89</v>
      </c>
      <c r="O198" s="93"/>
      <c r="P198" s="115"/>
      <c r="Q198" s="119"/>
      <c r="R198" s="128" t="s">
        <v>1428</v>
      </c>
      <c r="S198" s="128" t="s">
        <v>386</v>
      </c>
      <c r="T198" s="119"/>
      <c r="U198" s="96"/>
      <c r="V198" s="96" t="s">
        <v>1932</v>
      </c>
      <c r="W198" s="96">
        <v>9480388234</v>
      </c>
      <c r="X198" s="96" t="s">
        <v>1933</v>
      </c>
      <c r="Y198" s="38" t="b">
        <v>0</v>
      </c>
      <c r="Z198" s="31" t="b">
        <v>1</v>
      </c>
    </row>
    <row r="199" spans="1:26" ht="12.75">
      <c r="A199" s="6">
        <v>198</v>
      </c>
      <c r="B199" s="8" t="s">
        <v>81</v>
      </c>
      <c r="C199" s="8" t="s">
        <v>1934</v>
      </c>
      <c r="D199" s="6">
        <v>1</v>
      </c>
      <c r="E199" s="70" t="s">
        <v>562</v>
      </c>
      <c r="F199" s="15" t="s">
        <v>207</v>
      </c>
      <c r="G199" s="92">
        <v>45595</v>
      </c>
      <c r="H199" s="13" t="s">
        <v>1936</v>
      </c>
      <c r="I199" s="13" t="s">
        <v>1937</v>
      </c>
      <c r="J199" s="23" t="s">
        <v>1938</v>
      </c>
      <c r="K199" s="23" t="s">
        <v>1939</v>
      </c>
      <c r="L199" s="13" t="s">
        <v>513</v>
      </c>
      <c r="M199" s="13"/>
      <c r="N199" s="13" t="s">
        <v>89</v>
      </c>
      <c r="O199" s="93"/>
      <c r="P199" s="538"/>
      <c r="Q199" s="114"/>
      <c r="R199" s="527" t="s">
        <v>1941</v>
      </c>
      <c r="S199" s="527" t="s">
        <v>386</v>
      </c>
      <c r="T199" s="527" t="s">
        <v>386</v>
      </c>
      <c r="U199" s="96"/>
      <c r="V199" s="525" t="s">
        <v>1945</v>
      </c>
      <c r="W199" s="525">
        <v>9069712599</v>
      </c>
      <c r="X199" s="525" t="s">
        <v>1948</v>
      </c>
      <c r="Y199" s="38" t="b">
        <v>0</v>
      </c>
      <c r="Z199" s="534" t="b">
        <v>1</v>
      </c>
    </row>
    <row r="200" spans="1:26" ht="12.75">
      <c r="A200" s="6">
        <v>199</v>
      </c>
      <c r="B200" s="8" t="s">
        <v>81</v>
      </c>
      <c r="C200" s="8" t="s">
        <v>1934</v>
      </c>
      <c r="D200" s="6">
        <v>1</v>
      </c>
      <c r="E200" s="70" t="s">
        <v>149</v>
      </c>
      <c r="F200" s="15" t="s">
        <v>207</v>
      </c>
      <c r="G200" s="92">
        <v>45595</v>
      </c>
      <c r="H200" s="13" t="s">
        <v>1936</v>
      </c>
      <c r="I200" s="13" t="s">
        <v>1937</v>
      </c>
      <c r="J200" s="23" t="s">
        <v>1949</v>
      </c>
      <c r="K200" s="23" t="s">
        <v>1950</v>
      </c>
      <c r="L200" s="13" t="s">
        <v>513</v>
      </c>
      <c r="M200" s="13"/>
      <c r="N200" s="13" t="s">
        <v>89</v>
      </c>
      <c r="O200" s="93"/>
      <c r="P200" s="511"/>
      <c r="Q200" s="114"/>
      <c r="R200" s="512"/>
      <c r="S200" s="512"/>
      <c r="T200" s="512"/>
      <c r="U200" s="96"/>
      <c r="V200" s="512"/>
      <c r="W200" s="512"/>
      <c r="X200" s="512"/>
      <c r="Y200" s="38" t="b">
        <v>0</v>
      </c>
      <c r="Z200" s="517"/>
    </row>
    <row r="201" spans="1:26" ht="12.75">
      <c r="A201" s="6">
        <v>200</v>
      </c>
      <c r="B201" s="8" t="s">
        <v>81</v>
      </c>
      <c r="C201" s="8" t="s">
        <v>1934</v>
      </c>
      <c r="D201" s="6">
        <v>1</v>
      </c>
      <c r="E201" s="70" t="s">
        <v>564</v>
      </c>
      <c r="F201" s="15" t="s">
        <v>374</v>
      </c>
      <c r="G201" s="92">
        <v>45596</v>
      </c>
      <c r="H201" s="13" t="s">
        <v>1952</v>
      </c>
      <c r="I201" s="13" t="s">
        <v>1953</v>
      </c>
      <c r="J201" s="23" t="s">
        <v>1954</v>
      </c>
      <c r="K201" s="23" t="s">
        <v>1955</v>
      </c>
      <c r="L201" s="13" t="s">
        <v>513</v>
      </c>
      <c r="M201" s="13"/>
      <c r="N201" s="13" t="s">
        <v>199</v>
      </c>
      <c r="O201" s="93">
        <v>45877.631932870368</v>
      </c>
      <c r="P201" s="512"/>
      <c r="Q201" s="114"/>
      <c r="R201" s="128" t="s">
        <v>1428</v>
      </c>
      <c r="S201" s="128" t="s">
        <v>386</v>
      </c>
      <c r="T201" s="119"/>
      <c r="U201" s="96"/>
      <c r="V201" s="96" t="s">
        <v>152</v>
      </c>
      <c r="W201" s="96">
        <v>9465892518</v>
      </c>
      <c r="X201" s="96"/>
      <c r="Y201" s="38" t="b">
        <v>0</v>
      </c>
      <c r="Z201" s="38" t="b">
        <v>0</v>
      </c>
    </row>
    <row r="202" spans="1:26" ht="38.25">
      <c r="A202" s="6">
        <v>201</v>
      </c>
      <c r="B202" s="8" t="s">
        <v>113</v>
      </c>
      <c r="C202" s="8" t="s">
        <v>1959</v>
      </c>
      <c r="D202" s="6">
        <v>1</v>
      </c>
      <c r="E202" s="70" t="s">
        <v>565</v>
      </c>
      <c r="F202" s="15" t="s">
        <v>155</v>
      </c>
      <c r="G202" s="92">
        <v>45573</v>
      </c>
      <c r="H202" s="13">
        <v>9.8951607199999998</v>
      </c>
      <c r="I202" s="13">
        <v>126.1093609</v>
      </c>
      <c r="J202" s="23" t="s">
        <v>1960</v>
      </c>
      <c r="K202" s="23" t="s">
        <v>1961</v>
      </c>
      <c r="L202" s="13" t="s">
        <v>513</v>
      </c>
      <c r="M202" s="13"/>
      <c r="N202" s="13" t="s">
        <v>89</v>
      </c>
      <c r="O202" s="93"/>
      <c r="P202" s="204"/>
      <c r="Q202" s="119"/>
      <c r="R202" s="128" t="s">
        <v>1428</v>
      </c>
      <c r="S202" s="128" t="s">
        <v>386</v>
      </c>
      <c r="T202" s="119"/>
      <c r="U202" s="96"/>
      <c r="V202" s="96" t="s">
        <v>1971</v>
      </c>
      <c r="W202" s="96">
        <v>9656782791</v>
      </c>
      <c r="X202" s="96" t="s">
        <v>1972</v>
      </c>
      <c r="Y202" s="38" t="b">
        <v>0</v>
      </c>
      <c r="Z202" s="31" t="b">
        <v>1</v>
      </c>
    </row>
    <row r="203" spans="1:26" ht="12.75">
      <c r="A203" s="6">
        <v>202</v>
      </c>
      <c r="B203" s="8" t="s">
        <v>113</v>
      </c>
      <c r="C203" s="8" t="s">
        <v>1959</v>
      </c>
      <c r="D203" s="6">
        <v>1</v>
      </c>
      <c r="E203" s="70" t="s">
        <v>568</v>
      </c>
      <c r="F203" s="15" t="s">
        <v>207</v>
      </c>
      <c r="G203" s="92">
        <v>45573</v>
      </c>
      <c r="H203" s="13">
        <v>9.8951834499999993</v>
      </c>
      <c r="I203" s="13">
        <v>126.1096766</v>
      </c>
      <c r="J203" s="23" t="s">
        <v>1974</v>
      </c>
      <c r="K203" s="23" t="s">
        <v>1975</v>
      </c>
      <c r="L203" s="13" t="s">
        <v>513</v>
      </c>
      <c r="M203" s="13"/>
      <c r="N203" s="13" t="s">
        <v>199</v>
      </c>
      <c r="O203" s="93">
        <v>45868.367268518516</v>
      </c>
      <c r="P203" s="207"/>
      <c r="Q203" s="119"/>
      <c r="R203" s="128" t="s">
        <v>1428</v>
      </c>
      <c r="S203" s="128" t="s">
        <v>386</v>
      </c>
      <c r="T203" s="128" t="s">
        <v>386</v>
      </c>
      <c r="U203" s="96"/>
      <c r="V203" s="96" t="s">
        <v>1986</v>
      </c>
      <c r="W203" s="96">
        <v>9668660949</v>
      </c>
      <c r="X203" s="96" t="s">
        <v>1987</v>
      </c>
      <c r="Y203" s="38" t="b">
        <v>0</v>
      </c>
      <c r="Z203" s="31" t="b">
        <v>1</v>
      </c>
    </row>
    <row r="204" spans="1:26" ht="12.75">
      <c r="A204" s="6">
        <v>203</v>
      </c>
      <c r="B204" s="8" t="s">
        <v>113</v>
      </c>
      <c r="C204" s="8" t="s">
        <v>1959</v>
      </c>
      <c r="D204" s="6">
        <v>1</v>
      </c>
      <c r="E204" s="70" t="s">
        <v>156</v>
      </c>
      <c r="F204" s="15" t="s">
        <v>374</v>
      </c>
      <c r="G204" s="92">
        <v>45573</v>
      </c>
      <c r="H204" s="13">
        <v>9.8958943099999992</v>
      </c>
      <c r="I204" s="13">
        <v>126.11028159999999</v>
      </c>
      <c r="J204" s="23" t="s">
        <v>1989</v>
      </c>
      <c r="K204" s="23" t="s">
        <v>1990</v>
      </c>
      <c r="L204" s="13" t="s">
        <v>513</v>
      </c>
      <c r="M204" s="13"/>
      <c r="N204" s="13" t="s">
        <v>89</v>
      </c>
      <c r="O204" s="23"/>
      <c r="P204" s="212"/>
      <c r="Q204" s="119"/>
      <c r="R204" s="128" t="s">
        <v>1428</v>
      </c>
      <c r="S204" s="128" t="s">
        <v>386</v>
      </c>
      <c r="T204" s="119"/>
      <c r="U204" s="96"/>
      <c r="V204" s="96"/>
      <c r="W204" s="96"/>
      <c r="X204" s="96"/>
      <c r="Y204" s="38" t="b">
        <v>0</v>
      </c>
      <c r="Z204" s="38" t="b">
        <v>0</v>
      </c>
    </row>
    <row r="205" spans="1:26" ht="25.5">
      <c r="A205" s="6">
        <v>204</v>
      </c>
      <c r="B205" s="8" t="s">
        <v>113</v>
      </c>
      <c r="C205" s="8" t="s">
        <v>2000</v>
      </c>
      <c r="D205" s="6">
        <v>1</v>
      </c>
      <c r="E205" s="70" t="s">
        <v>2001</v>
      </c>
      <c r="F205" s="15" t="s">
        <v>553</v>
      </c>
      <c r="G205" s="92">
        <v>45574</v>
      </c>
      <c r="H205" s="13">
        <v>9.8649566899999996</v>
      </c>
      <c r="I205" s="13">
        <v>126.10087179999999</v>
      </c>
      <c r="J205" s="23" t="s">
        <v>2003</v>
      </c>
      <c r="K205" s="23" t="s">
        <v>2004</v>
      </c>
      <c r="L205" s="13" t="s">
        <v>513</v>
      </c>
      <c r="M205" s="13"/>
      <c r="N205" s="13" t="s">
        <v>89</v>
      </c>
      <c r="O205" s="23"/>
      <c r="P205" s="115"/>
      <c r="Q205" s="119"/>
      <c r="R205" s="128" t="s">
        <v>1428</v>
      </c>
      <c r="S205" s="128" t="s">
        <v>386</v>
      </c>
      <c r="T205" s="119"/>
      <c r="U205" s="96"/>
      <c r="V205" s="96" t="s">
        <v>162</v>
      </c>
      <c r="W205" s="96" t="s">
        <v>163</v>
      </c>
      <c r="X205" s="96"/>
      <c r="Y205" s="38" t="b">
        <v>0</v>
      </c>
      <c r="Z205" s="38" t="b">
        <v>0</v>
      </c>
    </row>
    <row r="206" spans="1:26" ht="25.5">
      <c r="A206" s="6">
        <v>205</v>
      </c>
      <c r="B206" s="8" t="s">
        <v>113</v>
      </c>
      <c r="C206" s="8" t="s">
        <v>2000</v>
      </c>
      <c r="D206" s="6">
        <v>1</v>
      </c>
      <c r="E206" s="70" t="s">
        <v>572</v>
      </c>
      <c r="F206" s="15" t="s">
        <v>207</v>
      </c>
      <c r="G206" s="92">
        <v>45574</v>
      </c>
      <c r="H206" s="13">
        <v>9.8653713700000001</v>
      </c>
      <c r="I206" s="13">
        <v>126.09960239999999</v>
      </c>
      <c r="J206" s="23" t="s">
        <v>2007</v>
      </c>
      <c r="K206" s="23" t="s">
        <v>2008</v>
      </c>
      <c r="L206" s="13" t="s">
        <v>513</v>
      </c>
      <c r="M206" s="13"/>
      <c r="N206" s="13" t="s">
        <v>89</v>
      </c>
      <c r="O206" s="23"/>
      <c r="P206" s="115"/>
      <c r="Q206" s="119"/>
      <c r="R206" s="128" t="s">
        <v>1428</v>
      </c>
      <c r="S206" s="128" t="s">
        <v>386</v>
      </c>
      <c r="T206" s="119"/>
      <c r="U206" s="96"/>
      <c r="V206" s="96" t="s">
        <v>2013</v>
      </c>
      <c r="W206" s="96" t="s">
        <v>2014</v>
      </c>
      <c r="X206" s="96" t="s">
        <v>2015</v>
      </c>
      <c r="Y206" s="38" t="b">
        <v>0</v>
      </c>
      <c r="Z206" s="31" t="b">
        <v>1</v>
      </c>
    </row>
    <row r="207" spans="1:26" ht="12.75">
      <c r="A207" s="6">
        <v>206</v>
      </c>
      <c r="B207" s="8" t="s">
        <v>113</v>
      </c>
      <c r="C207" s="8" t="s">
        <v>2000</v>
      </c>
      <c r="D207" s="6">
        <v>1</v>
      </c>
      <c r="E207" s="70" t="s">
        <v>574</v>
      </c>
      <c r="F207" s="15" t="s">
        <v>374</v>
      </c>
      <c r="G207" s="92">
        <v>45574</v>
      </c>
      <c r="H207" s="13">
        <v>9.8652061999999994</v>
      </c>
      <c r="I207" s="13">
        <v>126.1000537</v>
      </c>
      <c r="J207" s="23" t="s">
        <v>2016</v>
      </c>
      <c r="K207" s="23" t="s">
        <v>2017</v>
      </c>
      <c r="L207" s="13" t="s">
        <v>513</v>
      </c>
      <c r="M207" s="13"/>
      <c r="N207" s="13" t="s">
        <v>89</v>
      </c>
      <c r="O207" s="23"/>
      <c r="P207" s="115"/>
      <c r="Q207" s="119"/>
      <c r="R207" s="128" t="s">
        <v>1428</v>
      </c>
      <c r="S207" s="128" t="s">
        <v>386</v>
      </c>
      <c r="T207" s="119"/>
      <c r="U207" s="96"/>
      <c r="V207" s="96" t="s">
        <v>2022</v>
      </c>
      <c r="W207" s="96">
        <v>9560134785</v>
      </c>
      <c r="X207" s="96" t="s">
        <v>2023</v>
      </c>
      <c r="Y207" s="38" t="b">
        <v>0</v>
      </c>
      <c r="Z207" s="31" t="b">
        <v>1</v>
      </c>
    </row>
    <row r="208" spans="1:26" ht="25.5">
      <c r="A208" s="6">
        <v>207</v>
      </c>
      <c r="B208" s="8" t="s">
        <v>165</v>
      </c>
      <c r="C208" s="8" t="s">
        <v>1981</v>
      </c>
      <c r="D208" s="6">
        <v>1</v>
      </c>
      <c r="E208" s="70" t="s">
        <v>166</v>
      </c>
      <c r="F208" s="15" t="s">
        <v>155</v>
      </c>
      <c r="G208" s="92">
        <v>45578</v>
      </c>
      <c r="H208" s="13">
        <v>9.9603052900000009</v>
      </c>
      <c r="I208" s="13">
        <v>126.0075779</v>
      </c>
      <c r="J208" s="23" t="s">
        <v>2024</v>
      </c>
      <c r="K208" s="23" t="s">
        <v>2025</v>
      </c>
      <c r="L208" s="13" t="s">
        <v>513</v>
      </c>
      <c r="M208" s="13"/>
      <c r="N208" s="13" t="s">
        <v>89</v>
      </c>
      <c r="O208" s="93"/>
      <c r="P208" s="16"/>
      <c r="Q208" s="119"/>
      <c r="R208" s="128" t="s">
        <v>1428</v>
      </c>
      <c r="S208" s="128" t="s">
        <v>386</v>
      </c>
      <c r="T208" s="119"/>
      <c r="U208" s="96"/>
      <c r="V208" s="96"/>
      <c r="W208" s="96"/>
      <c r="X208" s="96" t="s">
        <v>2032</v>
      </c>
      <c r="Y208" s="38" t="b">
        <v>0</v>
      </c>
      <c r="Z208" s="38" t="b">
        <v>0</v>
      </c>
    </row>
    <row r="209" spans="1:26" ht="25.5">
      <c r="A209" s="6">
        <v>208</v>
      </c>
      <c r="B209" s="8" t="s">
        <v>165</v>
      </c>
      <c r="C209" s="8" t="s">
        <v>1981</v>
      </c>
      <c r="D209" s="6">
        <v>1</v>
      </c>
      <c r="E209" s="70" t="s">
        <v>577</v>
      </c>
      <c r="F209" s="15" t="s">
        <v>374</v>
      </c>
      <c r="G209" s="92">
        <v>45578</v>
      </c>
      <c r="H209" s="13">
        <v>9.9581590999999996</v>
      </c>
      <c r="I209" s="13">
        <v>126.00709000000001</v>
      </c>
      <c r="J209" s="23" t="s">
        <v>2033</v>
      </c>
      <c r="K209" s="23" t="s">
        <v>2034</v>
      </c>
      <c r="L209" s="13" t="s">
        <v>513</v>
      </c>
      <c r="M209" s="13"/>
      <c r="N209" s="13" t="s">
        <v>89</v>
      </c>
      <c r="O209" s="23"/>
      <c r="P209" s="115"/>
      <c r="Q209" s="119"/>
      <c r="R209" s="128" t="s">
        <v>1428</v>
      </c>
      <c r="S209" s="128" t="s">
        <v>386</v>
      </c>
      <c r="T209" s="128" t="s">
        <v>386</v>
      </c>
      <c r="U209" s="96"/>
      <c r="V209" s="96" t="s">
        <v>2040</v>
      </c>
      <c r="W209" s="96" t="s">
        <v>2041</v>
      </c>
      <c r="X209" s="96" t="s">
        <v>2042</v>
      </c>
      <c r="Y209" s="38" t="b">
        <v>0</v>
      </c>
      <c r="Z209" s="31" t="b">
        <v>1</v>
      </c>
    </row>
    <row r="210" spans="1:26" ht="25.5">
      <c r="A210" s="6">
        <v>209</v>
      </c>
      <c r="B210" s="8" t="s">
        <v>165</v>
      </c>
      <c r="C210" s="8" t="s">
        <v>1981</v>
      </c>
      <c r="D210" s="6">
        <v>1</v>
      </c>
      <c r="E210" s="70" t="s">
        <v>170</v>
      </c>
      <c r="F210" s="15" t="s">
        <v>491</v>
      </c>
      <c r="G210" s="92">
        <v>45579</v>
      </c>
      <c r="H210" s="13">
        <v>9.9573648499999994</v>
      </c>
      <c r="I210" s="13">
        <v>126.0073194</v>
      </c>
      <c r="J210" s="23" t="s">
        <v>2045</v>
      </c>
      <c r="K210" s="23" t="s">
        <v>2046</v>
      </c>
      <c r="L210" s="13" t="s">
        <v>513</v>
      </c>
      <c r="M210" s="13"/>
      <c r="N210" s="13" t="s">
        <v>89</v>
      </c>
      <c r="O210" s="93"/>
      <c r="P210" s="102"/>
      <c r="Q210" s="119"/>
      <c r="R210" s="128" t="s">
        <v>1428</v>
      </c>
      <c r="S210" s="128" t="s">
        <v>386</v>
      </c>
      <c r="T210" s="119"/>
      <c r="U210" s="96"/>
      <c r="V210" s="96" t="s">
        <v>171</v>
      </c>
      <c r="W210" s="96">
        <v>9704543112</v>
      </c>
      <c r="X210" s="96" t="s">
        <v>2032</v>
      </c>
      <c r="Y210" s="38" t="b">
        <v>0</v>
      </c>
      <c r="Z210" s="38" t="b">
        <v>0</v>
      </c>
    </row>
    <row r="211" spans="1:26" ht="12.75">
      <c r="A211" s="6">
        <v>210</v>
      </c>
      <c r="B211" s="8" t="s">
        <v>165</v>
      </c>
      <c r="C211" s="8" t="s">
        <v>183</v>
      </c>
      <c r="D211" s="6">
        <v>1</v>
      </c>
      <c r="E211" s="70" t="s">
        <v>580</v>
      </c>
      <c r="F211" s="15" t="s">
        <v>207</v>
      </c>
      <c r="G211" s="92">
        <v>45577</v>
      </c>
      <c r="H211" s="13">
        <v>9.9476759599999998</v>
      </c>
      <c r="I211" s="13">
        <v>126.0015066</v>
      </c>
      <c r="J211" s="23" t="s">
        <v>2057</v>
      </c>
      <c r="K211" s="23" t="s">
        <v>2058</v>
      </c>
      <c r="L211" s="13" t="s">
        <v>513</v>
      </c>
      <c r="M211" s="13"/>
      <c r="N211" s="13" t="s">
        <v>89</v>
      </c>
      <c r="O211" s="93"/>
      <c r="P211" s="115"/>
      <c r="Q211" s="119"/>
      <c r="R211" s="527" t="s">
        <v>1428</v>
      </c>
      <c r="S211" s="527" t="s">
        <v>386</v>
      </c>
      <c r="T211" s="527" t="s">
        <v>386</v>
      </c>
      <c r="U211" s="96"/>
      <c r="V211" s="525" t="s">
        <v>2065</v>
      </c>
      <c r="W211" s="525" t="s">
        <v>2066</v>
      </c>
      <c r="X211" s="525" t="s">
        <v>2067</v>
      </c>
      <c r="Y211" s="38" t="b">
        <v>0</v>
      </c>
      <c r="Z211" s="534" t="b">
        <v>1</v>
      </c>
    </row>
    <row r="212" spans="1:26" ht="12.75">
      <c r="A212" s="6">
        <v>211</v>
      </c>
      <c r="B212" s="8" t="s">
        <v>165</v>
      </c>
      <c r="C212" s="8" t="s">
        <v>183</v>
      </c>
      <c r="D212" s="6">
        <v>1</v>
      </c>
      <c r="E212" s="70" t="s">
        <v>582</v>
      </c>
      <c r="F212" s="15" t="s">
        <v>207</v>
      </c>
      <c r="G212" s="92">
        <v>45577</v>
      </c>
      <c r="H212" s="13">
        <v>9.9476759599999998</v>
      </c>
      <c r="I212" s="13">
        <v>126.0015066</v>
      </c>
      <c r="J212" s="23" t="s">
        <v>2069</v>
      </c>
      <c r="K212" s="23" t="s">
        <v>2070</v>
      </c>
      <c r="L212" s="13" t="s">
        <v>513</v>
      </c>
      <c r="M212" s="13"/>
      <c r="N212" s="13" t="s">
        <v>89</v>
      </c>
      <c r="O212" s="93"/>
      <c r="P212" s="115"/>
      <c r="Q212" s="119"/>
      <c r="R212" s="511"/>
      <c r="S212" s="511"/>
      <c r="T212" s="511"/>
      <c r="U212" s="96"/>
      <c r="V212" s="511"/>
      <c r="W212" s="511"/>
      <c r="X212" s="511"/>
      <c r="Y212" s="38" t="b">
        <v>0</v>
      </c>
      <c r="Z212" s="517"/>
    </row>
    <row r="213" spans="1:26" ht="12.75">
      <c r="A213" s="6">
        <v>212</v>
      </c>
      <c r="B213" s="8" t="s">
        <v>165</v>
      </c>
      <c r="C213" s="8" t="s">
        <v>183</v>
      </c>
      <c r="D213" s="6">
        <v>1</v>
      </c>
      <c r="E213" s="70" t="s">
        <v>2071</v>
      </c>
      <c r="F213" s="15" t="s">
        <v>207</v>
      </c>
      <c r="G213" s="92">
        <v>45577</v>
      </c>
      <c r="H213" s="13">
        <v>9.9476759599999998</v>
      </c>
      <c r="I213" s="13">
        <v>126.0015066</v>
      </c>
      <c r="J213" s="23" t="s">
        <v>2072</v>
      </c>
      <c r="K213" s="23" t="s">
        <v>2073</v>
      </c>
      <c r="L213" s="13" t="s">
        <v>513</v>
      </c>
      <c r="M213" s="13"/>
      <c r="N213" s="13" t="s">
        <v>89</v>
      </c>
      <c r="O213" s="93"/>
      <c r="P213" s="115"/>
      <c r="Q213" s="119"/>
      <c r="R213" s="512"/>
      <c r="S213" s="512"/>
      <c r="T213" s="512"/>
      <c r="U213" s="96"/>
      <c r="V213" s="512"/>
      <c r="W213" s="512"/>
      <c r="X213" s="512"/>
      <c r="Y213" s="38" t="b">
        <v>0</v>
      </c>
      <c r="Z213" s="517"/>
    </row>
    <row r="214" spans="1:26" ht="12.75">
      <c r="A214" s="6">
        <v>213</v>
      </c>
      <c r="B214" s="8" t="s">
        <v>140</v>
      </c>
      <c r="C214" s="8" t="s">
        <v>2049</v>
      </c>
      <c r="D214" s="6">
        <v>1</v>
      </c>
      <c r="E214" s="70" t="s">
        <v>585</v>
      </c>
      <c r="F214" s="15" t="s">
        <v>207</v>
      </c>
      <c r="G214" s="92">
        <v>45568</v>
      </c>
      <c r="H214" s="13">
        <v>9.9355012299999999</v>
      </c>
      <c r="I214" s="13">
        <v>126.0889493</v>
      </c>
      <c r="J214" s="23" t="s">
        <v>2077</v>
      </c>
      <c r="K214" s="23" t="s">
        <v>2078</v>
      </c>
      <c r="L214" s="13" t="s">
        <v>513</v>
      </c>
      <c r="M214" s="13"/>
      <c r="N214" s="13" t="s">
        <v>199</v>
      </c>
      <c r="O214" s="93">
        <v>45908.414456018516</v>
      </c>
      <c r="P214" s="204"/>
      <c r="Q214" s="535" t="s">
        <v>652</v>
      </c>
      <c r="R214" s="527" t="s">
        <v>1428</v>
      </c>
      <c r="S214" s="527" t="s">
        <v>386</v>
      </c>
      <c r="T214" s="527" t="s">
        <v>386</v>
      </c>
      <c r="U214" s="96"/>
      <c r="V214" s="525" t="s">
        <v>2084</v>
      </c>
      <c r="W214" s="525">
        <v>9352281628</v>
      </c>
      <c r="X214" s="525" t="s">
        <v>2085</v>
      </c>
      <c r="Y214" s="38" t="b">
        <v>0</v>
      </c>
      <c r="Z214" s="534" t="b">
        <v>1</v>
      </c>
    </row>
    <row r="215" spans="1:26" ht="12.75">
      <c r="A215" s="6">
        <v>214</v>
      </c>
      <c r="B215" s="8" t="s">
        <v>140</v>
      </c>
      <c r="C215" s="8" t="s">
        <v>2049</v>
      </c>
      <c r="D215" s="6">
        <v>1</v>
      </c>
      <c r="E215" s="70" t="s">
        <v>587</v>
      </c>
      <c r="F215" s="15" t="s">
        <v>207</v>
      </c>
      <c r="G215" s="92">
        <v>45568</v>
      </c>
      <c r="H215" s="13">
        <v>9.9355012299999999</v>
      </c>
      <c r="I215" s="13">
        <v>126.0889493</v>
      </c>
      <c r="J215" s="23" t="s">
        <v>2086</v>
      </c>
      <c r="K215" s="23" t="s">
        <v>2087</v>
      </c>
      <c r="L215" s="13" t="s">
        <v>513</v>
      </c>
      <c r="M215" s="13"/>
      <c r="N215" s="13" t="s">
        <v>199</v>
      </c>
      <c r="O215" s="93">
        <v>45908.414282407408</v>
      </c>
      <c r="P215" s="204"/>
      <c r="Q215" s="512"/>
      <c r="R215" s="512"/>
      <c r="S215" s="512"/>
      <c r="T215" s="511"/>
      <c r="U215" s="96"/>
      <c r="V215" s="512"/>
      <c r="W215" s="512"/>
      <c r="X215" s="512"/>
      <c r="Y215" s="38" t="b">
        <v>0</v>
      </c>
      <c r="Z215" s="517"/>
    </row>
    <row r="216" spans="1:26" ht="12.75">
      <c r="A216" s="6">
        <v>215</v>
      </c>
      <c r="B216" s="8" t="s">
        <v>140</v>
      </c>
      <c r="C216" s="8" t="s">
        <v>2049</v>
      </c>
      <c r="D216" s="6">
        <v>1</v>
      </c>
      <c r="E216" s="70" t="s">
        <v>588</v>
      </c>
      <c r="F216" s="15" t="s">
        <v>155</v>
      </c>
      <c r="G216" s="92">
        <v>45568</v>
      </c>
      <c r="H216" s="13">
        <v>9.9362349000000005</v>
      </c>
      <c r="I216" s="13">
        <v>126.089263</v>
      </c>
      <c r="J216" s="23" t="s">
        <v>2088</v>
      </c>
      <c r="K216" s="23" t="s">
        <v>2089</v>
      </c>
      <c r="L216" s="13" t="s">
        <v>513</v>
      </c>
      <c r="M216" s="13"/>
      <c r="N216" s="13" t="s">
        <v>199</v>
      </c>
      <c r="O216" s="93">
        <v>45908.414282407408</v>
      </c>
      <c r="P216" s="204"/>
      <c r="Q216" s="225"/>
      <c r="R216" s="128" t="s">
        <v>1428</v>
      </c>
      <c r="S216" s="128" t="s">
        <v>386</v>
      </c>
      <c r="T216" s="119"/>
      <c r="U216" s="96"/>
      <c r="V216" s="96" t="s">
        <v>2092</v>
      </c>
      <c r="W216" s="96">
        <v>9151322078</v>
      </c>
      <c r="X216" s="96"/>
      <c r="Y216" s="38" t="b">
        <v>0</v>
      </c>
      <c r="Z216" s="38" t="b">
        <v>0</v>
      </c>
    </row>
    <row r="217" spans="1:26" ht="12.75">
      <c r="A217" s="6">
        <v>216</v>
      </c>
      <c r="B217" s="8" t="s">
        <v>140</v>
      </c>
      <c r="C217" s="8" t="s">
        <v>2051</v>
      </c>
      <c r="D217" s="6">
        <v>1</v>
      </c>
      <c r="E217" s="70" t="s">
        <v>590</v>
      </c>
      <c r="F217" s="15" t="s">
        <v>207</v>
      </c>
      <c r="G217" s="92">
        <v>45565</v>
      </c>
      <c r="H217" s="13">
        <v>9.9291041</v>
      </c>
      <c r="I217" s="13">
        <v>126.0568121</v>
      </c>
      <c r="J217" s="23" t="s">
        <v>2093</v>
      </c>
      <c r="K217" s="23" t="s">
        <v>2094</v>
      </c>
      <c r="L217" s="13" t="s">
        <v>513</v>
      </c>
      <c r="M217" s="13"/>
      <c r="N217" s="13" t="s">
        <v>89</v>
      </c>
      <c r="O217" s="93"/>
      <c r="P217" s="115"/>
      <c r="Q217" s="119"/>
      <c r="R217" s="128" t="s">
        <v>1428</v>
      </c>
      <c r="S217" s="128" t="s">
        <v>386</v>
      </c>
      <c r="T217" s="527" t="s">
        <v>386</v>
      </c>
      <c r="U217" s="96"/>
      <c r="V217" s="96" t="s">
        <v>2103</v>
      </c>
      <c r="W217" s="96">
        <v>9951505813</v>
      </c>
      <c r="X217" s="96" t="s">
        <v>2104</v>
      </c>
      <c r="Y217" s="38" t="b">
        <v>0</v>
      </c>
      <c r="Z217" s="31" t="b">
        <v>1</v>
      </c>
    </row>
    <row r="218" spans="1:26" ht="12.75">
      <c r="A218" s="6">
        <v>217</v>
      </c>
      <c r="B218" s="8" t="s">
        <v>140</v>
      </c>
      <c r="C218" s="8" t="s">
        <v>2051</v>
      </c>
      <c r="D218" s="6">
        <v>1</v>
      </c>
      <c r="E218" s="70" t="s">
        <v>592</v>
      </c>
      <c r="F218" s="15" t="s">
        <v>374</v>
      </c>
      <c r="G218" s="92">
        <v>45565</v>
      </c>
      <c r="H218" s="13">
        <v>9.9292522600000002</v>
      </c>
      <c r="I218" s="13">
        <v>126.0565847</v>
      </c>
      <c r="J218" s="23" t="s">
        <v>2108</v>
      </c>
      <c r="K218" s="23" t="s">
        <v>2109</v>
      </c>
      <c r="L218" s="13" t="s">
        <v>513</v>
      </c>
      <c r="M218" s="13"/>
      <c r="N218" s="13" t="s">
        <v>89</v>
      </c>
      <c r="O218" s="93"/>
      <c r="P218" s="115"/>
      <c r="Q218" s="119"/>
      <c r="R218" s="128" t="s">
        <v>1428</v>
      </c>
      <c r="S218" s="128" t="s">
        <v>386</v>
      </c>
      <c r="T218" s="512"/>
      <c r="U218" s="96"/>
      <c r="V218" s="96" t="s">
        <v>2114</v>
      </c>
      <c r="W218" s="226" t="s">
        <v>2115</v>
      </c>
      <c r="X218" s="96" t="s">
        <v>2116</v>
      </c>
      <c r="Y218" s="38" t="b">
        <v>0</v>
      </c>
      <c r="Z218" s="31" t="b">
        <v>1</v>
      </c>
    </row>
    <row r="219" spans="1:26" ht="25.5">
      <c r="A219" s="6">
        <v>218</v>
      </c>
      <c r="B219" s="8" t="s">
        <v>140</v>
      </c>
      <c r="C219" s="8" t="s">
        <v>2051</v>
      </c>
      <c r="D219" s="6">
        <v>1</v>
      </c>
      <c r="E219" s="70" t="s">
        <v>594</v>
      </c>
      <c r="F219" s="15" t="s">
        <v>155</v>
      </c>
      <c r="G219" s="92">
        <v>45565</v>
      </c>
      <c r="H219" s="13">
        <v>9.9282031600000007</v>
      </c>
      <c r="I219" s="13">
        <v>126.0549845</v>
      </c>
      <c r="J219" s="23" t="s">
        <v>2117</v>
      </c>
      <c r="K219" s="23" t="s">
        <v>2118</v>
      </c>
      <c r="L219" s="13" t="s">
        <v>513</v>
      </c>
      <c r="M219" s="13"/>
      <c r="N219" s="13" t="s">
        <v>89</v>
      </c>
      <c r="O219" s="93"/>
      <c r="P219" s="115"/>
      <c r="Q219" s="119"/>
      <c r="R219" s="128" t="s">
        <v>1428</v>
      </c>
      <c r="S219" s="128" t="s">
        <v>386</v>
      </c>
      <c r="T219" s="119"/>
      <c r="U219" s="96"/>
      <c r="V219" s="96" t="s">
        <v>2122</v>
      </c>
      <c r="W219" s="96" t="s">
        <v>2123</v>
      </c>
      <c r="X219" s="96" t="s">
        <v>2124</v>
      </c>
      <c r="Y219" s="38" t="b">
        <v>0</v>
      </c>
      <c r="Z219" s="31" t="b">
        <v>1</v>
      </c>
    </row>
    <row r="220" spans="1:26" ht="12.75">
      <c r="A220" s="6">
        <v>219</v>
      </c>
      <c r="B220" s="4" t="s">
        <v>176</v>
      </c>
      <c r="C220" s="8" t="s">
        <v>210</v>
      </c>
      <c r="D220" s="6">
        <v>1</v>
      </c>
      <c r="E220" s="70" t="s">
        <v>179</v>
      </c>
      <c r="F220" s="15" t="s">
        <v>31</v>
      </c>
      <c r="G220" s="92">
        <v>45569</v>
      </c>
      <c r="H220" s="13">
        <v>10.020357000000001</v>
      </c>
      <c r="I220" s="13">
        <v>126.036468</v>
      </c>
      <c r="J220" s="23" t="s">
        <v>2125</v>
      </c>
      <c r="K220" s="23" t="s">
        <v>2126</v>
      </c>
      <c r="L220" s="13" t="s">
        <v>513</v>
      </c>
      <c r="M220" s="13"/>
      <c r="N220" s="13" t="s">
        <v>89</v>
      </c>
      <c r="O220" s="93"/>
      <c r="P220" s="115"/>
      <c r="Q220" s="119"/>
      <c r="R220" s="128" t="s">
        <v>1428</v>
      </c>
      <c r="S220" s="128" t="s">
        <v>386</v>
      </c>
      <c r="T220" s="128" t="s">
        <v>386</v>
      </c>
      <c r="U220" s="96"/>
      <c r="V220" s="96" t="s">
        <v>185</v>
      </c>
      <c r="W220" s="96">
        <v>9666083729</v>
      </c>
      <c r="X220" s="96"/>
      <c r="Y220" s="38" t="b">
        <v>0</v>
      </c>
      <c r="Z220" s="38" t="b">
        <v>0</v>
      </c>
    </row>
    <row r="221" spans="1:26" ht="12.75">
      <c r="A221" s="6">
        <v>220</v>
      </c>
      <c r="B221" s="4" t="s">
        <v>176</v>
      </c>
      <c r="C221" s="8" t="s">
        <v>210</v>
      </c>
      <c r="D221" s="6">
        <v>1</v>
      </c>
      <c r="E221" s="70" t="s">
        <v>597</v>
      </c>
      <c r="F221" s="15" t="s">
        <v>598</v>
      </c>
      <c r="G221" s="92">
        <v>45569</v>
      </c>
      <c r="H221" s="13">
        <v>10.020357000000001</v>
      </c>
      <c r="I221" s="13">
        <v>126.036468</v>
      </c>
      <c r="J221" s="23"/>
      <c r="K221" s="23" t="s">
        <v>2132</v>
      </c>
      <c r="L221" s="13" t="s">
        <v>513</v>
      </c>
      <c r="M221" s="13"/>
      <c r="N221" s="13" t="s">
        <v>89</v>
      </c>
      <c r="O221" s="93"/>
      <c r="P221" s="115"/>
      <c r="Q221" s="119"/>
      <c r="R221" s="128" t="s">
        <v>1428</v>
      </c>
      <c r="S221" s="128" t="s">
        <v>386</v>
      </c>
      <c r="T221" s="119"/>
      <c r="U221" s="96"/>
      <c r="V221" s="96"/>
      <c r="W221" s="96"/>
      <c r="X221" s="96"/>
      <c r="Y221" s="38" t="b">
        <v>0</v>
      </c>
      <c r="Z221" s="38" t="b">
        <v>0</v>
      </c>
    </row>
    <row r="222" spans="1:26" ht="12.75">
      <c r="A222" s="6">
        <v>221</v>
      </c>
      <c r="B222" s="4" t="s">
        <v>176</v>
      </c>
      <c r="C222" s="8" t="s">
        <v>210</v>
      </c>
      <c r="D222" s="6">
        <v>1</v>
      </c>
      <c r="E222" s="70" t="s">
        <v>193</v>
      </c>
      <c r="F222" s="15" t="s">
        <v>491</v>
      </c>
      <c r="G222" s="92">
        <v>45569</v>
      </c>
      <c r="H222" s="13">
        <v>10.020357000000001</v>
      </c>
      <c r="I222" s="13">
        <v>126.036468</v>
      </c>
      <c r="J222" s="23" t="s">
        <v>2135</v>
      </c>
      <c r="K222" s="23" t="s">
        <v>2136</v>
      </c>
      <c r="L222" s="13" t="s">
        <v>513</v>
      </c>
      <c r="M222" s="13"/>
      <c r="N222" s="13" t="s">
        <v>89</v>
      </c>
      <c r="O222" s="93"/>
      <c r="P222" s="115"/>
      <c r="Q222" s="119"/>
      <c r="R222" s="128" t="s">
        <v>1428</v>
      </c>
      <c r="S222" s="128" t="s">
        <v>386</v>
      </c>
      <c r="T222" s="119"/>
      <c r="U222" s="96"/>
      <c r="V222" s="96" t="s">
        <v>194</v>
      </c>
      <c r="W222" s="96">
        <v>9176344427</v>
      </c>
      <c r="X222" s="96"/>
      <c r="Y222" s="38" t="b">
        <v>0</v>
      </c>
      <c r="Z222" s="38" t="b">
        <v>0</v>
      </c>
    </row>
    <row r="223" spans="1:26" ht="12.75">
      <c r="A223" s="6">
        <v>222</v>
      </c>
      <c r="B223" s="8" t="s">
        <v>196</v>
      </c>
      <c r="C223" s="8" t="s">
        <v>241</v>
      </c>
      <c r="D223" s="6">
        <v>1</v>
      </c>
      <c r="E223" s="70" t="s">
        <v>197</v>
      </c>
      <c r="F223" s="15" t="s">
        <v>374</v>
      </c>
      <c r="G223" s="92">
        <v>45674</v>
      </c>
      <c r="H223" s="13">
        <v>9.6197565300000001</v>
      </c>
      <c r="I223" s="13">
        <v>125.96419400000001</v>
      </c>
      <c r="J223" s="23" t="s">
        <v>2139</v>
      </c>
      <c r="K223" s="23" t="s">
        <v>2140</v>
      </c>
      <c r="L223" s="13" t="s">
        <v>513</v>
      </c>
      <c r="M223" s="13"/>
      <c r="N223" s="13" t="s">
        <v>199</v>
      </c>
      <c r="O223" s="93">
        <v>45823.604259259257</v>
      </c>
      <c r="P223" s="207"/>
      <c r="Q223" s="119"/>
      <c r="R223" s="128" t="s">
        <v>1428</v>
      </c>
      <c r="S223" s="114"/>
      <c r="T223" s="114"/>
      <c r="U223" s="96" t="s">
        <v>2144</v>
      </c>
      <c r="V223" s="96" t="s">
        <v>200</v>
      </c>
      <c r="W223" s="96">
        <v>9104424991</v>
      </c>
      <c r="X223" s="96"/>
      <c r="Y223" s="38" t="b">
        <v>0</v>
      </c>
      <c r="Z223" s="38" t="b">
        <v>0</v>
      </c>
    </row>
    <row r="224" spans="1:26" ht="12.75">
      <c r="A224" s="6">
        <v>223</v>
      </c>
      <c r="B224" s="8" t="s">
        <v>196</v>
      </c>
      <c r="C224" s="8" t="s">
        <v>241</v>
      </c>
      <c r="D224" s="6">
        <v>1</v>
      </c>
      <c r="E224" s="70" t="s">
        <v>599</v>
      </c>
      <c r="F224" s="15" t="s">
        <v>553</v>
      </c>
      <c r="G224" s="92">
        <v>45546</v>
      </c>
      <c r="H224" s="13">
        <v>9.6196971799999993</v>
      </c>
      <c r="I224" s="13">
        <v>125.9613155</v>
      </c>
      <c r="J224" s="23" t="s">
        <v>2146</v>
      </c>
      <c r="K224" s="23" t="s">
        <v>2147</v>
      </c>
      <c r="L224" s="13" t="s">
        <v>513</v>
      </c>
      <c r="M224" s="13"/>
      <c r="N224" s="13" t="s">
        <v>89</v>
      </c>
      <c r="O224" s="93"/>
      <c r="P224" s="204"/>
      <c r="Q224" s="119"/>
      <c r="R224" s="527" t="s">
        <v>1428</v>
      </c>
      <c r="S224" s="527" t="s">
        <v>386</v>
      </c>
      <c r="T224" s="119"/>
      <c r="U224" s="96"/>
      <c r="V224" s="525" t="s">
        <v>2152</v>
      </c>
      <c r="W224" s="525">
        <v>9172067127</v>
      </c>
      <c r="X224" s="525" t="s">
        <v>2155</v>
      </c>
      <c r="Y224" s="38" t="b">
        <v>0</v>
      </c>
      <c r="Z224" s="534" t="b">
        <v>1</v>
      </c>
    </row>
    <row r="225" spans="1:26" ht="12.75">
      <c r="A225" s="6">
        <v>224</v>
      </c>
      <c r="B225" s="8" t="s">
        <v>196</v>
      </c>
      <c r="C225" s="8" t="s">
        <v>241</v>
      </c>
      <c r="D225" s="6">
        <v>1</v>
      </c>
      <c r="E225" s="70" t="s">
        <v>601</v>
      </c>
      <c r="F225" s="15" t="s">
        <v>553</v>
      </c>
      <c r="G225" s="92">
        <v>45546</v>
      </c>
      <c r="H225" s="13">
        <v>9.6197879299999993</v>
      </c>
      <c r="I225" s="13">
        <v>125.9616092</v>
      </c>
      <c r="J225" s="23"/>
      <c r="K225" s="23" t="s">
        <v>2159</v>
      </c>
      <c r="L225" s="13" t="s">
        <v>513</v>
      </c>
      <c r="M225" s="13"/>
      <c r="N225" s="13" t="s">
        <v>89</v>
      </c>
      <c r="O225" s="93"/>
      <c r="P225" s="204"/>
      <c r="Q225" s="119"/>
      <c r="R225" s="512"/>
      <c r="S225" s="512"/>
      <c r="T225" s="119"/>
      <c r="U225" s="96"/>
      <c r="V225" s="512"/>
      <c r="W225" s="512"/>
      <c r="X225" s="512"/>
      <c r="Y225" s="38" t="b">
        <v>0</v>
      </c>
      <c r="Z225" s="517"/>
    </row>
    <row r="226" spans="1:26" ht="15" customHeight="1">
      <c r="A226" s="6">
        <v>225</v>
      </c>
      <c r="B226" s="8" t="s">
        <v>196</v>
      </c>
      <c r="C226" s="8" t="s">
        <v>2061</v>
      </c>
      <c r="D226" s="6">
        <v>1</v>
      </c>
      <c r="E226" s="70" t="s">
        <v>602</v>
      </c>
      <c r="F226" s="15" t="s">
        <v>207</v>
      </c>
      <c r="G226" s="92">
        <v>45544</v>
      </c>
      <c r="H226" s="13">
        <v>9.6144084500000009</v>
      </c>
      <c r="I226" s="13">
        <v>125.96273429999999</v>
      </c>
      <c r="J226" s="23" t="s">
        <v>2161</v>
      </c>
      <c r="K226" s="23" t="s">
        <v>2162</v>
      </c>
      <c r="L226" s="13" t="s">
        <v>513</v>
      </c>
      <c r="M226" s="13"/>
      <c r="N226" s="13" t="s">
        <v>199</v>
      </c>
      <c r="O226" s="93">
        <v>45951.449965277781</v>
      </c>
      <c r="P226" s="115"/>
      <c r="Q226" s="119"/>
      <c r="R226" s="527" t="s">
        <v>1428</v>
      </c>
      <c r="S226" s="527" t="s">
        <v>386</v>
      </c>
      <c r="T226" s="119"/>
      <c r="U226" s="96" t="s">
        <v>2165</v>
      </c>
      <c r="V226" s="525" t="s">
        <v>2166</v>
      </c>
      <c r="W226" s="525" t="s">
        <v>2168</v>
      </c>
      <c r="X226" s="525" t="s">
        <v>2170</v>
      </c>
      <c r="Y226" s="38" t="b">
        <v>0</v>
      </c>
      <c r="Z226" s="534" t="b">
        <v>1</v>
      </c>
    </row>
    <row r="227" spans="1:26" ht="12.75">
      <c r="A227" s="6">
        <v>226</v>
      </c>
      <c r="B227" s="8" t="s">
        <v>196</v>
      </c>
      <c r="C227" s="8" t="s">
        <v>2061</v>
      </c>
      <c r="D227" s="6">
        <v>1</v>
      </c>
      <c r="E227" s="70" t="s">
        <v>604</v>
      </c>
      <c r="F227" s="15" t="s">
        <v>207</v>
      </c>
      <c r="G227" s="92">
        <v>45544</v>
      </c>
      <c r="H227" s="13">
        <v>9.61404076</v>
      </c>
      <c r="I227" s="13">
        <v>125.9629016</v>
      </c>
      <c r="J227" s="23"/>
      <c r="K227" s="23" t="s">
        <v>2172</v>
      </c>
      <c r="L227" s="13" t="s">
        <v>513</v>
      </c>
      <c r="M227" s="13"/>
      <c r="N227" s="13" t="s">
        <v>89</v>
      </c>
      <c r="O227" s="172"/>
      <c r="P227" s="115"/>
      <c r="Q227" s="119"/>
      <c r="R227" s="512"/>
      <c r="S227" s="512"/>
      <c r="T227" s="119"/>
      <c r="U227" s="96"/>
      <c r="V227" s="512"/>
      <c r="W227" s="512"/>
      <c r="X227" s="512"/>
      <c r="Y227" s="38" t="b">
        <v>0</v>
      </c>
      <c r="Z227" s="517"/>
    </row>
    <row r="228" spans="1:26" ht="12.75">
      <c r="A228" s="6">
        <v>227</v>
      </c>
      <c r="B228" s="8" t="s">
        <v>196</v>
      </c>
      <c r="C228" s="8" t="s">
        <v>2061</v>
      </c>
      <c r="D228" s="6">
        <v>1</v>
      </c>
      <c r="E228" s="70" t="s">
        <v>202</v>
      </c>
      <c r="F228" s="15" t="s">
        <v>374</v>
      </c>
      <c r="G228" s="92">
        <v>45674</v>
      </c>
      <c r="H228" s="13">
        <v>9.6131130000000002</v>
      </c>
      <c r="I228" s="13">
        <v>125.963888</v>
      </c>
      <c r="J228" s="23" t="s">
        <v>2174</v>
      </c>
      <c r="K228" s="23" t="s">
        <v>2175</v>
      </c>
      <c r="L228" s="13" t="s">
        <v>513</v>
      </c>
      <c r="M228" s="13"/>
      <c r="N228" s="13" t="s">
        <v>199</v>
      </c>
      <c r="O228" s="93">
        <v>45951.447974537034</v>
      </c>
      <c r="P228" s="207"/>
      <c r="Q228" s="114"/>
      <c r="R228" s="128" t="s">
        <v>1428</v>
      </c>
      <c r="S228" s="114"/>
      <c r="T228" s="114"/>
      <c r="U228" s="96" t="s">
        <v>2144</v>
      </c>
      <c r="V228" s="96"/>
      <c r="W228" s="96"/>
      <c r="X228" s="96"/>
      <c r="Y228" s="38" t="b">
        <v>0</v>
      </c>
      <c r="Z228" s="38" t="b">
        <v>0</v>
      </c>
    </row>
    <row r="229" spans="1:26" ht="38.25">
      <c r="A229" s="6">
        <v>228</v>
      </c>
      <c r="B229" s="15" t="s">
        <v>196</v>
      </c>
      <c r="C229" s="15" t="s">
        <v>1629</v>
      </c>
      <c r="D229" s="6">
        <v>1</v>
      </c>
      <c r="E229" s="70" t="s">
        <v>605</v>
      </c>
      <c r="F229" s="15" t="s">
        <v>155</v>
      </c>
      <c r="G229" s="92">
        <v>45545</v>
      </c>
      <c r="H229" s="13">
        <v>9.6963308099999992</v>
      </c>
      <c r="I229" s="13">
        <v>125.94899150000001</v>
      </c>
      <c r="J229" s="23" t="s">
        <v>2178</v>
      </c>
      <c r="K229" s="23" t="s">
        <v>2179</v>
      </c>
      <c r="L229" s="13" t="s">
        <v>513</v>
      </c>
      <c r="M229" s="13"/>
      <c r="N229" s="13" t="s">
        <v>199</v>
      </c>
      <c r="O229" s="93">
        <v>45951.383969907409</v>
      </c>
      <c r="P229" s="115"/>
      <c r="Q229" s="119"/>
      <c r="R229" s="128" t="s">
        <v>1428</v>
      </c>
      <c r="S229" s="128" t="s">
        <v>386</v>
      </c>
      <c r="T229" s="119"/>
      <c r="U229" s="96"/>
      <c r="V229" s="96" t="s">
        <v>2185</v>
      </c>
      <c r="W229" s="96" t="s">
        <v>2186</v>
      </c>
      <c r="X229" s="96" t="s">
        <v>2187</v>
      </c>
      <c r="Y229" s="38" t="b">
        <v>0</v>
      </c>
      <c r="Z229" s="31" t="b">
        <v>1</v>
      </c>
    </row>
    <row r="230" spans="1:26" ht="12.75">
      <c r="A230" s="6">
        <v>229</v>
      </c>
      <c r="B230" s="8" t="s">
        <v>196</v>
      </c>
      <c r="C230" s="8" t="s">
        <v>1629</v>
      </c>
      <c r="D230" s="6">
        <v>1</v>
      </c>
      <c r="E230" s="70" t="s">
        <v>608</v>
      </c>
      <c r="F230" s="15" t="s">
        <v>374</v>
      </c>
      <c r="G230" s="92">
        <v>45545</v>
      </c>
      <c r="H230" s="13">
        <v>9.6958337799999992</v>
      </c>
      <c r="I230" s="13">
        <v>125.9489689</v>
      </c>
      <c r="J230" s="23" t="s">
        <v>2188</v>
      </c>
      <c r="K230" s="23" t="s">
        <v>2189</v>
      </c>
      <c r="L230" s="13" t="s">
        <v>513</v>
      </c>
      <c r="M230" s="13"/>
      <c r="N230" s="13" t="s">
        <v>199</v>
      </c>
      <c r="O230" s="93">
        <v>45951.384236111109</v>
      </c>
      <c r="P230" s="115"/>
      <c r="Q230" s="119"/>
      <c r="R230" s="128" t="s">
        <v>1428</v>
      </c>
      <c r="S230" s="128" t="s">
        <v>386</v>
      </c>
      <c r="T230" s="119"/>
      <c r="U230" s="96"/>
      <c r="V230" s="96" t="s">
        <v>2191</v>
      </c>
      <c r="W230" s="96">
        <v>9463413924</v>
      </c>
      <c r="X230" s="96" t="s">
        <v>2193</v>
      </c>
      <c r="Y230" s="38" t="b">
        <v>0</v>
      </c>
      <c r="Z230" s="31" t="b">
        <v>1</v>
      </c>
    </row>
    <row r="231" spans="1:26" ht="38.25">
      <c r="A231" s="6">
        <v>230</v>
      </c>
      <c r="B231" s="8" t="s">
        <v>196</v>
      </c>
      <c r="C231" s="8" t="s">
        <v>1629</v>
      </c>
      <c r="D231" s="6">
        <v>1</v>
      </c>
      <c r="E231" s="70" t="s">
        <v>607</v>
      </c>
      <c r="F231" s="15" t="s">
        <v>155</v>
      </c>
      <c r="G231" s="92">
        <v>45545</v>
      </c>
      <c r="H231" s="13">
        <v>9.6965032900000008</v>
      </c>
      <c r="I231" s="13">
        <v>125.9486388</v>
      </c>
      <c r="J231" s="23" t="s">
        <v>2194</v>
      </c>
      <c r="K231" s="23" t="s">
        <v>2195</v>
      </c>
      <c r="L231" s="13" t="s">
        <v>513</v>
      </c>
      <c r="M231" s="13"/>
      <c r="N231" s="13" t="s">
        <v>199</v>
      </c>
      <c r="O231" s="93">
        <v>45951.38417824074</v>
      </c>
      <c r="P231" s="115"/>
      <c r="Q231" s="119"/>
      <c r="R231" s="128" t="s">
        <v>1428</v>
      </c>
      <c r="S231" s="128" t="s">
        <v>386</v>
      </c>
      <c r="T231" s="119"/>
      <c r="U231" s="96"/>
      <c r="V231" s="96" t="s">
        <v>2185</v>
      </c>
      <c r="W231" s="96" t="s">
        <v>2186</v>
      </c>
      <c r="X231" s="96" t="s">
        <v>2187</v>
      </c>
      <c r="Y231" s="38" t="b">
        <v>0</v>
      </c>
      <c r="Z231" s="31" t="b">
        <v>1</v>
      </c>
    </row>
    <row r="232" spans="1:26" ht="12.75">
      <c r="A232" s="6">
        <v>231</v>
      </c>
      <c r="B232" s="8" t="s">
        <v>196</v>
      </c>
      <c r="C232" s="8" t="s">
        <v>1638</v>
      </c>
      <c r="D232" s="6">
        <v>1</v>
      </c>
      <c r="E232" s="70" t="s">
        <v>610</v>
      </c>
      <c r="F232" s="15" t="s">
        <v>128</v>
      </c>
      <c r="G232" s="92">
        <v>45546</v>
      </c>
      <c r="H232" s="13">
        <v>9.5955293400000006</v>
      </c>
      <c r="I232" s="13">
        <v>125.9104476</v>
      </c>
      <c r="J232" s="23" t="s">
        <v>2197</v>
      </c>
      <c r="K232" s="23" t="s">
        <v>2198</v>
      </c>
      <c r="L232" s="13" t="s">
        <v>513</v>
      </c>
      <c r="M232" s="13"/>
      <c r="N232" s="13" t="s">
        <v>89</v>
      </c>
      <c r="O232" s="93"/>
      <c r="P232" s="102"/>
      <c r="Q232" s="114"/>
      <c r="R232" s="536"/>
      <c r="S232" s="527" t="s">
        <v>386</v>
      </c>
      <c r="T232" s="119"/>
      <c r="U232" s="96" t="s">
        <v>2200</v>
      </c>
      <c r="V232" s="525" t="s">
        <v>2201</v>
      </c>
      <c r="W232" s="525">
        <v>9104153633</v>
      </c>
      <c r="X232" s="525" t="s">
        <v>2202</v>
      </c>
      <c r="Y232" s="38" t="b">
        <v>0</v>
      </c>
      <c r="Z232" s="534" t="b">
        <v>1</v>
      </c>
    </row>
    <row r="233" spans="1:26" ht="12.75">
      <c r="A233" s="6">
        <v>232</v>
      </c>
      <c r="B233" s="8" t="s">
        <v>196</v>
      </c>
      <c r="C233" s="8" t="s">
        <v>1638</v>
      </c>
      <c r="D233" s="6">
        <v>1</v>
      </c>
      <c r="E233" s="117" t="s">
        <v>612</v>
      </c>
      <c r="F233" s="15" t="s">
        <v>128</v>
      </c>
      <c r="G233" s="92">
        <v>45546</v>
      </c>
      <c r="H233" s="13">
        <v>9.5955284699999996</v>
      </c>
      <c r="I233" s="13">
        <v>125.9103702</v>
      </c>
      <c r="J233" s="23"/>
      <c r="K233" s="23" t="s">
        <v>2203</v>
      </c>
      <c r="L233" s="13" t="s">
        <v>513</v>
      </c>
      <c r="M233" s="13"/>
      <c r="N233" s="13" t="s">
        <v>89</v>
      </c>
      <c r="O233" s="23"/>
      <c r="P233" s="102"/>
      <c r="Q233" s="114"/>
      <c r="R233" s="512"/>
      <c r="S233" s="512"/>
      <c r="T233" s="119"/>
      <c r="U233" s="96"/>
      <c r="V233" s="512"/>
      <c r="W233" s="512"/>
      <c r="X233" s="512"/>
      <c r="Y233" s="38" t="b">
        <v>0</v>
      </c>
      <c r="Z233" s="517"/>
    </row>
    <row r="234" spans="1:26" ht="12.75">
      <c r="A234" s="6">
        <v>233</v>
      </c>
      <c r="B234" s="8" t="s">
        <v>268</v>
      </c>
      <c r="C234" s="8" t="s">
        <v>35</v>
      </c>
      <c r="D234" s="6">
        <v>2</v>
      </c>
      <c r="E234" s="117" t="s">
        <v>37</v>
      </c>
      <c r="F234" s="15" t="s">
        <v>151</v>
      </c>
      <c r="G234" s="92">
        <v>45699</v>
      </c>
      <c r="H234" s="13">
        <v>9.7882857699999999</v>
      </c>
      <c r="I234" s="13">
        <v>125.4982736</v>
      </c>
      <c r="J234" s="23" t="s">
        <v>2205</v>
      </c>
      <c r="K234" s="23" t="s">
        <v>2206</v>
      </c>
      <c r="L234" s="13" t="s">
        <v>513</v>
      </c>
      <c r="M234" s="13"/>
      <c r="N234" s="13" t="s">
        <v>89</v>
      </c>
      <c r="O234" s="23"/>
      <c r="P234" s="115"/>
      <c r="Q234" s="119"/>
      <c r="R234" s="527" t="s">
        <v>1428</v>
      </c>
      <c r="S234" s="536"/>
      <c r="T234" s="114"/>
      <c r="U234" s="96"/>
      <c r="V234" s="525" t="s">
        <v>2207</v>
      </c>
      <c r="W234" s="525">
        <v>9104630125</v>
      </c>
      <c r="X234" s="525" t="s">
        <v>2208</v>
      </c>
      <c r="Y234" s="38" t="b">
        <v>0</v>
      </c>
      <c r="Z234" s="534" t="b">
        <v>1</v>
      </c>
    </row>
    <row r="235" spans="1:26" ht="12.75">
      <c r="A235" s="6">
        <v>234</v>
      </c>
      <c r="B235" s="8" t="s">
        <v>268</v>
      </c>
      <c r="C235" s="8" t="s">
        <v>35</v>
      </c>
      <c r="D235" s="6">
        <v>2</v>
      </c>
      <c r="E235" s="117" t="s">
        <v>38</v>
      </c>
      <c r="F235" s="15" t="s">
        <v>151</v>
      </c>
      <c r="G235" s="92">
        <v>45699</v>
      </c>
      <c r="H235" s="13">
        <v>9.7889333700000005</v>
      </c>
      <c r="I235" s="13">
        <v>125.49791039999999</v>
      </c>
      <c r="J235" s="23" t="s">
        <v>2209</v>
      </c>
      <c r="K235" s="23" t="s">
        <v>2210</v>
      </c>
      <c r="L235" s="13" t="s">
        <v>513</v>
      </c>
      <c r="M235" s="13"/>
      <c r="N235" s="13" t="s">
        <v>89</v>
      </c>
      <c r="O235" s="23"/>
      <c r="P235" s="115"/>
      <c r="Q235" s="119"/>
      <c r="R235" s="511"/>
      <c r="S235" s="511"/>
      <c r="T235" s="114"/>
      <c r="U235" s="96"/>
      <c r="V235" s="511"/>
      <c r="W235" s="511"/>
      <c r="X235" s="511"/>
      <c r="Y235" s="38" t="b">
        <v>0</v>
      </c>
      <c r="Z235" s="517"/>
    </row>
    <row r="236" spans="1:26" ht="12.75">
      <c r="A236" s="6">
        <v>235</v>
      </c>
      <c r="B236" s="8" t="s">
        <v>268</v>
      </c>
      <c r="C236" s="8" t="s">
        <v>35</v>
      </c>
      <c r="D236" s="6">
        <v>2</v>
      </c>
      <c r="E236" s="117" t="s">
        <v>39</v>
      </c>
      <c r="F236" s="15" t="s">
        <v>151</v>
      </c>
      <c r="G236" s="92">
        <v>45699</v>
      </c>
      <c r="H236" s="13">
        <v>9.7890107999999998</v>
      </c>
      <c r="I236" s="13">
        <v>125.49769089999999</v>
      </c>
      <c r="J236" s="23" t="s">
        <v>2211</v>
      </c>
      <c r="K236" s="23" t="s">
        <v>2212</v>
      </c>
      <c r="L236" s="13" t="s">
        <v>513</v>
      </c>
      <c r="M236" s="13"/>
      <c r="N236" s="13" t="s">
        <v>89</v>
      </c>
      <c r="O236" s="172"/>
      <c r="P236" s="115"/>
      <c r="Q236" s="119"/>
      <c r="R236" s="511"/>
      <c r="S236" s="511"/>
      <c r="T236" s="114"/>
      <c r="U236" s="96"/>
      <c r="V236" s="511"/>
      <c r="W236" s="511"/>
      <c r="X236" s="511"/>
      <c r="Y236" s="38" t="b">
        <v>0</v>
      </c>
      <c r="Z236" s="517"/>
    </row>
    <row r="237" spans="1:26" ht="12.75">
      <c r="A237" s="6">
        <v>236</v>
      </c>
      <c r="B237" s="8" t="s">
        <v>268</v>
      </c>
      <c r="C237" s="8" t="s">
        <v>35</v>
      </c>
      <c r="D237" s="6">
        <v>2</v>
      </c>
      <c r="E237" s="117" t="s">
        <v>36</v>
      </c>
      <c r="F237" s="15" t="s">
        <v>103</v>
      </c>
      <c r="G237" s="92">
        <v>45699</v>
      </c>
      <c r="H237" s="13">
        <v>9.7883483099999999</v>
      </c>
      <c r="I237" s="13">
        <v>125.4987041</v>
      </c>
      <c r="J237" s="23" t="s">
        <v>2216</v>
      </c>
      <c r="K237" s="23" t="s">
        <v>2218</v>
      </c>
      <c r="L237" s="13" t="s">
        <v>513</v>
      </c>
      <c r="M237" s="13"/>
      <c r="N237" s="13" t="s">
        <v>89</v>
      </c>
      <c r="O237" s="23"/>
      <c r="P237" s="115"/>
      <c r="Q237" s="119"/>
      <c r="R237" s="512"/>
      <c r="S237" s="512"/>
      <c r="T237" s="114"/>
      <c r="U237" s="96"/>
      <c r="V237" s="512"/>
      <c r="W237" s="512"/>
      <c r="X237" s="512"/>
      <c r="Y237" s="38" t="b">
        <v>0</v>
      </c>
      <c r="Z237" s="517"/>
    </row>
    <row r="238" spans="1:26" ht="12.75">
      <c r="A238" s="6">
        <v>237</v>
      </c>
      <c r="B238" s="8" t="s">
        <v>216</v>
      </c>
      <c r="C238" s="8" t="s">
        <v>1981</v>
      </c>
      <c r="D238" s="6">
        <v>2</v>
      </c>
      <c r="E238" s="117" t="s">
        <v>615</v>
      </c>
      <c r="F238" s="15" t="s">
        <v>553</v>
      </c>
      <c r="G238" s="92">
        <v>45702</v>
      </c>
      <c r="H238" s="228">
        <v>9.6327929799999996</v>
      </c>
      <c r="I238" s="228">
        <v>125.56125350000001</v>
      </c>
      <c r="J238" s="23" t="s">
        <v>2220</v>
      </c>
      <c r="K238" s="23" t="s">
        <v>2134</v>
      </c>
      <c r="L238" s="13" t="s">
        <v>513</v>
      </c>
      <c r="M238" s="13"/>
      <c r="N238" s="13" t="s">
        <v>89</v>
      </c>
      <c r="O238" s="93"/>
      <c r="P238" s="115"/>
      <c r="Q238" s="119"/>
      <c r="R238" s="527" t="s">
        <v>1428</v>
      </c>
      <c r="S238" s="536"/>
      <c r="T238" s="114"/>
      <c r="U238" s="96"/>
      <c r="V238" s="525" t="s">
        <v>2222</v>
      </c>
      <c r="W238" s="525" t="s">
        <v>2138</v>
      </c>
      <c r="X238" s="525" t="s">
        <v>2224</v>
      </c>
      <c r="Y238" s="38" t="b">
        <v>0</v>
      </c>
      <c r="Z238" s="534" t="b">
        <v>1</v>
      </c>
    </row>
    <row r="239" spans="1:26" ht="12.75">
      <c r="A239" s="6">
        <v>238</v>
      </c>
      <c r="B239" s="8" t="s">
        <v>216</v>
      </c>
      <c r="C239" s="8" t="s">
        <v>1981</v>
      </c>
      <c r="D239" s="6">
        <v>2</v>
      </c>
      <c r="E239" s="117" t="s">
        <v>617</v>
      </c>
      <c r="F239" s="15" t="s">
        <v>553</v>
      </c>
      <c r="G239" s="92">
        <v>45702</v>
      </c>
      <c r="H239" s="13">
        <v>9.6324792600000002</v>
      </c>
      <c r="I239" s="13">
        <v>125.56162860000001</v>
      </c>
      <c r="J239" s="23" t="s">
        <v>2225</v>
      </c>
      <c r="K239" s="23" t="s">
        <v>2226</v>
      </c>
      <c r="L239" s="13" t="s">
        <v>513</v>
      </c>
      <c r="M239" s="13"/>
      <c r="N239" s="13" t="s">
        <v>89</v>
      </c>
      <c r="O239" s="93"/>
      <c r="P239" s="115"/>
      <c r="Q239" s="119"/>
      <c r="R239" s="511"/>
      <c r="S239" s="511"/>
      <c r="T239" s="114"/>
      <c r="U239" s="96"/>
      <c r="V239" s="511"/>
      <c r="W239" s="511"/>
      <c r="X239" s="511"/>
      <c r="Y239" s="38" t="b">
        <v>0</v>
      </c>
      <c r="Z239" s="517"/>
    </row>
    <row r="240" spans="1:26" ht="12.75">
      <c r="A240" s="6">
        <v>239</v>
      </c>
      <c r="B240" s="8" t="s">
        <v>216</v>
      </c>
      <c r="C240" s="8" t="s">
        <v>1981</v>
      </c>
      <c r="D240" s="6">
        <v>2</v>
      </c>
      <c r="E240" s="117" t="s">
        <v>618</v>
      </c>
      <c r="F240" s="15" t="s">
        <v>553</v>
      </c>
      <c r="G240" s="92">
        <v>45702</v>
      </c>
      <c r="H240" s="228">
        <v>9.6323211900000008</v>
      </c>
      <c r="I240" s="228">
        <v>125.56157803000001</v>
      </c>
      <c r="J240" s="23" t="s">
        <v>2227</v>
      </c>
      <c r="K240" s="23" t="s">
        <v>2143</v>
      </c>
      <c r="L240" s="13" t="s">
        <v>513</v>
      </c>
      <c r="M240" s="13"/>
      <c r="N240" s="13" t="s">
        <v>89</v>
      </c>
      <c r="O240" s="93"/>
      <c r="P240" s="115"/>
      <c r="Q240" s="119"/>
      <c r="R240" s="511"/>
      <c r="S240" s="511"/>
      <c r="T240" s="114"/>
      <c r="U240" s="96"/>
      <c r="V240" s="511"/>
      <c r="W240" s="511"/>
      <c r="X240" s="511"/>
      <c r="Y240" s="38" t="b">
        <v>0</v>
      </c>
      <c r="Z240" s="517"/>
    </row>
    <row r="241" spans="1:26" ht="12.75">
      <c r="A241" s="6">
        <v>240</v>
      </c>
      <c r="B241" s="8" t="s">
        <v>216</v>
      </c>
      <c r="C241" s="8" t="s">
        <v>1981</v>
      </c>
      <c r="D241" s="6">
        <v>2</v>
      </c>
      <c r="E241" s="117" t="s">
        <v>619</v>
      </c>
      <c r="F241" s="15" t="s">
        <v>553</v>
      </c>
      <c r="G241" s="92">
        <v>45702</v>
      </c>
      <c r="H241" s="228">
        <v>9.6328659299999995</v>
      </c>
      <c r="I241" s="228">
        <v>125.56170324</v>
      </c>
      <c r="J241" s="23" t="s">
        <v>2229</v>
      </c>
      <c r="K241" s="23" t="s">
        <v>2145</v>
      </c>
      <c r="L241" s="13" t="s">
        <v>513</v>
      </c>
      <c r="M241" s="13"/>
      <c r="N241" s="13" t="s">
        <v>89</v>
      </c>
      <c r="O241" s="93"/>
      <c r="P241" s="115"/>
      <c r="Q241" s="119"/>
      <c r="R241" s="512"/>
      <c r="S241" s="512"/>
      <c r="T241" s="114"/>
      <c r="U241" s="96"/>
      <c r="V241" s="512"/>
      <c r="W241" s="512"/>
      <c r="X241" s="512"/>
      <c r="Y241" s="38" t="b">
        <v>0</v>
      </c>
      <c r="Z241" s="517"/>
    </row>
    <row r="242" spans="1:26" ht="12.75">
      <c r="A242" s="6">
        <v>241</v>
      </c>
      <c r="B242" s="8" t="s">
        <v>81</v>
      </c>
      <c r="C242" s="8" t="s">
        <v>2230</v>
      </c>
      <c r="D242" s="6">
        <v>1</v>
      </c>
      <c r="E242" s="11" t="s">
        <v>620</v>
      </c>
      <c r="F242" s="15" t="s">
        <v>622</v>
      </c>
      <c r="G242" s="92">
        <v>45280</v>
      </c>
      <c r="H242" s="13">
        <v>9.8743937699999993</v>
      </c>
      <c r="I242" s="13">
        <v>125.9700955</v>
      </c>
      <c r="J242" s="13"/>
      <c r="K242" s="13" t="s">
        <v>2233</v>
      </c>
      <c r="L242" s="13" t="s">
        <v>623</v>
      </c>
      <c r="M242" s="13"/>
      <c r="N242" s="61" t="s">
        <v>2234</v>
      </c>
      <c r="O242" s="93"/>
      <c r="P242" s="115"/>
      <c r="Q242" s="114"/>
      <c r="R242" s="114"/>
      <c r="S242" s="114"/>
      <c r="T242" s="114"/>
      <c r="U242" s="96"/>
      <c r="V242" s="96"/>
      <c r="W242" s="96"/>
      <c r="X242" s="96"/>
    </row>
    <row r="243" spans="1:26" ht="12.75">
      <c r="A243" s="6">
        <v>242</v>
      </c>
      <c r="B243" s="8" t="s">
        <v>81</v>
      </c>
      <c r="C243" s="8" t="s">
        <v>2230</v>
      </c>
      <c r="D243" s="6">
        <v>1</v>
      </c>
      <c r="E243" s="11" t="s">
        <v>624</v>
      </c>
      <c r="F243" s="15" t="s">
        <v>622</v>
      </c>
      <c r="G243" s="92">
        <v>45280</v>
      </c>
      <c r="H243" s="13">
        <v>9.8743937699999993</v>
      </c>
      <c r="I243" s="13">
        <v>125.9700955</v>
      </c>
      <c r="J243" s="13"/>
      <c r="K243" s="13" t="s">
        <v>2233</v>
      </c>
      <c r="L243" s="13" t="s">
        <v>623</v>
      </c>
      <c r="M243" s="13"/>
      <c r="N243" s="61" t="s">
        <v>2234</v>
      </c>
      <c r="O243" s="13"/>
      <c r="P243" s="115"/>
      <c r="Q243" s="114"/>
      <c r="R243" s="114"/>
      <c r="S243" s="114"/>
      <c r="T243" s="114"/>
      <c r="U243" s="96"/>
      <c r="V243" s="96"/>
      <c r="W243" s="96"/>
      <c r="X243" s="96"/>
    </row>
    <row r="244" spans="1:26" ht="12.75">
      <c r="A244" s="6">
        <v>243</v>
      </c>
      <c r="B244" s="8" t="s">
        <v>81</v>
      </c>
      <c r="C244" s="8" t="s">
        <v>2230</v>
      </c>
      <c r="D244" s="6">
        <v>1</v>
      </c>
      <c r="E244" s="11" t="s">
        <v>625</v>
      </c>
      <c r="F244" s="15" t="s">
        <v>622</v>
      </c>
      <c r="G244" s="92">
        <v>45280</v>
      </c>
      <c r="H244" s="13">
        <v>9.8743937699999993</v>
      </c>
      <c r="I244" s="13">
        <v>125.9700955</v>
      </c>
      <c r="J244" s="13"/>
      <c r="K244" s="13" t="s">
        <v>2233</v>
      </c>
      <c r="L244" s="13" t="s">
        <v>623</v>
      </c>
      <c r="M244" s="13"/>
      <c r="N244" s="61" t="s">
        <v>2234</v>
      </c>
      <c r="O244" s="13"/>
      <c r="P244" s="115"/>
      <c r="Q244" s="114"/>
      <c r="R244" s="114"/>
      <c r="S244" s="114"/>
      <c r="T244" s="114"/>
      <c r="U244" s="96"/>
      <c r="V244" s="96"/>
      <c r="W244" s="96"/>
      <c r="X244" s="96"/>
    </row>
    <row r="245" spans="1:26" ht="12.75">
      <c r="A245" s="6">
        <v>244</v>
      </c>
      <c r="B245" s="8" t="s">
        <v>198</v>
      </c>
      <c r="C245" s="8" t="s">
        <v>345</v>
      </c>
      <c r="D245" s="6">
        <v>2</v>
      </c>
      <c r="E245" s="11" t="s">
        <v>626</v>
      </c>
      <c r="F245" s="15" t="s">
        <v>622</v>
      </c>
      <c r="G245" s="92">
        <v>45251</v>
      </c>
      <c r="H245" s="13">
        <v>9.5350731890000002</v>
      </c>
      <c r="I245" s="13">
        <v>125.5581854</v>
      </c>
      <c r="J245" s="13"/>
      <c r="K245" s="13" t="s">
        <v>2235</v>
      </c>
      <c r="L245" s="13" t="s">
        <v>623</v>
      </c>
      <c r="M245" s="13"/>
      <c r="N245" s="61" t="s">
        <v>2234</v>
      </c>
      <c r="O245" s="13"/>
      <c r="P245" s="115"/>
      <c r="Q245" s="114"/>
      <c r="R245" s="114"/>
      <c r="S245" s="23"/>
      <c r="T245" s="114"/>
      <c r="U245" s="96"/>
      <c r="V245" s="96"/>
      <c r="W245" s="96"/>
      <c r="X245" s="96"/>
    </row>
    <row r="246" spans="1:26" ht="12.75">
      <c r="A246" s="6">
        <v>245</v>
      </c>
      <c r="B246" s="8" t="s">
        <v>198</v>
      </c>
      <c r="C246" s="8" t="s">
        <v>345</v>
      </c>
      <c r="D246" s="6">
        <v>2</v>
      </c>
      <c r="E246" s="11" t="s">
        <v>628</v>
      </c>
      <c r="F246" s="15" t="s">
        <v>622</v>
      </c>
      <c r="G246" s="92">
        <v>45251</v>
      </c>
      <c r="H246" s="13">
        <v>9.5350731890000002</v>
      </c>
      <c r="I246" s="13">
        <v>125.5581854</v>
      </c>
      <c r="J246" s="13"/>
      <c r="K246" s="13" t="s">
        <v>2235</v>
      </c>
      <c r="L246" s="13" t="s">
        <v>623</v>
      </c>
      <c r="M246" s="13"/>
      <c r="N246" s="61" t="s">
        <v>2234</v>
      </c>
      <c r="O246" s="13"/>
      <c r="P246" s="115"/>
      <c r="Q246" s="114"/>
      <c r="R246" s="114"/>
      <c r="S246" s="114"/>
      <c r="T246" s="114"/>
      <c r="U246" s="96"/>
      <c r="V246" s="96"/>
      <c r="W246" s="96"/>
      <c r="X246" s="96"/>
    </row>
    <row r="247" spans="1:26" ht="12.75">
      <c r="A247" s="6">
        <v>246</v>
      </c>
      <c r="B247" s="8" t="s">
        <v>198</v>
      </c>
      <c r="C247" s="8" t="s">
        <v>345</v>
      </c>
      <c r="D247" s="6">
        <v>2</v>
      </c>
      <c r="E247" s="11" t="s">
        <v>629</v>
      </c>
      <c r="F247" s="15" t="s">
        <v>622</v>
      </c>
      <c r="G247" s="92">
        <v>45251</v>
      </c>
      <c r="H247" s="13">
        <v>9.5350731890000002</v>
      </c>
      <c r="I247" s="13">
        <v>125.5581854</v>
      </c>
      <c r="J247" s="13"/>
      <c r="K247" s="13" t="s">
        <v>2235</v>
      </c>
      <c r="L247" s="13" t="s">
        <v>623</v>
      </c>
      <c r="M247" s="13"/>
      <c r="N247" s="61" t="s">
        <v>2234</v>
      </c>
      <c r="O247" s="13"/>
      <c r="P247" s="115"/>
      <c r="Q247" s="114"/>
      <c r="R247" s="114"/>
      <c r="S247" s="114"/>
      <c r="T247" s="114"/>
      <c r="U247" s="96"/>
      <c r="V247" s="96"/>
      <c r="W247" s="96"/>
      <c r="X247" s="96"/>
    </row>
    <row r="248" spans="1:26" ht="12.75">
      <c r="A248" s="6">
        <v>247</v>
      </c>
      <c r="B248" s="8" t="s">
        <v>381</v>
      </c>
      <c r="C248" s="8" t="s">
        <v>2082</v>
      </c>
      <c r="D248" s="6">
        <v>2</v>
      </c>
      <c r="E248" s="11" t="s">
        <v>630</v>
      </c>
      <c r="F248" s="15" t="s">
        <v>622</v>
      </c>
      <c r="G248" s="92">
        <v>45252</v>
      </c>
      <c r="H248" s="13">
        <v>9.6412243830000008</v>
      </c>
      <c r="I248" s="13">
        <v>125.39583500000001</v>
      </c>
      <c r="J248" s="13"/>
      <c r="K248" s="13" t="s">
        <v>2236</v>
      </c>
      <c r="L248" s="13" t="s">
        <v>623</v>
      </c>
      <c r="M248" s="13"/>
      <c r="N248" s="61" t="s">
        <v>2234</v>
      </c>
      <c r="O248" s="13"/>
      <c r="P248" s="115"/>
      <c r="Q248" s="114"/>
      <c r="R248" s="114"/>
      <c r="S248" s="114"/>
      <c r="T248" s="114"/>
      <c r="U248" s="96"/>
      <c r="V248" s="96"/>
      <c r="W248" s="96"/>
      <c r="X248" s="96"/>
    </row>
    <row r="249" spans="1:26" ht="12.75">
      <c r="A249" s="6">
        <v>248</v>
      </c>
      <c r="B249" s="8" t="s">
        <v>381</v>
      </c>
      <c r="C249" s="8" t="s">
        <v>2082</v>
      </c>
      <c r="D249" s="6">
        <v>2</v>
      </c>
      <c r="E249" s="11" t="s">
        <v>632</v>
      </c>
      <c r="F249" s="15" t="s">
        <v>622</v>
      </c>
      <c r="G249" s="92">
        <v>45252</v>
      </c>
      <c r="H249" s="13">
        <v>9.6415168359999992</v>
      </c>
      <c r="I249" s="13">
        <v>125.3955224</v>
      </c>
      <c r="J249" s="13"/>
      <c r="K249" s="13" t="s">
        <v>2236</v>
      </c>
      <c r="L249" s="13" t="s">
        <v>623</v>
      </c>
      <c r="M249" s="13"/>
      <c r="N249" s="61" t="s">
        <v>2234</v>
      </c>
      <c r="O249" s="13"/>
      <c r="P249" s="115"/>
      <c r="Q249" s="114"/>
      <c r="R249" s="114"/>
      <c r="S249" s="114"/>
      <c r="T249" s="114"/>
      <c r="U249" s="96"/>
      <c r="V249" s="96"/>
      <c r="W249" s="96"/>
      <c r="X249" s="96"/>
    </row>
    <row r="250" spans="1:26" ht="12.75">
      <c r="A250" s="6">
        <v>249</v>
      </c>
      <c r="B250" s="8" t="s">
        <v>381</v>
      </c>
      <c r="C250" s="8" t="s">
        <v>2082</v>
      </c>
      <c r="D250" s="6">
        <v>2</v>
      </c>
      <c r="E250" s="11" t="s">
        <v>633</v>
      </c>
      <c r="F250" s="15" t="s">
        <v>622</v>
      </c>
      <c r="G250" s="92">
        <v>45252</v>
      </c>
      <c r="H250" s="13">
        <v>9.6408941949999996</v>
      </c>
      <c r="I250" s="13">
        <v>125.3958956</v>
      </c>
      <c r="J250" s="13"/>
      <c r="K250" s="13" t="s">
        <v>2236</v>
      </c>
      <c r="L250" s="13" t="s">
        <v>623</v>
      </c>
      <c r="M250" s="13"/>
      <c r="N250" s="61" t="s">
        <v>2234</v>
      </c>
      <c r="O250" s="13"/>
      <c r="P250" s="115"/>
      <c r="Q250" s="114"/>
      <c r="R250" s="114"/>
      <c r="S250" s="114"/>
      <c r="T250" s="114"/>
      <c r="U250" s="96"/>
      <c r="V250" s="96"/>
      <c r="W250" s="96"/>
      <c r="X250" s="96"/>
    </row>
    <row r="251" spans="1:26" ht="12.75">
      <c r="A251" s="6">
        <v>250</v>
      </c>
      <c r="B251" s="8" t="s">
        <v>268</v>
      </c>
      <c r="C251" s="8" t="s">
        <v>40</v>
      </c>
      <c r="D251" s="6">
        <v>2</v>
      </c>
      <c r="E251" s="11" t="s">
        <v>634</v>
      </c>
      <c r="F251" s="15" t="s">
        <v>493</v>
      </c>
      <c r="G251" s="230"/>
      <c r="H251" s="230">
        <v>9.7810801600000001</v>
      </c>
      <c r="I251" s="230">
        <v>125.4901878</v>
      </c>
      <c r="J251" s="13"/>
      <c r="K251" s="13"/>
      <c r="L251" s="13" t="s">
        <v>635</v>
      </c>
      <c r="M251" s="13"/>
      <c r="N251" s="13" t="s">
        <v>2037</v>
      </c>
      <c r="O251" s="13"/>
      <c r="P251" s="115"/>
      <c r="Q251" s="114"/>
      <c r="R251" s="114"/>
      <c r="S251" s="114"/>
      <c r="T251" s="114"/>
      <c r="U251" s="96"/>
      <c r="V251" s="96"/>
      <c r="W251" s="96"/>
      <c r="X251" s="96"/>
    </row>
    <row r="252" spans="1:26" ht="12.75">
      <c r="A252" s="6">
        <v>251</v>
      </c>
      <c r="B252" s="8" t="s">
        <v>176</v>
      </c>
      <c r="C252" s="8" t="s">
        <v>210</v>
      </c>
      <c r="D252" s="6">
        <v>1</v>
      </c>
      <c r="E252" s="11" t="s">
        <v>211</v>
      </c>
      <c r="F252" s="15" t="s">
        <v>65</v>
      </c>
      <c r="G252" s="230" t="s">
        <v>508</v>
      </c>
      <c r="H252" s="230" t="s">
        <v>2241</v>
      </c>
      <c r="I252" s="230" t="s">
        <v>2242</v>
      </c>
      <c r="J252" s="13"/>
      <c r="K252" s="13"/>
      <c r="L252" s="13" t="s">
        <v>635</v>
      </c>
      <c r="M252" s="13"/>
      <c r="N252" s="13" t="s">
        <v>2037</v>
      </c>
      <c r="O252" s="13"/>
      <c r="P252" s="115"/>
      <c r="Q252" s="114"/>
      <c r="R252" s="114"/>
      <c r="S252" s="114"/>
      <c r="T252" s="114"/>
      <c r="U252" s="96"/>
      <c r="V252" s="96"/>
      <c r="W252" s="96"/>
      <c r="X252" s="96"/>
    </row>
    <row r="253" spans="1:26" ht="12.75">
      <c r="A253" s="6">
        <v>252</v>
      </c>
      <c r="B253" s="8" t="s">
        <v>140</v>
      </c>
      <c r="C253" s="8" t="s">
        <v>81</v>
      </c>
      <c r="D253" s="6">
        <v>1</v>
      </c>
      <c r="E253" s="11" t="s">
        <v>637</v>
      </c>
      <c r="F253" s="15" t="s">
        <v>65</v>
      </c>
      <c r="G253" s="230"/>
      <c r="H253" s="230" t="s">
        <v>2244</v>
      </c>
      <c r="I253" s="230" t="s">
        <v>2245</v>
      </c>
      <c r="J253" s="13"/>
      <c r="K253" s="13" t="s">
        <v>508</v>
      </c>
      <c r="L253" s="13" t="s">
        <v>635</v>
      </c>
      <c r="M253" s="13"/>
      <c r="N253" s="13" t="s">
        <v>2037</v>
      </c>
      <c r="O253" s="92"/>
      <c r="P253" s="204"/>
      <c r="Q253" s="114"/>
      <c r="R253" s="114"/>
      <c r="S253" s="114"/>
      <c r="T253" s="114"/>
      <c r="U253" s="96"/>
      <c r="V253" s="96"/>
      <c r="W253" s="96"/>
      <c r="X253" s="96"/>
    </row>
    <row r="254" spans="1:26" ht="12.75">
      <c r="A254" s="6">
        <v>253</v>
      </c>
      <c r="B254" s="8" t="s">
        <v>196</v>
      </c>
      <c r="C254" s="8" t="s">
        <v>241</v>
      </c>
      <c r="D254" s="6">
        <v>1</v>
      </c>
      <c r="E254" s="11" t="s">
        <v>638</v>
      </c>
      <c r="F254" s="15" t="s">
        <v>65</v>
      </c>
      <c r="G254" s="230"/>
      <c r="H254" s="230">
        <v>9.61829687</v>
      </c>
      <c r="I254" s="230">
        <v>125.965974</v>
      </c>
      <c r="J254" s="13"/>
      <c r="K254" s="13"/>
      <c r="L254" s="13" t="s">
        <v>635</v>
      </c>
      <c r="M254" s="13"/>
      <c r="N254" s="13" t="s">
        <v>2037</v>
      </c>
      <c r="O254" s="13"/>
      <c r="P254" s="115"/>
      <c r="Q254" s="114"/>
      <c r="R254" s="114"/>
      <c r="S254" s="114"/>
      <c r="T254" s="114"/>
      <c r="U254" s="96"/>
      <c r="V254" s="96"/>
      <c r="W254" s="96"/>
      <c r="X254" s="96"/>
    </row>
    <row r="255" spans="1:26" ht="12.75">
      <c r="A255" s="6">
        <v>254</v>
      </c>
      <c r="B255" s="8" t="s">
        <v>67</v>
      </c>
      <c r="C255" s="8" t="s">
        <v>347</v>
      </c>
      <c r="D255" s="6">
        <v>1</v>
      </c>
      <c r="E255" s="11" t="s">
        <v>69</v>
      </c>
      <c r="F255" s="15" t="s">
        <v>65</v>
      </c>
      <c r="G255" s="230"/>
      <c r="H255" s="230">
        <v>9.756281457</v>
      </c>
      <c r="I255" s="230">
        <v>126.053088</v>
      </c>
      <c r="J255" s="13"/>
      <c r="K255" s="13"/>
      <c r="L255" s="13" t="s">
        <v>635</v>
      </c>
      <c r="M255" s="13"/>
      <c r="N255" s="13" t="s">
        <v>2037</v>
      </c>
      <c r="O255" s="13"/>
      <c r="P255" s="115"/>
      <c r="Q255" s="114"/>
      <c r="R255" s="114"/>
      <c r="S255" s="114"/>
      <c r="T255" s="114"/>
      <c r="U255" s="96"/>
      <c r="V255" s="96"/>
      <c r="W255" s="96"/>
      <c r="X255" s="96"/>
    </row>
    <row r="256" spans="1:26" ht="12.75">
      <c r="A256" s="6">
        <v>255</v>
      </c>
      <c r="B256" s="8" t="s">
        <v>81</v>
      </c>
      <c r="C256" s="8" t="s">
        <v>2247</v>
      </c>
      <c r="D256" s="6">
        <v>1</v>
      </c>
      <c r="E256" s="11" t="s">
        <v>639</v>
      </c>
      <c r="F256" s="15" t="s">
        <v>65</v>
      </c>
      <c r="G256" s="230"/>
      <c r="H256" s="230" t="s">
        <v>2249</v>
      </c>
      <c r="I256" s="230" t="s">
        <v>2250</v>
      </c>
      <c r="J256" s="13"/>
      <c r="K256" s="13"/>
      <c r="L256" s="13" t="s">
        <v>635</v>
      </c>
      <c r="M256" s="13"/>
      <c r="N256" s="13" t="s">
        <v>2037</v>
      </c>
      <c r="O256" s="13"/>
      <c r="P256" s="115"/>
      <c r="Q256" s="114"/>
      <c r="R256" s="114"/>
      <c r="S256" s="114"/>
      <c r="T256" s="114"/>
      <c r="U256" s="96"/>
      <c r="V256" s="96"/>
      <c r="W256" s="96"/>
      <c r="X256" s="96"/>
    </row>
    <row r="257" spans="1:24" ht="12.75">
      <c r="A257" s="6">
        <v>256</v>
      </c>
      <c r="B257" s="8" t="s">
        <v>113</v>
      </c>
      <c r="C257" s="8" t="s">
        <v>286</v>
      </c>
      <c r="D257" s="6">
        <v>1</v>
      </c>
      <c r="E257" s="11" t="s">
        <v>287</v>
      </c>
      <c r="F257" s="15" t="s">
        <v>155</v>
      </c>
      <c r="G257" s="13"/>
      <c r="H257" s="13">
        <v>9.8312919999999995</v>
      </c>
      <c r="I257" s="13">
        <v>126.093654</v>
      </c>
      <c r="J257" s="13"/>
      <c r="K257" s="13"/>
      <c r="L257" s="13" t="s">
        <v>635</v>
      </c>
      <c r="M257" s="13"/>
      <c r="N257" s="13" t="s">
        <v>2037</v>
      </c>
      <c r="O257" s="13"/>
      <c r="P257" s="115"/>
      <c r="Q257" s="119"/>
      <c r="R257" s="128" t="s">
        <v>1428</v>
      </c>
      <c r="S257" s="231" t="s">
        <v>2254</v>
      </c>
      <c r="T257" s="119"/>
      <c r="U257" s="96"/>
      <c r="V257" s="96"/>
      <c r="W257" s="96"/>
      <c r="X257" s="96"/>
    </row>
    <row r="258" spans="1:24" ht="15">
      <c r="A258" s="6">
        <v>257</v>
      </c>
      <c r="B258" s="8" t="s">
        <v>79</v>
      </c>
      <c r="C258" s="8" t="s">
        <v>1665</v>
      </c>
      <c r="D258" s="6">
        <v>1</v>
      </c>
      <c r="E258" s="11" t="s">
        <v>643</v>
      </c>
      <c r="F258" s="15" t="s">
        <v>155</v>
      </c>
      <c r="G258" s="232"/>
      <c r="H258" s="232" t="s">
        <v>2256</v>
      </c>
      <c r="I258" s="232" t="s">
        <v>2257</v>
      </c>
      <c r="J258" s="13"/>
      <c r="K258" s="13"/>
      <c r="L258" s="13" t="s">
        <v>635</v>
      </c>
      <c r="M258" s="13"/>
      <c r="N258" s="13" t="s">
        <v>2037</v>
      </c>
      <c r="O258" s="233"/>
      <c r="P258" s="204"/>
      <c r="Q258" s="114"/>
      <c r="R258" s="114"/>
      <c r="S258" s="231" t="s">
        <v>2258</v>
      </c>
      <c r="T258" s="23"/>
      <c r="U258" s="96"/>
      <c r="V258" s="96"/>
      <c r="W258" s="96"/>
      <c r="X258" s="96"/>
    </row>
    <row r="259" spans="1:24" ht="12.75">
      <c r="A259" s="6">
        <v>258</v>
      </c>
      <c r="B259" s="8" t="s">
        <v>165</v>
      </c>
      <c r="C259" s="8" t="s">
        <v>29</v>
      </c>
      <c r="D259" s="6">
        <v>1</v>
      </c>
      <c r="E259" s="11" t="s">
        <v>425</v>
      </c>
      <c r="F259" s="15" t="s">
        <v>155</v>
      </c>
      <c r="G259" s="234"/>
      <c r="H259" s="234" t="s">
        <v>2261</v>
      </c>
      <c r="I259" s="234" t="s">
        <v>2262</v>
      </c>
      <c r="J259" s="13"/>
      <c r="K259" s="13"/>
      <c r="L259" s="13" t="s">
        <v>635</v>
      </c>
      <c r="M259" s="13"/>
      <c r="N259" s="13" t="s">
        <v>2037</v>
      </c>
      <c r="O259" s="13"/>
      <c r="P259" s="115"/>
      <c r="Q259" s="114"/>
      <c r="R259" s="128" t="s">
        <v>1428</v>
      </c>
      <c r="S259" s="231" t="s">
        <v>2263</v>
      </c>
      <c r="T259" s="23"/>
      <c r="U259" s="96"/>
      <c r="V259" s="96"/>
      <c r="W259" s="96"/>
      <c r="X259" s="96"/>
    </row>
    <row r="260" spans="1:24" ht="12.75">
      <c r="A260" s="6">
        <v>259</v>
      </c>
      <c r="B260" s="8" t="s">
        <v>229</v>
      </c>
      <c r="C260" s="8" t="s">
        <v>191</v>
      </c>
      <c r="D260" s="6">
        <v>2</v>
      </c>
      <c r="E260" s="11" t="s">
        <v>646</v>
      </c>
      <c r="F260" s="15" t="s">
        <v>31</v>
      </c>
      <c r="G260" s="92">
        <v>45398</v>
      </c>
      <c r="H260" s="13">
        <v>9.7773416290000004</v>
      </c>
      <c r="I260" s="13">
        <v>125.421221</v>
      </c>
      <c r="J260" s="13"/>
      <c r="K260" s="13" t="s">
        <v>2265</v>
      </c>
      <c r="L260" s="13" t="s">
        <v>649</v>
      </c>
      <c r="M260" s="13"/>
      <c r="N260" s="13" t="s">
        <v>2037</v>
      </c>
      <c r="O260" s="13"/>
      <c r="P260" s="115"/>
      <c r="Q260" s="114"/>
      <c r="R260" s="114"/>
      <c r="S260" s="114"/>
      <c r="T260" s="114"/>
      <c r="U260" s="96"/>
      <c r="V260" s="96"/>
      <c r="W260" s="96"/>
      <c r="X260" s="96"/>
    </row>
    <row r="261" spans="1:24" ht="12.75">
      <c r="A261" s="6">
        <v>260</v>
      </c>
      <c r="B261" s="8" t="s">
        <v>229</v>
      </c>
      <c r="C261" s="8" t="s">
        <v>191</v>
      </c>
      <c r="D261" s="6">
        <v>2</v>
      </c>
      <c r="E261" s="11" t="s">
        <v>651</v>
      </c>
      <c r="F261" s="15" t="s">
        <v>31</v>
      </c>
      <c r="G261" s="92">
        <v>45398</v>
      </c>
      <c r="H261" s="13">
        <v>9.7772014499999997</v>
      </c>
      <c r="I261" s="13">
        <v>125.42133010000001</v>
      </c>
      <c r="J261" s="13"/>
      <c r="K261" s="13" t="s">
        <v>2265</v>
      </c>
      <c r="L261" s="13" t="s">
        <v>649</v>
      </c>
      <c r="M261" s="13"/>
      <c r="N261" s="13" t="s">
        <v>2037</v>
      </c>
      <c r="O261" s="13"/>
      <c r="P261" s="115"/>
      <c r="Q261" s="114"/>
      <c r="R261" s="114"/>
      <c r="S261" s="114"/>
      <c r="T261" s="114"/>
      <c r="U261" s="96"/>
      <c r="V261" s="96"/>
      <c r="W261" s="96"/>
      <c r="X261" s="96"/>
    </row>
    <row r="262" spans="1:24" ht="12.75">
      <c r="A262" s="6">
        <v>261</v>
      </c>
      <c r="B262" s="8" t="s">
        <v>196</v>
      </c>
      <c r="C262" s="8" t="s">
        <v>2266</v>
      </c>
      <c r="D262" s="6">
        <v>1</v>
      </c>
      <c r="E262" s="11" t="s">
        <v>653</v>
      </c>
      <c r="F262" s="15" t="s">
        <v>155</v>
      </c>
      <c r="G262" s="92">
        <v>45442</v>
      </c>
      <c r="H262" s="13">
        <v>9.6853602629999997</v>
      </c>
      <c r="I262" s="13">
        <v>125.9764958</v>
      </c>
      <c r="J262" s="13"/>
      <c r="K262" s="13" t="s">
        <v>2267</v>
      </c>
      <c r="L262" s="13" t="s">
        <v>649</v>
      </c>
      <c r="M262" s="13"/>
      <c r="N262" s="13" t="s">
        <v>2037</v>
      </c>
      <c r="O262" s="13"/>
      <c r="P262" s="115"/>
      <c r="Q262" s="114"/>
      <c r="R262" s="114"/>
      <c r="S262" s="114"/>
      <c r="T262" s="114"/>
      <c r="U262" s="96"/>
      <c r="V262" s="96"/>
      <c r="W262" s="96"/>
      <c r="X262" s="96"/>
    </row>
    <row r="263" spans="1:24" ht="12.75">
      <c r="A263" s="6">
        <v>262</v>
      </c>
      <c r="B263" s="8" t="s">
        <v>196</v>
      </c>
      <c r="C263" s="8" t="s">
        <v>2266</v>
      </c>
      <c r="D263" s="6">
        <v>1</v>
      </c>
      <c r="E263" s="11" t="s">
        <v>658</v>
      </c>
      <c r="F263" s="15" t="s">
        <v>155</v>
      </c>
      <c r="G263" s="92">
        <v>45442</v>
      </c>
      <c r="H263" s="13">
        <v>9.6855506289999997</v>
      </c>
      <c r="I263" s="13">
        <v>125.97638860000001</v>
      </c>
      <c r="J263" s="13"/>
      <c r="K263" s="13" t="s">
        <v>2267</v>
      </c>
      <c r="L263" s="13" t="s">
        <v>649</v>
      </c>
      <c r="M263" s="13"/>
      <c r="N263" s="13" t="s">
        <v>2037</v>
      </c>
      <c r="O263" s="13"/>
      <c r="P263" s="115"/>
      <c r="Q263" s="114"/>
      <c r="R263" s="114"/>
      <c r="S263" s="114"/>
      <c r="T263" s="114"/>
      <c r="U263" s="96"/>
      <c r="V263" s="96"/>
      <c r="W263" s="96"/>
      <c r="X263" s="96"/>
    </row>
    <row r="264" spans="1:24" ht="12.75">
      <c r="A264" s="6">
        <v>263</v>
      </c>
      <c r="B264" s="8" t="s">
        <v>291</v>
      </c>
      <c r="C264" s="8" t="s">
        <v>2268</v>
      </c>
      <c r="D264" s="6">
        <v>2</v>
      </c>
      <c r="E264" s="11" t="s">
        <v>659</v>
      </c>
      <c r="F264" s="15" t="s">
        <v>155</v>
      </c>
      <c r="G264" s="13"/>
      <c r="H264" s="13">
        <v>9.7137630000000001</v>
      </c>
      <c r="I264" s="13">
        <v>125.65514400000001</v>
      </c>
      <c r="J264" s="13"/>
      <c r="K264" s="13" t="s">
        <v>2269</v>
      </c>
      <c r="L264" s="13" t="s">
        <v>649</v>
      </c>
      <c r="M264" s="13"/>
      <c r="N264" s="13" t="s">
        <v>2037</v>
      </c>
      <c r="O264" s="13"/>
      <c r="P264" s="115"/>
      <c r="Q264" s="114"/>
      <c r="R264" s="114"/>
      <c r="S264" s="114"/>
      <c r="T264" s="114"/>
      <c r="U264" s="96"/>
      <c r="V264" s="96"/>
      <c r="W264" s="96"/>
      <c r="X264" s="96"/>
    </row>
    <row r="265" spans="1:24" ht="12.75">
      <c r="A265" s="6">
        <v>264</v>
      </c>
      <c r="B265" s="8" t="s">
        <v>291</v>
      </c>
      <c r="C265" s="8" t="s">
        <v>2268</v>
      </c>
      <c r="D265" s="6">
        <v>2</v>
      </c>
      <c r="E265" s="11" t="s">
        <v>661</v>
      </c>
      <c r="F265" s="15" t="s">
        <v>155</v>
      </c>
      <c r="G265" s="13"/>
      <c r="H265" s="13">
        <v>9.7138059440000006</v>
      </c>
      <c r="I265" s="13">
        <v>125.655213</v>
      </c>
      <c r="J265" s="13"/>
      <c r="K265" s="13" t="s">
        <v>2269</v>
      </c>
      <c r="L265" s="13" t="s">
        <v>649</v>
      </c>
      <c r="M265" s="13"/>
      <c r="N265" s="13" t="s">
        <v>2037</v>
      </c>
      <c r="O265" s="13"/>
      <c r="P265" s="115"/>
      <c r="Q265" s="114"/>
      <c r="R265" s="114"/>
      <c r="S265" s="114"/>
      <c r="T265" s="114"/>
      <c r="U265" s="96"/>
      <c r="V265" s="96"/>
      <c r="W265" s="96"/>
      <c r="X265" s="96"/>
    </row>
    <row r="266" spans="1:24" ht="12.75">
      <c r="A266" s="6">
        <v>265</v>
      </c>
      <c r="B266" s="8" t="s">
        <v>67</v>
      </c>
      <c r="C266" s="8" t="s">
        <v>76</v>
      </c>
      <c r="D266" s="6">
        <v>1</v>
      </c>
      <c r="E266" s="11" t="s">
        <v>662</v>
      </c>
      <c r="F266" s="15" t="s">
        <v>408</v>
      </c>
      <c r="G266" s="13"/>
      <c r="H266" s="13"/>
      <c r="I266" s="13"/>
      <c r="J266" s="13"/>
      <c r="K266" s="13"/>
      <c r="L266" s="13" t="s">
        <v>663</v>
      </c>
      <c r="M266" s="13"/>
      <c r="N266" s="13"/>
      <c r="O266" s="13"/>
      <c r="P266" s="115"/>
      <c r="Q266" s="114"/>
      <c r="R266" s="114"/>
      <c r="S266" s="128" t="s">
        <v>346</v>
      </c>
      <c r="T266" s="119"/>
      <c r="U266" s="96"/>
      <c r="V266" s="96"/>
      <c r="W266" s="96"/>
      <c r="X266" s="96"/>
    </row>
    <row r="267" spans="1:24" ht="12.75">
      <c r="A267" s="6">
        <v>266</v>
      </c>
      <c r="B267" s="8" t="s">
        <v>268</v>
      </c>
      <c r="C267" s="8" t="s">
        <v>35</v>
      </c>
      <c r="D267" s="6">
        <v>2</v>
      </c>
      <c r="E267" s="11" t="s">
        <v>664</v>
      </c>
      <c r="F267" s="15" t="s">
        <v>408</v>
      </c>
      <c r="G267" s="13"/>
      <c r="H267" s="13"/>
      <c r="I267" s="13"/>
      <c r="J267" s="13"/>
      <c r="K267" s="13"/>
      <c r="L267" s="13" t="s">
        <v>663</v>
      </c>
      <c r="M267" s="13"/>
      <c r="N267" s="13"/>
      <c r="O267" s="13"/>
      <c r="P267" s="115"/>
      <c r="Q267" s="114"/>
      <c r="R267" s="114"/>
      <c r="S267" s="128" t="s">
        <v>346</v>
      </c>
      <c r="T267" s="119"/>
      <c r="U267" s="96"/>
      <c r="V267" s="96"/>
      <c r="W267" s="96"/>
      <c r="X267" s="96"/>
    </row>
    <row r="268" spans="1:24" ht="38.25">
      <c r="A268" s="6">
        <v>267</v>
      </c>
      <c r="B268" s="4" t="s">
        <v>67</v>
      </c>
      <c r="C268" s="4" t="s">
        <v>308</v>
      </c>
      <c r="D268" s="6">
        <v>1</v>
      </c>
      <c r="E268" s="7" t="s">
        <v>310</v>
      </c>
      <c r="F268" s="13" t="s">
        <v>666</v>
      </c>
      <c r="G268" s="92">
        <v>45757</v>
      </c>
      <c r="H268" s="13">
        <v>9.76106257</v>
      </c>
      <c r="I268" s="13">
        <v>126.0127461</v>
      </c>
      <c r="J268" s="97" t="s">
        <v>2271</v>
      </c>
      <c r="K268" s="97" t="s">
        <v>2272</v>
      </c>
      <c r="L268" s="13" t="s">
        <v>311</v>
      </c>
      <c r="M268" s="13"/>
      <c r="N268" s="13" t="s">
        <v>199</v>
      </c>
      <c r="O268" s="93">
        <v>45951.410162037035</v>
      </c>
      <c r="P268" s="115"/>
      <c r="Q268" s="114"/>
      <c r="R268" s="527" t="s">
        <v>1428</v>
      </c>
      <c r="S268" s="527" t="s">
        <v>386</v>
      </c>
      <c r="T268" s="527" t="s">
        <v>386</v>
      </c>
      <c r="U268" s="96"/>
      <c r="V268" s="96"/>
      <c r="W268" s="96"/>
      <c r="X268" s="96"/>
    </row>
    <row r="269" spans="1:24" ht="38.25">
      <c r="A269" s="6">
        <v>268</v>
      </c>
      <c r="B269" s="4" t="s">
        <v>67</v>
      </c>
      <c r="C269" s="4" t="s">
        <v>308</v>
      </c>
      <c r="D269" s="6">
        <v>1</v>
      </c>
      <c r="E269" s="7" t="s">
        <v>314</v>
      </c>
      <c r="F269" s="13" t="s">
        <v>666</v>
      </c>
      <c r="G269" s="92">
        <v>45775</v>
      </c>
      <c r="H269" s="13">
        <v>9.7612396599999993</v>
      </c>
      <c r="I269" s="13">
        <v>126.01277949999999</v>
      </c>
      <c r="J269" s="97" t="s">
        <v>2275</v>
      </c>
      <c r="K269" s="97" t="s">
        <v>2276</v>
      </c>
      <c r="L269" s="13" t="s">
        <v>311</v>
      </c>
      <c r="M269" s="13"/>
      <c r="N269" s="13" t="s">
        <v>199</v>
      </c>
      <c r="O269" s="93">
        <v>45951.408993055556</v>
      </c>
      <c r="P269" s="115"/>
      <c r="Q269" s="114"/>
      <c r="R269" s="512"/>
      <c r="S269" s="512"/>
      <c r="T269" s="512"/>
      <c r="U269" s="96"/>
      <c r="V269" s="96"/>
      <c r="W269" s="96"/>
      <c r="X269" s="96"/>
    </row>
    <row r="270" spans="1:24" ht="38.25">
      <c r="A270" s="6">
        <v>269</v>
      </c>
      <c r="B270" s="4" t="s">
        <v>67</v>
      </c>
      <c r="C270" s="4" t="s">
        <v>308</v>
      </c>
      <c r="D270" s="6">
        <v>1</v>
      </c>
      <c r="E270" s="7" t="s">
        <v>317</v>
      </c>
      <c r="F270" s="13" t="s">
        <v>374</v>
      </c>
      <c r="G270" s="92">
        <v>45776</v>
      </c>
      <c r="H270" s="13">
        <v>9.7610137699999999</v>
      </c>
      <c r="I270" s="13">
        <v>126.0129905</v>
      </c>
      <c r="J270" s="97" t="s">
        <v>2277</v>
      </c>
      <c r="K270" s="97" t="s">
        <v>2278</v>
      </c>
      <c r="L270" s="13" t="s">
        <v>311</v>
      </c>
      <c r="M270" s="13"/>
      <c r="N270" s="13" t="s">
        <v>199</v>
      </c>
      <c r="O270" s="93">
        <v>45951.412743055553</v>
      </c>
      <c r="P270" s="115"/>
      <c r="Q270" s="114"/>
      <c r="R270" s="128" t="s">
        <v>1428</v>
      </c>
      <c r="S270" s="128" t="s">
        <v>386</v>
      </c>
      <c r="T270" s="119"/>
      <c r="U270" s="96"/>
      <c r="V270" s="96"/>
      <c r="W270" s="96"/>
      <c r="X270" s="96"/>
    </row>
    <row r="271" spans="1:24" ht="38.25">
      <c r="A271" s="6">
        <v>270</v>
      </c>
      <c r="B271" s="4" t="s">
        <v>81</v>
      </c>
      <c r="C271" s="4" t="s">
        <v>320</v>
      </c>
      <c r="D271" s="6">
        <v>1</v>
      </c>
      <c r="E271" s="7" t="s">
        <v>323</v>
      </c>
      <c r="F271" s="13" t="s">
        <v>668</v>
      </c>
      <c r="G271" s="92">
        <v>45777</v>
      </c>
      <c r="H271" s="13">
        <v>9.8565553300000008</v>
      </c>
      <c r="I271" s="13">
        <v>126.0160595</v>
      </c>
      <c r="J271" s="97" t="s">
        <v>2279</v>
      </c>
      <c r="K271" s="97" t="s">
        <v>2281</v>
      </c>
      <c r="L271" s="13" t="s">
        <v>311</v>
      </c>
      <c r="M271" s="13"/>
      <c r="N271" s="13" t="s">
        <v>89</v>
      </c>
      <c r="O271" s="93"/>
      <c r="P271" s="115"/>
      <c r="Q271" s="114"/>
      <c r="R271" s="527" t="s">
        <v>1428</v>
      </c>
      <c r="S271" s="527" t="s">
        <v>386</v>
      </c>
      <c r="T271" s="119"/>
      <c r="U271" s="96"/>
      <c r="V271" s="96"/>
      <c r="W271" s="96"/>
      <c r="X271" s="96"/>
    </row>
    <row r="272" spans="1:24" ht="38.25">
      <c r="A272" s="6">
        <v>271</v>
      </c>
      <c r="B272" s="4" t="s">
        <v>81</v>
      </c>
      <c r="C272" s="4" t="s">
        <v>320</v>
      </c>
      <c r="D272" s="6">
        <v>1</v>
      </c>
      <c r="E272" s="7" t="s">
        <v>324</v>
      </c>
      <c r="F272" s="13" t="s">
        <v>668</v>
      </c>
      <c r="G272" s="92">
        <v>45777</v>
      </c>
      <c r="H272" s="13">
        <v>9.8571457500000008</v>
      </c>
      <c r="I272" s="13">
        <v>126.0161797</v>
      </c>
      <c r="J272" s="97" t="s">
        <v>2283</v>
      </c>
      <c r="K272" s="97" t="s">
        <v>2284</v>
      </c>
      <c r="L272" s="13" t="s">
        <v>311</v>
      </c>
      <c r="M272" s="13"/>
      <c r="N272" s="13" t="s">
        <v>89</v>
      </c>
      <c r="O272" s="93"/>
      <c r="P272" s="115"/>
      <c r="Q272" s="114"/>
      <c r="R272" s="511"/>
      <c r="S272" s="511"/>
      <c r="T272" s="119"/>
      <c r="U272" s="96"/>
      <c r="V272" s="96"/>
      <c r="W272" s="96"/>
      <c r="X272" s="96"/>
    </row>
    <row r="273" spans="1:24" ht="38.25">
      <c r="A273" s="6">
        <v>272</v>
      </c>
      <c r="B273" s="4" t="s">
        <v>81</v>
      </c>
      <c r="C273" s="4" t="s">
        <v>320</v>
      </c>
      <c r="D273" s="6">
        <v>1</v>
      </c>
      <c r="E273" s="7" t="s">
        <v>326</v>
      </c>
      <c r="F273" s="13" t="s">
        <v>668</v>
      </c>
      <c r="G273" s="92">
        <v>45777</v>
      </c>
      <c r="H273" s="13">
        <v>9.8570362800000009</v>
      </c>
      <c r="I273" s="13">
        <v>126.01611149999999</v>
      </c>
      <c r="J273" s="97" t="s">
        <v>2286</v>
      </c>
      <c r="K273" s="97" t="s">
        <v>2287</v>
      </c>
      <c r="L273" s="13" t="s">
        <v>311</v>
      </c>
      <c r="M273" s="13"/>
      <c r="N273" s="13" t="s">
        <v>89</v>
      </c>
      <c r="O273" s="93"/>
      <c r="P273" s="115"/>
      <c r="Q273" s="114"/>
      <c r="R273" s="511"/>
      <c r="S273" s="511"/>
      <c r="T273" s="119"/>
      <c r="U273" s="96"/>
      <c r="V273" s="96"/>
      <c r="W273" s="96"/>
      <c r="X273" s="96"/>
    </row>
    <row r="274" spans="1:24" ht="38.25">
      <c r="A274" s="6">
        <v>273</v>
      </c>
      <c r="B274" s="4" t="s">
        <v>81</v>
      </c>
      <c r="C274" s="4" t="s">
        <v>320</v>
      </c>
      <c r="D274" s="6">
        <v>1</v>
      </c>
      <c r="E274" s="7" t="s">
        <v>329</v>
      </c>
      <c r="F274" s="13" t="s">
        <v>668</v>
      </c>
      <c r="G274" s="92">
        <v>45777</v>
      </c>
      <c r="H274" s="13">
        <v>9.8567242099999994</v>
      </c>
      <c r="I274" s="13">
        <v>126.0159702</v>
      </c>
      <c r="J274" s="97" t="s">
        <v>2288</v>
      </c>
      <c r="K274" s="97" t="s">
        <v>2289</v>
      </c>
      <c r="L274" s="13" t="s">
        <v>311</v>
      </c>
      <c r="M274" s="13"/>
      <c r="N274" s="13" t="s">
        <v>89</v>
      </c>
      <c r="O274" s="93"/>
      <c r="P274" s="115"/>
      <c r="Q274" s="114"/>
      <c r="R274" s="512"/>
      <c r="S274" s="512"/>
      <c r="T274" s="119"/>
      <c r="U274" s="96"/>
      <c r="V274" s="96"/>
      <c r="W274" s="96"/>
      <c r="X274" s="96"/>
    </row>
    <row r="275" spans="1:24" ht="38.25">
      <c r="A275" s="6">
        <v>274</v>
      </c>
      <c r="B275" s="4" t="s">
        <v>67</v>
      </c>
      <c r="C275" s="4" t="s">
        <v>331</v>
      </c>
      <c r="D275" s="6">
        <v>1</v>
      </c>
      <c r="E275" s="7" t="s">
        <v>335</v>
      </c>
      <c r="F275" s="13" t="s">
        <v>666</v>
      </c>
      <c r="G275" s="92">
        <v>45758</v>
      </c>
      <c r="H275" s="13">
        <v>9.7161117200000007</v>
      </c>
      <c r="I275" s="13">
        <v>126.06116590000001</v>
      </c>
      <c r="J275" s="97" t="s">
        <v>2290</v>
      </c>
      <c r="K275" s="97" t="s">
        <v>2291</v>
      </c>
      <c r="L275" s="13" t="s">
        <v>311</v>
      </c>
      <c r="M275" s="13"/>
      <c r="N275" s="13" t="s">
        <v>89</v>
      </c>
      <c r="O275" s="93"/>
      <c r="P275" s="115"/>
      <c r="Q275" s="114"/>
      <c r="R275" s="527" t="s">
        <v>1428</v>
      </c>
      <c r="S275" s="527" t="s">
        <v>386</v>
      </c>
      <c r="T275" s="527" t="s">
        <v>2292</v>
      </c>
      <c r="U275" s="522"/>
      <c r="V275" s="96"/>
      <c r="W275" s="96"/>
      <c r="X275" s="96"/>
    </row>
    <row r="276" spans="1:24" ht="38.25">
      <c r="A276" s="6">
        <v>275</v>
      </c>
      <c r="B276" s="4" t="s">
        <v>67</v>
      </c>
      <c r="C276" s="4" t="s">
        <v>331</v>
      </c>
      <c r="D276" s="6">
        <v>1</v>
      </c>
      <c r="E276" s="7" t="s">
        <v>337</v>
      </c>
      <c r="F276" s="13" t="s">
        <v>666</v>
      </c>
      <c r="G276" s="92">
        <v>45780</v>
      </c>
      <c r="H276" s="13">
        <v>9.7158870499999992</v>
      </c>
      <c r="I276" s="13">
        <v>126.06362660000001</v>
      </c>
      <c r="J276" s="97" t="s">
        <v>2293</v>
      </c>
      <c r="K276" s="97" t="s">
        <v>2294</v>
      </c>
      <c r="L276" s="13" t="s">
        <v>311</v>
      </c>
      <c r="M276" s="13"/>
      <c r="N276" s="13" t="s">
        <v>89</v>
      </c>
      <c r="O276" s="93"/>
      <c r="P276" s="115"/>
      <c r="Q276" s="114"/>
      <c r="R276" s="512"/>
      <c r="S276" s="512"/>
      <c r="T276" s="512"/>
      <c r="U276" s="512"/>
      <c r="V276" s="96"/>
      <c r="W276" s="96"/>
      <c r="X276" s="96"/>
    </row>
    <row r="277" spans="1:24" ht="38.25">
      <c r="A277" s="6">
        <v>276</v>
      </c>
      <c r="B277" s="4" t="s">
        <v>67</v>
      </c>
      <c r="C277" s="4" t="s">
        <v>331</v>
      </c>
      <c r="D277" s="6">
        <v>1</v>
      </c>
      <c r="E277" s="7" t="s">
        <v>341</v>
      </c>
      <c r="F277" s="13" t="s">
        <v>374</v>
      </c>
      <c r="G277" s="92">
        <v>45780</v>
      </c>
      <c r="H277" s="13">
        <v>9.7154174500000003</v>
      </c>
      <c r="I277" s="13">
        <v>126.06158670000001</v>
      </c>
      <c r="J277" s="97" t="s">
        <v>2295</v>
      </c>
      <c r="K277" s="97" t="s">
        <v>2296</v>
      </c>
      <c r="L277" s="13" t="s">
        <v>311</v>
      </c>
      <c r="M277" s="13"/>
      <c r="N277" s="13" t="s">
        <v>89</v>
      </c>
      <c r="O277" s="93"/>
      <c r="P277" s="115"/>
      <c r="Q277" s="114"/>
      <c r="R277" s="527" t="s">
        <v>1428</v>
      </c>
      <c r="S277" s="527" t="s">
        <v>386</v>
      </c>
      <c r="T277" s="119"/>
      <c r="U277" s="96"/>
      <c r="V277" s="96"/>
      <c r="W277" s="96"/>
      <c r="X277" s="96"/>
    </row>
    <row r="278" spans="1:24" ht="38.25">
      <c r="A278" s="6">
        <v>277</v>
      </c>
      <c r="B278" s="4" t="s">
        <v>67</v>
      </c>
      <c r="C278" s="4" t="s">
        <v>331</v>
      </c>
      <c r="D278" s="6">
        <v>1</v>
      </c>
      <c r="E278" s="7" t="s">
        <v>343</v>
      </c>
      <c r="F278" s="13" t="s">
        <v>374</v>
      </c>
      <c r="G278" s="92">
        <v>45780</v>
      </c>
      <c r="H278" s="13">
        <v>9.7156800400000005</v>
      </c>
      <c r="I278" s="13">
        <v>126.0616971</v>
      </c>
      <c r="J278" s="97" t="s">
        <v>2297</v>
      </c>
      <c r="K278" s="97" t="s">
        <v>2298</v>
      </c>
      <c r="L278" s="13" t="s">
        <v>311</v>
      </c>
      <c r="M278" s="13"/>
      <c r="N278" s="13" t="s">
        <v>89</v>
      </c>
      <c r="O278" s="93"/>
      <c r="P278" s="115"/>
      <c r="Q278" s="114"/>
      <c r="R278" s="512"/>
      <c r="S278" s="512"/>
      <c r="T278" s="119"/>
      <c r="U278" s="96"/>
      <c r="V278" s="96"/>
      <c r="W278" s="96"/>
      <c r="X278" s="96"/>
    </row>
    <row r="279" spans="1:24" ht="38.25">
      <c r="A279" s="6">
        <v>278</v>
      </c>
      <c r="B279" s="61" t="s">
        <v>381</v>
      </c>
      <c r="C279" s="61" t="s">
        <v>466</v>
      </c>
      <c r="D279" s="61">
        <v>2</v>
      </c>
      <c r="E279" s="54" t="s">
        <v>467</v>
      </c>
      <c r="F279" s="97" t="s">
        <v>553</v>
      </c>
      <c r="G279" s="92">
        <v>45889</v>
      </c>
      <c r="H279" s="13">
        <v>9.6230820000000001</v>
      </c>
      <c r="I279" s="13">
        <v>125.40059100000001</v>
      </c>
      <c r="J279" s="97" t="s">
        <v>2299</v>
      </c>
      <c r="K279" s="97" t="s">
        <v>2091</v>
      </c>
      <c r="L279" s="13" t="s">
        <v>350</v>
      </c>
      <c r="M279" s="13"/>
      <c r="N279" s="13" t="s">
        <v>89</v>
      </c>
      <c r="O279" s="172"/>
      <c r="P279" s="115"/>
      <c r="Q279" s="114"/>
      <c r="R279" s="128" t="s">
        <v>1428</v>
      </c>
      <c r="S279" s="119"/>
      <c r="T279" s="119"/>
      <c r="U279" s="96"/>
      <c r="V279" s="96"/>
      <c r="W279" s="96"/>
      <c r="X279" s="96"/>
    </row>
    <row r="280" spans="1:24" ht="38.25">
      <c r="A280" s="6">
        <v>279</v>
      </c>
      <c r="B280" s="61" t="s">
        <v>381</v>
      </c>
      <c r="C280" s="61" t="s">
        <v>466</v>
      </c>
      <c r="D280" s="61">
        <v>2</v>
      </c>
      <c r="E280" s="54" t="s">
        <v>469</v>
      </c>
      <c r="F280" s="97" t="s">
        <v>374</v>
      </c>
      <c r="G280" s="92">
        <v>45903</v>
      </c>
      <c r="H280" s="13">
        <v>9.6239659999999994</v>
      </c>
      <c r="I280" s="13">
        <v>125.40291499999999</v>
      </c>
      <c r="J280" s="97" t="s">
        <v>2301</v>
      </c>
      <c r="K280" s="97" t="s">
        <v>2098</v>
      </c>
      <c r="L280" s="13" t="s">
        <v>350</v>
      </c>
      <c r="M280" s="13"/>
      <c r="N280" s="13" t="s">
        <v>89</v>
      </c>
      <c r="O280" s="172"/>
      <c r="P280" s="115"/>
      <c r="Q280" s="114"/>
      <c r="R280" s="119"/>
      <c r="S280" s="119"/>
      <c r="T280" s="119"/>
      <c r="U280" s="96"/>
      <c r="V280" s="96"/>
      <c r="W280" s="96"/>
      <c r="X280" s="96"/>
    </row>
    <row r="281" spans="1:24" ht="38.25">
      <c r="A281" s="6">
        <v>280</v>
      </c>
      <c r="B281" s="61" t="s">
        <v>67</v>
      </c>
      <c r="C281" s="61" t="s">
        <v>347</v>
      </c>
      <c r="D281" s="61">
        <v>1</v>
      </c>
      <c r="E281" s="55" t="s">
        <v>349</v>
      </c>
      <c r="F281" s="97" t="s">
        <v>207</v>
      </c>
      <c r="G281" s="92">
        <v>45896</v>
      </c>
      <c r="H281" s="13">
        <v>9.7551480000000002</v>
      </c>
      <c r="I281" s="13">
        <v>126.052662</v>
      </c>
      <c r="J281" s="97" t="s">
        <v>2302</v>
      </c>
      <c r="K281" s="97"/>
      <c r="L281" s="13" t="s">
        <v>350</v>
      </c>
      <c r="M281" s="13"/>
      <c r="N281" s="13" t="s">
        <v>89</v>
      </c>
      <c r="O281" s="172"/>
      <c r="P281" s="115"/>
      <c r="Q281" s="114"/>
      <c r="R281" s="23"/>
      <c r="S281" s="119"/>
      <c r="T281" s="119"/>
      <c r="U281" s="96"/>
      <c r="V281" s="96"/>
      <c r="W281" s="96"/>
      <c r="X281" s="96"/>
    </row>
    <row r="282" spans="1:24" ht="38.25">
      <c r="A282" s="6">
        <v>281</v>
      </c>
      <c r="B282" s="61" t="s">
        <v>67</v>
      </c>
      <c r="C282" s="61" t="s">
        <v>347</v>
      </c>
      <c r="D282" s="61">
        <v>1</v>
      </c>
      <c r="E282" s="55" t="s">
        <v>353</v>
      </c>
      <c r="F282" s="97" t="s">
        <v>207</v>
      </c>
      <c r="G282" s="92">
        <v>45897</v>
      </c>
      <c r="H282" s="13">
        <v>9.7547069999999998</v>
      </c>
      <c r="I282" s="13">
        <v>126.05245600000001</v>
      </c>
      <c r="J282" s="97" t="s">
        <v>2303</v>
      </c>
      <c r="K282" s="97"/>
      <c r="L282" s="13" t="s">
        <v>350</v>
      </c>
      <c r="M282" s="13"/>
      <c r="N282" s="13" t="s">
        <v>89</v>
      </c>
      <c r="O282" s="172"/>
      <c r="P282" s="115"/>
      <c r="Q282" s="114"/>
      <c r="R282" s="23"/>
      <c r="S282" s="119"/>
      <c r="T282" s="119"/>
      <c r="U282" s="96"/>
      <c r="V282" s="96"/>
      <c r="W282" s="96"/>
      <c r="X282" s="96"/>
    </row>
    <row r="283" spans="1:24" ht="12.75">
      <c r="A283" s="6">
        <v>282</v>
      </c>
      <c r="B283" s="4" t="s">
        <v>216</v>
      </c>
      <c r="C283" s="61" t="s">
        <v>471</v>
      </c>
      <c r="D283" s="61">
        <v>2</v>
      </c>
      <c r="E283" s="55" t="s">
        <v>472</v>
      </c>
      <c r="F283" s="97" t="s">
        <v>374</v>
      </c>
      <c r="G283" s="92">
        <v>45905</v>
      </c>
      <c r="H283" s="13">
        <v>9.628952</v>
      </c>
      <c r="I283" s="13">
        <v>125.617459</v>
      </c>
      <c r="J283" s="13" t="s">
        <v>2305</v>
      </c>
      <c r="K283" s="13" t="s">
        <v>2148</v>
      </c>
      <c r="L283" s="13" t="s">
        <v>350</v>
      </c>
      <c r="M283" s="13"/>
      <c r="N283" s="13" t="s">
        <v>89</v>
      </c>
      <c r="O283" s="13"/>
      <c r="P283" s="115"/>
      <c r="Q283" s="114"/>
      <c r="R283" s="23"/>
      <c r="S283" s="119"/>
      <c r="T283" s="119"/>
      <c r="U283" s="96"/>
      <c r="V283" s="96"/>
      <c r="W283" s="96"/>
      <c r="X283" s="96"/>
    </row>
    <row r="284" spans="1:24" ht="12.75">
      <c r="A284" s="6">
        <v>283</v>
      </c>
      <c r="B284" s="4" t="s">
        <v>216</v>
      </c>
      <c r="C284" s="61" t="s">
        <v>471</v>
      </c>
      <c r="D284" s="61">
        <v>2</v>
      </c>
      <c r="E284" s="55" t="s">
        <v>474</v>
      </c>
      <c r="F284" s="97" t="s">
        <v>666</v>
      </c>
      <c r="G284" s="92">
        <v>45905</v>
      </c>
      <c r="H284" s="13">
        <v>9.6294880000000003</v>
      </c>
      <c r="I284" s="13">
        <v>125.61735299999999</v>
      </c>
      <c r="J284" s="13" t="s">
        <v>2306</v>
      </c>
      <c r="K284" s="13" t="s">
        <v>2151</v>
      </c>
      <c r="L284" s="13" t="s">
        <v>350</v>
      </c>
      <c r="M284" s="13"/>
      <c r="N284" s="13" t="s">
        <v>89</v>
      </c>
      <c r="O284" s="13"/>
      <c r="P284" s="115"/>
      <c r="Q284" s="114"/>
      <c r="R284" s="23"/>
      <c r="S284" s="119"/>
      <c r="T284" s="119"/>
      <c r="U284" s="96"/>
      <c r="V284" s="96"/>
      <c r="W284" s="96"/>
      <c r="X284" s="96"/>
    </row>
    <row r="285" spans="1:24" ht="12.75">
      <c r="A285" s="6">
        <v>284</v>
      </c>
      <c r="B285" s="4" t="s">
        <v>268</v>
      </c>
      <c r="C285" s="61" t="s">
        <v>4</v>
      </c>
      <c r="D285" s="61">
        <v>2</v>
      </c>
      <c r="E285" s="7" t="s">
        <v>11</v>
      </c>
      <c r="F285" s="97" t="s">
        <v>374</v>
      </c>
      <c r="G285" s="92">
        <v>45909</v>
      </c>
      <c r="H285" s="13">
        <v>9.7399159999999991</v>
      </c>
      <c r="I285" s="13">
        <v>125.544605</v>
      </c>
      <c r="J285" s="13" t="s">
        <v>2308</v>
      </c>
      <c r="K285" s="13" t="s">
        <v>2311</v>
      </c>
      <c r="L285" s="13" t="s">
        <v>350</v>
      </c>
      <c r="M285" s="13"/>
      <c r="N285" s="13" t="s">
        <v>89</v>
      </c>
      <c r="O285" s="93"/>
      <c r="P285" s="115"/>
      <c r="Q285" s="114"/>
      <c r="R285" s="23"/>
      <c r="S285" s="119"/>
      <c r="T285" s="119"/>
      <c r="U285" s="96"/>
      <c r="V285" s="96" t="s">
        <v>2315</v>
      </c>
      <c r="W285" s="96"/>
      <c r="X285" s="96"/>
    </row>
    <row r="286" spans="1:24" ht="12.75">
      <c r="A286" s="6">
        <v>285</v>
      </c>
      <c r="B286" s="4" t="s">
        <v>268</v>
      </c>
      <c r="C286" s="61" t="s">
        <v>4</v>
      </c>
      <c r="D286" s="61">
        <v>2</v>
      </c>
      <c r="E286" s="7" t="s">
        <v>17</v>
      </c>
      <c r="F286" s="97" t="s">
        <v>207</v>
      </c>
      <c r="G286" s="92">
        <v>45912</v>
      </c>
      <c r="H286" s="13">
        <v>9.7388285724067902</v>
      </c>
      <c r="I286" s="13">
        <v>125.545063693682</v>
      </c>
      <c r="J286" s="13" t="s">
        <v>2318</v>
      </c>
      <c r="K286" s="13" t="s">
        <v>2319</v>
      </c>
      <c r="L286" s="13" t="s">
        <v>350</v>
      </c>
      <c r="M286" s="13"/>
      <c r="N286" s="13" t="s">
        <v>89</v>
      </c>
      <c r="O286" s="93"/>
      <c r="P286" s="115"/>
      <c r="Q286" s="114"/>
      <c r="R286" s="23"/>
      <c r="S286" s="119"/>
      <c r="T286" s="119"/>
      <c r="U286" s="96"/>
      <c r="V286" s="96" t="s">
        <v>2320</v>
      </c>
      <c r="W286" s="96"/>
      <c r="X286" s="96"/>
    </row>
    <row r="287" spans="1:24" ht="12.75">
      <c r="A287" s="6">
        <v>286</v>
      </c>
      <c r="B287" s="4" t="s">
        <v>67</v>
      </c>
      <c r="C287" s="61" t="s">
        <v>354</v>
      </c>
      <c r="D287" s="61">
        <v>1</v>
      </c>
      <c r="E287" s="7" t="s">
        <v>355</v>
      </c>
      <c r="F287" s="97" t="s">
        <v>2030</v>
      </c>
      <c r="G287" s="92">
        <v>45930</v>
      </c>
      <c r="H287" s="13">
        <v>9.7548038199999993</v>
      </c>
      <c r="I287" s="13">
        <v>126.0951094</v>
      </c>
      <c r="J287" s="13"/>
      <c r="K287" s="13"/>
      <c r="L287" s="13" t="s">
        <v>311</v>
      </c>
      <c r="M287" s="13"/>
      <c r="N287" s="13" t="s">
        <v>89</v>
      </c>
      <c r="O287" s="93"/>
      <c r="P287" s="115"/>
      <c r="Q287" s="114"/>
      <c r="R287" s="23"/>
      <c r="S287" s="119"/>
      <c r="T287" s="119"/>
      <c r="U287" s="96"/>
      <c r="V287" s="96"/>
      <c r="W287" s="96"/>
      <c r="X287" s="96"/>
    </row>
    <row r="288" spans="1:24" ht="12.75">
      <c r="A288" s="6">
        <v>287</v>
      </c>
      <c r="B288" s="4" t="s">
        <v>67</v>
      </c>
      <c r="C288" s="61" t="s">
        <v>354</v>
      </c>
      <c r="D288" s="61">
        <v>1</v>
      </c>
      <c r="E288" s="7" t="s">
        <v>357</v>
      </c>
      <c r="F288" s="97" t="s">
        <v>2030</v>
      </c>
      <c r="G288" s="92">
        <v>45936</v>
      </c>
      <c r="H288" s="13">
        <v>9.7547863400000008</v>
      </c>
      <c r="I288" s="13">
        <v>126.095219</v>
      </c>
      <c r="J288" s="13"/>
      <c r="K288" s="13"/>
      <c r="L288" s="13" t="s">
        <v>311</v>
      </c>
      <c r="M288" s="13"/>
      <c r="N288" s="13" t="s">
        <v>89</v>
      </c>
      <c r="O288" s="93"/>
      <c r="P288" s="115"/>
      <c r="Q288" s="114"/>
      <c r="R288" s="23"/>
      <c r="S288" s="119"/>
      <c r="T288" s="119"/>
      <c r="U288" s="96"/>
      <c r="V288" s="96"/>
      <c r="W288" s="96"/>
      <c r="X288" s="96"/>
    </row>
    <row r="289" spans="1:6" ht="12.75">
      <c r="A289" s="64"/>
      <c r="B289" s="64"/>
      <c r="C289" s="64"/>
      <c r="D289" s="65"/>
      <c r="E289" s="64"/>
      <c r="F289" s="64"/>
    </row>
    <row r="290" spans="1:6" ht="12.75">
      <c r="A290" s="64"/>
      <c r="B290" s="64"/>
      <c r="C290" s="64"/>
      <c r="D290" s="65"/>
      <c r="E290" s="64"/>
      <c r="F290" s="64"/>
    </row>
    <row r="291" spans="1:6" ht="12.75">
      <c r="A291" s="64"/>
      <c r="B291" s="64"/>
      <c r="C291" s="64"/>
      <c r="D291" s="65"/>
      <c r="E291" s="64"/>
      <c r="F291" s="64"/>
    </row>
    <row r="292" spans="1:6" ht="12.75">
      <c r="A292" s="64"/>
      <c r="B292" s="64"/>
      <c r="C292" s="64"/>
      <c r="D292" s="65"/>
      <c r="E292" s="64"/>
      <c r="F292" s="64"/>
    </row>
    <row r="293" spans="1:6" ht="12.75">
      <c r="A293" s="64"/>
      <c r="B293" s="64"/>
      <c r="C293" s="64"/>
      <c r="D293" s="65"/>
      <c r="E293" s="64"/>
      <c r="F293" s="64"/>
    </row>
    <row r="294" spans="1:6" ht="12.75">
      <c r="A294" s="64"/>
      <c r="B294" s="64"/>
      <c r="C294" s="64"/>
      <c r="D294" s="65"/>
      <c r="E294" s="64"/>
      <c r="F294" s="64"/>
    </row>
    <row r="295" spans="1:6" ht="12.75">
      <c r="A295" s="64"/>
      <c r="B295" s="64"/>
      <c r="C295" s="64"/>
      <c r="D295" s="65"/>
      <c r="E295" s="64"/>
      <c r="F295" s="64"/>
    </row>
    <row r="296" spans="1:6" ht="12.75">
      <c r="A296" s="64"/>
      <c r="B296" s="64"/>
      <c r="C296" s="64"/>
      <c r="D296" s="65"/>
      <c r="E296" s="64"/>
      <c r="F296" s="64"/>
    </row>
    <row r="297" spans="1:6" ht="12.75">
      <c r="A297" s="64"/>
      <c r="B297" s="64"/>
      <c r="C297" s="64"/>
      <c r="D297" s="65"/>
      <c r="E297" s="64"/>
      <c r="F297" s="64"/>
    </row>
    <row r="298" spans="1:6" ht="12.75">
      <c r="A298" s="64"/>
      <c r="B298" s="64"/>
      <c r="C298" s="64"/>
      <c r="D298" s="65"/>
      <c r="E298" s="64"/>
      <c r="F298" s="64"/>
    </row>
    <row r="299" spans="1:6" ht="12.75">
      <c r="A299" s="64"/>
      <c r="B299" s="64"/>
      <c r="C299" s="64"/>
      <c r="D299" s="65"/>
      <c r="E299" s="64"/>
      <c r="F299" s="64"/>
    </row>
    <row r="300" spans="1:6" ht="12.75">
      <c r="A300" s="64"/>
      <c r="B300" s="64"/>
      <c r="C300" s="64"/>
      <c r="D300" s="65"/>
      <c r="E300" s="64"/>
      <c r="F300" s="64"/>
    </row>
    <row r="301" spans="1:6" ht="12.75">
      <c r="A301" s="64"/>
      <c r="B301" s="64"/>
      <c r="C301" s="64"/>
      <c r="D301" s="65"/>
      <c r="E301" s="64"/>
      <c r="F301" s="64"/>
    </row>
    <row r="302" spans="1:6" ht="12.75">
      <c r="A302" s="64"/>
      <c r="B302" s="64"/>
      <c r="C302" s="64"/>
      <c r="D302" s="65"/>
      <c r="E302" s="64"/>
      <c r="F302" s="64"/>
    </row>
    <row r="303" spans="1:6" ht="12.75">
      <c r="A303" s="64"/>
      <c r="B303" s="64"/>
      <c r="C303" s="64"/>
      <c r="D303" s="65"/>
      <c r="E303" s="64"/>
      <c r="F303" s="64"/>
    </row>
    <row r="304" spans="1:6" ht="12.75">
      <c r="A304" s="64"/>
      <c r="B304" s="64"/>
      <c r="C304" s="64"/>
      <c r="D304" s="65"/>
      <c r="E304" s="64"/>
      <c r="F304" s="64"/>
    </row>
    <row r="305" spans="1:6" ht="12.75">
      <c r="A305" s="64"/>
      <c r="B305" s="64"/>
      <c r="C305" s="64"/>
      <c r="D305" s="65"/>
      <c r="E305" s="64"/>
      <c r="F305" s="64"/>
    </row>
    <row r="306" spans="1:6" ht="12.75">
      <c r="A306" s="64"/>
      <c r="B306" s="64"/>
      <c r="C306" s="64"/>
      <c r="D306" s="65"/>
      <c r="E306" s="64"/>
      <c r="F306" s="64"/>
    </row>
    <row r="307" spans="1:6" ht="12.75">
      <c r="A307" s="64"/>
      <c r="B307" s="64"/>
      <c r="C307" s="64"/>
      <c r="D307" s="65"/>
      <c r="E307" s="64"/>
      <c r="F307" s="64"/>
    </row>
    <row r="308" spans="1:6" ht="12.75">
      <c r="A308" s="64"/>
      <c r="B308" s="64"/>
      <c r="C308" s="64"/>
      <c r="D308" s="65"/>
      <c r="E308" s="64"/>
      <c r="F308" s="64"/>
    </row>
    <row r="309" spans="1:6" ht="12.75">
      <c r="A309" s="64"/>
      <c r="B309" s="64"/>
      <c r="C309" s="64"/>
      <c r="D309" s="65"/>
      <c r="E309" s="64"/>
      <c r="F309" s="64"/>
    </row>
    <row r="310" spans="1:6" ht="12.75">
      <c r="A310" s="64"/>
      <c r="B310" s="64"/>
      <c r="C310" s="64"/>
      <c r="D310" s="65"/>
      <c r="E310" s="64"/>
      <c r="F310" s="64"/>
    </row>
    <row r="311" spans="1:6" ht="12.75">
      <c r="A311" s="64"/>
      <c r="B311" s="64"/>
      <c r="C311" s="64"/>
      <c r="D311" s="65"/>
      <c r="E311" s="64"/>
      <c r="F311" s="64"/>
    </row>
    <row r="312" spans="1:6" ht="12.75">
      <c r="A312" s="64"/>
      <c r="B312" s="64"/>
      <c r="C312" s="64"/>
      <c r="D312" s="65"/>
      <c r="E312" s="64"/>
      <c r="F312" s="64"/>
    </row>
    <row r="313" spans="1:6" ht="12.75">
      <c r="A313" s="64"/>
      <c r="B313" s="64"/>
      <c r="C313" s="64"/>
      <c r="D313" s="65"/>
      <c r="E313" s="64"/>
      <c r="F313" s="64"/>
    </row>
    <row r="314" spans="1:6" ht="12.75">
      <c r="A314" s="64"/>
      <c r="B314" s="64"/>
      <c r="C314" s="64"/>
      <c r="D314" s="65"/>
      <c r="E314" s="64"/>
      <c r="F314" s="64"/>
    </row>
    <row r="315" spans="1:6" ht="12.75">
      <c r="A315" s="64"/>
      <c r="B315" s="64"/>
      <c r="C315" s="64"/>
      <c r="D315" s="65"/>
      <c r="E315" s="64"/>
      <c r="F315" s="64"/>
    </row>
    <row r="316" spans="1:6" ht="12.75">
      <c r="A316" s="64"/>
      <c r="B316" s="64"/>
      <c r="C316" s="64"/>
      <c r="D316" s="65"/>
      <c r="E316" s="64"/>
      <c r="F316" s="64"/>
    </row>
    <row r="317" spans="1:6" ht="12.75">
      <c r="A317" s="64"/>
      <c r="B317" s="64"/>
      <c r="C317" s="64"/>
      <c r="D317" s="65"/>
      <c r="E317" s="64"/>
      <c r="F317" s="64"/>
    </row>
    <row r="318" spans="1:6" ht="12.75">
      <c r="A318" s="64"/>
      <c r="B318" s="64"/>
      <c r="C318" s="64"/>
      <c r="D318" s="65"/>
      <c r="E318" s="64"/>
      <c r="F318" s="64"/>
    </row>
    <row r="319" spans="1:6" ht="12.75">
      <c r="A319" s="64"/>
      <c r="B319" s="64"/>
      <c r="C319" s="64"/>
      <c r="D319" s="65"/>
      <c r="E319" s="64"/>
      <c r="F319" s="64"/>
    </row>
    <row r="320" spans="1:6" ht="12.75">
      <c r="A320" s="64"/>
      <c r="B320" s="64"/>
      <c r="C320" s="64"/>
      <c r="D320" s="65"/>
      <c r="E320" s="64"/>
      <c r="F320" s="64"/>
    </row>
    <row r="321" spans="1:6" ht="12.75">
      <c r="A321" s="64"/>
      <c r="B321" s="64"/>
      <c r="C321" s="64"/>
      <c r="D321" s="65"/>
      <c r="E321" s="64"/>
      <c r="F321" s="64"/>
    </row>
    <row r="322" spans="1:6" ht="12.75">
      <c r="A322" s="64"/>
      <c r="B322" s="64"/>
      <c r="C322" s="64"/>
      <c r="D322" s="65"/>
      <c r="E322" s="64"/>
      <c r="F322" s="64"/>
    </row>
    <row r="323" spans="1:6" ht="12.75">
      <c r="A323" s="64"/>
      <c r="B323" s="64"/>
      <c r="C323" s="64"/>
      <c r="D323" s="65"/>
      <c r="E323" s="64"/>
      <c r="F323" s="64"/>
    </row>
    <row r="324" spans="1:6" ht="12.75">
      <c r="A324" s="64"/>
      <c r="B324" s="64"/>
      <c r="C324" s="64"/>
      <c r="D324" s="65"/>
      <c r="E324" s="64"/>
      <c r="F324" s="64"/>
    </row>
    <row r="325" spans="1:6" ht="12.75">
      <c r="A325" s="64"/>
      <c r="B325" s="64"/>
      <c r="C325" s="64"/>
      <c r="D325" s="65"/>
      <c r="E325" s="64"/>
      <c r="F325" s="64"/>
    </row>
    <row r="326" spans="1:6" ht="12.75">
      <c r="A326" s="64"/>
      <c r="B326" s="64"/>
      <c r="C326" s="64"/>
      <c r="D326" s="65"/>
      <c r="E326" s="64"/>
      <c r="F326" s="64"/>
    </row>
    <row r="327" spans="1:6" ht="12.75">
      <c r="A327" s="64"/>
      <c r="B327" s="64"/>
      <c r="C327" s="64"/>
      <c r="D327" s="65"/>
      <c r="E327" s="64"/>
      <c r="F327" s="64"/>
    </row>
    <row r="328" spans="1:6" ht="12.75">
      <c r="A328" s="64"/>
      <c r="B328" s="64"/>
      <c r="C328" s="64"/>
      <c r="D328" s="65"/>
      <c r="E328" s="64"/>
      <c r="F328" s="64"/>
    </row>
    <row r="329" spans="1:6" ht="12.75">
      <c r="A329" s="64"/>
      <c r="B329" s="64"/>
      <c r="C329" s="64"/>
      <c r="D329" s="65"/>
      <c r="E329" s="64"/>
      <c r="F329" s="64"/>
    </row>
    <row r="330" spans="1:6" ht="12.75">
      <c r="A330" s="64"/>
      <c r="B330" s="64"/>
      <c r="C330" s="64"/>
      <c r="D330" s="65"/>
      <c r="E330" s="64"/>
      <c r="F330" s="64"/>
    </row>
    <row r="331" spans="1:6" ht="12.75">
      <c r="A331" s="64"/>
      <c r="B331" s="64"/>
      <c r="C331" s="64"/>
      <c r="D331" s="65"/>
      <c r="E331" s="64"/>
      <c r="F331" s="64"/>
    </row>
    <row r="332" spans="1:6" ht="12.75">
      <c r="A332" s="64"/>
      <c r="B332" s="64"/>
      <c r="C332" s="64"/>
      <c r="D332" s="65"/>
      <c r="E332" s="64"/>
      <c r="F332" s="64"/>
    </row>
    <row r="333" spans="1:6" ht="12.75">
      <c r="A333" s="64"/>
      <c r="B333" s="64"/>
      <c r="C333" s="64"/>
      <c r="D333" s="65"/>
      <c r="E333" s="64"/>
      <c r="F333" s="64"/>
    </row>
    <row r="334" spans="1:6" ht="12.75">
      <c r="A334" s="64"/>
      <c r="B334" s="64"/>
      <c r="C334" s="64"/>
      <c r="D334" s="65"/>
      <c r="E334" s="64"/>
      <c r="F334" s="64"/>
    </row>
    <row r="335" spans="1:6" ht="12.75">
      <c r="A335" s="64"/>
      <c r="B335" s="64"/>
      <c r="C335" s="64"/>
      <c r="D335" s="65"/>
      <c r="E335" s="64"/>
      <c r="F335" s="64"/>
    </row>
    <row r="336" spans="1:6" ht="12.75">
      <c r="A336" s="64"/>
      <c r="B336" s="64"/>
      <c r="C336" s="64"/>
      <c r="D336" s="65"/>
      <c r="E336" s="64"/>
      <c r="F336" s="64"/>
    </row>
    <row r="337" spans="1:6" ht="12.75">
      <c r="A337" s="64"/>
      <c r="B337" s="64"/>
      <c r="C337" s="64"/>
      <c r="D337" s="65"/>
      <c r="E337" s="64"/>
      <c r="F337" s="64"/>
    </row>
    <row r="338" spans="1:6" ht="12.75">
      <c r="A338" s="64"/>
      <c r="B338" s="64"/>
      <c r="C338" s="64"/>
      <c r="D338" s="65"/>
      <c r="E338" s="64"/>
      <c r="F338" s="64"/>
    </row>
    <row r="339" spans="1:6" ht="12.75">
      <c r="A339" s="64"/>
      <c r="B339" s="64"/>
      <c r="C339" s="64"/>
      <c r="D339" s="65"/>
      <c r="E339" s="64"/>
      <c r="F339" s="64"/>
    </row>
    <row r="340" spans="1:6" ht="12.75">
      <c r="A340" s="64"/>
      <c r="B340" s="64"/>
      <c r="C340" s="64"/>
      <c r="D340" s="65"/>
      <c r="E340" s="64"/>
      <c r="F340" s="64"/>
    </row>
    <row r="341" spans="1:6" ht="12.75">
      <c r="A341" s="64"/>
      <c r="B341" s="64"/>
      <c r="C341" s="64"/>
      <c r="D341" s="65"/>
      <c r="E341" s="64"/>
      <c r="F341" s="64"/>
    </row>
    <row r="342" spans="1:6" ht="12.75">
      <c r="A342" s="64"/>
      <c r="B342" s="64"/>
      <c r="C342" s="64"/>
      <c r="D342" s="65"/>
      <c r="E342" s="64"/>
      <c r="F342" s="64"/>
    </row>
    <row r="343" spans="1:6" ht="12.75">
      <c r="A343" s="64"/>
      <c r="B343" s="64"/>
      <c r="C343" s="64"/>
      <c r="D343" s="65"/>
      <c r="E343" s="64"/>
      <c r="F343" s="64"/>
    </row>
    <row r="344" spans="1:6" ht="12.75">
      <c r="A344" s="64"/>
      <c r="B344" s="64"/>
      <c r="C344" s="64"/>
      <c r="D344" s="65"/>
      <c r="E344" s="64"/>
      <c r="F344" s="64"/>
    </row>
    <row r="345" spans="1:6" ht="12.75">
      <c r="A345" s="64"/>
      <c r="B345" s="64"/>
      <c r="C345" s="64"/>
      <c r="D345" s="65"/>
      <c r="E345" s="64"/>
      <c r="F345" s="64"/>
    </row>
    <row r="346" spans="1:6" ht="12.75">
      <c r="A346" s="64"/>
      <c r="B346" s="64"/>
      <c r="C346" s="64"/>
      <c r="D346" s="65"/>
      <c r="E346" s="64"/>
      <c r="F346" s="64"/>
    </row>
    <row r="347" spans="1:6" ht="12.75">
      <c r="A347" s="64"/>
      <c r="B347" s="64"/>
      <c r="C347" s="64"/>
      <c r="D347" s="65"/>
      <c r="E347" s="64"/>
      <c r="F347" s="64"/>
    </row>
    <row r="348" spans="1:6" ht="12.75">
      <c r="A348" s="64"/>
      <c r="B348" s="64"/>
      <c r="C348" s="64"/>
      <c r="D348" s="65"/>
      <c r="E348" s="64"/>
      <c r="F348" s="64"/>
    </row>
    <row r="349" spans="1:6" ht="12.75">
      <c r="A349" s="64"/>
      <c r="B349" s="64"/>
      <c r="C349" s="64"/>
      <c r="D349" s="65"/>
      <c r="E349" s="64"/>
      <c r="F349" s="64"/>
    </row>
    <row r="350" spans="1:6" ht="12.75">
      <c r="A350" s="64"/>
      <c r="B350" s="64"/>
      <c r="C350" s="64"/>
      <c r="D350" s="65"/>
      <c r="E350" s="64"/>
      <c r="F350" s="64"/>
    </row>
    <row r="351" spans="1:6" ht="12.75">
      <c r="A351" s="64"/>
      <c r="B351" s="64"/>
      <c r="C351" s="64"/>
      <c r="D351" s="65"/>
      <c r="E351" s="64"/>
      <c r="F351" s="64"/>
    </row>
    <row r="352" spans="1:6" ht="12.75">
      <c r="A352" s="64"/>
      <c r="B352" s="64"/>
      <c r="C352" s="64"/>
      <c r="D352" s="65"/>
      <c r="E352" s="64"/>
      <c r="F352" s="64"/>
    </row>
    <row r="353" spans="1:6" ht="12.75">
      <c r="A353" s="64"/>
      <c r="B353" s="64"/>
      <c r="C353" s="64"/>
      <c r="D353" s="65"/>
      <c r="E353" s="64"/>
      <c r="F353" s="64"/>
    </row>
    <row r="354" spans="1:6" ht="12.75">
      <c r="A354" s="64"/>
      <c r="B354" s="64"/>
      <c r="C354" s="64"/>
      <c r="D354" s="65"/>
      <c r="E354" s="64"/>
      <c r="F354" s="64"/>
    </row>
    <row r="355" spans="1:6" ht="12.75">
      <c r="A355" s="64"/>
      <c r="B355" s="64"/>
      <c r="C355" s="64"/>
      <c r="D355" s="65"/>
      <c r="E355" s="64"/>
      <c r="F355" s="64"/>
    </row>
    <row r="356" spans="1:6" ht="12.75">
      <c r="A356" s="64"/>
      <c r="B356" s="64"/>
      <c r="C356" s="64"/>
      <c r="D356" s="65"/>
      <c r="E356" s="64"/>
      <c r="F356" s="64"/>
    </row>
    <row r="357" spans="1:6" ht="12.75">
      <c r="A357" s="64"/>
      <c r="B357" s="64"/>
      <c r="C357" s="64"/>
      <c r="D357" s="65"/>
      <c r="E357" s="64"/>
      <c r="F357" s="64"/>
    </row>
    <row r="358" spans="1:6" ht="12.75">
      <c r="A358" s="64"/>
      <c r="B358" s="64"/>
      <c r="C358" s="64"/>
      <c r="D358" s="65"/>
      <c r="E358" s="64"/>
      <c r="F358" s="64"/>
    </row>
    <row r="359" spans="1:6" ht="12.75">
      <c r="A359" s="64"/>
      <c r="B359" s="64"/>
      <c r="C359" s="64"/>
      <c r="D359" s="65"/>
      <c r="E359" s="64"/>
      <c r="F359" s="64"/>
    </row>
    <row r="360" spans="1:6" ht="12.75">
      <c r="A360" s="64"/>
      <c r="B360" s="64"/>
      <c r="C360" s="64"/>
      <c r="D360" s="65"/>
      <c r="E360" s="64"/>
      <c r="F360" s="64"/>
    </row>
    <row r="361" spans="1:6" ht="12.75">
      <c r="A361" s="64"/>
      <c r="B361" s="64"/>
      <c r="C361" s="64"/>
      <c r="D361" s="65"/>
      <c r="E361" s="64"/>
      <c r="F361" s="64"/>
    </row>
    <row r="362" spans="1:6" ht="12.75">
      <c r="A362" s="64"/>
      <c r="B362" s="64"/>
      <c r="C362" s="64"/>
      <c r="D362" s="65"/>
      <c r="E362" s="64"/>
      <c r="F362" s="64"/>
    </row>
    <row r="363" spans="1:6" ht="12.75">
      <c r="A363" s="64"/>
      <c r="B363" s="64"/>
      <c r="C363" s="64"/>
      <c r="D363" s="65"/>
      <c r="E363" s="64"/>
      <c r="F363" s="64"/>
    </row>
    <row r="364" spans="1:6" ht="12.75">
      <c r="A364" s="64"/>
      <c r="B364" s="64"/>
      <c r="C364" s="64"/>
      <c r="D364" s="65"/>
      <c r="E364" s="64"/>
      <c r="F364" s="64"/>
    </row>
    <row r="365" spans="1:6" ht="12.75">
      <c r="A365" s="64"/>
      <c r="B365" s="64"/>
      <c r="C365" s="64"/>
      <c r="D365" s="65"/>
      <c r="E365" s="64"/>
      <c r="F365" s="64"/>
    </row>
    <row r="366" spans="1:6" ht="12.75">
      <c r="A366" s="64"/>
      <c r="B366" s="64"/>
      <c r="C366" s="64"/>
      <c r="D366" s="65"/>
      <c r="E366" s="64"/>
      <c r="F366" s="64"/>
    </row>
    <row r="367" spans="1:6" ht="12.75">
      <c r="A367" s="64"/>
      <c r="B367" s="64"/>
      <c r="C367" s="64"/>
      <c r="D367" s="65"/>
      <c r="E367" s="64"/>
      <c r="F367" s="64"/>
    </row>
    <row r="368" spans="1:6" ht="12.75">
      <c r="A368" s="64"/>
      <c r="B368" s="64"/>
      <c r="C368" s="64"/>
      <c r="D368" s="65"/>
      <c r="E368" s="64"/>
      <c r="F368" s="64"/>
    </row>
    <row r="369" spans="1:6" ht="12.75">
      <c r="A369" s="64"/>
      <c r="B369" s="64"/>
      <c r="C369" s="64"/>
      <c r="D369" s="65"/>
      <c r="E369" s="64"/>
      <c r="F369" s="64"/>
    </row>
    <row r="370" spans="1:6" ht="12.75">
      <c r="A370" s="64"/>
      <c r="B370" s="64"/>
      <c r="C370" s="64"/>
      <c r="D370" s="65"/>
      <c r="E370" s="64"/>
      <c r="F370" s="64"/>
    </row>
    <row r="371" spans="1:6" ht="12.75">
      <c r="A371" s="64"/>
      <c r="B371" s="64"/>
      <c r="C371" s="64"/>
      <c r="D371" s="65"/>
      <c r="E371" s="64"/>
      <c r="F371" s="64"/>
    </row>
    <row r="372" spans="1:6" ht="12.75">
      <c r="A372" s="64"/>
      <c r="B372" s="64"/>
      <c r="C372" s="64"/>
      <c r="D372" s="65"/>
      <c r="E372" s="64"/>
      <c r="F372" s="64"/>
    </row>
    <row r="373" spans="1:6" ht="12.75">
      <c r="A373" s="64"/>
      <c r="B373" s="64"/>
      <c r="C373" s="64"/>
      <c r="D373" s="65"/>
      <c r="E373" s="64"/>
      <c r="F373" s="64"/>
    </row>
    <row r="374" spans="1:6" ht="12.75">
      <c r="A374" s="64"/>
      <c r="B374" s="64"/>
      <c r="C374" s="64"/>
      <c r="D374" s="65"/>
      <c r="E374" s="64"/>
      <c r="F374" s="64"/>
    </row>
    <row r="375" spans="1:6" ht="12.75">
      <c r="A375" s="64"/>
      <c r="B375" s="64"/>
      <c r="C375" s="64"/>
      <c r="D375" s="65"/>
      <c r="E375" s="64"/>
      <c r="F375" s="64"/>
    </row>
    <row r="376" spans="1:6" ht="12.75">
      <c r="A376" s="64"/>
      <c r="B376" s="64"/>
      <c r="C376" s="64"/>
      <c r="D376" s="65"/>
      <c r="E376" s="64"/>
      <c r="F376" s="64"/>
    </row>
    <row r="377" spans="1:6" ht="12.75">
      <c r="A377" s="64"/>
      <c r="B377" s="64"/>
      <c r="C377" s="64"/>
      <c r="D377" s="65"/>
      <c r="E377" s="64"/>
      <c r="F377" s="64"/>
    </row>
    <row r="378" spans="1:6" ht="12.75">
      <c r="A378" s="64"/>
      <c r="B378" s="64"/>
      <c r="C378" s="64"/>
      <c r="D378" s="65"/>
      <c r="E378" s="64"/>
      <c r="F378" s="64"/>
    </row>
    <row r="379" spans="1:6" ht="12.75">
      <c r="A379" s="64"/>
      <c r="B379" s="64"/>
      <c r="C379" s="64"/>
      <c r="D379" s="65"/>
      <c r="E379" s="64"/>
      <c r="F379" s="64"/>
    </row>
    <row r="380" spans="1:6" ht="12.75">
      <c r="A380" s="64"/>
      <c r="B380" s="64"/>
      <c r="C380" s="64"/>
      <c r="D380" s="65"/>
      <c r="E380" s="64"/>
      <c r="F380" s="64"/>
    </row>
    <row r="381" spans="1:6" ht="12.75">
      <c r="A381" s="64"/>
      <c r="B381" s="64"/>
      <c r="C381" s="64"/>
      <c r="D381" s="65"/>
      <c r="E381" s="64"/>
      <c r="F381" s="64"/>
    </row>
    <row r="382" spans="1:6" ht="12.75">
      <c r="A382" s="64"/>
      <c r="B382" s="64"/>
      <c r="C382" s="64"/>
      <c r="D382" s="65"/>
      <c r="E382" s="64"/>
      <c r="F382" s="64"/>
    </row>
    <row r="383" spans="1:6" ht="12.75">
      <c r="A383" s="64"/>
      <c r="B383" s="64"/>
      <c r="C383" s="64"/>
      <c r="D383" s="65"/>
      <c r="E383" s="64"/>
      <c r="F383" s="64"/>
    </row>
    <row r="384" spans="1:6" ht="12.75">
      <c r="A384" s="64"/>
      <c r="B384" s="64"/>
      <c r="C384" s="64"/>
      <c r="D384" s="65"/>
      <c r="E384" s="64"/>
      <c r="F384" s="64"/>
    </row>
    <row r="385" spans="1:6" ht="12.75">
      <c r="A385" s="64"/>
      <c r="B385" s="64"/>
      <c r="C385" s="64"/>
      <c r="D385" s="65"/>
      <c r="E385" s="64"/>
      <c r="F385" s="64"/>
    </row>
    <row r="386" spans="1:6" ht="12.75">
      <c r="A386" s="64"/>
      <c r="B386" s="64"/>
      <c r="C386" s="64"/>
      <c r="D386" s="65"/>
      <c r="E386" s="64"/>
      <c r="F386" s="64"/>
    </row>
    <row r="387" spans="1:6" ht="12.75">
      <c r="A387" s="64"/>
      <c r="B387" s="64"/>
      <c r="C387" s="64"/>
      <c r="D387" s="65"/>
      <c r="E387" s="64"/>
      <c r="F387" s="64"/>
    </row>
    <row r="388" spans="1:6" ht="12.75">
      <c r="A388" s="64"/>
      <c r="B388" s="64"/>
      <c r="C388" s="64"/>
      <c r="D388" s="65"/>
      <c r="E388" s="64"/>
      <c r="F388" s="64"/>
    </row>
    <row r="389" spans="1:6" ht="12.75">
      <c r="A389" s="64"/>
      <c r="B389" s="64"/>
      <c r="C389" s="64"/>
      <c r="D389" s="65"/>
      <c r="E389" s="64"/>
      <c r="F389" s="64"/>
    </row>
    <row r="390" spans="1:6" ht="12.75">
      <c r="A390" s="64"/>
      <c r="B390" s="64"/>
      <c r="C390" s="64"/>
      <c r="D390" s="65"/>
      <c r="E390" s="64"/>
      <c r="F390" s="64"/>
    </row>
    <row r="391" spans="1:6" ht="12.75">
      <c r="A391" s="64"/>
      <c r="B391" s="64"/>
      <c r="C391" s="64"/>
      <c r="D391" s="65"/>
      <c r="E391" s="64"/>
      <c r="F391" s="64"/>
    </row>
    <row r="392" spans="1:6" ht="12.75">
      <c r="A392" s="64"/>
      <c r="B392" s="64"/>
      <c r="C392" s="64"/>
      <c r="D392" s="65"/>
      <c r="E392" s="64"/>
      <c r="F392" s="64"/>
    </row>
    <row r="393" spans="1:6" ht="12.75">
      <c r="A393" s="64"/>
      <c r="B393" s="64"/>
      <c r="C393" s="64"/>
      <c r="D393" s="65"/>
      <c r="E393" s="64"/>
      <c r="F393" s="64"/>
    </row>
    <row r="394" spans="1:6" ht="12.75">
      <c r="A394" s="64"/>
      <c r="B394" s="64"/>
      <c r="C394" s="64"/>
      <c r="D394" s="65"/>
      <c r="E394" s="64"/>
      <c r="F394" s="64"/>
    </row>
    <row r="395" spans="1:6" ht="12.75">
      <c r="A395" s="64"/>
      <c r="B395" s="64"/>
      <c r="C395" s="64"/>
      <c r="D395" s="65"/>
      <c r="E395" s="64"/>
      <c r="F395" s="64"/>
    </row>
    <row r="396" spans="1:6" ht="12.75">
      <c r="A396" s="64"/>
      <c r="B396" s="64"/>
      <c r="C396" s="64"/>
      <c r="D396" s="65"/>
      <c r="E396" s="64"/>
      <c r="F396" s="64"/>
    </row>
    <row r="397" spans="1:6" ht="12.75">
      <c r="A397" s="64"/>
      <c r="B397" s="64"/>
      <c r="C397" s="64"/>
      <c r="D397" s="65"/>
      <c r="E397" s="64"/>
      <c r="F397" s="64"/>
    </row>
    <row r="398" spans="1:6" ht="12.75">
      <c r="A398" s="64"/>
      <c r="B398" s="64"/>
      <c r="C398" s="64"/>
      <c r="D398" s="65"/>
      <c r="E398" s="64"/>
      <c r="F398" s="64"/>
    </row>
    <row r="399" spans="1:6" ht="12.75">
      <c r="A399" s="64"/>
      <c r="B399" s="64"/>
      <c r="C399" s="64"/>
      <c r="D399" s="65"/>
      <c r="E399" s="64"/>
      <c r="F399" s="64"/>
    </row>
    <row r="400" spans="1:6" ht="12.75">
      <c r="A400" s="64"/>
      <c r="B400" s="64"/>
      <c r="C400" s="64"/>
      <c r="D400" s="65"/>
      <c r="E400" s="64"/>
      <c r="F400" s="64"/>
    </row>
    <row r="401" spans="1:6" ht="12.75">
      <c r="A401" s="64"/>
      <c r="B401" s="64"/>
      <c r="C401" s="64"/>
      <c r="D401" s="65"/>
      <c r="E401" s="64"/>
      <c r="F401" s="64"/>
    </row>
    <row r="402" spans="1:6" ht="12.75">
      <c r="A402" s="64"/>
      <c r="B402" s="64"/>
      <c r="C402" s="64"/>
      <c r="D402" s="65"/>
      <c r="E402" s="64"/>
      <c r="F402" s="64"/>
    </row>
    <row r="403" spans="1:6" ht="12.75">
      <c r="A403" s="64"/>
      <c r="B403" s="64"/>
      <c r="C403" s="64"/>
      <c r="D403" s="65"/>
      <c r="E403" s="64"/>
      <c r="F403" s="64"/>
    </row>
    <row r="404" spans="1:6" ht="12.75">
      <c r="A404" s="64"/>
      <c r="B404" s="64"/>
      <c r="C404" s="64"/>
      <c r="D404" s="65"/>
      <c r="E404" s="64"/>
      <c r="F404" s="64"/>
    </row>
    <row r="405" spans="1:6" ht="12.75">
      <c r="A405" s="64"/>
      <c r="B405" s="64"/>
      <c r="C405" s="64"/>
      <c r="D405" s="65"/>
      <c r="E405" s="64"/>
      <c r="F405" s="64"/>
    </row>
    <row r="406" spans="1:6" ht="12.75">
      <c r="A406" s="64"/>
      <c r="B406" s="64"/>
      <c r="C406" s="64"/>
      <c r="D406" s="65"/>
      <c r="E406" s="64"/>
      <c r="F406" s="64"/>
    </row>
    <row r="407" spans="1:6" ht="12.75">
      <c r="A407" s="64"/>
      <c r="B407" s="64"/>
      <c r="C407" s="64"/>
      <c r="D407" s="65"/>
      <c r="E407" s="64"/>
      <c r="F407" s="64"/>
    </row>
    <row r="408" spans="1:6" ht="12.75">
      <c r="A408" s="64"/>
      <c r="B408" s="64"/>
      <c r="C408" s="64"/>
      <c r="D408" s="65"/>
      <c r="E408" s="64"/>
      <c r="F408" s="64"/>
    </row>
    <row r="409" spans="1:6" ht="12.75">
      <c r="A409" s="64"/>
      <c r="B409" s="64"/>
      <c r="C409" s="64"/>
      <c r="D409" s="65"/>
      <c r="E409" s="64"/>
      <c r="F409" s="64"/>
    </row>
    <row r="410" spans="1:6" ht="12.75">
      <c r="A410" s="64"/>
      <c r="B410" s="64"/>
      <c r="C410" s="64"/>
      <c r="D410" s="65"/>
      <c r="E410" s="64"/>
      <c r="F410" s="64"/>
    </row>
    <row r="411" spans="1:6" ht="12.75">
      <c r="A411" s="64"/>
      <c r="B411" s="64"/>
      <c r="C411" s="64"/>
      <c r="D411" s="65"/>
      <c r="E411" s="64"/>
      <c r="F411" s="64"/>
    </row>
    <row r="412" spans="1:6" ht="12.75">
      <c r="A412" s="64"/>
      <c r="B412" s="64"/>
      <c r="C412" s="64"/>
      <c r="D412" s="65"/>
      <c r="E412" s="64"/>
      <c r="F412" s="64"/>
    </row>
    <row r="413" spans="1:6" ht="12.75">
      <c r="A413" s="64"/>
      <c r="B413" s="64"/>
      <c r="C413" s="64"/>
      <c r="D413" s="65"/>
      <c r="E413" s="64"/>
      <c r="F413" s="64"/>
    </row>
    <row r="414" spans="1:6" ht="12.75">
      <c r="A414" s="64"/>
      <c r="B414" s="64"/>
      <c r="C414" s="64"/>
      <c r="D414" s="65"/>
      <c r="E414" s="64"/>
      <c r="F414" s="64"/>
    </row>
    <row r="415" spans="1:6" ht="12.75">
      <c r="A415" s="64"/>
      <c r="B415" s="64"/>
      <c r="C415" s="64"/>
      <c r="D415" s="65"/>
      <c r="E415" s="64"/>
      <c r="F415" s="64"/>
    </row>
    <row r="416" spans="1:6" ht="12.75">
      <c r="A416" s="64"/>
      <c r="B416" s="64"/>
      <c r="C416" s="64"/>
      <c r="D416" s="65"/>
      <c r="E416" s="64"/>
      <c r="F416" s="64"/>
    </row>
    <row r="417" spans="1:6" ht="12.75">
      <c r="A417" s="64"/>
      <c r="B417" s="64"/>
      <c r="C417" s="64"/>
      <c r="D417" s="65"/>
      <c r="E417" s="64"/>
      <c r="F417" s="64"/>
    </row>
    <row r="418" spans="1:6" ht="12.75">
      <c r="A418" s="64"/>
      <c r="B418" s="64"/>
      <c r="C418" s="64"/>
      <c r="D418" s="65"/>
      <c r="E418" s="64"/>
      <c r="F418" s="64"/>
    </row>
    <row r="419" spans="1:6" ht="12.75">
      <c r="A419" s="64"/>
      <c r="B419" s="64"/>
      <c r="C419" s="64"/>
      <c r="D419" s="65"/>
      <c r="E419" s="64"/>
      <c r="F419" s="64"/>
    </row>
    <row r="420" spans="1:6" ht="12.75">
      <c r="A420" s="64"/>
      <c r="B420" s="64"/>
      <c r="C420" s="64"/>
      <c r="D420" s="65"/>
      <c r="E420" s="64"/>
      <c r="F420" s="64"/>
    </row>
    <row r="421" spans="1:6" ht="12.75">
      <c r="A421" s="64"/>
      <c r="B421" s="64"/>
      <c r="C421" s="64"/>
      <c r="D421" s="65"/>
      <c r="E421" s="64"/>
      <c r="F421" s="64"/>
    </row>
    <row r="422" spans="1:6" ht="12.75">
      <c r="A422" s="64"/>
      <c r="B422" s="64"/>
      <c r="C422" s="64"/>
      <c r="D422" s="65"/>
      <c r="E422" s="64"/>
      <c r="F422" s="64"/>
    </row>
    <row r="423" spans="1:6" ht="12.75">
      <c r="A423" s="64"/>
      <c r="B423" s="64"/>
      <c r="C423" s="64"/>
      <c r="D423" s="65"/>
      <c r="E423" s="64"/>
      <c r="F423" s="64"/>
    </row>
    <row r="424" spans="1:6" ht="12.75">
      <c r="A424" s="64"/>
      <c r="B424" s="64"/>
      <c r="C424" s="64"/>
      <c r="D424" s="65"/>
      <c r="E424" s="64"/>
      <c r="F424" s="64"/>
    </row>
    <row r="425" spans="1:6" ht="12.75">
      <c r="A425" s="64"/>
      <c r="B425" s="64"/>
      <c r="C425" s="64"/>
      <c r="D425" s="65"/>
      <c r="E425" s="64"/>
      <c r="F425" s="64"/>
    </row>
    <row r="426" spans="1:6" ht="12.75">
      <c r="A426" s="64"/>
      <c r="B426" s="64"/>
      <c r="C426" s="64"/>
      <c r="D426" s="65"/>
      <c r="E426" s="64"/>
      <c r="F426" s="64"/>
    </row>
    <row r="427" spans="1:6" ht="12.75">
      <c r="A427" s="64"/>
      <c r="B427" s="64"/>
      <c r="C427" s="64"/>
      <c r="D427" s="65"/>
      <c r="E427" s="64"/>
      <c r="F427" s="64"/>
    </row>
    <row r="428" spans="1:6" ht="12.75">
      <c r="A428" s="64"/>
      <c r="B428" s="64"/>
      <c r="C428" s="64"/>
      <c r="D428" s="65"/>
      <c r="E428" s="64"/>
      <c r="F428" s="64"/>
    </row>
    <row r="429" spans="1:6" ht="12.75">
      <c r="A429" s="64"/>
      <c r="B429" s="64"/>
      <c r="C429" s="64"/>
      <c r="D429" s="65"/>
      <c r="E429" s="64"/>
      <c r="F429" s="64"/>
    </row>
    <row r="430" spans="1:6" ht="12.75">
      <c r="A430" s="64"/>
      <c r="B430" s="64"/>
      <c r="C430" s="64"/>
      <c r="D430" s="65"/>
      <c r="E430" s="64"/>
      <c r="F430" s="64"/>
    </row>
    <row r="431" spans="1:6" ht="12.75">
      <c r="A431" s="64"/>
      <c r="B431" s="64"/>
      <c r="C431" s="64"/>
      <c r="D431" s="65"/>
      <c r="E431" s="64"/>
      <c r="F431" s="64"/>
    </row>
    <row r="432" spans="1:6" ht="12.75">
      <c r="A432" s="64"/>
      <c r="B432" s="64"/>
      <c r="C432" s="64"/>
      <c r="D432" s="65"/>
      <c r="E432" s="64"/>
      <c r="F432" s="64"/>
    </row>
    <row r="433" spans="1:6" ht="12.75">
      <c r="A433" s="64"/>
      <c r="B433" s="64"/>
      <c r="C433" s="64"/>
      <c r="D433" s="65"/>
      <c r="E433" s="64"/>
      <c r="F433" s="64"/>
    </row>
    <row r="434" spans="1:6" ht="12.75">
      <c r="A434" s="64"/>
      <c r="B434" s="64"/>
      <c r="C434" s="64"/>
      <c r="D434" s="65"/>
      <c r="E434" s="64"/>
      <c r="F434" s="64"/>
    </row>
    <row r="435" spans="1:6" ht="12.75">
      <c r="A435" s="64"/>
      <c r="B435" s="64"/>
      <c r="C435" s="64"/>
      <c r="D435" s="65"/>
      <c r="E435" s="64"/>
      <c r="F435" s="64"/>
    </row>
    <row r="436" spans="1:6" ht="12.75">
      <c r="A436" s="64"/>
      <c r="B436" s="64"/>
      <c r="C436" s="64"/>
      <c r="D436" s="65"/>
      <c r="E436" s="64"/>
      <c r="F436" s="64"/>
    </row>
    <row r="437" spans="1:6" ht="12.75">
      <c r="A437" s="64"/>
      <c r="B437" s="64"/>
      <c r="C437" s="64"/>
      <c r="D437" s="65"/>
      <c r="E437" s="64"/>
      <c r="F437" s="64"/>
    </row>
    <row r="438" spans="1:6" ht="12.75">
      <c r="A438" s="64"/>
      <c r="B438" s="64"/>
      <c r="C438" s="64"/>
      <c r="D438" s="65"/>
      <c r="E438" s="64"/>
      <c r="F438" s="64"/>
    </row>
    <row r="439" spans="1:6" ht="12.75">
      <c r="A439" s="64"/>
      <c r="B439" s="64"/>
      <c r="C439" s="64"/>
      <c r="D439" s="65"/>
      <c r="E439" s="64"/>
      <c r="F439" s="64"/>
    </row>
    <row r="440" spans="1:6" ht="12.75">
      <c r="A440" s="64"/>
      <c r="B440" s="64"/>
      <c r="C440" s="64"/>
      <c r="D440" s="65"/>
      <c r="E440" s="64"/>
      <c r="F440" s="64"/>
    </row>
    <row r="441" spans="1:6" ht="12.75">
      <c r="A441" s="64"/>
      <c r="B441" s="64"/>
      <c r="C441" s="64"/>
      <c r="D441" s="65"/>
      <c r="E441" s="64"/>
      <c r="F441" s="64"/>
    </row>
    <row r="442" spans="1:6" ht="12.75">
      <c r="A442" s="64"/>
      <c r="B442" s="64"/>
      <c r="C442" s="64"/>
      <c r="D442" s="65"/>
      <c r="E442" s="64"/>
      <c r="F442" s="64"/>
    </row>
    <row r="443" spans="1:6" ht="12.75">
      <c r="A443" s="64"/>
      <c r="B443" s="64"/>
      <c r="C443" s="64"/>
      <c r="D443" s="65"/>
      <c r="E443" s="64"/>
      <c r="F443" s="64"/>
    </row>
    <row r="444" spans="1:6" ht="12.75">
      <c r="A444" s="64"/>
      <c r="B444" s="64"/>
      <c r="C444" s="64"/>
      <c r="D444" s="65"/>
      <c r="E444" s="64"/>
      <c r="F444" s="64"/>
    </row>
    <row r="445" spans="1:6" ht="12.75">
      <c r="A445" s="64"/>
      <c r="B445" s="64"/>
      <c r="C445" s="64"/>
      <c r="D445" s="65"/>
      <c r="E445" s="64"/>
      <c r="F445" s="64"/>
    </row>
    <row r="446" spans="1:6" ht="12.75">
      <c r="A446" s="64"/>
      <c r="B446" s="64"/>
      <c r="C446" s="64"/>
      <c r="D446" s="65"/>
      <c r="E446" s="64"/>
      <c r="F446" s="64"/>
    </row>
    <row r="447" spans="1:6" ht="12.75">
      <c r="A447" s="64"/>
      <c r="B447" s="64"/>
      <c r="C447" s="64"/>
      <c r="D447" s="65"/>
      <c r="E447" s="64"/>
      <c r="F447" s="64"/>
    </row>
    <row r="448" spans="1:6" ht="12.75">
      <c r="A448" s="64"/>
      <c r="B448" s="64"/>
      <c r="C448" s="64"/>
      <c r="D448" s="65"/>
      <c r="E448" s="64"/>
      <c r="F448" s="64"/>
    </row>
    <row r="449" spans="1:6" ht="12.75">
      <c r="A449" s="64"/>
      <c r="B449" s="64"/>
      <c r="C449" s="64"/>
      <c r="D449" s="65"/>
      <c r="E449" s="64"/>
      <c r="F449" s="64"/>
    </row>
    <row r="450" spans="1:6" ht="12.75">
      <c r="A450" s="64"/>
      <c r="B450" s="64"/>
      <c r="C450" s="64"/>
      <c r="D450" s="65"/>
      <c r="E450" s="64"/>
      <c r="F450" s="64"/>
    </row>
    <row r="451" spans="1:6" ht="12.75">
      <c r="A451" s="64"/>
      <c r="B451" s="64"/>
      <c r="C451" s="64"/>
      <c r="D451" s="65"/>
      <c r="E451" s="64"/>
      <c r="F451" s="64"/>
    </row>
    <row r="452" spans="1:6" ht="12.75">
      <c r="A452" s="64"/>
      <c r="B452" s="64"/>
      <c r="C452" s="64"/>
      <c r="D452" s="65"/>
      <c r="E452" s="64"/>
      <c r="F452" s="64"/>
    </row>
    <row r="453" spans="1:6" ht="12.75">
      <c r="A453" s="64"/>
      <c r="B453" s="64"/>
      <c r="C453" s="64"/>
      <c r="D453" s="65"/>
      <c r="E453" s="64"/>
      <c r="F453" s="64"/>
    </row>
    <row r="454" spans="1:6" ht="12.75">
      <c r="A454" s="64"/>
      <c r="B454" s="64"/>
      <c r="C454" s="64"/>
      <c r="D454" s="65"/>
      <c r="E454" s="64"/>
      <c r="F454" s="64"/>
    </row>
    <row r="455" spans="1:6" ht="12.75">
      <c r="A455" s="64"/>
      <c r="B455" s="64"/>
      <c r="C455" s="64"/>
      <c r="D455" s="65"/>
      <c r="E455" s="64"/>
      <c r="F455" s="64"/>
    </row>
    <row r="456" spans="1:6" ht="12.75">
      <c r="A456" s="64"/>
      <c r="B456" s="64"/>
      <c r="C456" s="64"/>
      <c r="D456" s="65"/>
      <c r="E456" s="64"/>
      <c r="F456" s="64"/>
    </row>
    <row r="457" spans="1:6" ht="12.75">
      <c r="A457" s="64"/>
      <c r="B457" s="64"/>
      <c r="C457" s="64"/>
      <c r="D457" s="65"/>
      <c r="E457" s="64"/>
      <c r="F457" s="64"/>
    </row>
    <row r="458" spans="1:6" ht="12.75">
      <c r="A458" s="64"/>
      <c r="B458" s="64"/>
      <c r="C458" s="64"/>
      <c r="D458" s="65"/>
      <c r="E458" s="64"/>
      <c r="F458" s="64"/>
    </row>
    <row r="459" spans="1:6" ht="12.75">
      <c r="A459" s="64"/>
      <c r="B459" s="64"/>
      <c r="C459" s="64"/>
      <c r="D459" s="65"/>
      <c r="E459" s="64"/>
      <c r="F459" s="64"/>
    </row>
    <row r="460" spans="1:6" ht="12.75">
      <c r="A460" s="64"/>
      <c r="B460" s="64"/>
      <c r="C460" s="64"/>
      <c r="D460" s="65"/>
      <c r="E460" s="64"/>
      <c r="F460" s="64"/>
    </row>
    <row r="461" spans="1:6" ht="12.75">
      <c r="A461" s="64"/>
      <c r="B461" s="64"/>
      <c r="C461" s="64"/>
      <c r="D461" s="65"/>
      <c r="E461" s="64"/>
      <c r="F461" s="64"/>
    </row>
    <row r="462" spans="1:6" ht="12.75">
      <c r="A462" s="64"/>
      <c r="B462" s="64"/>
      <c r="C462" s="64"/>
      <c r="D462" s="65"/>
      <c r="E462" s="64"/>
      <c r="F462" s="64"/>
    </row>
    <row r="463" spans="1:6" ht="12.75">
      <c r="A463" s="64"/>
      <c r="B463" s="64"/>
      <c r="C463" s="64"/>
      <c r="D463" s="65"/>
      <c r="E463" s="64"/>
      <c r="F463" s="64"/>
    </row>
    <row r="464" spans="1:6" ht="12.75">
      <c r="A464" s="64"/>
      <c r="B464" s="64"/>
      <c r="C464" s="64"/>
      <c r="D464" s="65"/>
      <c r="E464" s="64"/>
      <c r="F464" s="64"/>
    </row>
    <row r="465" spans="1:6" ht="12.75">
      <c r="A465" s="64"/>
      <c r="B465" s="64"/>
      <c r="C465" s="64"/>
      <c r="D465" s="65"/>
      <c r="E465" s="64"/>
      <c r="F465" s="64"/>
    </row>
    <row r="466" spans="1:6" ht="12.75">
      <c r="A466" s="64"/>
      <c r="B466" s="64"/>
      <c r="C466" s="64"/>
      <c r="D466" s="65"/>
      <c r="E466" s="64"/>
      <c r="F466" s="64"/>
    </row>
    <row r="467" spans="1:6" ht="12.75">
      <c r="A467" s="64"/>
      <c r="B467" s="64"/>
      <c r="C467" s="64"/>
      <c r="D467" s="65"/>
      <c r="E467" s="64"/>
      <c r="F467" s="64"/>
    </row>
    <row r="468" spans="1:6" ht="12.75">
      <c r="A468" s="64"/>
      <c r="B468" s="64"/>
      <c r="C468" s="64"/>
      <c r="D468" s="65"/>
      <c r="E468" s="64"/>
      <c r="F468" s="64"/>
    </row>
    <row r="469" spans="1:6" ht="12.75">
      <c r="A469" s="64"/>
      <c r="B469" s="64"/>
      <c r="C469" s="64"/>
      <c r="D469" s="65"/>
      <c r="E469" s="64"/>
      <c r="F469" s="64"/>
    </row>
    <row r="470" spans="1:6" ht="12.75">
      <c r="A470" s="64"/>
      <c r="B470" s="64"/>
      <c r="C470" s="64"/>
      <c r="D470" s="65"/>
      <c r="E470" s="64"/>
      <c r="F470" s="64"/>
    </row>
    <row r="471" spans="1:6" ht="12.75">
      <c r="A471" s="64"/>
      <c r="B471" s="64"/>
      <c r="C471" s="64"/>
      <c r="D471" s="65"/>
      <c r="E471" s="64"/>
      <c r="F471" s="64"/>
    </row>
    <row r="472" spans="1:6" ht="12.75">
      <c r="A472" s="64"/>
      <c r="B472" s="64"/>
      <c r="C472" s="64"/>
      <c r="D472" s="65"/>
      <c r="E472" s="64"/>
      <c r="F472" s="64"/>
    </row>
    <row r="473" spans="1:6" ht="12.75">
      <c r="A473" s="64"/>
      <c r="B473" s="64"/>
      <c r="C473" s="64"/>
      <c r="D473" s="65"/>
      <c r="E473" s="64"/>
      <c r="F473" s="64"/>
    </row>
    <row r="474" spans="1:6" ht="12.75">
      <c r="A474" s="64"/>
      <c r="B474" s="64"/>
      <c r="C474" s="64"/>
      <c r="D474" s="65"/>
      <c r="E474" s="64"/>
      <c r="F474" s="64"/>
    </row>
    <row r="475" spans="1:6" ht="12.75">
      <c r="A475" s="64"/>
      <c r="B475" s="64"/>
      <c r="C475" s="64"/>
      <c r="D475" s="65"/>
      <c r="E475" s="64"/>
      <c r="F475" s="64"/>
    </row>
    <row r="476" spans="1:6" ht="12.75">
      <c r="A476" s="64"/>
      <c r="B476" s="64"/>
      <c r="C476" s="64"/>
      <c r="D476" s="65"/>
      <c r="E476" s="64"/>
      <c r="F476" s="64"/>
    </row>
    <row r="477" spans="1:6" ht="12.75">
      <c r="A477" s="64"/>
      <c r="B477" s="64"/>
      <c r="C477" s="64"/>
      <c r="D477" s="65"/>
      <c r="E477" s="64"/>
      <c r="F477" s="64"/>
    </row>
    <row r="478" spans="1:6" ht="12.75">
      <c r="A478" s="64"/>
      <c r="B478" s="64"/>
      <c r="C478" s="64"/>
      <c r="D478" s="65"/>
      <c r="E478" s="64"/>
      <c r="F478" s="64"/>
    </row>
    <row r="479" spans="1:6" ht="12.75">
      <c r="A479" s="64"/>
      <c r="B479" s="64"/>
      <c r="C479" s="64"/>
      <c r="D479" s="65"/>
      <c r="E479" s="64"/>
      <c r="F479" s="64"/>
    </row>
    <row r="480" spans="1:6" ht="12.75">
      <c r="A480" s="64"/>
      <c r="B480" s="64"/>
      <c r="C480" s="64"/>
      <c r="D480" s="65"/>
      <c r="E480" s="64"/>
      <c r="F480" s="64"/>
    </row>
    <row r="481" spans="1:6" ht="12.75">
      <c r="A481" s="64"/>
      <c r="B481" s="64"/>
      <c r="C481" s="64"/>
      <c r="D481" s="65"/>
      <c r="E481" s="64"/>
      <c r="F481" s="64"/>
    </row>
    <row r="482" spans="1:6" ht="12.75">
      <c r="A482" s="64"/>
      <c r="B482" s="64"/>
      <c r="C482" s="64"/>
      <c r="D482" s="65"/>
      <c r="E482" s="64"/>
      <c r="F482" s="64"/>
    </row>
    <row r="483" spans="1:6" ht="12.75">
      <c r="A483" s="64"/>
      <c r="B483" s="64"/>
      <c r="C483" s="64"/>
      <c r="D483" s="65"/>
      <c r="E483" s="64"/>
      <c r="F483" s="64"/>
    </row>
    <row r="484" spans="1:6" ht="12.75">
      <c r="A484" s="64"/>
      <c r="B484" s="64"/>
      <c r="C484" s="64"/>
      <c r="D484" s="65"/>
      <c r="E484" s="64"/>
      <c r="F484" s="64"/>
    </row>
    <row r="485" spans="1:6" ht="12.75">
      <c r="A485" s="64"/>
      <c r="B485" s="64"/>
      <c r="C485" s="64"/>
      <c r="D485" s="65"/>
      <c r="E485" s="64"/>
      <c r="F485" s="64"/>
    </row>
    <row r="486" spans="1:6" ht="12.75">
      <c r="A486" s="64"/>
      <c r="B486" s="64"/>
      <c r="C486" s="64"/>
      <c r="D486" s="65"/>
      <c r="E486" s="64"/>
      <c r="F486" s="64"/>
    </row>
    <row r="487" spans="1:6" ht="12.75">
      <c r="A487" s="64"/>
      <c r="B487" s="64"/>
      <c r="C487" s="64"/>
      <c r="D487" s="65"/>
      <c r="E487" s="64"/>
      <c r="F487" s="64"/>
    </row>
    <row r="488" spans="1:6" ht="12.75">
      <c r="A488" s="64"/>
      <c r="B488" s="64"/>
      <c r="C488" s="64"/>
      <c r="D488" s="65"/>
      <c r="E488" s="64"/>
      <c r="F488" s="64"/>
    </row>
    <row r="489" spans="1:6" ht="12.75">
      <c r="A489" s="64"/>
      <c r="B489" s="64"/>
      <c r="C489" s="64"/>
      <c r="D489" s="65"/>
      <c r="E489" s="64"/>
      <c r="F489" s="64"/>
    </row>
    <row r="490" spans="1:6" ht="12.75">
      <c r="A490" s="64"/>
      <c r="B490" s="64"/>
      <c r="C490" s="64"/>
      <c r="D490" s="65"/>
      <c r="E490" s="64"/>
      <c r="F490" s="64"/>
    </row>
    <row r="491" spans="1:6" ht="12.75">
      <c r="A491" s="64"/>
      <c r="B491" s="64"/>
      <c r="C491" s="64"/>
      <c r="D491" s="65"/>
      <c r="E491" s="64"/>
      <c r="F491" s="64"/>
    </row>
    <row r="492" spans="1:6" ht="12.75">
      <c r="A492" s="64"/>
      <c r="B492" s="64"/>
      <c r="C492" s="64"/>
      <c r="D492" s="65"/>
      <c r="E492" s="64"/>
      <c r="F492" s="64"/>
    </row>
    <row r="493" spans="1:6" ht="12.75">
      <c r="A493" s="64"/>
      <c r="B493" s="64"/>
      <c r="C493" s="64"/>
      <c r="D493" s="65"/>
      <c r="E493" s="64"/>
      <c r="F493" s="64"/>
    </row>
    <row r="494" spans="1:6" ht="12.75">
      <c r="A494" s="64"/>
      <c r="B494" s="64"/>
      <c r="C494" s="64"/>
      <c r="D494" s="65"/>
      <c r="E494" s="64"/>
      <c r="F494" s="64"/>
    </row>
    <row r="495" spans="1:6" ht="12.75">
      <c r="A495" s="64"/>
      <c r="B495" s="64"/>
      <c r="C495" s="64"/>
      <c r="D495" s="65"/>
      <c r="E495" s="64"/>
      <c r="F495" s="64"/>
    </row>
    <row r="496" spans="1:6" ht="12.75">
      <c r="A496" s="64"/>
      <c r="B496" s="64"/>
      <c r="C496" s="64"/>
      <c r="D496" s="65"/>
      <c r="E496" s="64"/>
      <c r="F496" s="64"/>
    </row>
    <row r="497" spans="1:6" ht="12.75">
      <c r="A497" s="64"/>
      <c r="B497" s="64"/>
      <c r="C497" s="64"/>
      <c r="D497" s="65"/>
      <c r="E497" s="64"/>
      <c r="F497" s="64"/>
    </row>
    <row r="498" spans="1:6" ht="12.75">
      <c r="A498" s="64"/>
      <c r="B498" s="64"/>
      <c r="C498" s="64"/>
      <c r="D498" s="65"/>
      <c r="E498" s="64"/>
      <c r="F498" s="64"/>
    </row>
    <row r="499" spans="1:6" ht="12.75">
      <c r="A499" s="64"/>
      <c r="B499" s="64"/>
      <c r="C499" s="64"/>
      <c r="D499" s="65"/>
      <c r="E499" s="64"/>
      <c r="F499" s="64"/>
    </row>
    <row r="500" spans="1:6" ht="12.75">
      <c r="A500" s="64"/>
      <c r="B500" s="64"/>
      <c r="C500" s="64"/>
      <c r="D500" s="65"/>
      <c r="E500" s="64"/>
      <c r="F500" s="64"/>
    </row>
    <row r="501" spans="1:6" ht="12.75">
      <c r="A501" s="64"/>
      <c r="B501" s="64"/>
      <c r="C501" s="64"/>
      <c r="D501" s="65"/>
      <c r="E501" s="64"/>
      <c r="F501" s="64"/>
    </row>
    <row r="502" spans="1:6" ht="12.75">
      <c r="A502" s="64"/>
      <c r="B502" s="64"/>
      <c r="C502" s="64"/>
      <c r="D502" s="65"/>
      <c r="E502" s="64"/>
      <c r="F502" s="64"/>
    </row>
    <row r="503" spans="1:6" ht="12.75">
      <c r="A503" s="64"/>
      <c r="B503" s="64"/>
      <c r="C503" s="64"/>
      <c r="D503" s="65"/>
      <c r="E503" s="64"/>
      <c r="F503" s="64"/>
    </row>
    <row r="504" spans="1:6" ht="12.75">
      <c r="A504" s="64"/>
      <c r="B504" s="64"/>
      <c r="C504" s="64"/>
      <c r="D504" s="65"/>
      <c r="E504" s="64"/>
      <c r="F504" s="64"/>
    </row>
    <row r="505" spans="1:6" ht="12.75">
      <c r="A505" s="64"/>
      <c r="B505" s="64"/>
      <c r="C505" s="64"/>
      <c r="D505" s="65"/>
      <c r="E505" s="64"/>
      <c r="F505" s="64"/>
    </row>
    <row r="506" spans="1:6" ht="12.75">
      <c r="A506" s="64"/>
      <c r="B506" s="64"/>
      <c r="C506" s="64"/>
      <c r="D506" s="65"/>
      <c r="E506" s="64"/>
      <c r="F506" s="64"/>
    </row>
    <row r="507" spans="1:6" ht="12.75">
      <c r="A507" s="64"/>
      <c r="B507" s="64"/>
      <c r="C507" s="64"/>
      <c r="D507" s="65"/>
      <c r="E507" s="64"/>
      <c r="F507" s="64"/>
    </row>
    <row r="508" spans="1:6" ht="12.75">
      <c r="A508" s="64"/>
      <c r="B508" s="64"/>
      <c r="C508" s="64"/>
      <c r="D508" s="65"/>
      <c r="E508" s="64"/>
      <c r="F508" s="64"/>
    </row>
    <row r="509" spans="1:6" ht="12.75">
      <c r="A509" s="64"/>
      <c r="B509" s="64"/>
      <c r="C509" s="64"/>
      <c r="D509" s="65"/>
      <c r="E509" s="64"/>
      <c r="F509" s="64"/>
    </row>
    <row r="510" spans="1:6" ht="12.75">
      <c r="A510" s="64"/>
      <c r="B510" s="64"/>
      <c r="C510" s="64"/>
      <c r="D510" s="65"/>
      <c r="E510" s="64"/>
      <c r="F510" s="64"/>
    </row>
    <row r="511" spans="1:6" ht="12.75">
      <c r="A511" s="64"/>
      <c r="B511" s="64"/>
      <c r="C511" s="64"/>
      <c r="D511" s="65"/>
      <c r="E511" s="64"/>
      <c r="F511" s="64"/>
    </row>
    <row r="512" spans="1:6" ht="12.75">
      <c r="A512" s="64"/>
      <c r="B512" s="64"/>
      <c r="C512" s="64"/>
      <c r="D512" s="65"/>
      <c r="E512" s="64"/>
      <c r="F512" s="64"/>
    </row>
    <row r="513" spans="1:6" ht="12.75">
      <c r="A513" s="64"/>
      <c r="B513" s="64"/>
      <c r="C513" s="64"/>
      <c r="D513" s="65"/>
      <c r="E513" s="64"/>
      <c r="F513" s="64"/>
    </row>
    <row r="514" spans="1:6" ht="12.75">
      <c r="A514" s="64"/>
      <c r="B514" s="64"/>
      <c r="C514" s="64"/>
      <c r="D514" s="65"/>
      <c r="E514" s="64"/>
      <c r="F514" s="64"/>
    </row>
    <row r="515" spans="1:6" ht="12.75">
      <c r="A515" s="64"/>
      <c r="B515" s="64"/>
      <c r="C515" s="64"/>
      <c r="D515" s="65"/>
      <c r="E515" s="64"/>
      <c r="F515" s="64"/>
    </row>
    <row r="516" spans="1:6" ht="12.75">
      <c r="A516" s="64"/>
      <c r="B516" s="64"/>
      <c r="C516" s="64"/>
      <c r="D516" s="65"/>
      <c r="E516" s="64"/>
      <c r="F516" s="64"/>
    </row>
    <row r="517" spans="1:6" ht="12.75">
      <c r="A517" s="64"/>
      <c r="B517" s="64"/>
      <c r="C517" s="64"/>
      <c r="D517" s="65"/>
      <c r="E517" s="64"/>
      <c r="F517" s="64"/>
    </row>
    <row r="518" spans="1:6" ht="12.75">
      <c r="A518" s="64"/>
      <c r="B518" s="64"/>
      <c r="C518" s="64"/>
      <c r="D518" s="65"/>
      <c r="E518" s="64"/>
      <c r="F518" s="64"/>
    </row>
    <row r="519" spans="1:6" ht="12.75">
      <c r="A519" s="64"/>
      <c r="B519" s="64"/>
      <c r="C519" s="64"/>
      <c r="D519" s="65"/>
      <c r="E519" s="64"/>
      <c r="F519" s="64"/>
    </row>
    <row r="520" spans="1:6" ht="12.75">
      <c r="A520" s="64"/>
      <c r="B520" s="64"/>
      <c r="C520" s="64"/>
      <c r="D520" s="65"/>
      <c r="E520" s="64"/>
      <c r="F520" s="64"/>
    </row>
    <row r="521" spans="1:6" ht="12.75">
      <c r="A521" s="64"/>
      <c r="B521" s="64"/>
      <c r="C521" s="64"/>
      <c r="D521" s="65"/>
      <c r="E521" s="64"/>
      <c r="F521" s="64"/>
    </row>
    <row r="522" spans="1:6" ht="12.75">
      <c r="A522" s="64"/>
      <c r="B522" s="64"/>
      <c r="C522" s="64"/>
      <c r="D522" s="65"/>
      <c r="E522" s="64"/>
      <c r="F522" s="64"/>
    </row>
    <row r="523" spans="1:6" ht="12.75">
      <c r="A523" s="64"/>
      <c r="B523" s="64"/>
      <c r="C523" s="64"/>
      <c r="D523" s="65"/>
      <c r="E523" s="64"/>
      <c r="F523" s="64"/>
    </row>
    <row r="524" spans="1:6" ht="12.75">
      <c r="A524" s="64"/>
      <c r="B524" s="64"/>
      <c r="C524" s="64"/>
      <c r="D524" s="65"/>
      <c r="E524" s="64"/>
      <c r="F524" s="64"/>
    </row>
    <row r="525" spans="1:6" ht="12.75">
      <c r="A525" s="64"/>
      <c r="B525" s="64"/>
      <c r="C525" s="64"/>
      <c r="D525" s="65"/>
      <c r="E525" s="64"/>
      <c r="F525" s="64"/>
    </row>
    <row r="526" spans="1:6" ht="12.75">
      <c r="A526" s="64"/>
      <c r="B526" s="64"/>
      <c r="C526" s="64"/>
      <c r="D526" s="65"/>
      <c r="E526" s="64"/>
      <c r="F526" s="64"/>
    </row>
    <row r="527" spans="1:6" ht="12.75">
      <c r="A527" s="64"/>
      <c r="B527" s="64"/>
      <c r="C527" s="64"/>
      <c r="D527" s="65"/>
      <c r="E527" s="64"/>
      <c r="F527" s="64"/>
    </row>
    <row r="528" spans="1:6" ht="12.75">
      <c r="A528" s="64"/>
      <c r="B528" s="64"/>
      <c r="C528" s="64"/>
      <c r="D528" s="65"/>
      <c r="E528" s="64"/>
      <c r="F528" s="64"/>
    </row>
    <row r="529" spans="1:6" ht="12.75">
      <c r="A529" s="64"/>
      <c r="B529" s="64"/>
      <c r="C529" s="64"/>
      <c r="D529" s="65"/>
      <c r="E529" s="64"/>
      <c r="F529" s="64"/>
    </row>
    <row r="530" spans="1:6" ht="12.75">
      <c r="A530" s="64"/>
      <c r="B530" s="64"/>
      <c r="C530" s="64"/>
      <c r="D530" s="65"/>
      <c r="E530" s="64"/>
      <c r="F530" s="64"/>
    </row>
    <row r="531" spans="1:6" ht="12.75">
      <c r="A531" s="64"/>
      <c r="B531" s="64"/>
      <c r="C531" s="64"/>
      <c r="D531" s="65"/>
      <c r="E531" s="64"/>
      <c r="F531" s="64"/>
    </row>
    <row r="532" spans="1:6" ht="12.75">
      <c r="A532" s="64"/>
      <c r="B532" s="64"/>
      <c r="C532" s="64"/>
      <c r="D532" s="65"/>
      <c r="E532" s="64"/>
      <c r="F532" s="64"/>
    </row>
    <row r="533" spans="1:6" ht="12.75">
      <c r="A533" s="64"/>
      <c r="B533" s="64"/>
      <c r="C533" s="64"/>
      <c r="D533" s="65"/>
      <c r="E533" s="64"/>
      <c r="F533" s="64"/>
    </row>
    <row r="534" spans="1:6" ht="12.75">
      <c r="A534" s="64"/>
      <c r="B534" s="64"/>
      <c r="C534" s="64"/>
      <c r="D534" s="65"/>
      <c r="E534" s="64"/>
      <c r="F534" s="64"/>
    </row>
    <row r="535" spans="1:6" ht="12.75">
      <c r="A535" s="64"/>
      <c r="B535" s="64"/>
      <c r="C535" s="64"/>
      <c r="D535" s="65"/>
      <c r="E535" s="64"/>
      <c r="F535" s="64"/>
    </row>
    <row r="536" spans="1:6" ht="12.75">
      <c r="A536" s="64"/>
      <c r="B536" s="64"/>
      <c r="C536" s="64"/>
      <c r="D536" s="65"/>
      <c r="E536" s="64"/>
      <c r="F536" s="64"/>
    </row>
    <row r="537" spans="1:6" ht="12.75">
      <c r="A537" s="64"/>
      <c r="B537" s="64"/>
      <c r="C537" s="64"/>
      <c r="D537" s="65"/>
      <c r="E537" s="64"/>
      <c r="F537" s="64"/>
    </row>
    <row r="538" spans="1:6" ht="12.75">
      <c r="A538" s="64"/>
      <c r="B538" s="64"/>
      <c r="C538" s="64"/>
      <c r="D538" s="65"/>
      <c r="E538" s="64"/>
      <c r="F538" s="64"/>
    </row>
    <row r="539" spans="1:6" ht="12.75">
      <c r="A539" s="64"/>
      <c r="B539" s="64"/>
      <c r="C539" s="64"/>
      <c r="D539" s="65"/>
      <c r="E539" s="64"/>
      <c r="F539" s="64"/>
    </row>
    <row r="540" spans="1:6" ht="12.75">
      <c r="A540" s="64"/>
      <c r="B540" s="64"/>
      <c r="C540" s="64"/>
      <c r="D540" s="65"/>
      <c r="E540" s="64"/>
      <c r="F540" s="64"/>
    </row>
    <row r="541" spans="1:6" ht="12.75">
      <c r="A541" s="64"/>
      <c r="B541" s="64"/>
      <c r="C541" s="64"/>
      <c r="D541" s="65"/>
      <c r="E541" s="64"/>
      <c r="F541" s="64"/>
    </row>
    <row r="542" spans="1:6" ht="12.75">
      <c r="A542" s="64"/>
      <c r="B542" s="64"/>
      <c r="C542" s="64"/>
      <c r="D542" s="65"/>
      <c r="E542" s="64"/>
      <c r="F542" s="64"/>
    </row>
    <row r="543" spans="1:6" ht="12.75">
      <c r="A543" s="64"/>
      <c r="B543" s="64"/>
      <c r="C543" s="64"/>
      <c r="D543" s="65"/>
      <c r="E543" s="64"/>
      <c r="F543" s="64"/>
    </row>
    <row r="544" spans="1:6" ht="12.75">
      <c r="A544" s="64"/>
      <c r="B544" s="64"/>
      <c r="C544" s="64"/>
      <c r="D544" s="65"/>
      <c r="E544" s="64"/>
      <c r="F544" s="64"/>
    </row>
    <row r="545" spans="1:6" ht="12.75">
      <c r="A545" s="64"/>
      <c r="B545" s="64"/>
      <c r="C545" s="64"/>
      <c r="D545" s="65"/>
      <c r="E545" s="64"/>
      <c r="F545" s="64"/>
    </row>
    <row r="546" spans="1:6" ht="12.75">
      <c r="A546" s="64"/>
      <c r="B546" s="64"/>
      <c r="C546" s="64"/>
      <c r="D546" s="65"/>
      <c r="E546" s="64"/>
      <c r="F546" s="64"/>
    </row>
    <row r="547" spans="1:6" ht="12.75">
      <c r="A547" s="64"/>
      <c r="B547" s="64"/>
      <c r="C547" s="64"/>
      <c r="D547" s="65"/>
      <c r="E547" s="64"/>
      <c r="F547" s="64"/>
    </row>
    <row r="548" spans="1:6" ht="12.75">
      <c r="A548" s="64"/>
      <c r="B548" s="64"/>
      <c r="C548" s="64"/>
      <c r="D548" s="65"/>
      <c r="E548" s="64"/>
      <c r="F548" s="64"/>
    </row>
    <row r="549" spans="1:6" ht="12.75">
      <c r="A549" s="64"/>
      <c r="B549" s="64"/>
      <c r="C549" s="64"/>
      <c r="D549" s="65"/>
      <c r="E549" s="64"/>
      <c r="F549" s="64"/>
    </row>
    <row r="550" spans="1:6" ht="12.75">
      <c r="A550" s="64"/>
      <c r="B550" s="64"/>
      <c r="C550" s="64"/>
      <c r="D550" s="65"/>
      <c r="E550" s="64"/>
      <c r="F550" s="64"/>
    </row>
    <row r="551" spans="1:6" ht="12.75">
      <c r="A551" s="64"/>
      <c r="B551" s="64"/>
      <c r="C551" s="64"/>
      <c r="D551" s="65"/>
      <c r="E551" s="64"/>
      <c r="F551" s="64"/>
    </row>
    <row r="552" spans="1:6" ht="12.75">
      <c r="A552" s="64"/>
      <c r="B552" s="64"/>
      <c r="C552" s="64"/>
      <c r="D552" s="65"/>
      <c r="E552" s="64"/>
      <c r="F552" s="64"/>
    </row>
    <row r="553" spans="1:6" ht="12.75">
      <c r="A553" s="64"/>
      <c r="B553" s="64"/>
      <c r="C553" s="64"/>
      <c r="D553" s="65"/>
      <c r="E553" s="64"/>
      <c r="F553" s="64"/>
    </row>
    <row r="554" spans="1:6" ht="12.75">
      <c r="A554" s="64"/>
      <c r="B554" s="64"/>
      <c r="C554" s="64"/>
      <c r="D554" s="65"/>
      <c r="E554" s="64"/>
      <c r="F554" s="64"/>
    </row>
    <row r="555" spans="1:6" ht="12.75">
      <c r="A555" s="64"/>
      <c r="B555" s="64"/>
      <c r="C555" s="64"/>
      <c r="D555" s="65"/>
      <c r="E555" s="64"/>
      <c r="F555" s="64"/>
    </row>
    <row r="556" spans="1:6" ht="12.75">
      <c r="A556" s="64"/>
      <c r="B556" s="64"/>
      <c r="C556" s="64"/>
      <c r="D556" s="65"/>
      <c r="E556" s="64"/>
      <c r="F556" s="64"/>
    </row>
    <row r="557" spans="1:6" ht="12.75">
      <c r="A557" s="64"/>
      <c r="B557" s="64"/>
      <c r="C557" s="64"/>
      <c r="D557" s="65"/>
      <c r="E557" s="64"/>
      <c r="F557" s="64"/>
    </row>
    <row r="558" spans="1:6" ht="12.75">
      <c r="A558" s="64"/>
      <c r="B558" s="64"/>
      <c r="C558" s="64"/>
      <c r="D558" s="65"/>
      <c r="E558" s="64"/>
      <c r="F558" s="64"/>
    </row>
    <row r="559" spans="1:6" ht="12.75">
      <c r="A559" s="64"/>
      <c r="B559" s="64"/>
      <c r="C559" s="64"/>
      <c r="D559" s="65"/>
      <c r="E559" s="64"/>
      <c r="F559" s="64"/>
    </row>
    <row r="560" spans="1:6" ht="12.75">
      <c r="A560" s="64"/>
      <c r="B560" s="64"/>
      <c r="C560" s="64"/>
      <c r="D560" s="65"/>
      <c r="E560" s="64"/>
      <c r="F560" s="64"/>
    </row>
    <row r="561" spans="1:6" ht="12.75">
      <c r="A561" s="64"/>
      <c r="B561" s="64"/>
      <c r="C561" s="64"/>
      <c r="D561" s="65"/>
      <c r="E561" s="64"/>
      <c r="F561" s="64"/>
    </row>
    <row r="562" spans="1:6" ht="12.75">
      <c r="A562" s="64"/>
      <c r="B562" s="64"/>
      <c r="C562" s="64"/>
      <c r="D562" s="65"/>
      <c r="E562" s="64"/>
      <c r="F562" s="64"/>
    </row>
    <row r="563" spans="1:6" ht="12.75">
      <c r="A563" s="64"/>
      <c r="B563" s="64"/>
      <c r="C563" s="64"/>
      <c r="D563" s="65"/>
      <c r="E563" s="64"/>
      <c r="F563" s="64"/>
    </row>
    <row r="564" spans="1:6" ht="12.75">
      <c r="A564" s="64"/>
      <c r="B564" s="64"/>
      <c r="C564" s="64"/>
      <c r="D564" s="65"/>
      <c r="E564" s="64"/>
      <c r="F564" s="64"/>
    </row>
    <row r="565" spans="1:6" ht="12.75">
      <c r="A565" s="64"/>
      <c r="B565" s="64"/>
      <c r="C565" s="64"/>
      <c r="D565" s="65"/>
      <c r="E565" s="64"/>
      <c r="F565" s="64"/>
    </row>
    <row r="566" spans="1:6" ht="12.75">
      <c r="A566" s="64"/>
      <c r="B566" s="64"/>
      <c r="C566" s="64"/>
      <c r="D566" s="65"/>
      <c r="E566" s="64"/>
      <c r="F566" s="64"/>
    </row>
    <row r="567" spans="1:6" ht="12.75">
      <c r="A567" s="64"/>
      <c r="B567" s="64"/>
      <c r="C567" s="64"/>
      <c r="D567" s="65"/>
      <c r="E567" s="64"/>
      <c r="F567" s="64"/>
    </row>
    <row r="568" spans="1:6" ht="12.75">
      <c r="A568" s="64"/>
      <c r="B568" s="64"/>
      <c r="C568" s="64"/>
      <c r="D568" s="65"/>
      <c r="E568" s="64"/>
      <c r="F568" s="64"/>
    </row>
    <row r="569" spans="1:6" ht="12.75">
      <c r="A569" s="64"/>
      <c r="B569" s="64"/>
      <c r="C569" s="64"/>
      <c r="D569" s="65"/>
      <c r="E569" s="64"/>
      <c r="F569" s="64"/>
    </row>
    <row r="570" spans="1:6" ht="12.75">
      <c r="A570" s="64"/>
      <c r="B570" s="64"/>
      <c r="C570" s="64"/>
      <c r="D570" s="65"/>
      <c r="E570" s="64"/>
      <c r="F570" s="64"/>
    </row>
    <row r="571" spans="1:6" ht="12.75">
      <c r="A571" s="64"/>
      <c r="B571" s="64"/>
      <c r="C571" s="64"/>
      <c r="D571" s="65"/>
      <c r="E571" s="64"/>
      <c r="F571" s="64"/>
    </row>
    <row r="572" spans="1:6" ht="12.75">
      <c r="A572" s="64"/>
      <c r="B572" s="64"/>
      <c r="C572" s="64"/>
      <c r="D572" s="65"/>
      <c r="E572" s="64"/>
      <c r="F572" s="64"/>
    </row>
    <row r="573" spans="1:6" ht="12.75">
      <c r="A573" s="64"/>
      <c r="B573" s="64"/>
      <c r="C573" s="64"/>
      <c r="D573" s="65"/>
      <c r="E573" s="64"/>
      <c r="F573" s="64"/>
    </row>
    <row r="574" spans="1:6" ht="12.75">
      <c r="A574" s="64"/>
      <c r="B574" s="64"/>
      <c r="C574" s="64"/>
      <c r="D574" s="65"/>
      <c r="E574" s="64"/>
      <c r="F574" s="64"/>
    </row>
    <row r="575" spans="1:6" ht="12.75">
      <c r="A575" s="64"/>
      <c r="B575" s="64"/>
      <c r="C575" s="64"/>
      <c r="D575" s="65"/>
      <c r="E575" s="64"/>
      <c r="F575" s="64"/>
    </row>
    <row r="576" spans="1:6" ht="12.75">
      <c r="A576" s="64"/>
      <c r="B576" s="64"/>
      <c r="C576" s="64"/>
      <c r="D576" s="65"/>
      <c r="E576" s="64"/>
      <c r="F576" s="64"/>
    </row>
    <row r="577" spans="1:6" ht="12.75">
      <c r="A577" s="64"/>
      <c r="B577" s="64"/>
      <c r="C577" s="64"/>
      <c r="D577" s="65"/>
      <c r="E577" s="64"/>
      <c r="F577" s="64"/>
    </row>
    <row r="578" spans="1:6" ht="12.75">
      <c r="A578" s="64"/>
      <c r="B578" s="64"/>
      <c r="C578" s="64"/>
      <c r="D578" s="65"/>
      <c r="E578" s="64"/>
      <c r="F578" s="64"/>
    </row>
    <row r="579" spans="1:6" ht="12.75">
      <c r="A579" s="64"/>
      <c r="B579" s="64"/>
      <c r="C579" s="64"/>
      <c r="D579" s="65"/>
      <c r="E579" s="64"/>
      <c r="F579" s="64"/>
    </row>
    <row r="580" spans="1:6" ht="12.75">
      <c r="A580" s="64"/>
      <c r="B580" s="64"/>
      <c r="C580" s="64"/>
      <c r="D580" s="65"/>
      <c r="E580" s="64"/>
      <c r="F580" s="64"/>
    </row>
    <row r="581" spans="1:6" ht="12.75">
      <c r="A581" s="64"/>
      <c r="B581" s="64"/>
      <c r="C581" s="64"/>
      <c r="D581" s="65"/>
      <c r="E581" s="64"/>
      <c r="F581" s="64"/>
    </row>
    <row r="582" spans="1:6" ht="12.75">
      <c r="A582" s="64"/>
      <c r="B582" s="64"/>
      <c r="C582" s="64"/>
      <c r="D582" s="65"/>
      <c r="E582" s="64"/>
      <c r="F582" s="64"/>
    </row>
    <row r="583" spans="1:6" ht="12.75">
      <c r="A583" s="64"/>
      <c r="B583" s="64"/>
      <c r="C583" s="64"/>
      <c r="D583" s="65"/>
      <c r="E583" s="64"/>
      <c r="F583" s="64"/>
    </row>
    <row r="584" spans="1:6" ht="12.75">
      <c r="A584" s="64"/>
      <c r="B584" s="64"/>
      <c r="C584" s="64"/>
      <c r="D584" s="65"/>
      <c r="E584" s="64"/>
      <c r="F584" s="64"/>
    </row>
    <row r="585" spans="1:6" ht="12.75">
      <c r="A585" s="64"/>
      <c r="B585" s="64"/>
      <c r="C585" s="64"/>
      <c r="D585" s="65"/>
      <c r="E585" s="64"/>
      <c r="F585" s="64"/>
    </row>
    <row r="586" spans="1:6" ht="12.75">
      <c r="A586" s="64"/>
      <c r="B586" s="64"/>
      <c r="C586" s="64"/>
      <c r="D586" s="65"/>
      <c r="E586" s="64"/>
      <c r="F586" s="64"/>
    </row>
    <row r="587" spans="1:6" ht="12.75">
      <c r="A587" s="64"/>
      <c r="B587" s="64"/>
      <c r="C587" s="64"/>
      <c r="D587" s="65"/>
      <c r="E587" s="64"/>
      <c r="F587" s="64"/>
    </row>
    <row r="588" spans="1:6" ht="12.75">
      <c r="A588" s="64"/>
      <c r="B588" s="64"/>
      <c r="C588" s="64"/>
      <c r="D588" s="65"/>
      <c r="E588" s="64"/>
      <c r="F588" s="64"/>
    </row>
    <row r="589" spans="1:6" ht="12.75">
      <c r="A589" s="64"/>
      <c r="B589" s="64"/>
      <c r="C589" s="64"/>
      <c r="D589" s="65"/>
      <c r="E589" s="64"/>
      <c r="F589" s="64"/>
    </row>
    <row r="590" spans="1:6" ht="12.75">
      <c r="A590" s="64"/>
      <c r="B590" s="64"/>
      <c r="C590" s="64"/>
      <c r="D590" s="65"/>
      <c r="E590" s="64"/>
      <c r="F590" s="64"/>
    </row>
    <row r="591" spans="1:6" ht="12.75">
      <c r="A591" s="64"/>
      <c r="B591" s="64"/>
      <c r="C591" s="64"/>
      <c r="D591" s="65"/>
      <c r="E591" s="64"/>
      <c r="F591" s="64"/>
    </row>
    <row r="592" spans="1:6" ht="12.75">
      <c r="A592" s="64"/>
      <c r="B592" s="64"/>
      <c r="C592" s="64"/>
      <c r="D592" s="65"/>
      <c r="E592" s="64"/>
      <c r="F592" s="64"/>
    </row>
    <row r="593" spans="1:6" ht="12.75">
      <c r="A593" s="64"/>
      <c r="B593" s="64"/>
      <c r="C593" s="64"/>
      <c r="D593" s="65"/>
      <c r="E593" s="64"/>
      <c r="F593" s="64"/>
    </row>
    <row r="594" spans="1:6" ht="12.75">
      <c r="A594" s="64"/>
      <c r="B594" s="64"/>
      <c r="C594" s="64"/>
      <c r="D594" s="65"/>
      <c r="E594" s="64"/>
      <c r="F594" s="64"/>
    </row>
    <row r="595" spans="1:6" ht="12.75">
      <c r="A595" s="64"/>
      <c r="B595" s="64"/>
      <c r="C595" s="64"/>
      <c r="D595" s="65"/>
      <c r="E595" s="64"/>
      <c r="F595" s="64"/>
    </row>
    <row r="596" spans="1:6" ht="12.75">
      <c r="A596" s="64"/>
      <c r="B596" s="64"/>
      <c r="C596" s="64"/>
      <c r="D596" s="65"/>
      <c r="E596" s="64"/>
      <c r="F596" s="64"/>
    </row>
    <row r="597" spans="1:6" ht="12.75">
      <c r="A597" s="64"/>
      <c r="B597" s="64"/>
      <c r="C597" s="64"/>
      <c r="D597" s="65"/>
      <c r="E597" s="64"/>
      <c r="F597" s="64"/>
    </row>
    <row r="598" spans="1:6" ht="12.75">
      <c r="A598" s="64"/>
      <c r="B598" s="64"/>
      <c r="C598" s="64"/>
      <c r="D598" s="65"/>
      <c r="E598" s="64"/>
      <c r="F598" s="64"/>
    </row>
    <row r="599" spans="1:6" ht="12.75">
      <c r="A599" s="64"/>
      <c r="B599" s="64"/>
      <c r="C599" s="64"/>
      <c r="D599" s="65"/>
      <c r="E599" s="64"/>
      <c r="F599" s="64"/>
    </row>
    <row r="600" spans="1:6" ht="12.75">
      <c r="A600" s="64"/>
      <c r="B600" s="64"/>
      <c r="C600" s="64"/>
      <c r="D600" s="65"/>
      <c r="E600" s="64"/>
      <c r="F600" s="64"/>
    </row>
    <row r="601" spans="1:6" ht="12.75">
      <c r="A601" s="64"/>
      <c r="B601" s="64"/>
      <c r="C601" s="64"/>
      <c r="D601" s="65"/>
      <c r="E601" s="64"/>
      <c r="F601" s="64"/>
    </row>
    <row r="602" spans="1:6" ht="12.75">
      <c r="A602" s="64"/>
      <c r="B602" s="64"/>
      <c r="C602" s="64"/>
      <c r="D602" s="65"/>
      <c r="E602" s="64"/>
      <c r="F602" s="64"/>
    </row>
    <row r="603" spans="1:6" ht="12.75">
      <c r="A603" s="64"/>
      <c r="B603" s="64"/>
      <c r="C603" s="64"/>
      <c r="D603" s="65"/>
      <c r="E603" s="64"/>
      <c r="F603" s="64"/>
    </row>
    <row r="604" spans="1:6" ht="12.75">
      <c r="A604" s="64"/>
      <c r="B604" s="64"/>
      <c r="C604" s="64"/>
      <c r="D604" s="65"/>
      <c r="E604" s="64"/>
      <c r="F604" s="64"/>
    </row>
    <row r="605" spans="1:6" ht="12.75">
      <c r="A605" s="64"/>
      <c r="B605" s="64"/>
      <c r="C605" s="64"/>
      <c r="D605" s="65"/>
      <c r="E605" s="64"/>
      <c r="F605" s="64"/>
    </row>
    <row r="606" spans="1:6" ht="12.75">
      <c r="A606" s="64"/>
      <c r="B606" s="64"/>
      <c r="C606" s="64"/>
      <c r="D606" s="65"/>
      <c r="E606" s="64"/>
      <c r="F606" s="64"/>
    </row>
    <row r="607" spans="1:6" ht="12.75">
      <c r="A607" s="64"/>
      <c r="B607" s="64"/>
      <c r="C607" s="64"/>
      <c r="D607" s="65"/>
      <c r="E607" s="64"/>
      <c r="F607" s="64"/>
    </row>
    <row r="608" spans="1:6" ht="12.75">
      <c r="A608" s="64"/>
      <c r="B608" s="64"/>
      <c r="C608" s="64"/>
      <c r="D608" s="65"/>
      <c r="E608" s="64"/>
      <c r="F608" s="64"/>
    </row>
    <row r="609" spans="1:6" ht="12.75">
      <c r="A609" s="64"/>
      <c r="B609" s="64"/>
      <c r="C609" s="64"/>
      <c r="D609" s="65"/>
      <c r="E609" s="64"/>
      <c r="F609" s="64"/>
    </row>
    <row r="610" spans="1:6" ht="12.75">
      <c r="A610" s="64"/>
      <c r="B610" s="64"/>
      <c r="C610" s="64"/>
      <c r="D610" s="65"/>
      <c r="E610" s="64"/>
      <c r="F610" s="64"/>
    </row>
    <row r="611" spans="1:6" ht="12.75">
      <c r="A611" s="64"/>
      <c r="B611" s="64"/>
      <c r="C611" s="64"/>
      <c r="D611" s="65"/>
      <c r="E611" s="64"/>
      <c r="F611" s="64"/>
    </row>
    <row r="612" spans="1:6" ht="12.75">
      <c r="A612" s="64"/>
      <c r="B612" s="64"/>
      <c r="C612" s="64"/>
      <c r="D612" s="65"/>
      <c r="E612" s="64"/>
      <c r="F612" s="64"/>
    </row>
    <row r="613" spans="1:6" ht="12.75">
      <c r="A613" s="64"/>
      <c r="B613" s="64"/>
      <c r="C613" s="64"/>
      <c r="D613" s="65"/>
      <c r="E613" s="64"/>
      <c r="F613" s="64"/>
    </row>
    <row r="614" spans="1:6" ht="12.75">
      <c r="A614" s="64"/>
      <c r="B614" s="64"/>
      <c r="C614" s="64"/>
      <c r="D614" s="65"/>
      <c r="E614" s="64"/>
      <c r="F614" s="64"/>
    </row>
    <row r="615" spans="1:6" ht="12.75">
      <c r="A615" s="64"/>
      <c r="B615" s="64"/>
      <c r="C615" s="64"/>
      <c r="D615" s="65"/>
      <c r="E615" s="64"/>
      <c r="F615" s="64"/>
    </row>
    <row r="616" spans="1:6" ht="12.75">
      <c r="A616" s="64"/>
      <c r="B616" s="64"/>
      <c r="C616" s="64"/>
      <c r="D616" s="65"/>
      <c r="E616" s="64"/>
      <c r="F616" s="64"/>
    </row>
    <row r="617" spans="1:6" ht="12.75">
      <c r="A617" s="64"/>
      <c r="B617" s="64"/>
      <c r="C617" s="64"/>
      <c r="D617" s="65"/>
      <c r="E617" s="64"/>
      <c r="F617" s="64"/>
    </row>
    <row r="618" spans="1:6" ht="12.75">
      <c r="A618" s="64"/>
      <c r="B618" s="64"/>
      <c r="C618" s="64"/>
      <c r="D618" s="65"/>
      <c r="E618" s="64"/>
      <c r="F618" s="64"/>
    </row>
    <row r="619" spans="1:6" ht="12.75">
      <c r="A619" s="64"/>
      <c r="B619" s="64"/>
      <c r="C619" s="64"/>
      <c r="D619" s="65"/>
      <c r="E619" s="64"/>
      <c r="F619" s="64"/>
    </row>
    <row r="620" spans="1:6" ht="12.75">
      <c r="A620" s="64"/>
      <c r="B620" s="64"/>
      <c r="C620" s="64"/>
      <c r="D620" s="65"/>
      <c r="E620" s="64"/>
      <c r="F620" s="64"/>
    </row>
    <row r="621" spans="1:6" ht="12.75">
      <c r="A621" s="64"/>
      <c r="B621" s="64"/>
      <c r="C621" s="64"/>
      <c r="D621" s="65"/>
      <c r="E621" s="64"/>
      <c r="F621" s="64"/>
    </row>
    <row r="622" spans="1:6" ht="12.75">
      <c r="A622" s="64"/>
      <c r="B622" s="64"/>
      <c r="C622" s="64"/>
      <c r="D622" s="65"/>
      <c r="E622" s="64"/>
      <c r="F622" s="64"/>
    </row>
    <row r="623" spans="1:6" ht="12.75">
      <c r="A623" s="64"/>
      <c r="B623" s="64"/>
      <c r="C623" s="64"/>
      <c r="D623" s="65"/>
      <c r="E623" s="64"/>
      <c r="F623" s="64"/>
    </row>
    <row r="624" spans="1:6" ht="12.75">
      <c r="A624" s="64"/>
      <c r="B624" s="64"/>
      <c r="C624" s="64"/>
      <c r="D624" s="65"/>
      <c r="E624" s="64"/>
      <c r="F624" s="64"/>
    </row>
    <row r="625" spans="1:6" ht="12.75">
      <c r="A625" s="64"/>
      <c r="B625" s="64"/>
      <c r="C625" s="64"/>
      <c r="D625" s="65"/>
      <c r="E625" s="64"/>
      <c r="F625" s="64"/>
    </row>
    <row r="626" spans="1:6" ht="12.75">
      <c r="A626" s="64"/>
      <c r="B626" s="64"/>
      <c r="C626" s="64"/>
      <c r="D626" s="65"/>
      <c r="E626" s="64"/>
      <c r="F626" s="64"/>
    </row>
    <row r="627" spans="1:6" ht="12.75">
      <c r="A627" s="64"/>
      <c r="B627" s="64"/>
      <c r="C627" s="64"/>
      <c r="D627" s="65"/>
      <c r="E627" s="64"/>
      <c r="F627" s="64"/>
    </row>
    <row r="628" spans="1:6" ht="12.75">
      <c r="A628" s="64"/>
      <c r="B628" s="64"/>
      <c r="C628" s="64"/>
      <c r="D628" s="65"/>
      <c r="E628" s="64"/>
      <c r="F628" s="64"/>
    </row>
    <row r="629" spans="1:6" ht="12.75">
      <c r="A629" s="64"/>
      <c r="B629" s="64"/>
      <c r="C629" s="64"/>
      <c r="D629" s="65"/>
      <c r="E629" s="64"/>
      <c r="F629" s="64"/>
    </row>
    <row r="630" spans="1:6" ht="12.75">
      <c r="A630" s="64"/>
      <c r="B630" s="64"/>
      <c r="C630" s="64"/>
      <c r="D630" s="65"/>
      <c r="E630" s="64"/>
      <c r="F630" s="64"/>
    </row>
    <row r="631" spans="1:6" ht="12.75">
      <c r="A631" s="64"/>
      <c r="B631" s="64"/>
      <c r="C631" s="64"/>
      <c r="D631" s="65"/>
      <c r="E631" s="64"/>
      <c r="F631" s="64"/>
    </row>
    <row r="632" spans="1:6" ht="12.75">
      <c r="A632" s="64"/>
      <c r="B632" s="64"/>
      <c r="C632" s="64"/>
      <c r="D632" s="65"/>
      <c r="E632" s="64"/>
      <c r="F632" s="64"/>
    </row>
    <row r="633" spans="1:6" ht="12.75">
      <c r="A633" s="64"/>
      <c r="B633" s="64"/>
      <c r="C633" s="64"/>
      <c r="D633" s="65"/>
      <c r="E633" s="64"/>
      <c r="F633" s="64"/>
    </row>
    <row r="634" spans="1:6" ht="12.75">
      <c r="A634" s="64"/>
      <c r="B634" s="64"/>
      <c r="C634" s="64"/>
      <c r="D634" s="65"/>
      <c r="E634" s="64"/>
      <c r="F634" s="64"/>
    </row>
    <row r="635" spans="1:6" ht="12.75">
      <c r="A635" s="64"/>
      <c r="B635" s="64"/>
      <c r="C635" s="64"/>
      <c r="D635" s="65"/>
      <c r="E635" s="64"/>
      <c r="F635" s="64"/>
    </row>
    <row r="636" spans="1:6" ht="12.75">
      <c r="A636" s="64"/>
      <c r="B636" s="64"/>
      <c r="C636" s="64"/>
      <c r="D636" s="65"/>
      <c r="E636" s="64"/>
      <c r="F636" s="64"/>
    </row>
    <row r="637" spans="1:6" ht="12.75">
      <c r="A637" s="64"/>
      <c r="B637" s="64"/>
      <c r="C637" s="64"/>
      <c r="D637" s="65"/>
      <c r="E637" s="64"/>
      <c r="F637" s="64"/>
    </row>
    <row r="638" spans="1:6" ht="12.75">
      <c r="A638" s="64"/>
      <c r="B638" s="64"/>
      <c r="C638" s="64"/>
      <c r="D638" s="65"/>
      <c r="E638" s="64"/>
      <c r="F638" s="64"/>
    </row>
    <row r="639" spans="1:6" ht="12.75">
      <c r="A639" s="64"/>
      <c r="B639" s="64"/>
      <c r="C639" s="64"/>
      <c r="D639" s="65"/>
      <c r="E639" s="64"/>
      <c r="F639" s="64"/>
    </row>
    <row r="640" spans="1:6" ht="12.75">
      <c r="A640" s="64"/>
      <c r="B640" s="64"/>
      <c r="C640" s="64"/>
      <c r="D640" s="65"/>
      <c r="E640" s="64"/>
      <c r="F640" s="64"/>
    </row>
    <row r="641" spans="1:6" ht="12.75">
      <c r="A641" s="64"/>
      <c r="B641" s="64"/>
      <c r="C641" s="64"/>
      <c r="D641" s="65"/>
      <c r="E641" s="64"/>
      <c r="F641" s="64"/>
    </row>
    <row r="642" spans="1:6" ht="12.75">
      <c r="A642" s="64"/>
      <c r="B642" s="64"/>
      <c r="C642" s="64"/>
      <c r="D642" s="65"/>
      <c r="E642" s="64"/>
      <c r="F642" s="64"/>
    </row>
    <row r="643" spans="1:6" ht="12.75">
      <c r="A643" s="64"/>
      <c r="B643" s="64"/>
      <c r="C643" s="64"/>
      <c r="D643" s="65"/>
      <c r="E643" s="64"/>
      <c r="F643" s="64"/>
    </row>
    <row r="644" spans="1:6" ht="12.75">
      <c r="A644" s="64"/>
      <c r="B644" s="64"/>
      <c r="C644" s="64"/>
      <c r="D644" s="65"/>
      <c r="E644" s="64"/>
      <c r="F644" s="64"/>
    </row>
    <row r="645" spans="1:6" ht="12.75">
      <c r="A645" s="64"/>
      <c r="B645" s="64"/>
      <c r="C645" s="64"/>
      <c r="D645" s="65"/>
      <c r="E645" s="64"/>
      <c r="F645" s="64"/>
    </row>
    <row r="646" spans="1:6" ht="12.75">
      <c r="A646" s="64"/>
      <c r="B646" s="64"/>
      <c r="C646" s="64"/>
      <c r="D646" s="65"/>
      <c r="E646" s="64"/>
      <c r="F646" s="64"/>
    </row>
    <row r="647" spans="1:6" ht="12.75">
      <c r="A647" s="64"/>
      <c r="B647" s="64"/>
      <c r="C647" s="64"/>
      <c r="D647" s="65"/>
      <c r="E647" s="64"/>
      <c r="F647" s="64"/>
    </row>
    <row r="648" spans="1:6" ht="12.75">
      <c r="A648" s="64"/>
      <c r="B648" s="64"/>
      <c r="C648" s="64"/>
      <c r="D648" s="65"/>
      <c r="E648" s="64"/>
      <c r="F648" s="64"/>
    </row>
    <row r="649" spans="1:6" ht="12.75">
      <c r="A649" s="64"/>
      <c r="B649" s="64"/>
      <c r="C649" s="64"/>
      <c r="D649" s="65"/>
      <c r="E649" s="64"/>
      <c r="F649" s="64"/>
    </row>
    <row r="650" spans="1:6" ht="12.75">
      <c r="A650" s="64"/>
      <c r="B650" s="64"/>
      <c r="C650" s="64"/>
      <c r="D650" s="65"/>
      <c r="E650" s="64"/>
      <c r="F650" s="64"/>
    </row>
    <row r="651" spans="1:6" ht="12.75">
      <c r="A651" s="64"/>
      <c r="B651" s="64"/>
      <c r="C651" s="64"/>
      <c r="D651" s="65"/>
      <c r="E651" s="64"/>
      <c r="F651" s="64"/>
    </row>
    <row r="652" spans="1:6" ht="12.75">
      <c r="A652" s="64"/>
      <c r="B652" s="64"/>
      <c r="C652" s="64"/>
      <c r="D652" s="65"/>
      <c r="E652" s="64"/>
      <c r="F652" s="64"/>
    </row>
    <row r="653" spans="1:6" ht="12.75">
      <c r="A653" s="64"/>
      <c r="B653" s="64"/>
      <c r="C653" s="64"/>
      <c r="D653" s="65"/>
      <c r="E653" s="64"/>
      <c r="F653" s="64"/>
    </row>
    <row r="654" spans="1:6" ht="12.75">
      <c r="A654" s="64"/>
      <c r="B654" s="64"/>
      <c r="C654" s="64"/>
      <c r="D654" s="65"/>
      <c r="E654" s="64"/>
      <c r="F654" s="64"/>
    </row>
    <row r="655" spans="1:6" ht="12.75">
      <c r="A655" s="64"/>
      <c r="B655" s="64"/>
      <c r="C655" s="64"/>
      <c r="D655" s="65"/>
      <c r="E655" s="64"/>
      <c r="F655" s="64"/>
    </row>
    <row r="656" spans="1:6" ht="12.75">
      <c r="A656" s="64"/>
      <c r="B656" s="64"/>
      <c r="C656" s="64"/>
      <c r="D656" s="65"/>
      <c r="E656" s="64"/>
      <c r="F656" s="64"/>
    </row>
    <row r="657" spans="1:6" ht="12.75">
      <c r="A657" s="64"/>
      <c r="B657" s="64"/>
      <c r="C657" s="64"/>
      <c r="D657" s="65"/>
      <c r="E657" s="64"/>
      <c r="F657" s="64"/>
    </row>
    <row r="658" spans="1:6" ht="12.75">
      <c r="A658" s="64"/>
      <c r="B658" s="64"/>
      <c r="C658" s="64"/>
      <c r="D658" s="65"/>
      <c r="E658" s="64"/>
      <c r="F658" s="64"/>
    </row>
    <row r="659" spans="1:6" ht="12.75">
      <c r="A659" s="64"/>
      <c r="B659" s="64"/>
      <c r="C659" s="64"/>
      <c r="D659" s="65"/>
      <c r="E659" s="64"/>
      <c r="F659" s="64"/>
    </row>
    <row r="660" spans="1:6" ht="12.75">
      <c r="A660" s="64"/>
      <c r="B660" s="64"/>
      <c r="C660" s="64"/>
      <c r="D660" s="65"/>
      <c r="E660" s="64"/>
      <c r="F660" s="64"/>
    </row>
    <row r="661" spans="1:6" ht="12.75">
      <c r="A661" s="64"/>
      <c r="B661" s="64"/>
      <c r="C661" s="64"/>
      <c r="D661" s="65"/>
      <c r="E661" s="64"/>
      <c r="F661" s="64"/>
    </row>
    <row r="662" spans="1:6" ht="12.75">
      <c r="A662" s="64"/>
      <c r="B662" s="64"/>
      <c r="C662" s="64"/>
      <c r="D662" s="65"/>
      <c r="E662" s="64"/>
      <c r="F662" s="64"/>
    </row>
    <row r="663" spans="1:6" ht="12.75">
      <c r="A663" s="64"/>
      <c r="B663" s="64"/>
      <c r="C663" s="64"/>
      <c r="D663" s="65"/>
      <c r="E663" s="64"/>
      <c r="F663" s="64"/>
    </row>
    <row r="664" spans="1:6" ht="12.75">
      <c r="A664" s="64"/>
      <c r="B664" s="64"/>
      <c r="C664" s="64"/>
      <c r="D664" s="65"/>
      <c r="E664" s="64"/>
      <c r="F664" s="64"/>
    </row>
    <row r="665" spans="1:6" ht="12.75">
      <c r="A665" s="64"/>
      <c r="B665" s="64"/>
      <c r="C665" s="64"/>
      <c r="D665" s="65"/>
      <c r="E665" s="64"/>
      <c r="F665" s="64"/>
    </row>
    <row r="666" spans="1:6" ht="12.75">
      <c r="A666" s="64"/>
      <c r="B666" s="64"/>
      <c r="C666" s="64"/>
      <c r="D666" s="65"/>
      <c r="E666" s="64"/>
      <c r="F666" s="64"/>
    </row>
    <row r="667" spans="1:6" ht="12.75">
      <c r="A667" s="64"/>
      <c r="B667" s="64"/>
      <c r="C667" s="64"/>
      <c r="D667" s="65"/>
      <c r="E667" s="64"/>
      <c r="F667" s="64"/>
    </row>
    <row r="668" spans="1:6" ht="12.75">
      <c r="A668" s="64"/>
      <c r="B668" s="64"/>
      <c r="C668" s="64"/>
      <c r="D668" s="65"/>
      <c r="E668" s="64"/>
      <c r="F668" s="64"/>
    </row>
    <row r="669" spans="1:6" ht="12.75">
      <c r="A669" s="64"/>
      <c r="B669" s="64"/>
      <c r="C669" s="64"/>
      <c r="D669" s="65"/>
      <c r="E669" s="64"/>
      <c r="F669" s="64"/>
    </row>
    <row r="670" spans="1:6" ht="12.75">
      <c r="A670" s="64"/>
      <c r="B670" s="64"/>
      <c r="C670" s="64"/>
      <c r="D670" s="65"/>
      <c r="E670" s="64"/>
      <c r="F670" s="64"/>
    </row>
    <row r="671" spans="1:6" ht="12.75">
      <c r="A671" s="64"/>
      <c r="B671" s="64"/>
      <c r="C671" s="64"/>
      <c r="D671" s="65"/>
      <c r="E671" s="64"/>
      <c r="F671" s="64"/>
    </row>
    <row r="672" spans="1:6" ht="12.75">
      <c r="A672" s="64"/>
      <c r="B672" s="64"/>
      <c r="C672" s="64"/>
      <c r="D672" s="65"/>
      <c r="E672" s="64"/>
      <c r="F672" s="64"/>
    </row>
    <row r="673" spans="1:6" ht="12.75">
      <c r="A673" s="64"/>
      <c r="B673" s="64"/>
      <c r="C673" s="64"/>
      <c r="D673" s="65"/>
      <c r="E673" s="64"/>
      <c r="F673" s="64"/>
    </row>
    <row r="674" spans="1:6" ht="12.75">
      <c r="A674" s="64"/>
      <c r="B674" s="64"/>
      <c r="C674" s="64"/>
      <c r="D674" s="65"/>
      <c r="E674" s="64"/>
      <c r="F674" s="64"/>
    </row>
    <row r="675" spans="1:6" ht="12.75">
      <c r="A675" s="64"/>
      <c r="B675" s="64"/>
      <c r="C675" s="64"/>
      <c r="D675" s="65"/>
      <c r="E675" s="64"/>
      <c r="F675" s="64"/>
    </row>
    <row r="676" spans="1:6" ht="12.75">
      <c r="A676" s="64"/>
      <c r="B676" s="64"/>
      <c r="C676" s="64"/>
      <c r="D676" s="65"/>
      <c r="E676" s="64"/>
      <c r="F676" s="64"/>
    </row>
    <row r="677" spans="1:6" ht="12.75">
      <c r="A677" s="64"/>
      <c r="B677" s="64"/>
      <c r="C677" s="64"/>
      <c r="D677" s="65"/>
      <c r="E677" s="64"/>
      <c r="F677" s="64"/>
    </row>
    <row r="678" spans="1:6" ht="12.75">
      <c r="A678" s="64"/>
      <c r="B678" s="64"/>
      <c r="C678" s="64"/>
      <c r="D678" s="65"/>
      <c r="E678" s="64"/>
      <c r="F678" s="64"/>
    </row>
    <row r="679" spans="1:6" ht="12.75">
      <c r="A679" s="64"/>
      <c r="B679" s="64"/>
      <c r="C679" s="64"/>
      <c r="D679" s="65"/>
      <c r="E679" s="64"/>
      <c r="F679" s="64"/>
    </row>
    <row r="680" spans="1:6" ht="12.75">
      <c r="A680" s="64"/>
      <c r="B680" s="64"/>
      <c r="C680" s="64"/>
      <c r="D680" s="65"/>
      <c r="E680" s="64"/>
      <c r="F680" s="64"/>
    </row>
    <row r="681" spans="1:6" ht="12.75">
      <c r="A681" s="64"/>
      <c r="B681" s="64"/>
      <c r="C681" s="64"/>
      <c r="D681" s="65"/>
      <c r="E681" s="64"/>
      <c r="F681" s="64"/>
    </row>
    <row r="682" spans="1:6" ht="12.75">
      <c r="A682" s="64"/>
      <c r="B682" s="64"/>
      <c r="C682" s="64"/>
      <c r="D682" s="65"/>
      <c r="E682" s="64"/>
      <c r="F682" s="64"/>
    </row>
    <row r="683" spans="1:6" ht="12.75">
      <c r="A683" s="64"/>
      <c r="B683" s="64"/>
      <c r="C683" s="64"/>
      <c r="D683" s="65"/>
      <c r="E683" s="64"/>
      <c r="F683" s="64"/>
    </row>
    <row r="684" spans="1:6" ht="12.75">
      <c r="A684" s="64"/>
      <c r="B684" s="64"/>
      <c r="C684" s="64"/>
      <c r="D684" s="65"/>
      <c r="E684" s="64"/>
      <c r="F684" s="64"/>
    </row>
    <row r="685" spans="1:6" ht="12.75">
      <c r="A685" s="64"/>
      <c r="B685" s="64"/>
      <c r="C685" s="64"/>
      <c r="D685" s="65"/>
      <c r="E685" s="64"/>
      <c r="F685" s="64"/>
    </row>
    <row r="686" spans="1:6" ht="12.75">
      <c r="A686" s="64"/>
      <c r="B686" s="64"/>
      <c r="C686" s="64"/>
      <c r="D686" s="65"/>
      <c r="E686" s="64"/>
      <c r="F686" s="64"/>
    </row>
    <row r="687" spans="1:6" ht="12.75">
      <c r="A687" s="64"/>
      <c r="B687" s="64"/>
      <c r="C687" s="64"/>
      <c r="D687" s="65"/>
      <c r="E687" s="64"/>
      <c r="F687" s="64"/>
    </row>
    <row r="688" spans="1:6" ht="12.75">
      <c r="A688" s="64"/>
      <c r="B688" s="64"/>
      <c r="C688" s="64"/>
      <c r="D688" s="65"/>
      <c r="E688" s="64"/>
      <c r="F688" s="64"/>
    </row>
    <row r="689" spans="1:6" ht="12.75">
      <c r="A689" s="64"/>
      <c r="B689" s="64"/>
      <c r="C689" s="64"/>
      <c r="D689" s="65"/>
      <c r="E689" s="64"/>
      <c r="F689" s="64"/>
    </row>
    <row r="690" spans="1:6" ht="12.75">
      <c r="A690" s="64"/>
      <c r="B690" s="64"/>
      <c r="C690" s="64"/>
      <c r="D690" s="65"/>
      <c r="E690" s="64"/>
      <c r="F690" s="64"/>
    </row>
    <row r="691" spans="1:6" ht="12.75">
      <c r="A691" s="64"/>
      <c r="B691" s="64"/>
      <c r="C691" s="64"/>
      <c r="D691" s="65"/>
      <c r="E691" s="64"/>
      <c r="F691" s="64"/>
    </row>
    <row r="692" spans="1:6" ht="12.75">
      <c r="A692" s="64"/>
      <c r="B692" s="64"/>
      <c r="C692" s="64"/>
      <c r="D692" s="65"/>
      <c r="E692" s="64"/>
      <c r="F692" s="64"/>
    </row>
    <row r="693" spans="1:6" ht="12.75">
      <c r="A693" s="64"/>
      <c r="B693" s="64"/>
      <c r="C693" s="64"/>
      <c r="D693" s="65"/>
      <c r="E693" s="64"/>
      <c r="F693" s="64"/>
    </row>
    <row r="694" spans="1:6" ht="12.75">
      <c r="A694" s="64"/>
      <c r="B694" s="64"/>
      <c r="C694" s="64"/>
      <c r="D694" s="65"/>
      <c r="E694" s="64"/>
      <c r="F694" s="64"/>
    </row>
    <row r="695" spans="1:6" ht="12.75">
      <c r="A695" s="64"/>
      <c r="B695" s="64"/>
      <c r="C695" s="64"/>
      <c r="D695" s="65"/>
      <c r="E695" s="64"/>
      <c r="F695" s="64"/>
    </row>
    <row r="696" spans="1:6" ht="12.75">
      <c r="A696" s="64"/>
      <c r="B696" s="64"/>
      <c r="C696" s="64"/>
      <c r="D696" s="65"/>
      <c r="E696" s="64"/>
      <c r="F696" s="64"/>
    </row>
    <row r="697" spans="1:6" ht="12.75">
      <c r="A697" s="64"/>
      <c r="B697" s="64"/>
      <c r="C697" s="64"/>
      <c r="D697" s="65"/>
      <c r="E697" s="64"/>
      <c r="F697" s="64"/>
    </row>
    <row r="698" spans="1:6" ht="12.75">
      <c r="A698" s="64"/>
      <c r="B698" s="64"/>
      <c r="C698" s="64"/>
      <c r="D698" s="65"/>
      <c r="E698" s="64"/>
      <c r="F698" s="64"/>
    </row>
    <row r="699" spans="1:6" ht="12.75">
      <c r="A699" s="64"/>
      <c r="B699" s="64"/>
      <c r="C699" s="64"/>
      <c r="D699" s="65"/>
      <c r="E699" s="64"/>
      <c r="F699" s="64"/>
    </row>
    <row r="700" spans="1:6" ht="12.75">
      <c r="A700" s="64"/>
      <c r="B700" s="64"/>
      <c r="C700" s="64"/>
      <c r="D700" s="65"/>
      <c r="E700" s="64"/>
      <c r="F700" s="64"/>
    </row>
    <row r="701" spans="1:6" ht="12.75">
      <c r="A701" s="64"/>
      <c r="B701" s="64"/>
      <c r="C701" s="64"/>
      <c r="D701" s="65"/>
      <c r="E701" s="64"/>
      <c r="F701" s="64"/>
    </row>
    <row r="702" spans="1:6" ht="12.75">
      <c r="A702" s="64"/>
      <c r="B702" s="64"/>
      <c r="C702" s="64"/>
      <c r="D702" s="65"/>
      <c r="E702" s="64"/>
      <c r="F702" s="64"/>
    </row>
    <row r="703" spans="1:6" ht="12.75">
      <c r="A703" s="64"/>
      <c r="B703" s="64"/>
      <c r="C703" s="64"/>
      <c r="D703" s="65"/>
      <c r="E703" s="64"/>
      <c r="F703" s="64"/>
    </row>
    <row r="704" spans="1:6" ht="12.75">
      <c r="A704" s="64"/>
      <c r="B704" s="64"/>
      <c r="C704" s="64"/>
      <c r="D704" s="65"/>
      <c r="E704" s="64"/>
      <c r="F704" s="64"/>
    </row>
    <row r="705" spans="1:6" ht="12.75">
      <c r="A705" s="64"/>
      <c r="B705" s="64"/>
      <c r="C705" s="64"/>
      <c r="D705" s="65"/>
      <c r="E705" s="64"/>
      <c r="F705" s="64"/>
    </row>
    <row r="706" spans="1:6" ht="12.75">
      <c r="A706" s="64"/>
      <c r="B706" s="64"/>
      <c r="C706" s="64"/>
      <c r="D706" s="65"/>
      <c r="E706" s="64"/>
      <c r="F706" s="64"/>
    </row>
    <row r="707" spans="1:6" ht="12.75">
      <c r="A707" s="64"/>
      <c r="B707" s="64"/>
      <c r="C707" s="64"/>
      <c r="D707" s="65"/>
      <c r="E707" s="64"/>
      <c r="F707" s="64"/>
    </row>
    <row r="708" spans="1:6" ht="12.75">
      <c r="A708" s="64"/>
      <c r="B708" s="64"/>
      <c r="C708" s="64"/>
      <c r="D708" s="65"/>
      <c r="E708" s="64"/>
      <c r="F708" s="64"/>
    </row>
    <row r="709" spans="1:6" ht="12.75">
      <c r="A709" s="64"/>
      <c r="B709" s="64"/>
      <c r="C709" s="64"/>
      <c r="D709" s="65"/>
      <c r="E709" s="64"/>
      <c r="F709" s="64"/>
    </row>
    <row r="710" spans="1:6" ht="12.75">
      <c r="A710" s="64"/>
      <c r="B710" s="64"/>
      <c r="C710" s="64"/>
      <c r="D710" s="65"/>
      <c r="E710" s="64"/>
      <c r="F710" s="64"/>
    </row>
    <row r="711" spans="1:6" ht="12.75">
      <c r="A711" s="64"/>
      <c r="B711" s="64"/>
      <c r="C711" s="64"/>
      <c r="D711" s="65"/>
      <c r="E711" s="64"/>
      <c r="F711" s="64"/>
    </row>
    <row r="712" spans="1:6" ht="12.75">
      <c r="A712" s="64"/>
      <c r="B712" s="64"/>
      <c r="C712" s="64"/>
      <c r="D712" s="65"/>
      <c r="E712" s="64"/>
      <c r="F712" s="64"/>
    </row>
    <row r="713" spans="1:6" ht="12.75">
      <c r="A713" s="64"/>
      <c r="B713" s="64"/>
      <c r="C713" s="64"/>
      <c r="D713" s="65"/>
      <c r="E713" s="64"/>
      <c r="F713" s="64"/>
    </row>
    <row r="714" spans="1:6" ht="12.75">
      <c r="A714" s="64"/>
      <c r="B714" s="64"/>
      <c r="C714" s="64"/>
      <c r="D714" s="65"/>
      <c r="E714" s="64"/>
      <c r="F714" s="64"/>
    </row>
    <row r="715" spans="1:6" ht="12.75">
      <c r="A715" s="64"/>
      <c r="B715" s="64"/>
      <c r="C715" s="64"/>
      <c r="D715" s="65"/>
      <c r="E715" s="64"/>
      <c r="F715" s="64"/>
    </row>
    <row r="716" spans="1:6" ht="12.75">
      <c r="A716" s="64"/>
      <c r="B716" s="64"/>
      <c r="C716" s="64"/>
      <c r="D716" s="65"/>
      <c r="E716" s="64"/>
      <c r="F716" s="64"/>
    </row>
    <row r="717" spans="1:6" ht="12.75">
      <c r="A717" s="64"/>
      <c r="B717" s="64"/>
      <c r="C717" s="64"/>
      <c r="D717" s="65"/>
      <c r="E717" s="64"/>
      <c r="F717" s="64"/>
    </row>
    <row r="718" spans="1:6" ht="12.75">
      <c r="A718" s="64"/>
      <c r="B718" s="64"/>
      <c r="C718" s="64"/>
      <c r="D718" s="65"/>
      <c r="E718" s="64"/>
      <c r="F718" s="64"/>
    </row>
    <row r="719" spans="1:6" ht="12.75">
      <c r="A719" s="64"/>
      <c r="B719" s="64"/>
      <c r="C719" s="64"/>
      <c r="D719" s="65"/>
      <c r="E719" s="64"/>
      <c r="F719" s="64"/>
    </row>
    <row r="720" spans="1:6" ht="12.75">
      <c r="A720" s="64"/>
      <c r="B720" s="64"/>
      <c r="C720" s="64"/>
      <c r="D720" s="65"/>
      <c r="E720" s="64"/>
      <c r="F720" s="64"/>
    </row>
    <row r="721" spans="1:6" ht="12.75">
      <c r="A721" s="64"/>
      <c r="B721" s="64"/>
      <c r="C721" s="64"/>
      <c r="D721" s="65"/>
      <c r="E721" s="64"/>
      <c r="F721" s="64"/>
    </row>
    <row r="722" spans="1:6" ht="12.75">
      <c r="A722" s="64"/>
      <c r="B722" s="64"/>
      <c r="C722" s="64"/>
      <c r="D722" s="65"/>
      <c r="E722" s="64"/>
      <c r="F722" s="64"/>
    </row>
    <row r="723" spans="1:6" ht="12.75">
      <c r="A723" s="64"/>
      <c r="B723" s="64"/>
      <c r="C723" s="64"/>
      <c r="D723" s="65"/>
      <c r="E723" s="64"/>
      <c r="F723" s="64"/>
    </row>
    <row r="724" spans="1:6" ht="12.75">
      <c r="A724" s="64"/>
      <c r="B724" s="64"/>
      <c r="C724" s="64"/>
      <c r="D724" s="65"/>
      <c r="E724" s="64"/>
      <c r="F724" s="64"/>
    </row>
    <row r="725" spans="1:6" ht="12.75">
      <c r="A725" s="64"/>
      <c r="B725" s="64"/>
      <c r="C725" s="64"/>
      <c r="D725" s="65"/>
      <c r="E725" s="64"/>
      <c r="F725" s="64"/>
    </row>
    <row r="726" spans="1:6" ht="12.75">
      <c r="A726" s="64"/>
      <c r="B726" s="64"/>
      <c r="C726" s="64"/>
      <c r="D726" s="65"/>
      <c r="E726" s="64"/>
      <c r="F726" s="64"/>
    </row>
    <row r="727" spans="1:6" ht="12.75">
      <c r="A727" s="64"/>
      <c r="B727" s="64"/>
      <c r="C727" s="64"/>
      <c r="D727" s="65"/>
      <c r="E727" s="64"/>
      <c r="F727" s="64"/>
    </row>
    <row r="728" spans="1:6" ht="12.75">
      <c r="A728" s="64"/>
      <c r="B728" s="64"/>
      <c r="C728" s="64"/>
      <c r="D728" s="65"/>
      <c r="E728" s="64"/>
      <c r="F728" s="64"/>
    </row>
    <row r="729" spans="1:6" ht="12.75">
      <c r="A729" s="64"/>
      <c r="B729" s="64"/>
      <c r="C729" s="64"/>
      <c r="D729" s="65"/>
      <c r="E729" s="64"/>
      <c r="F729" s="64"/>
    </row>
    <row r="730" spans="1:6" ht="12.75">
      <c r="A730" s="64"/>
      <c r="B730" s="64"/>
      <c r="C730" s="64"/>
      <c r="D730" s="65"/>
      <c r="E730" s="64"/>
      <c r="F730" s="64"/>
    </row>
    <row r="731" spans="1:6" ht="12.75">
      <c r="A731" s="64"/>
      <c r="B731" s="64"/>
      <c r="C731" s="64"/>
      <c r="D731" s="65"/>
      <c r="E731" s="64"/>
      <c r="F731" s="64"/>
    </row>
    <row r="732" spans="1:6" ht="12.75">
      <c r="A732" s="64"/>
      <c r="B732" s="64"/>
      <c r="C732" s="64"/>
      <c r="D732" s="65"/>
      <c r="E732" s="64"/>
      <c r="F732" s="64"/>
    </row>
    <row r="733" spans="1:6" ht="12.75">
      <c r="A733" s="64"/>
      <c r="B733" s="64"/>
      <c r="C733" s="64"/>
      <c r="D733" s="65"/>
      <c r="E733" s="64"/>
      <c r="F733" s="64"/>
    </row>
    <row r="734" spans="1:6" ht="12.75">
      <c r="A734" s="64"/>
      <c r="B734" s="64"/>
      <c r="C734" s="64"/>
      <c r="D734" s="65"/>
      <c r="E734" s="64"/>
      <c r="F734" s="64"/>
    </row>
    <row r="735" spans="1:6" ht="12.75">
      <c r="A735" s="64"/>
      <c r="B735" s="64"/>
      <c r="C735" s="64"/>
      <c r="D735" s="65"/>
      <c r="E735" s="64"/>
      <c r="F735" s="64"/>
    </row>
    <row r="736" spans="1:6" ht="12.75">
      <c r="A736" s="64"/>
      <c r="B736" s="64"/>
      <c r="C736" s="64"/>
      <c r="D736" s="65"/>
      <c r="E736" s="64"/>
      <c r="F736" s="64"/>
    </row>
    <row r="737" spans="1:6" ht="12.75">
      <c r="A737" s="64"/>
      <c r="B737" s="64"/>
      <c r="C737" s="64"/>
      <c r="D737" s="65"/>
      <c r="E737" s="64"/>
      <c r="F737" s="64"/>
    </row>
    <row r="738" spans="1:6" ht="12.75">
      <c r="A738" s="64"/>
      <c r="B738" s="64"/>
      <c r="C738" s="64"/>
      <c r="D738" s="65"/>
      <c r="E738" s="64"/>
      <c r="F738" s="64"/>
    </row>
    <row r="739" spans="1:6" ht="12.75">
      <c r="A739" s="64"/>
      <c r="B739" s="64"/>
      <c r="C739" s="64"/>
      <c r="D739" s="65"/>
      <c r="E739" s="64"/>
      <c r="F739" s="64"/>
    </row>
    <row r="740" spans="1:6" ht="12.75">
      <c r="A740" s="64"/>
      <c r="B740" s="64"/>
      <c r="C740" s="64"/>
      <c r="D740" s="65"/>
      <c r="E740" s="64"/>
      <c r="F740" s="64"/>
    </row>
    <row r="741" spans="1:6" ht="12.75">
      <c r="A741" s="64"/>
      <c r="B741" s="64"/>
      <c r="C741" s="64"/>
      <c r="D741" s="65"/>
      <c r="E741" s="64"/>
      <c r="F741" s="64"/>
    </row>
    <row r="742" spans="1:6" ht="12.75">
      <c r="A742" s="64"/>
      <c r="B742" s="64"/>
      <c r="C742" s="64"/>
      <c r="D742" s="65"/>
      <c r="E742" s="64"/>
      <c r="F742" s="64"/>
    </row>
    <row r="743" spans="1:6" ht="12.75">
      <c r="A743" s="64"/>
      <c r="B743" s="64"/>
      <c r="C743" s="64"/>
      <c r="D743" s="65"/>
      <c r="E743" s="64"/>
      <c r="F743" s="64"/>
    </row>
    <row r="744" spans="1:6" ht="12.75">
      <c r="A744" s="64"/>
      <c r="B744" s="64"/>
      <c r="C744" s="64"/>
      <c r="D744" s="65"/>
      <c r="E744" s="64"/>
      <c r="F744" s="64"/>
    </row>
    <row r="745" spans="1:6" ht="12.75">
      <c r="A745" s="64"/>
      <c r="B745" s="64"/>
      <c r="C745" s="64"/>
      <c r="D745" s="65"/>
      <c r="E745" s="64"/>
      <c r="F745" s="64"/>
    </row>
    <row r="746" spans="1:6" ht="12.75">
      <c r="A746" s="64"/>
      <c r="B746" s="64"/>
      <c r="C746" s="64"/>
      <c r="D746" s="65"/>
      <c r="E746" s="64"/>
      <c r="F746" s="64"/>
    </row>
    <row r="747" spans="1:6" ht="12.75">
      <c r="A747" s="64"/>
      <c r="B747" s="64"/>
      <c r="C747" s="64"/>
      <c r="D747" s="65"/>
      <c r="E747" s="64"/>
      <c r="F747" s="64"/>
    </row>
    <row r="748" spans="1:6" ht="12.75">
      <c r="A748" s="64"/>
      <c r="B748" s="64"/>
      <c r="C748" s="64"/>
      <c r="D748" s="65"/>
      <c r="E748" s="64"/>
      <c r="F748" s="64"/>
    </row>
    <row r="749" spans="1:6" ht="12.75">
      <c r="A749" s="64"/>
      <c r="B749" s="64"/>
      <c r="C749" s="64"/>
      <c r="D749" s="65"/>
      <c r="E749" s="64"/>
      <c r="F749" s="64"/>
    </row>
    <row r="750" spans="1:6" ht="12.75">
      <c r="A750" s="64"/>
      <c r="B750" s="64"/>
      <c r="C750" s="64"/>
      <c r="D750" s="65"/>
      <c r="E750" s="64"/>
      <c r="F750" s="64"/>
    </row>
    <row r="751" spans="1:6" ht="12.75">
      <c r="A751" s="64"/>
      <c r="B751" s="64"/>
      <c r="C751" s="64"/>
      <c r="D751" s="65"/>
      <c r="E751" s="64"/>
      <c r="F751" s="64"/>
    </row>
    <row r="752" spans="1:6" ht="12.75">
      <c r="A752" s="64"/>
      <c r="B752" s="64"/>
      <c r="C752" s="64"/>
      <c r="D752" s="65"/>
      <c r="E752" s="64"/>
      <c r="F752" s="64"/>
    </row>
    <row r="753" spans="1:6" ht="12.75">
      <c r="A753" s="64"/>
      <c r="B753" s="64"/>
      <c r="C753" s="64"/>
      <c r="D753" s="65"/>
      <c r="E753" s="64"/>
      <c r="F753" s="64"/>
    </row>
    <row r="754" spans="1:6" ht="12.75">
      <c r="A754" s="64"/>
      <c r="B754" s="64"/>
      <c r="C754" s="64"/>
      <c r="D754" s="65"/>
      <c r="E754" s="64"/>
      <c r="F754" s="64"/>
    </row>
    <row r="755" spans="1:6" ht="12.75">
      <c r="A755" s="64"/>
      <c r="B755" s="64"/>
      <c r="C755" s="64"/>
      <c r="D755" s="65"/>
      <c r="E755" s="64"/>
      <c r="F755" s="64"/>
    </row>
    <row r="756" spans="1:6" ht="12.75">
      <c r="A756" s="64"/>
      <c r="B756" s="64"/>
      <c r="C756" s="64"/>
      <c r="D756" s="65"/>
      <c r="E756" s="64"/>
      <c r="F756" s="64"/>
    </row>
    <row r="757" spans="1:6" ht="12.75">
      <c r="A757" s="64"/>
      <c r="B757" s="64"/>
      <c r="C757" s="64"/>
      <c r="D757" s="65"/>
      <c r="E757" s="64"/>
      <c r="F757" s="64"/>
    </row>
    <row r="758" spans="1:6" ht="12.75">
      <c r="A758" s="64"/>
      <c r="B758" s="64"/>
      <c r="C758" s="64"/>
      <c r="D758" s="65"/>
      <c r="E758" s="64"/>
      <c r="F758" s="64"/>
    </row>
    <row r="759" spans="1:6" ht="12.75">
      <c r="A759" s="64"/>
      <c r="B759" s="64"/>
      <c r="C759" s="64"/>
      <c r="D759" s="65"/>
      <c r="E759" s="64"/>
      <c r="F759" s="64"/>
    </row>
    <row r="760" spans="1:6" ht="12.75">
      <c r="A760" s="64"/>
      <c r="B760" s="64"/>
      <c r="C760" s="64"/>
      <c r="D760" s="65"/>
      <c r="E760" s="64"/>
      <c r="F760" s="64"/>
    </row>
    <row r="761" spans="1:6" ht="12.75">
      <c r="A761" s="64"/>
      <c r="B761" s="64"/>
      <c r="C761" s="64"/>
      <c r="D761" s="65"/>
      <c r="E761" s="64"/>
      <c r="F761" s="64"/>
    </row>
    <row r="762" spans="1:6" ht="12.75">
      <c r="A762" s="64"/>
      <c r="B762" s="64"/>
      <c r="C762" s="64"/>
      <c r="D762" s="65"/>
      <c r="E762" s="64"/>
      <c r="F762" s="64"/>
    </row>
    <row r="763" spans="1:6" ht="12.75">
      <c r="A763" s="64"/>
      <c r="B763" s="64"/>
      <c r="C763" s="64"/>
      <c r="D763" s="65"/>
      <c r="E763" s="64"/>
      <c r="F763" s="64"/>
    </row>
    <row r="764" spans="1:6" ht="12.75">
      <c r="A764" s="64"/>
      <c r="B764" s="64"/>
      <c r="C764" s="64"/>
      <c r="D764" s="65"/>
      <c r="E764" s="64"/>
      <c r="F764" s="64"/>
    </row>
    <row r="765" spans="1:6" ht="12.75">
      <c r="A765" s="64"/>
      <c r="B765" s="64"/>
      <c r="C765" s="64"/>
      <c r="D765" s="65"/>
      <c r="E765" s="64"/>
      <c r="F765" s="64"/>
    </row>
    <row r="766" spans="1:6" ht="12.75">
      <c r="A766" s="64"/>
      <c r="B766" s="64"/>
      <c r="C766" s="64"/>
      <c r="D766" s="65"/>
      <c r="E766" s="64"/>
      <c r="F766" s="64"/>
    </row>
    <row r="767" spans="1:6" ht="12.75">
      <c r="A767" s="64"/>
      <c r="B767" s="64"/>
      <c r="C767" s="64"/>
      <c r="D767" s="65"/>
      <c r="E767" s="64"/>
      <c r="F767" s="64"/>
    </row>
    <row r="768" spans="1:6" ht="12.75">
      <c r="A768" s="64"/>
      <c r="B768" s="64"/>
      <c r="C768" s="64"/>
      <c r="D768" s="65"/>
      <c r="E768" s="64"/>
      <c r="F768" s="64"/>
    </row>
    <row r="769" spans="1:6" ht="12.75">
      <c r="A769" s="64"/>
      <c r="B769" s="64"/>
      <c r="C769" s="64"/>
      <c r="D769" s="65"/>
      <c r="E769" s="64"/>
      <c r="F769" s="64"/>
    </row>
    <row r="770" spans="1:6" ht="12.75">
      <c r="A770" s="64"/>
      <c r="B770" s="64"/>
      <c r="C770" s="64"/>
      <c r="D770" s="65"/>
      <c r="E770" s="64"/>
      <c r="F770" s="64"/>
    </row>
    <row r="771" spans="1:6" ht="12.75">
      <c r="A771" s="64"/>
      <c r="B771" s="64"/>
      <c r="C771" s="64"/>
      <c r="D771" s="65"/>
      <c r="E771" s="64"/>
      <c r="F771" s="64"/>
    </row>
    <row r="772" spans="1:6" ht="12.75">
      <c r="A772" s="64"/>
      <c r="B772" s="64"/>
      <c r="C772" s="64"/>
      <c r="D772" s="65"/>
      <c r="E772" s="64"/>
      <c r="F772" s="64"/>
    </row>
    <row r="773" spans="1:6" ht="12.75">
      <c r="A773" s="64"/>
      <c r="B773" s="64"/>
      <c r="C773" s="64"/>
      <c r="D773" s="65"/>
      <c r="E773" s="64"/>
      <c r="F773" s="64"/>
    </row>
    <row r="774" spans="1:6" ht="12.75">
      <c r="A774" s="64"/>
      <c r="B774" s="64"/>
      <c r="C774" s="64"/>
      <c r="D774" s="65"/>
      <c r="E774" s="64"/>
      <c r="F774" s="64"/>
    </row>
    <row r="775" spans="1:6" ht="12.75">
      <c r="A775" s="64"/>
      <c r="B775" s="64"/>
      <c r="C775" s="64"/>
      <c r="D775" s="65"/>
      <c r="E775" s="64"/>
      <c r="F775" s="64"/>
    </row>
    <row r="776" spans="1:6" ht="12.75">
      <c r="A776" s="64"/>
      <c r="B776" s="64"/>
      <c r="C776" s="64"/>
      <c r="D776" s="65"/>
      <c r="E776" s="64"/>
      <c r="F776" s="64"/>
    </row>
    <row r="777" spans="1:6" ht="12.75">
      <c r="A777" s="64"/>
      <c r="B777" s="64"/>
      <c r="C777" s="64"/>
      <c r="D777" s="65"/>
      <c r="E777" s="64"/>
      <c r="F777" s="64"/>
    </row>
    <row r="778" spans="1:6" ht="12.75">
      <c r="A778" s="64"/>
      <c r="B778" s="64"/>
      <c r="C778" s="64"/>
      <c r="D778" s="65"/>
      <c r="E778" s="64"/>
      <c r="F778" s="64"/>
    </row>
    <row r="779" spans="1:6" ht="12.75">
      <c r="A779" s="64"/>
      <c r="B779" s="64"/>
      <c r="C779" s="64"/>
      <c r="D779" s="65"/>
      <c r="E779" s="64"/>
      <c r="F779" s="64"/>
    </row>
    <row r="780" spans="1:6" ht="12.75">
      <c r="A780" s="64"/>
      <c r="B780" s="64"/>
      <c r="C780" s="64"/>
      <c r="D780" s="65"/>
      <c r="E780" s="64"/>
      <c r="F780" s="64"/>
    </row>
    <row r="781" spans="1:6" ht="12.75">
      <c r="A781" s="64"/>
      <c r="B781" s="64"/>
      <c r="C781" s="64"/>
      <c r="D781" s="65"/>
      <c r="E781" s="64"/>
      <c r="F781" s="64"/>
    </row>
    <row r="782" spans="1:6" ht="12.75">
      <c r="A782" s="64"/>
      <c r="B782" s="64"/>
      <c r="C782" s="64"/>
      <c r="D782" s="65"/>
      <c r="E782" s="64"/>
      <c r="F782" s="64"/>
    </row>
    <row r="783" spans="1:6" ht="12.75">
      <c r="A783" s="64"/>
      <c r="B783" s="64"/>
      <c r="C783" s="64"/>
      <c r="D783" s="65"/>
      <c r="E783" s="64"/>
      <c r="F783" s="64"/>
    </row>
    <row r="784" spans="1:6" ht="12.75">
      <c r="A784" s="64"/>
      <c r="B784" s="64"/>
      <c r="C784" s="64"/>
      <c r="D784" s="65"/>
      <c r="E784" s="64"/>
      <c r="F784" s="64"/>
    </row>
    <row r="785" spans="1:6" ht="12.75">
      <c r="A785" s="64"/>
      <c r="B785" s="64"/>
      <c r="C785" s="64"/>
      <c r="D785" s="65"/>
      <c r="E785" s="64"/>
      <c r="F785" s="64"/>
    </row>
    <row r="786" spans="1:6" ht="12.75">
      <c r="A786" s="64"/>
      <c r="B786" s="64"/>
      <c r="C786" s="64"/>
      <c r="D786" s="65"/>
      <c r="E786" s="64"/>
      <c r="F786" s="64"/>
    </row>
    <row r="787" spans="1:6" ht="12.75">
      <c r="A787" s="64"/>
      <c r="B787" s="64"/>
      <c r="C787" s="64"/>
      <c r="D787" s="65"/>
      <c r="E787" s="64"/>
      <c r="F787" s="64"/>
    </row>
    <row r="788" spans="1:6" ht="12.75">
      <c r="A788" s="64"/>
      <c r="B788" s="64"/>
      <c r="C788" s="64"/>
      <c r="D788" s="65"/>
      <c r="E788" s="64"/>
      <c r="F788" s="64"/>
    </row>
    <row r="789" spans="1:6" ht="12.75">
      <c r="A789" s="64"/>
      <c r="B789" s="64"/>
      <c r="C789" s="64"/>
      <c r="D789" s="65"/>
      <c r="E789" s="64"/>
      <c r="F789" s="64"/>
    </row>
    <row r="790" spans="1:6" ht="12.75">
      <c r="A790" s="64"/>
      <c r="B790" s="64"/>
      <c r="C790" s="64"/>
      <c r="D790" s="65"/>
      <c r="E790" s="64"/>
      <c r="F790" s="64"/>
    </row>
    <row r="791" spans="1:6" ht="12.75">
      <c r="A791" s="64"/>
      <c r="B791" s="64"/>
      <c r="C791" s="64"/>
      <c r="D791" s="65"/>
      <c r="E791" s="64"/>
      <c r="F791" s="64"/>
    </row>
    <row r="792" spans="1:6" ht="12.75">
      <c r="A792" s="64"/>
      <c r="B792" s="64"/>
      <c r="C792" s="64"/>
      <c r="D792" s="65"/>
      <c r="E792" s="64"/>
      <c r="F792" s="64"/>
    </row>
    <row r="793" spans="1:6" ht="12.75">
      <c r="A793" s="64"/>
      <c r="B793" s="64"/>
      <c r="C793" s="64"/>
      <c r="D793" s="65"/>
      <c r="E793" s="64"/>
      <c r="F793" s="64"/>
    </row>
    <row r="794" spans="1:6" ht="12.75">
      <c r="A794" s="64"/>
      <c r="B794" s="64"/>
      <c r="C794" s="64"/>
      <c r="D794" s="65"/>
      <c r="E794" s="64"/>
      <c r="F794" s="64"/>
    </row>
    <row r="795" spans="1:6" ht="12.75">
      <c r="A795" s="64"/>
      <c r="B795" s="64"/>
      <c r="C795" s="64"/>
      <c r="D795" s="65"/>
      <c r="E795" s="64"/>
      <c r="F795" s="64"/>
    </row>
    <row r="796" spans="1:6" ht="12.75">
      <c r="A796" s="64"/>
      <c r="B796" s="64"/>
      <c r="C796" s="64"/>
      <c r="D796" s="65"/>
      <c r="E796" s="64"/>
      <c r="F796" s="64"/>
    </row>
    <row r="797" spans="1:6" ht="12.75">
      <c r="A797" s="64"/>
      <c r="B797" s="64"/>
      <c r="C797" s="64"/>
      <c r="D797" s="65"/>
      <c r="E797" s="64"/>
      <c r="F797" s="64"/>
    </row>
    <row r="798" spans="1:6" ht="12.75">
      <c r="A798" s="64"/>
      <c r="B798" s="64"/>
      <c r="C798" s="64"/>
      <c r="D798" s="65"/>
      <c r="E798" s="64"/>
      <c r="F798" s="64"/>
    </row>
    <row r="799" spans="1:6" ht="12.75">
      <c r="A799" s="64"/>
      <c r="B799" s="64"/>
      <c r="C799" s="64"/>
      <c r="D799" s="65"/>
      <c r="E799" s="64"/>
      <c r="F799" s="64"/>
    </row>
    <row r="800" spans="1:6" ht="12.75">
      <c r="A800" s="64"/>
      <c r="B800" s="64"/>
      <c r="C800" s="64"/>
      <c r="D800" s="65"/>
      <c r="E800" s="64"/>
      <c r="F800" s="64"/>
    </row>
    <row r="801" spans="1:6" ht="12.75">
      <c r="A801" s="64"/>
      <c r="B801" s="64"/>
      <c r="C801" s="64"/>
      <c r="D801" s="65"/>
      <c r="E801" s="64"/>
      <c r="F801" s="64"/>
    </row>
    <row r="802" spans="1:6" ht="12.75">
      <c r="A802" s="64"/>
      <c r="B802" s="64"/>
      <c r="C802" s="64"/>
      <c r="D802" s="65"/>
      <c r="E802" s="64"/>
      <c r="F802" s="64"/>
    </row>
    <row r="803" spans="1:6" ht="12.75">
      <c r="A803" s="64"/>
      <c r="B803" s="64"/>
      <c r="C803" s="64"/>
      <c r="D803" s="65"/>
      <c r="E803" s="64"/>
      <c r="F803" s="64"/>
    </row>
    <row r="804" spans="1:6" ht="12.75">
      <c r="A804" s="64"/>
      <c r="B804" s="64"/>
      <c r="C804" s="64"/>
      <c r="D804" s="65"/>
      <c r="E804" s="64"/>
      <c r="F804" s="64"/>
    </row>
    <row r="805" spans="1:6" ht="12.75">
      <c r="A805" s="64"/>
      <c r="B805" s="64"/>
      <c r="C805" s="64"/>
      <c r="D805" s="65"/>
      <c r="E805" s="64"/>
      <c r="F805" s="64"/>
    </row>
    <row r="806" spans="1:6" ht="12.75">
      <c r="A806" s="64"/>
      <c r="B806" s="64"/>
      <c r="C806" s="64"/>
      <c r="D806" s="65"/>
      <c r="E806" s="64"/>
      <c r="F806" s="64"/>
    </row>
    <row r="807" spans="1:6" ht="12.75">
      <c r="A807" s="64"/>
      <c r="B807" s="64"/>
      <c r="C807" s="64"/>
      <c r="D807" s="65"/>
      <c r="E807" s="64"/>
      <c r="F807" s="64"/>
    </row>
    <row r="808" spans="1:6" ht="12.75">
      <c r="A808" s="64"/>
      <c r="B808" s="64"/>
      <c r="C808" s="64"/>
      <c r="D808" s="65"/>
      <c r="E808" s="64"/>
      <c r="F808" s="64"/>
    </row>
    <row r="809" spans="1:6" ht="12.75">
      <c r="A809" s="64"/>
      <c r="B809" s="64"/>
      <c r="C809" s="64"/>
      <c r="D809" s="65"/>
      <c r="E809" s="64"/>
      <c r="F809" s="64"/>
    </row>
    <row r="810" spans="1:6" ht="12.75">
      <c r="A810" s="64"/>
      <c r="B810" s="64"/>
      <c r="C810" s="64"/>
      <c r="D810" s="65"/>
      <c r="E810" s="64"/>
      <c r="F810" s="64"/>
    </row>
    <row r="811" spans="1:6" ht="12.75">
      <c r="A811" s="64"/>
      <c r="B811" s="64"/>
      <c r="C811" s="64"/>
      <c r="D811" s="65"/>
      <c r="E811" s="64"/>
      <c r="F811" s="64"/>
    </row>
    <row r="812" spans="1:6" ht="12.75">
      <c r="A812" s="64"/>
      <c r="B812" s="64"/>
      <c r="C812" s="64"/>
      <c r="D812" s="65"/>
      <c r="E812" s="64"/>
      <c r="F812" s="64"/>
    </row>
    <row r="813" spans="1:6" ht="12.75">
      <c r="A813" s="64"/>
      <c r="B813" s="64"/>
      <c r="C813" s="64"/>
      <c r="D813" s="65"/>
      <c r="E813" s="64"/>
      <c r="F813" s="64"/>
    </row>
    <row r="814" spans="1:6" ht="12.75">
      <c r="A814" s="64"/>
      <c r="B814" s="64"/>
      <c r="C814" s="64"/>
      <c r="D814" s="65"/>
      <c r="E814" s="64"/>
      <c r="F814" s="64"/>
    </row>
    <row r="815" spans="1:6" ht="12.75">
      <c r="A815" s="64"/>
      <c r="B815" s="64"/>
      <c r="C815" s="64"/>
      <c r="D815" s="65"/>
      <c r="E815" s="64"/>
      <c r="F815" s="64"/>
    </row>
    <row r="816" spans="1:6" ht="12.75">
      <c r="A816" s="64"/>
      <c r="B816" s="64"/>
      <c r="C816" s="64"/>
      <c r="D816" s="65"/>
      <c r="E816" s="64"/>
      <c r="F816" s="64"/>
    </row>
    <row r="817" spans="1:6" ht="12.75">
      <c r="A817" s="64"/>
      <c r="B817" s="64"/>
      <c r="C817" s="64"/>
      <c r="D817" s="65"/>
      <c r="E817" s="64"/>
      <c r="F817" s="64"/>
    </row>
    <row r="818" spans="1:6" ht="12.75">
      <c r="A818" s="64"/>
      <c r="B818" s="64"/>
      <c r="C818" s="64"/>
      <c r="D818" s="65"/>
      <c r="E818" s="64"/>
      <c r="F818" s="64"/>
    </row>
    <row r="819" spans="1:6" ht="12.75">
      <c r="A819" s="64"/>
      <c r="B819" s="64"/>
      <c r="C819" s="64"/>
      <c r="D819" s="65"/>
      <c r="E819" s="64"/>
      <c r="F819" s="64"/>
    </row>
    <row r="820" spans="1:6" ht="12.75">
      <c r="A820" s="64"/>
      <c r="B820" s="64"/>
      <c r="C820" s="64"/>
      <c r="D820" s="65"/>
      <c r="E820" s="64"/>
      <c r="F820" s="64"/>
    </row>
    <row r="821" spans="1:6" ht="12.75">
      <c r="A821" s="64"/>
      <c r="B821" s="64"/>
      <c r="C821" s="64"/>
      <c r="D821" s="65"/>
      <c r="E821" s="64"/>
      <c r="F821" s="64"/>
    </row>
    <row r="822" spans="1:6" ht="12.75">
      <c r="A822" s="64"/>
      <c r="B822" s="64"/>
      <c r="C822" s="64"/>
      <c r="D822" s="65"/>
      <c r="E822" s="64"/>
      <c r="F822" s="64"/>
    </row>
    <row r="823" spans="1:6" ht="12.75">
      <c r="A823" s="64"/>
      <c r="B823" s="64"/>
      <c r="C823" s="64"/>
      <c r="D823" s="65"/>
      <c r="E823" s="64"/>
      <c r="F823" s="64"/>
    </row>
    <row r="824" spans="1:6" ht="12.75">
      <c r="A824" s="64"/>
      <c r="B824" s="64"/>
      <c r="C824" s="64"/>
      <c r="D824" s="65"/>
      <c r="E824" s="64"/>
      <c r="F824" s="64"/>
    </row>
    <row r="825" spans="1:6" ht="12.75">
      <c r="A825" s="64"/>
      <c r="B825" s="64"/>
      <c r="C825" s="64"/>
      <c r="D825" s="65"/>
      <c r="E825" s="64"/>
      <c r="F825" s="64"/>
    </row>
    <row r="826" spans="1:6" ht="12.75">
      <c r="A826" s="64"/>
      <c r="B826" s="64"/>
      <c r="C826" s="64"/>
      <c r="D826" s="65"/>
      <c r="E826" s="64"/>
      <c r="F826" s="64"/>
    </row>
    <row r="827" spans="1:6" ht="12.75">
      <c r="A827" s="64"/>
      <c r="B827" s="64"/>
      <c r="C827" s="64"/>
      <c r="D827" s="65"/>
      <c r="E827" s="64"/>
      <c r="F827" s="64"/>
    </row>
    <row r="828" spans="1:6" ht="12.75">
      <c r="A828" s="64"/>
      <c r="B828" s="64"/>
      <c r="C828" s="64"/>
      <c r="D828" s="65"/>
      <c r="E828" s="64"/>
      <c r="F828" s="64"/>
    </row>
    <row r="829" spans="1:6" ht="12.75">
      <c r="A829" s="64"/>
      <c r="B829" s="64"/>
      <c r="C829" s="64"/>
      <c r="D829" s="65"/>
      <c r="E829" s="64"/>
      <c r="F829" s="64"/>
    </row>
    <row r="830" spans="1:6" ht="12.75">
      <c r="A830" s="64"/>
      <c r="B830" s="64"/>
      <c r="C830" s="64"/>
      <c r="D830" s="65"/>
      <c r="E830" s="64"/>
      <c r="F830" s="64"/>
    </row>
    <row r="831" spans="1:6" ht="12.75">
      <c r="A831" s="64"/>
      <c r="B831" s="64"/>
      <c r="C831" s="64"/>
      <c r="D831" s="65"/>
      <c r="E831" s="64"/>
      <c r="F831" s="64"/>
    </row>
    <row r="832" spans="1:6" ht="12.75">
      <c r="A832" s="64"/>
      <c r="B832" s="64"/>
      <c r="C832" s="64"/>
      <c r="D832" s="65"/>
      <c r="E832" s="64"/>
      <c r="F832" s="64"/>
    </row>
    <row r="833" spans="1:6" ht="12.75">
      <c r="A833" s="64"/>
      <c r="B833" s="64"/>
      <c r="C833" s="64"/>
      <c r="D833" s="65"/>
      <c r="E833" s="64"/>
      <c r="F833" s="64"/>
    </row>
    <row r="834" spans="1:6" ht="12.75">
      <c r="A834" s="64"/>
      <c r="B834" s="64"/>
      <c r="C834" s="64"/>
      <c r="D834" s="65"/>
      <c r="E834" s="64"/>
      <c r="F834" s="64"/>
    </row>
    <row r="835" spans="1:6" ht="12.75">
      <c r="A835" s="64"/>
      <c r="B835" s="64"/>
      <c r="C835" s="64"/>
      <c r="D835" s="65"/>
      <c r="E835" s="64"/>
      <c r="F835" s="64"/>
    </row>
    <row r="836" spans="1:6" ht="12.75">
      <c r="A836" s="64"/>
      <c r="B836" s="64"/>
      <c r="C836" s="64"/>
      <c r="D836" s="65"/>
      <c r="E836" s="64"/>
      <c r="F836" s="64"/>
    </row>
    <row r="837" spans="1:6" ht="12.75">
      <c r="A837" s="64"/>
      <c r="B837" s="64"/>
      <c r="C837" s="64"/>
      <c r="D837" s="65"/>
      <c r="E837" s="64"/>
      <c r="F837" s="64"/>
    </row>
    <row r="838" spans="1:6" ht="12.75">
      <c r="A838" s="64"/>
      <c r="B838" s="64"/>
      <c r="C838" s="64"/>
      <c r="D838" s="65"/>
      <c r="E838" s="64"/>
      <c r="F838" s="64"/>
    </row>
    <row r="839" spans="1:6" ht="12.75">
      <c r="A839" s="64"/>
      <c r="B839" s="64"/>
      <c r="C839" s="64"/>
      <c r="D839" s="65"/>
      <c r="E839" s="64"/>
      <c r="F839" s="64"/>
    </row>
    <row r="840" spans="1:6" ht="12.75">
      <c r="A840" s="64"/>
      <c r="B840" s="64"/>
      <c r="C840" s="64"/>
      <c r="D840" s="65"/>
      <c r="E840" s="64"/>
      <c r="F840" s="64"/>
    </row>
    <row r="841" spans="1:6" ht="12.75">
      <c r="A841" s="64"/>
      <c r="B841" s="64"/>
      <c r="C841" s="64"/>
      <c r="D841" s="65"/>
      <c r="E841" s="64"/>
      <c r="F841" s="64"/>
    </row>
    <row r="842" spans="1:6" ht="12.75">
      <c r="A842" s="64"/>
      <c r="B842" s="64"/>
      <c r="C842" s="64"/>
      <c r="D842" s="65"/>
      <c r="E842" s="64"/>
      <c r="F842" s="64"/>
    </row>
    <row r="843" spans="1:6" ht="12.75">
      <c r="A843" s="64"/>
      <c r="B843" s="64"/>
      <c r="C843" s="64"/>
      <c r="D843" s="65"/>
      <c r="E843" s="64"/>
      <c r="F843" s="64"/>
    </row>
    <row r="844" spans="1:6" ht="12.75">
      <c r="A844" s="64"/>
      <c r="B844" s="64"/>
      <c r="C844" s="64"/>
      <c r="D844" s="65"/>
      <c r="E844" s="64"/>
      <c r="F844" s="64"/>
    </row>
    <row r="845" spans="1:6" ht="12.75">
      <c r="A845" s="64"/>
      <c r="B845" s="64"/>
      <c r="C845" s="64"/>
      <c r="D845" s="65"/>
      <c r="E845" s="64"/>
      <c r="F845" s="64"/>
    </row>
    <row r="846" spans="1:6" ht="12.75">
      <c r="A846" s="64"/>
      <c r="B846" s="64"/>
      <c r="C846" s="64"/>
      <c r="D846" s="65"/>
      <c r="E846" s="64"/>
      <c r="F846" s="64"/>
    </row>
    <row r="847" spans="1:6" ht="12.75">
      <c r="A847" s="64"/>
      <c r="B847" s="64"/>
      <c r="C847" s="64"/>
      <c r="D847" s="65"/>
      <c r="E847" s="64"/>
      <c r="F847" s="64"/>
    </row>
    <row r="848" spans="1:6" ht="12.75">
      <c r="A848" s="64"/>
      <c r="B848" s="64"/>
      <c r="C848" s="64"/>
      <c r="D848" s="65"/>
      <c r="E848" s="64"/>
      <c r="F848" s="64"/>
    </row>
    <row r="849" spans="1:6" ht="12.75">
      <c r="A849" s="64"/>
      <c r="B849" s="64"/>
      <c r="C849" s="64"/>
      <c r="D849" s="65"/>
      <c r="E849" s="64"/>
      <c r="F849" s="64"/>
    </row>
    <row r="850" spans="1:6" ht="12.75">
      <c r="A850" s="64"/>
      <c r="B850" s="64"/>
      <c r="C850" s="64"/>
      <c r="D850" s="65"/>
      <c r="E850" s="64"/>
      <c r="F850" s="64"/>
    </row>
    <row r="851" spans="1:6" ht="12.75">
      <c r="A851" s="64"/>
      <c r="B851" s="64"/>
      <c r="C851" s="64"/>
      <c r="D851" s="65"/>
      <c r="E851" s="64"/>
      <c r="F851" s="64"/>
    </row>
    <row r="852" spans="1:6" ht="12.75">
      <c r="A852" s="64"/>
      <c r="B852" s="64"/>
      <c r="C852" s="64"/>
      <c r="D852" s="65"/>
      <c r="E852" s="64"/>
      <c r="F852" s="64"/>
    </row>
    <row r="853" spans="1:6" ht="12.75">
      <c r="A853" s="64"/>
      <c r="B853" s="64"/>
      <c r="C853" s="64"/>
      <c r="D853" s="65"/>
      <c r="E853" s="64"/>
      <c r="F853" s="64"/>
    </row>
    <row r="854" spans="1:6" ht="12.75">
      <c r="A854" s="64"/>
      <c r="B854" s="64"/>
      <c r="C854" s="64"/>
      <c r="D854" s="65"/>
      <c r="E854" s="64"/>
      <c r="F854" s="64"/>
    </row>
    <row r="855" spans="1:6" ht="12.75">
      <c r="A855" s="64"/>
      <c r="B855" s="64"/>
      <c r="C855" s="64"/>
      <c r="D855" s="65"/>
      <c r="E855" s="64"/>
      <c r="F855" s="64"/>
    </row>
    <row r="856" spans="1:6" ht="12.75">
      <c r="A856" s="64"/>
      <c r="B856" s="64"/>
      <c r="C856" s="64"/>
      <c r="D856" s="65"/>
      <c r="E856" s="64"/>
      <c r="F856" s="64"/>
    </row>
    <row r="857" spans="1:6" ht="12.75">
      <c r="A857" s="64"/>
      <c r="B857" s="64"/>
      <c r="C857" s="64"/>
      <c r="D857" s="65"/>
      <c r="E857" s="64"/>
      <c r="F857" s="64"/>
    </row>
    <row r="858" spans="1:6" ht="12.75">
      <c r="A858" s="64"/>
      <c r="B858" s="64"/>
      <c r="C858" s="64"/>
      <c r="D858" s="65"/>
      <c r="E858" s="64"/>
      <c r="F858" s="64"/>
    </row>
  </sheetData>
  <autoFilter ref="A1:X278" xr:uid="{00000000-0009-0000-0000-000006000000}"/>
  <customSheetViews>
    <customSheetView guid="{428B87FD-4824-4EFD-BF5A-A5063AE795CB}" filter="1" showAutoFilter="1">
      <pageMargins left="0.7" right="0.7" top="0.75" bottom="0.75" header="0.3" footer="0.3"/>
      <autoFilter ref="J1:J858" xr:uid="{3A486E16-9D3A-4C8F-BDC7-96CEC7DA2271}"/>
    </customSheetView>
  </customSheetViews>
  <mergeCells count="128">
    <mergeCell ref="Z211:Z213"/>
    <mergeCell ref="X214:X215"/>
    <mergeCell ref="Z214:Z215"/>
    <mergeCell ref="W232:W233"/>
    <mergeCell ref="X232:X233"/>
    <mergeCell ref="P199:P201"/>
    <mergeCell ref="S199:S200"/>
    <mergeCell ref="T199:T200"/>
    <mergeCell ref="R199:R200"/>
    <mergeCell ref="S211:S213"/>
    <mergeCell ref="T211:T213"/>
    <mergeCell ref="V211:V213"/>
    <mergeCell ref="W211:W213"/>
    <mergeCell ref="X211:X213"/>
    <mergeCell ref="X224:X225"/>
    <mergeCell ref="Z224:Z225"/>
    <mergeCell ref="R226:R227"/>
    <mergeCell ref="S226:S227"/>
    <mergeCell ref="V226:V227"/>
    <mergeCell ref="W226:W227"/>
    <mergeCell ref="X226:X227"/>
    <mergeCell ref="Z226:Z227"/>
    <mergeCell ref="R232:R233"/>
    <mergeCell ref="Z232:Z233"/>
    <mergeCell ref="Z190:Z192"/>
    <mergeCell ref="Z199:Z200"/>
    <mergeCell ref="R185:R186"/>
    <mergeCell ref="S185:S186"/>
    <mergeCell ref="W185:W186"/>
    <mergeCell ref="X185:X186"/>
    <mergeCell ref="Z185:Z186"/>
    <mergeCell ref="S187:S188"/>
    <mergeCell ref="Z187:Z188"/>
    <mergeCell ref="R187:R188"/>
    <mergeCell ref="R190:R192"/>
    <mergeCell ref="S190:S192"/>
    <mergeCell ref="T190:T192"/>
    <mergeCell ref="V185:V186"/>
    <mergeCell ref="V187:V188"/>
    <mergeCell ref="V190:V192"/>
    <mergeCell ref="V199:V200"/>
    <mergeCell ref="W199:W200"/>
    <mergeCell ref="X199:X200"/>
    <mergeCell ref="W187:W188"/>
    <mergeCell ref="X187:X188"/>
    <mergeCell ref="W190:W192"/>
    <mergeCell ref="X190:X192"/>
    <mergeCell ref="T275:T276"/>
    <mergeCell ref="U275:U276"/>
    <mergeCell ref="R277:R278"/>
    <mergeCell ref="S277:S278"/>
    <mergeCell ref="R268:R269"/>
    <mergeCell ref="S268:S269"/>
    <mergeCell ref="T268:T269"/>
    <mergeCell ref="R271:R274"/>
    <mergeCell ref="S271:S274"/>
    <mergeCell ref="R275:R276"/>
    <mergeCell ref="S275:S276"/>
    <mergeCell ref="S234:S237"/>
    <mergeCell ref="V234:V237"/>
    <mergeCell ref="W234:W237"/>
    <mergeCell ref="X234:X237"/>
    <mergeCell ref="Z234:Z237"/>
    <mergeCell ref="R234:R237"/>
    <mergeCell ref="R238:R241"/>
    <mergeCell ref="S238:S241"/>
    <mergeCell ref="V238:V241"/>
    <mergeCell ref="W238:W241"/>
    <mergeCell ref="X238:X241"/>
    <mergeCell ref="Z238:Z241"/>
    <mergeCell ref="S232:S233"/>
    <mergeCell ref="V232:V233"/>
    <mergeCell ref="R211:R213"/>
    <mergeCell ref="Q214:Q215"/>
    <mergeCell ref="S214:S215"/>
    <mergeCell ref="T214:T215"/>
    <mergeCell ref="V214:V215"/>
    <mergeCell ref="W214:W215"/>
    <mergeCell ref="T217:T218"/>
    <mergeCell ref="R214:R215"/>
    <mergeCell ref="R224:R225"/>
    <mergeCell ref="S224:S225"/>
    <mergeCell ref="V224:V225"/>
    <mergeCell ref="W224:W225"/>
    <mergeCell ref="R176:R177"/>
    <mergeCell ref="S176:S177"/>
    <mergeCell ref="V176:V177"/>
    <mergeCell ref="W176:W177"/>
    <mergeCell ref="X176:X177"/>
    <mergeCell ref="Y176:Y177"/>
    <mergeCell ref="Z176:Z177"/>
    <mergeCell ref="R180:R181"/>
    <mergeCell ref="S180:S181"/>
    <mergeCell ref="T180:T181"/>
    <mergeCell ref="V180:V181"/>
    <mergeCell ref="W180:W181"/>
    <mergeCell ref="X180:X181"/>
    <mergeCell ref="Z180:Z181"/>
    <mergeCell ref="Y166:Y168"/>
    <mergeCell ref="Z166:Z168"/>
    <mergeCell ref="Y169:Y170"/>
    <mergeCell ref="Z169:Z170"/>
    <mergeCell ref="R166:R168"/>
    <mergeCell ref="R169:R170"/>
    <mergeCell ref="S169:S170"/>
    <mergeCell ref="T169:T170"/>
    <mergeCell ref="V169:V170"/>
    <mergeCell ref="W169:W170"/>
    <mergeCell ref="X169:X170"/>
    <mergeCell ref="P26:P31"/>
    <mergeCell ref="S130:S131"/>
    <mergeCell ref="T130:T131"/>
    <mergeCell ref="U130:U131"/>
    <mergeCell ref="V130:V131"/>
    <mergeCell ref="W130:W131"/>
    <mergeCell ref="X130:X131"/>
    <mergeCell ref="S166:S168"/>
    <mergeCell ref="T166:T168"/>
    <mergeCell ref="V166:V168"/>
    <mergeCell ref="W166:W168"/>
    <mergeCell ref="X166:X168"/>
    <mergeCell ref="R130:R131"/>
    <mergeCell ref="R141:R142"/>
    <mergeCell ref="S141:S142"/>
    <mergeCell ref="R148:R150"/>
    <mergeCell ref="S148:S150"/>
    <mergeCell ref="R151:R154"/>
    <mergeCell ref="S151:S154"/>
  </mergeCells>
  <dataValidations count="3">
    <dataValidation type="list" allowBlank="1" showErrorMessage="1" sqref="N155:N165" xr:uid="{00000000-0002-0000-0600-000000000000}">
      <formula1>"Active,Dormant,Down,To Implement,Installed,Terminated,Inactive"</formula1>
    </dataValidation>
    <dataValidation type="list" allowBlank="1" showErrorMessage="1" sqref="N2:N154 N166:N241 N251:N288" xr:uid="{00000000-0002-0000-0600-000001000000}">
      <formula1>"Active,Inactive,Ongoing,Assist,Terminated,Deactivated"</formula1>
    </dataValidation>
    <dataValidation type="list" allowBlank="1" showErrorMessage="1" sqref="N242:N250" xr:uid="{00000000-0002-0000-0600-000002000000}">
      <formula1>"Active,Dormant,Down,Deactivated"</formula1>
    </dataValidation>
  </dataValidations>
  <hyperlinks>
    <hyperlink ref="R128" r:id="rId1" xr:uid="{00000000-0004-0000-0600-000000000000}"/>
    <hyperlink ref="T128" r:id="rId2" xr:uid="{00000000-0004-0000-0600-000001000000}"/>
    <hyperlink ref="R129" r:id="rId3" xr:uid="{00000000-0004-0000-0600-000002000000}"/>
    <hyperlink ref="T129" r:id="rId4" xr:uid="{00000000-0004-0000-0600-000003000000}"/>
    <hyperlink ref="R130" r:id="rId5" xr:uid="{00000000-0004-0000-0600-000004000000}"/>
    <hyperlink ref="S130" r:id="rId6" xr:uid="{00000000-0004-0000-0600-000005000000}"/>
    <hyperlink ref="T130" r:id="rId7" xr:uid="{00000000-0004-0000-0600-000006000000}"/>
    <hyperlink ref="Q131" r:id="rId8" xr:uid="{00000000-0004-0000-0600-000007000000}"/>
    <hyperlink ref="R132" r:id="rId9" xr:uid="{00000000-0004-0000-0600-000008000000}"/>
    <hyperlink ref="S132" r:id="rId10" xr:uid="{00000000-0004-0000-0600-000009000000}"/>
    <hyperlink ref="Q133" r:id="rId11" xr:uid="{00000000-0004-0000-0600-00000A000000}"/>
    <hyperlink ref="R133" r:id="rId12" xr:uid="{00000000-0004-0000-0600-00000B000000}"/>
    <hyperlink ref="S133" r:id="rId13" xr:uid="{00000000-0004-0000-0600-00000C000000}"/>
    <hyperlink ref="T133" r:id="rId14" xr:uid="{00000000-0004-0000-0600-00000D000000}"/>
    <hyperlink ref="R134" r:id="rId15" xr:uid="{00000000-0004-0000-0600-00000E000000}"/>
    <hyperlink ref="S134" r:id="rId16" xr:uid="{00000000-0004-0000-0600-00000F000000}"/>
    <hyperlink ref="Q135" r:id="rId17" xr:uid="{00000000-0004-0000-0600-000010000000}"/>
    <hyperlink ref="R135" r:id="rId18" xr:uid="{00000000-0004-0000-0600-000011000000}"/>
    <hyperlink ref="S135" r:id="rId19" xr:uid="{00000000-0004-0000-0600-000012000000}"/>
    <hyperlink ref="T135" r:id="rId20" xr:uid="{00000000-0004-0000-0600-000013000000}"/>
    <hyperlink ref="R136" r:id="rId21" xr:uid="{00000000-0004-0000-0600-000014000000}"/>
    <hyperlink ref="S136" r:id="rId22" xr:uid="{00000000-0004-0000-0600-000015000000}"/>
    <hyperlink ref="R137" r:id="rId23" xr:uid="{00000000-0004-0000-0600-000016000000}"/>
    <hyperlink ref="S137" r:id="rId24" xr:uid="{00000000-0004-0000-0600-000017000000}"/>
    <hyperlink ref="Q138" r:id="rId25" xr:uid="{00000000-0004-0000-0600-000018000000}"/>
    <hyperlink ref="R138" r:id="rId26" xr:uid="{00000000-0004-0000-0600-000019000000}"/>
    <hyperlink ref="S138" r:id="rId27" xr:uid="{00000000-0004-0000-0600-00001A000000}"/>
    <hyperlink ref="R139" r:id="rId28" xr:uid="{00000000-0004-0000-0600-00001B000000}"/>
    <hyperlink ref="S139" r:id="rId29" xr:uid="{00000000-0004-0000-0600-00001C000000}"/>
    <hyperlink ref="R141" r:id="rId30" xr:uid="{00000000-0004-0000-0600-00001D000000}"/>
    <hyperlink ref="S141" r:id="rId31" xr:uid="{00000000-0004-0000-0600-00001E000000}"/>
    <hyperlink ref="R143" r:id="rId32" xr:uid="{00000000-0004-0000-0600-00001F000000}"/>
    <hyperlink ref="S143" r:id="rId33" xr:uid="{00000000-0004-0000-0600-000020000000}"/>
    <hyperlink ref="R144" r:id="rId34" xr:uid="{00000000-0004-0000-0600-000021000000}"/>
    <hyperlink ref="S144" r:id="rId35" xr:uid="{00000000-0004-0000-0600-000022000000}"/>
    <hyperlink ref="R145" r:id="rId36" xr:uid="{00000000-0004-0000-0600-000023000000}"/>
    <hyperlink ref="S145" r:id="rId37" xr:uid="{00000000-0004-0000-0600-000024000000}"/>
    <hyperlink ref="R146" r:id="rId38" xr:uid="{00000000-0004-0000-0600-000025000000}"/>
    <hyperlink ref="S146" r:id="rId39" xr:uid="{00000000-0004-0000-0600-000026000000}"/>
    <hyperlink ref="R147" r:id="rId40" xr:uid="{00000000-0004-0000-0600-000027000000}"/>
    <hyperlink ref="S147" r:id="rId41" xr:uid="{00000000-0004-0000-0600-000028000000}"/>
    <hyperlink ref="Q148" r:id="rId42" xr:uid="{00000000-0004-0000-0600-000029000000}"/>
    <hyperlink ref="R148" r:id="rId43" xr:uid="{00000000-0004-0000-0600-00002A000000}"/>
    <hyperlink ref="S148" r:id="rId44" xr:uid="{00000000-0004-0000-0600-00002B000000}"/>
    <hyperlink ref="R151" r:id="rId45" xr:uid="{00000000-0004-0000-0600-00002C000000}"/>
    <hyperlink ref="S151" r:id="rId46" xr:uid="{00000000-0004-0000-0600-00002D000000}"/>
    <hyperlink ref="X151" r:id="rId47" xr:uid="{00000000-0004-0000-0600-00002E000000}"/>
    <hyperlink ref="R155" r:id="rId48" xr:uid="{00000000-0004-0000-0600-00002F000000}"/>
    <hyperlink ref="S155" r:id="rId49" xr:uid="{00000000-0004-0000-0600-000030000000}"/>
    <hyperlink ref="S156" r:id="rId50" xr:uid="{00000000-0004-0000-0600-000031000000}"/>
    <hyperlink ref="R157" r:id="rId51" xr:uid="{00000000-0004-0000-0600-000032000000}"/>
    <hyperlink ref="S157" r:id="rId52" xr:uid="{00000000-0004-0000-0600-000033000000}"/>
    <hyperlink ref="R159" r:id="rId53" xr:uid="{00000000-0004-0000-0600-000034000000}"/>
    <hyperlink ref="S159" r:id="rId54" xr:uid="{00000000-0004-0000-0600-000035000000}"/>
    <hyperlink ref="R160" r:id="rId55" xr:uid="{00000000-0004-0000-0600-000036000000}"/>
    <hyperlink ref="S160" r:id="rId56" xr:uid="{00000000-0004-0000-0600-000037000000}"/>
    <hyperlink ref="S161" r:id="rId57" xr:uid="{00000000-0004-0000-0600-000038000000}"/>
    <hyperlink ref="S162" r:id="rId58" xr:uid="{00000000-0004-0000-0600-000039000000}"/>
    <hyperlink ref="R163" r:id="rId59" xr:uid="{00000000-0004-0000-0600-00003A000000}"/>
    <hyperlink ref="S163" r:id="rId60" xr:uid="{00000000-0004-0000-0600-00003B000000}"/>
    <hyperlink ref="S164" r:id="rId61" xr:uid="{00000000-0004-0000-0600-00003C000000}"/>
    <hyperlink ref="S165" r:id="rId62" xr:uid="{00000000-0004-0000-0600-00003D000000}"/>
    <hyperlink ref="R166" r:id="rId63" xr:uid="{00000000-0004-0000-0600-00003E000000}"/>
    <hyperlink ref="S166" r:id="rId64" xr:uid="{00000000-0004-0000-0600-00003F000000}"/>
    <hyperlink ref="T166" r:id="rId65" xr:uid="{00000000-0004-0000-0600-000040000000}"/>
    <hyperlink ref="R169" r:id="rId66" xr:uid="{00000000-0004-0000-0600-000041000000}"/>
    <hyperlink ref="S169" r:id="rId67" xr:uid="{00000000-0004-0000-0600-000042000000}"/>
    <hyperlink ref="T169" r:id="rId68" xr:uid="{00000000-0004-0000-0600-000043000000}"/>
    <hyperlink ref="R171" r:id="rId69" xr:uid="{00000000-0004-0000-0600-000044000000}"/>
    <hyperlink ref="S171" r:id="rId70" xr:uid="{00000000-0004-0000-0600-000045000000}"/>
    <hyperlink ref="R172" r:id="rId71" xr:uid="{00000000-0004-0000-0600-000046000000}"/>
    <hyperlink ref="S172" r:id="rId72" xr:uid="{00000000-0004-0000-0600-000047000000}"/>
    <hyperlink ref="R173" r:id="rId73" xr:uid="{00000000-0004-0000-0600-000048000000}"/>
    <hyperlink ref="S173" r:id="rId74" xr:uid="{00000000-0004-0000-0600-000049000000}"/>
    <hyperlink ref="R174" r:id="rId75" xr:uid="{00000000-0004-0000-0600-00004A000000}"/>
    <hyperlink ref="S174" r:id="rId76" xr:uid="{00000000-0004-0000-0600-00004B000000}"/>
    <hyperlink ref="T174" r:id="rId77" xr:uid="{00000000-0004-0000-0600-00004C000000}"/>
    <hyperlink ref="R175" r:id="rId78" xr:uid="{00000000-0004-0000-0600-00004D000000}"/>
    <hyperlink ref="S175" r:id="rId79" xr:uid="{00000000-0004-0000-0600-00004E000000}"/>
    <hyperlink ref="R176" r:id="rId80" xr:uid="{00000000-0004-0000-0600-00004F000000}"/>
    <hyperlink ref="S176" r:id="rId81" xr:uid="{00000000-0004-0000-0600-000050000000}"/>
    <hyperlink ref="R178" r:id="rId82" xr:uid="{00000000-0004-0000-0600-000051000000}"/>
    <hyperlink ref="S178" r:id="rId83" xr:uid="{00000000-0004-0000-0600-000052000000}"/>
    <hyperlink ref="T178" r:id="rId84" xr:uid="{00000000-0004-0000-0600-000053000000}"/>
    <hyperlink ref="R179" r:id="rId85" xr:uid="{00000000-0004-0000-0600-000054000000}"/>
    <hyperlink ref="S179" r:id="rId86" xr:uid="{00000000-0004-0000-0600-000055000000}"/>
    <hyperlink ref="R180" r:id="rId87" xr:uid="{00000000-0004-0000-0600-000056000000}"/>
    <hyperlink ref="S180" r:id="rId88" xr:uid="{00000000-0004-0000-0600-000057000000}"/>
    <hyperlink ref="T180" r:id="rId89" xr:uid="{00000000-0004-0000-0600-000058000000}"/>
    <hyperlink ref="R182" r:id="rId90" xr:uid="{00000000-0004-0000-0600-000059000000}"/>
    <hyperlink ref="S182" r:id="rId91" xr:uid="{00000000-0004-0000-0600-00005A000000}"/>
    <hyperlink ref="R183" r:id="rId92" xr:uid="{00000000-0004-0000-0600-00005B000000}"/>
    <hyperlink ref="S183" r:id="rId93" xr:uid="{00000000-0004-0000-0600-00005C000000}"/>
    <hyperlink ref="T183" r:id="rId94" xr:uid="{00000000-0004-0000-0600-00005D000000}"/>
    <hyperlink ref="R184" r:id="rId95" xr:uid="{00000000-0004-0000-0600-00005E000000}"/>
    <hyperlink ref="S184" r:id="rId96" xr:uid="{00000000-0004-0000-0600-00005F000000}"/>
    <hyperlink ref="R185" r:id="rId97" xr:uid="{00000000-0004-0000-0600-000060000000}"/>
    <hyperlink ref="S185" r:id="rId98" xr:uid="{00000000-0004-0000-0600-000061000000}"/>
    <hyperlink ref="R187" r:id="rId99" xr:uid="{00000000-0004-0000-0600-000062000000}"/>
    <hyperlink ref="S187" r:id="rId100" xr:uid="{00000000-0004-0000-0600-000063000000}"/>
    <hyperlink ref="R189" r:id="rId101" xr:uid="{00000000-0004-0000-0600-000064000000}"/>
    <hyperlink ref="S189" r:id="rId102" xr:uid="{00000000-0004-0000-0600-000065000000}"/>
    <hyperlink ref="R190" r:id="rId103" xr:uid="{00000000-0004-0000-0600-000066000000}"/>
    <hyperlink ref="S190" r:id="rId104" xr:uid="{00000000-0004-0000-0600-000067000000}"/>
    <hyperlink ref="T190" r:id="rId105" xr:uid="{00000000-0004-0000-0600-000068000000}"/>
    <hyperlink ref="R193" r:id="rId106" xr:uid="{00000000-0004-0000-0600-000069000000}"/>
    <hyperlink ref="S193" r:id="rId107" xr:uid="{00000000-0004-0000-0600-00006A000000}"/>
    <hyperlink ref="T193" r:id="rId108" xr:uid="{00000000-0004-0000-0600-00006B000000}"/>
    <hyperlink ref="R194" r:id="rId109" xr:uid="{00000000-0004-0000-0600-00006C000000}"/>
    <hyperlink ref="S194" r:id="rId110" xr:uid="{00000000-0004-0000-0600-00006D000000}"/>
    <hyperlink ref="R195" r:id="rId111" xr:uid="{00000000-0004-0000-0600-00006E000000}"/>
    <hyperlink ref="S195" r:id="rId112" xr:uid="{00000000-0004-0000-0600-00006F000000}"/>
    <hyperlink ref="T195" r:id="rId113" xr:uid="{00000000-0004-0000-0600-000070000000}"/>
    <hyperlink ref="R196" r:id="rId114" xr:uid="{00000000-0004-0000-0600-000071000000}"/>
    <hyperlink ref="S196" r:id="rId115" xr:uid="{00000000-0004-0000-0600-000072000000}"/>
    <hyperlink ref="R197" r:id="rId116" xr:uid="{00000000-0004-0000-0600-000073000000}"/>
    <hyperlink ref="S197" r:id="rId117" xr:uid="{00000000-0004-0000-0600-000074000000}"/>
    <hyperlink ref="T197" r:id="rId118" xr:uid="{00000000-0004-0000-0600-000075000000}"/>
    <hyperlink ref="R198" r:id="rId119" xr:uid="{00000000-0004-0000-0600-000076000000}"/>
    <hyperlink ref="S198" r:id="rId120" xr:uid="{00000000-0004-0000-0600-000077000000}"/>
    <hyperlink ref="R199" r:id="rId121" xr:uid="{00000000-0004-0000-0600-000078000000}"/>
    <hyperlink ref="S199" r:id="rId122" xr:uid="{00000000-0004-0000-0600-000079000000}"/>
    <hyperlink ref="T199" r:id="rId123" xr:uid="{00000000-0004-0000-0600-00007A000000}"/>
    <hyperlink ref="R201" r:id="rId124" xr:uid="{00000000-0004-0000-0600-00007B000000}"/>
    <hyperlink ref="S201" r:id="rId125" xr:uid="{00000000-0004-0000-0600-00007C000000}"/>
    <hyperlink ref="R202" r:id="rId126" xr:uid="{00000000-0004-0000-0600-00007D000000}"/>
    <hyperlink ref="S202" r:id="rId127" xr:uid="{00000000-0004-0000-0600-00007E000000}"/>
    <hyperlink ref="R203" r:id="rId128" xr:uid="{00000000-0004-0000-0600-00007F000000}"/>
    <hyperlink ref="S203" r:id="rId129" xr:uid="{00000000-0004-0000-0600-000080000000}"/>
    <hyperlink ref="T203" r:id="rId130" xr:uid="{00000000-0004-0000-0600-000081000000}"/>
    <hyperlink ref="R204" r:id="rId131" xr:uid="{00000000-0004-0000-0600-000082000000}"/>
    <hyperlink ref="S204" r:id="rId132" xr:uid="{00000000-0004-0000-0600-000083000000}"/>
    <hyperlink ref="R205" r:id="rId133" xr:uid="{00000000-0004-0000-0600-000084000000}"/>
    <hyperlink ref="S205" r:id="rId134" xr:uid="{00000000-0004-0000-0600-000085000000}"/>
    <hyperlink ref="R206" r:id="rId135" xr:uid="{00000000-0004-0000-0600-000086000000}"/>
    <hyperlink ref="S206" r:id="rId136" xr:uid="{00000000-0004-0000-0600-000087000000}"/>
    <hyperlink ref="R207" r:id="rId137" xr:uid="{00000000-0004-0000-0600-000088000000}"/>
    <hyperlink ref="S207" r:id="rId138" xr:uid="{00000000-0004-0000-0600-000089000000}"/>
    <hyperlink ref="R208" r:id="rId139" xr:uid="{00000000-0004-0000-0600-00008A000000}"/>
    <hyperlink ref="S208" r:id="rId140" xr:uid="{00000000-0004-0000-0600-00008B000000}"/>
    <hyperlink ref="R209" r:id="rId141" xr:uid="{00000000-0004-0000-0600-00008C000000}"/>
    <hyperlink ref="S209" r:id="rId142" xr:uid="{00000000-0004-0000-0600-00008D000000}"/>
    <hyperlink ref="T209" r:id="rId143" xr:uid="{00000000-0004-0000-0600-00008E000000}"/>
    <hyperlink ref="R210" r:id="rId144" xr:uid="{00000000-0004-0000-0600-00008F000000}"/>
    <hyperlink ref="S210" r:id="rId145" xr:uid="{00000000-0004-0000-0600-000090000000}"/>
    <hyperlink ref="R211" r:id="rId146" xr:uid="{00000000-0004-0000-0600-000091000000}"/>
    <hyperlink ref="S211" r:id="rId147" xr:uid="{00000000-0004-0000-0600-000092000000}"/>
    <hyperlink ref="T211" r:id="rId148" xr:uid="{00000000-0004-0000-0600-000093000000}"/>
    <hyperlink ref="Q214" r:id="rId149" xr:uid="{00000000-0004-0000-0600-000094000000}"/>
    <hyperlink ref="R214" r:id="rId150" xr:uid="{00000000-0004-0000-0600-000095000000}"/>
    <hyperlink ref="S214" r:id="rId151" xr:uid="{00000000-0004-0000-0600-000096000000}"/>
    <hyperlink ref="T214" r:id="rId152" xr:uid="{00000000-0004-0000-0600-000097000000}"/>
    <hyperlink ref="R216" r:id="rId153" xr:uid="{00000000-0004-0000-0600-000098000000}"/>
    <hyperlink ref="S216" r:id="rId154" xr:uid="{00000000-0004-0000-0600-000099000000}"/>
    <hyperlink ref="R217" r:id="rId155" xr:uid="{00000000-0004-0000-0600-00009A000000}"/>
    <hyperlink ref="S217" r:id="rId156" xr:uid="{00000000-0004-0000-0600-00009B000000}"/>
    <hyperlink ref="T217" r:id="rId157" xr:uid="{00000000-0004-0000-0600-00009C000000}"/>
    <hyperlink ref="R218" r:id="rId158" xr:uid="{00000000-0004-0000-0600-00009D000000}"/>
    <hyperlink ref="S218" r:id="rId159" xr:uid="{00000000-0004-0000-0600-00009E000000}"/>
    <hyperlink ref="R219" r:id="rId160" xr:uid="{00000000-0004-0000-0600-00009F000000}"/>
    <hyperlink ref="S219" r:id="rId161" xr:uid="{00000000-0004-0000-0600-0000A0000000}"/>
    <hyperlink ref="R220" r:id="rId162" xr:uid="{00000000-0004-0000-0600-0000A1000000}"/>
    <hyperlink ref="S220" r:id="rId163" xr:uid="{00000000-0004-0000-0600-0000A2000000}"/>
    <hyperlink ref="T220" r:id="rId164" xr:uid="{00000000-0004-0000-0600-0000A3000000}"/>
    <hyperlink ref="R221" r:id="rId165" xr:uid="{00000000-0004-0000-0600-0000A4000000}"/>
    <hyperlink ref="S221" r:id="rId166" xr:uid="{00000000-0004-0000-0600-0000A5000000}"/>
    <hyperlink ref="R222" r:id="rId167" xr:uid="{00000000-0004-0000-0600-0000A6000000}"/>
    <hyperlink ref="S222" r:id="rId168" xr:uid="{00000000-0004-0000-0600-0000A7000000}"/>
    <hyperlink ref="R223" r:id="rId169" xr:uid="{00000000-0004-0000-0600-0000A8000000}"/>
    <hyperlink ref="R224" r:id="rId170" xr:uid="{00000000-0004-0000-0600-0000A9000000}"/>
    <hyperlink ref="S224" r:id="rId171" xr:uid="{00000000-0004-0000-0600-0000AA000000}"/>
    <hyperlink ref="R226" r:id="rId172" xr:uid="{00000000-0004-0000-0600-0000AB000000}"/>
    <hyperlink ref="S226" r:id="rId173" xr:uid="{00000000-0004-0000-0600-0000AC000000}"/>
    <hyperlink ref="R228" r:id="rId174" xr:uid="{00000000-0004-0000-0600-0000AD000000}"/>
    <hyperlink ref="R229" r:id="rId175" xr:uid="{00000000-0004-0000-0600-0000AE000000}"/>
    <hyperlink ref="S229" r:id="rId176" xr:uid="{00000000-0004-0000-0600-0000AF000000}"/>
    <hyperlink ref="R230" r:id="rId177" xr:uid="{00000000-0004-0000-0600-0000B0000000}"/>
    <hyperlink ref="S230" r:id="rId178" xr:uid="{00000000-0004-0000-0600-0000B1000000}"/>
    <hyperlink ref="R231" r:id="rId179" xr:uid="{00000000-0004-0000-0600-0000B2000000}"/>
    <hyperlink ref="S231" r:id="rId180" xr:uid="{00000000-0004-0000-0600-0000B3000000}"/>
    <hyperlink ref="S232" r:id="rId181" xr:uid="{00000000-0004-0000-0600-0000B4000000}"/>
    <hyperlink ref="R234" r:id="rId182" xr:uid="{00000000-0004-0000-0600-0000B5000000}"/>
    <hyperlink ref="R238" r:id="rId183" xr:uid="{00000000-0004-0000-0600-0000B6000000}"/>
    <hyperlink ref="R257" r:id="rId184" xr:uid="{00000000-0004-0000-0600-0000B7000000}"/>
    <hyperlink ref="S257" r:id="rId185" xr:uid="{00000000-0004-0000-0600-0000B8000000}"/>
    <hyperlink ref="S258" r:id="rId186" xr:uid="{00000000-0004-0000-0600-0000B9000000}"/>
    <hyperlink ref="R259" r:id="rId187" xr:uid="{00000000-0004-0000-0600-0000BA000000}"/>
    <hyperlink ref="S259" r:id="rId188" xr:uid="{00000000-0004-0000-0600-0000BB000000}"/>
    <hyperlink ref="S266" r:id="rId189" xr:uid="{00000000-0004-0000-0600-0000BC000000}"/>
    <hyperlink ref="S267" r:id="rId190" xr:uid="{00000000-0004-0000-0600-0000BD000000}"/>
    <hyperlink ref="R268" r:id="rId191" xr:uid="{00000000-0004-0000-0600-0000BE000000}"/>
    <hyperlink ref="S268" r:id="rId192" xr:uid="{00000000-0004-0000-0600-0000BF000000}"/>
    <hyperlink ref="T268" r:id="rId193" xr:uid="{00000000-0004-0000-0600-0000C0000000}"/>
    <hyperlink ref="R270" r:id="rId194" xr:uid="{00000000-0004-0000-0600-0000C1000000}"/>
    <hyperlink ref="S270" r:id="rId195" xr:uid="{00000000-0004-0000-0600-0000C2000000}"/>
    <hyperlink ref="R271" r:id="rId196" xr:uid="{00000000-0004-0000-0600-0000C3000000}"/>
    <hyperlink ref="S271" r:id="rId197" xr:uid="{00000000-0004-0000-0600-0000C4000000}"/>
    <hyperlink ref="R275" r:id="rId198" xr:uid="{00000000-0004-0000-0600-0000C5000000}"/>
    <hyperlink ref="S275" r:id="rId199" xr:uid="{00000000-0004-0000-0600-0000C6000000}"/>
    <hyperlink ref="T275" r:id="rId200" xr:uid="{00000000-0004-0000-0600-0000C7000000}"/>
    <hyperlink ref="R277" r:id="rId201" xr:uid="{00000000-0004-0000-0600-0000C8000000}"/>
    <hyperlink ref="S277" r:id="rId202" xr:uid="{00000000-0004-0000-0600-0000C9000000}"/>
    <hyperlink ref="R279" r:id="rId203" xr:uid="{00000000-0004-0000-0600-0000CA000000}"/>
  </hyperlinks>
  <printOptions horizontalCentered="1" gridLines="1"/>
  <pageMargins left="0.25" right="0.25" top="0.75" bottom="0.75" header="0" footer="0"/>
  <pageSetup paperSize="6" fitToHeight="0" pageOrder="overThenDown" orientation="landscape" cellComments="atEnd"/>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H285"/>
  <sheetViews>
    <sheetView workbookViewId="0">
      <pane ySplit="1" topLeftCell="A2" activePane="bottomLeft" state="frozen"/>
      <selection pane="bottomLeft" activeCell="B3" sqref="B3"/>
    </sheetView>
  </sheetViews>
  <sheetFormatPr defaultColWidth="12.5703125" defaultRowHeight="15.75" customHeight="1"/>
  <cols>
    <col min="1" max="1" width="53.5703125" customWidth="1"/>
    <col min="2" max="2" width="43.85546875" hidden="1" customWidth="1"/>
    <col min="3" max="3" width="12.85546875" hidden="1" customWidth="1"/>
    <col min="4" max="4" width="21.7109375" customWidth="1"/>
    <col min="5" max="5" width="29.42578125" customWidth="1"/>
    <col min="8" max="8" width="26" hidden="1" customWidth="1"/>
  </cols>
  <sheetData>
    <row r="1" spans="1:8" ht="12.75">
      <c r="A1" s="5" t="s">
        <v>8</v>
      </c>
      <c r="B1" s="5" t="s">
        <v>12</v>
      </c>
      <c r="C1" s="9" t="s">
        <v>14</v>
      </c>
      <c r="D1" s="5" t="s">
        <v>7</v>
      </c>
      <c r="E1" s="12" t="s">
        <v>700</v>
      </c>
      <c r="H1" s="5" t="s">
        <v>2</v>
      </c>
    </row>
    <row r="2" spans="1:8" ht="12.75">
      <c r="A2" s="14" t="s">
        <v>26</v>
      </c>
      <c r="B2" s="15" t="s">
        <v>26</v>
      </c>
      <c r="C2" s="16" t="s">
        <v>31</v>
      </c>
      <c r="D2" s="514" t="s">
        <v>22</v>
      </c>
      <c r="E2" s="102" t="s">
        <v>707</v>
      </c>
      <c r="F2" s="31" t="s">
        <v>708</v>
      </c>
      <c r="H2" s="514" t="s">
        <v>57</v>
      </c>
    </row>
    <row r="3" spans="1:8" ht="12.75">
      <c r="A3" s="14" t="s">
        <v>61</v>
      </c>
      <c r="B3" s="515" t="s">
        <v>62</v>
      </c>
      <c r="C3" s="515" t="s">
        <v>65</v>
      </c>
      <c r="D3" s="511"/>
      <c r="E3" s="102" t="s">
        <v>711</v>
      </c>
      <c r="F3" s="31" t="s">
        <v>708</v>
      </c>
      <c r="H3" s="511"/>
    </row>
    <row r="4" spans="1:8" ht="12.75">
      <c r="A4" s="14" t="s">
        <v>87</v>
      </c>
      <c r="B4" s="511"/>
      <c r="C4" s="511"/>
      <c r="D4" s="511"/>
      <c r="E4" s="102" t="s">
        <v>711</v>
      </c>
      <c r="F4" s="31" t="s">
        <v>708</v>
      </c>
      <c r="H4" s="511"/>
    </row>
    <row r="5" spans="1:8" ht="12.75">
      <c r="A5" s="14" t="s">
        <v>91</v>
      </c>
      <c r="B5" s="512"/>
      <c r="C5" s="512"/>
      <c r="D5" s="511"/>
      <c r="E5" s="102" t="s">
        <v>711</v>
      </c>
      <c r="F5" s="31" t="s">
        <v>708</v>
      </c>
      <c r="H5" s="511"/>
    </row>
    <row r="6" spans="1:8" ht="12.75">
      <c r="A6" s="14" t="s">
        <v>96</v>
      </c>
      <c r="B6" s="15" t="s">
        <v>96</v>
      </c>
      <c r="C6" s="16" t="s">
        <v>99</v>
      </c>
      <c r="D6" s="511"/>
      <c r="E6" s="102" t="s">
        <v>711</v>
      </c>
      <c r="F6" s="31" t="s">
        <v>708</v>
      </c>
      <c r="H6" s="511"/>
    </row>
    <row r="7" spans="1:8" ht="12.75">
      <c r="A7" s="14" t="s">
        <v>102</v>
      </c>
      <c r="B7" s="15" t="s">
        <v>102</v>
      </c>
      <c r="C7" s="16" t="s">
        <v>103</v>
      </c>
      <c r="D7" s="511"/>
      <c r="E7" s="102" t="s">
        <v>711</v>
      </c>
      <c r="F7" s="31" t="s">
        <v>708</v>
      </c>
      <c r="H7" s="512"/>
    </row>
    <row r="8" spans="1:8" ht="12.75">
      <c r="A8" s="14" t="s">
        <v>105</v>
      </c>
      <c r="B8" s="515" t="s">
        <v>108</v>
      </c>
      <c r="C8" s="515" t="s">
        <v>65</v>
      </c>
      <c r="D8" s="511"/>
      <c r="E8" s="102" t="s">
        <v>707</v>
      </c>
      <c r="F8" s="31" t="s">
        <v>708</v>
      </c>
      <c r="H8" s="514" t="s">
        <v>117</v>
      </c>
    </row>
    <row r="9" spans="1:8" ht="12.75">
      <c r="A9" s="14" t="s">
        <v>120</v>
      </c>
      <c r="B9" s="511"/>
      <c r="C9" s="511"/>
      <c r="D9" s="511"/>
      <c r="E9" s="102" t="s">
        <v>707</v>
      </c>
      <c r="F9" s="31" t="s">
        <v>708</v>
      </c>
      <c r="H9" s="511"/>
    </row>
    <row r="10" spans="1:8" ht="12.75">
      <c r="A10" s="14" t="s">
        <v>124</v>
      </c>
      <c r="B10" s="512"/>
      <c r="C10" s="512"/>
      <c r="D10" s="511"/>
      <c r="E10" s="102" t="s">
        <v>707</v>
      </c>
      <c r="F10" s="31" t="s">
        <v>708</v>
      </c>
      <c r="H10" s="511"/>
    </row>
    <row r="11" spans="1:8" ht="12.75">
      <c r="A11" s="14" t="s">
        <v>126</v>
      </c>
      <c r="B11" s="15" t="s">
        <v>126</v>
      </c>
      <c r="C11" s="15" t="s">
        <v>128</v>
      </c>
      <c r="D11" s="511"/>
      <c r="E11" s="102" t="s">
        <v>711</v>
      </c>
      <c r="F11" s="31" t="s">
        <v>708</v>
      </c>
      <c r="H11" s="511"/>
    </row>
    <row r="12" spans="1:8" ht="12.75">
      <c r="A12" s="14" t="s">
        <v>130</v>
      </c>
      <c r="B12" s="15" t="s">
        <v>130</v>
      </c>
      <c r="C12" s="15" t="s">
        <v>31</v>
      </c>
      <c r="D12" s="511"/>
      <c r="E12" s="102" t="s">
        <v>707</v>
      </c>
      <c r="F12" s="31" t="s">
        <v>708</v>
      </c>
      <c r="H12" s="511"/>
    </row>
    <row r="13" spans="1:8" ht="12.75">
      <c r="A13" s="14" t="s">
        <v>131</v>
      </c>
      <c r="B13" s="15" t="s">
        <v>131</v>
      </c>
      <c r="C13" s="15" t="s">
        <v>103</v>
      </c>
      <c r="D13" s="511"/>
      <c r="E13" s="102" t="s">
        <v>711</v>
      </c>
      <c r="F13" s="31" t="s">
        <v>708</v>
      </c>
      <c r="H13" s="512"/>
    </row>
    <row r="14" spans="1:8" ht="12.75">
      <c r="A14" s="14" t="s">
        <v>133</v>
      </c>
      <c r="B14" s="515" t="s">
        <v>134</v>
      </c>
      <c r="C14" s="515" t="s">
        <v>65</v>
      </c>
      <c r="D14" s="511"/>
      <c r="E14" s="102" t="s">
        <v>711</v>
      </c>
      <c r="F14" s="31" t="s">
        <v>708</v>
      </c>
      <c r="H14" s="514" t="s">
        <v>136</v>
      </c>
    </row>
    <row r="15" spans="1:8" ht="12.75">
      <c r="A15" s="14" t="s">
        <v>138</v>
      </c>
      <c r="B15" s="511"/>
      <c r="C15" s="511"/>
      <c r="D15" s="511"/>
      <c r="E15" s="102" t="s">
        <v>711</v>
      </c>
      <c r="F15" s="31" t="s">
        <v>708</v>
      </c>
      <c r="H15" s="511"/>
    </row>
    <row r="16" spans="1:8" ht="12.75">
      <c r="A16" s="14" t="s">
        <v>145</v>
      </c>
      <c r="B16" s="512"/>
      <c r="C16" s="512"/>
      <c r="D16" s="511"/>
      <c r="E16" s="102" t="s">
        <v>707</v>
      </c>
      <c r="F16" s="31" t="s">
        <v>708</v>
      </c>
      <c r="H16" s="511"/>
    </row>
    <row r="17" spans="1:8" ht="12.75">
      <c r="A17" s="14" t="s">
        <v>147</v>
      </c>
      <c r="B17" s="15" t="s">
        <v>147</v>
      </c>
      <c r="C17" s="15" t="s">
        <v>103</v>
      </c>
      <c r="D17" s="511"/>
      <c r="E17" s="102" t="s">
        <v>711</v>
      </c>
      <c r="F17" s="31" t="s">
        <v>708</v>
      </c>
      <c r="H17" s="511"/>
    </row>
    <row r="18" spans="1:8" ht="12.75">
      <c r="A18" s="14" t="s">
        <v>150</v>
      </c>
      <c r="B18" s="15" t="s">
        <v>150</v>
      </c>
      <c r="C18" s="15" t="s">
        <v>151</v>
      </c>
      <c r="D18" s="511"/>
      <c r="E18" s="102" t="s">
        <v>711</v>
      </c>
      <c r="F18" s="31" t="s">
        <v>708</v>
      </c>
      <c r="H18" s="511"/>
    </row>
    <row r="19" spans="1:8" ht="12.75">
      <c r="A19" s="14" t="s">
        <v>154</v>
      </c>
      <c r="B19" s="15" t="s">
        <v>154</v>
      </c>
      <c r="C19" s="15" t="s">
        <v>155</v>
      </c>
      <c r="D19" s="511"/>
      <c r="E19" s="102" t="s">
        <v>707</v>
      </c>
      <c r="F19" s="31" t="s">
        <v>708</v>
      </c>
      <c r="H19" s="512"/>
    </row>
    <row r="20" spans="1:8" ht="12.75">
      <c r="A20" s="11" t="s">
        <v>159</v>
      </c>
      <c r="B20" s="515" t="s">
        <v>160</v>
      </c>
      <c r="C20" s="515" t="s">
        <v>65</v>
      </c>
      <c r="D20" s="511"/>
      <c r="E20" s="102" t="s">
        <v>711</v>
      </c>
      <c r="F20" s="31" t="s">
        <v>708</v>
      </c>
      <c r="H20" s="514" t="s">
        <v>167</v>
      </c>
    </row>
    <row r="21" spans="1:8" ht="12.75">
      <c r="A21" s="11" t="s">
        <v>169</v>
      </c>
      <c r="B21" s="511"/>
      <c r="C21" s="511"/>
      <c r="D21" s="511"/>
      <c r="E21" s="102" t="s">
        <v>711</v>
      </c>
      <c r="F21" s="31" t="s">
        <v>708</v>
      </c>
      <c r="H21" s="511"/>
    </row>
    <row r="22" spans="1:8" ht="12.75">
      <c r="A22" s="11" t="s">
        <v>174</v>
      </c>
      <c r="B22" s="512"/>
      <c r="C22" s="512"/>
      <c r="D22" s="511"/>
      <c r="E22" s="102" t="s">
        <v>707</v>
      </c>
      <c r="F22" s="31" t="s">
        <v>708</v>
      </c>
      <c r="H22" s="511"/>
    </row>
    <row r="23" spans="1:8" ht="12.75">
      <c r="A23" s="11" t="s">
        <v>177</v>
      </c>
      <c r="B23" s="13" t="s">
        <v>177</v>
      </c>
      <c r="C23" s="15" t="s">
        <v>103</v>
      </c>
      <c r="D23" s="511"/>
      <c r="E23" s="102" t="s">
        <v>711</v>
      </c>
      <c r="F23" s="31" t="s">
        <v>708</v>
      </c>
      <c r="H23" s="511"/>
    </row>
    <row r="24" spans="1:8" ht="12.75">
      <c r="A24" s="11" t="s">
        <v>181</v>
      </c>
      <c r="B24" s="13" t="s">
        <v>182</v>
      </c>
      <c r="C24" s="15" t="s">
        <v>103</v>
      </c>
      <c r="D24" s="511"/>
      <c r="E24" s="102" t="s">
        <v>711</v>
      </c>
      <c r="F24" s="31" t="s">
        <v>708</v>
      </c>
      <c r="H24" s="511"/>
    </row>
    <row r="25" spans="1:8" ht="12.75">
      <c r="A25" s="11" t="s">
        <v>184</v>
      </c>
      <c r="B25" s="13" t="s">
        <v>184</v>
      </c>
      <c r="C25" s="15" t="s">
        <v>155</v>
      </c>
      <c r="D25" s="511"/>
      <c r="E25" s="102" t="s">
        <v>707</v>
      </c>
      <c r="F25" s="31" t="s">
        <v>708</v>
      </c>
      <c r="H25" s="512"/>
    </row>
    <row r="26" spans="1:8" ht="12.75">
      <c r="A26" s="11" t="s">
        <v>188</v>
      </c>
      <c r="B26" s="514" t="s">
        <v>190</v>
      </c>
      <c r="C26" s="515" t="s">
        <v>65</v>
      </c>
      <c r="D26" s="511"/>
      <c r="E26" s="102" t="s">
        <v>711</v>
      </c>
      <c r="F26" s="31" t="s">
        <v>708</v>
      </c>
      <c r="H26" s="514" t="s">
        <v>198</v>
      </c>
    </row>
    <row r="27" spans="1:8" ht="12.75">
      <c r="A27" s="11" t="s">
        <v>201</v>
      </c>
      <c r="B27" s="511"/>
      <c r="C27" s="511"/>
      <c r="D27" s="511"/>
      <c r="E27" s="102" t="s">
        <v>707</v>
      </c>
      <c r="F27" s="31" t="s">
        <v>708</v>
      </c>
      <c r="H27" s="511"/>
    </row>
    <row r="28" spans="1:8" ht="12.75">
      <c r="A28" s="11" t="s">
        <v>203</v>
      </c>
      <c r="B28" s="512"/>
      <c r="C28" s="512"/>
      <c r="D28" s="511"/>
      <c r="E28" s="102" t="s">
        <v>711</v>
      </c>
      <c r="F28" s="31" t="s">
        <v>708</v>
      </c>
      <c r="H28" s="511"/>
    </row>
    <row r="29" spans="1:8" ht="12.75">
      <c r="A29" s="11" t="s">
        <v>205</v>
      </c>
      <c r="B29" s="13" t="s">
        <v>205</v>
      </c>
      <c r="C29" s="15" t="s">
        <v>207</v>
      </c>
      <c r="D29" s="511"/>
      <c r="E29" s="102" t="s">
        <v>711</v>
      </c>
      <c r="F29" s="31" t="s">
        <v>708</v>
      </c>
      <c r="H29" s="511"/>
    </row>
    <row r="30" spans="1:8" ht="12.75">
      <c r="A30" s="11" t="s">
        <v>208</v>
      </c>
      <c r="B30" s="13" t="s">
        <v>208</v>
      </c>
      <c r="C30" s="15" t="s">
        <v>103</v>
      </c>
      <c r="D30" s="511"/>
      <c r="E30" s="102" t="s">
        <v>711</v>
      </c>
      <c r="F30" s="31" t="s">
        <v>708</v>
      </c>
      <c r="H30" s="511"/>
    </row>
    <row r="31" spans="1:8" ht="12.75">
      <c r="A31" s="11" t="s">
        <v>209</v>
      </c>
      <c r="B31" s="13" t="s">
        <v>209</v>
      </c>
      <c r="C31" s="15" t="s">
        <v>155</v>
      </c>
      <c r="D31" s="511"/>
      <c r="E31" s="102" t="s">
        <v>707</v>
      </c>
      <c r="F31" s="31" t="s">
        <v>708</v>
      </c>
      <c r="H31" s="512"/>
    </row>
    <row r="32" spans="1:8" ht="12.75">
      <c r="A32" s="11" t="s">
        <v>213</v>
      </c>
      <c r="B32" s="514" t="s">
        <v>214</v>
      </c>
      <c r="C32" s="515" t="s">
        <v>65</v>
      </c>
      <c r="D32" s="511"/>
      <c r="E32" s="102" t="s">
        <v>711</v>
      </c>
      <c r="F32" s="31" t="s">
        <v>708</v>
      </c>
      <c r="H32" s="514" t="s">
        <v>216</v>
      </c>
    </row>
    <row r="33" spans="1:8" ht="12.75">
      <c r="A33" s="11" t="s">
        <v>218</v>
      </c>
      <c r="B33" s="511"/>
      <c r="C33" s="511"/>
      <c r="D33" s="511"/>
      <c r="E33" s="102" t="s">
        <v>711</v>
      </c>
      <c r="F33" s="31" t="s">
        <v>708</v>
      </c>
      <c r="H33" s="511"/>
    </row>
    <row r="34" spans="1:8" ht="12.75">
      <c r="A34" s="11" t="s">
        <v>220</v>
      </c>
      <c r="B34" s="512"/>
      <c r="C34" s="512"/>
      <c r="D34" s="511"/>
      <c r="E34" s="102" t="s">
        <v>707</v>
      </c>
      <c r="F34" s="31" t="s">
        <v>708</v>
      </c>
      <c r="H34" s="511"/>
    </row>
    <row r="35" spans="1:8" ht="12.75">
      <c r="A35" s="11" t="s">
        <v>221</v>
      </c>
      <c r="B35" s="13" t="s">
        <v>221</v>
      </c>
      <c r="C35" s="15" t="s">
        <v>155</v>
      </c>
      <c r="D35" s="511"/>
      <c r="E35" s="102" t="s">
        <v>707</v>
      </c>
      <c r="F35" s="31" t="s">
        <v>708</v>
      </c>
      <c r="H35" s="511"/>
    </row>
    <row r="36" spans="1:8" ht="12.75">
      <c r="A36" s="11" t="s">
        <v>223</v>
      </c>
      <c r="B36" s="13" t="s">
        <v>223</v>
      </c>
      <c r="C36" s="15" t="s">
        <v>31</v>
      </c>
      <c r="D36" s="511"/>
      <c r="E36" s="102" t="s">
        <v>707</v>
      </c>
      <c r="F36" s="31" t="s">
        <v>708</v>
      </c>
      <c r="H36" s="511"/>
    </row>
    <row r="37" spans="1:8" ht="12.75">
      <c r="A37" s="11" t="s">
        <v>225</v>
      </c>
      <c r="B37" s="13" t="s">
        <v>225</v>
      </c>
      <c r="C37" s="15" t="s">
        <v>103</v>
      </c>
      <c r="D37" s="511"/>
      <c r="E37" s="102" t="s">
        <v>711</v>
      </c>
      <c r="F37" s="31" t="s">
        <v>708</v>
      </c>
      <c r="H37" s="512"/>
    </row>
    <row r="38" spans="1:8" ht="12.75">
      <c r="A38" s="11" t="s">
        <v>226</v>
      </c>
      <c r="B38" s="514" t="s">
        <v>228</v>
      </c>
      <c r="C38" s="516" t="s">
        <v>65</v>
      </c>
      <c r="D38" s="511"/>
      <c r="E38" s="102" t="s">
        <v>711</v>
      </c>
      <c r="F38" s="31" t="s">
        <v>708</v>
      </c>
      <c r="H38" s="518" t="s">
        <v>229</v>
      </c>
    </row>
    <row r="39" spans="1:8" ht="12.75">
      <c r="A39" s="11" t="s">
        <v>233</v>
      </c>
      <c r="B39" s="512"/>
      <c r="C39" s="517"/>
      <c r="D39" s="511"/>
      <c r="E39" s="102" t="s">
        <v>711</v>
      </c>
      <c r="F39" s="31" t="s">
        <v>708</v>
      </c>
      <c r="H39" s="519"/>
    </row>
    <row r="40" spans="1:8" ht="12.75">
      <c r="A40" s="11" t="s">
        <v>236</v>
      </c>
      <c r="B40" s="13" t="s">
        <v>236</v>
      </c>
      <c r="C40" s="515" t="s">
        <v>238</v>
      </c>
      <c r="D40" s="511"/>
      <c r="E40" s="102" t="s">
        <v>707</v>
      </c>
      <c r="F40" s="31" t="s">
        <v>708</v>
      </c>
      <c r="H40" s="519"/>
    </row>
    <row r="41" spans="1:8" ht="12.75">
      <c r="A41" s="11" t="s">
        <v>243</v>
      </c>
      <c r="B41" s="13" t="s">
        <v>243</v>
      </c>
      <c r="C41" s="512"/>
      <c r="D41" s="511"/>
      <c r="E41" s="102" t="s">
        <v>707</v>
      </c>
      <c r="F41" s="31" t="s">
        <v>708</v>
      </c>
      <c r="H41" s="519"/>
    </row>
    <row r="42" spans="1:8" ht="12.75">
      <c r="A42" s="11" t="s">
        <v>246</v>
      </c>
      <c r="B42" s="13" t="s">
        <v>246</v>
      </c>
      <c r="C42" s="15" t="s">
        <v>103</v>
      </c>
      <c r="D42" s="511"/>
      <c r="E42" s="102" t="s">
        <v>711</v>
      </c>
      <c r="F42" s="31" t="s">
        <v>708</v>
      </c>
      <c r="H42" s="519"/>
    </row>
    <row r="43" spans="1:8" ht="12.75">
      <c r="A43" s="11" t="s">
        <v>248</v>
      </c>
      <c r="B43" s="13" t="s">
        <v>248</v>
      </c>
      <c r="C43" s="15" t="s">
        <v>207</v>
      </c>
      <c r="D43" s="511"/>
      <c r="E43" s="102" t="s">
        <v>711</v>
      </c>
      <c r="F43" s="31" t="s">
        <v>708</v>
      </c>
      <c r="H43" s="520"/>
    </row>
    <row r="44" spans="1:8" ht="12.75">
      <c r="A44" s="11" t="s">
        <v>252</v>
      </c>
      <c r="B44" s="514" t="s">
        <v>253</v>
      </c>
      <c r="C44" s="516" t="s">
        <v>65</v>
      </c>
      <c r="D44" s="511"/>
      <c r="E44" s="102" t="s">
        <v>707</v>
      </c>
      <c r="F44" s="31" t="s">
        <v>708</v>
      </c>
      <c r="H44" s="518" t="s">
        <v>257</v>
      </c>
    </row>
    <row r="45" spans="1:8" ht="12.75">
      <c r="A45" s="11" t="s">
        <v>262</v>
      </c>
      <c r="B45" s="512"/>
      <c r="C45" s="517"/>
      <c r="D45" s="511"/>
      <c r="E45" s="102" t="s">
        <v>707</v>
      </c>
      <c r="F45" s="31" t="s">
        <v>708</v>
      </c>
      <c r="H45" s="519"/>
    </row>
    <row r="46" spans="1:8" ht="12.75">
      <c r="A46" s="11" t="s">
        <v>266</v>
      </c>
      <c r="B46" s="13" t="s">
        <v>266</v>
      </c>
      <c r="C46" s="15" t="s">
        <v>31</v>
      </c>
      <c r="D46" s="511"/>
      <c r="E46" s="102" t="s">
        <v>707</v>
      </c>
      <c r="F46" s="31" t="s">
        <v>708</v>
      </c>
      <c r="H46" s="519"/>
    </row>
    <row r="47" spans="1:8" ht="12.75">
      <c r="A47" s="11" t="s">
        <v>270</v>
      </c>
      <c r="B47" s="13" t="s">
        <v>270</v>
      </c>
      <c r="C47" s="15" t="s">
        <v>271</v>
      </c>
      <c r="D47" s="511"/>
      <c r="E47" s="102" t="s">
        <v>711</v>
      </c>
      <c r="F47" s="31" t="s">
        <v>708</v>
      </c>
      <c r="H47" s="519"/>
    </row>
    <row r="48" spans="1:8" ht="12.75">
      <c r="A48" s="11" t="s">
        <v>272</v>
      </c>
      <c r="B48" s="13" t="s">
        <v>272</v>
      </c>
      <c r="C48" s="15" t="s">
        <v>103</v>
      </c>
      <c r="D48" s="511"/>
      <c r="E48" s="102" t="s">
        <v>711</v>
      </c>
      <c r="F48" s="31" t="s">
        <v>708</v>
      </c>
      <c r="H48" s="519"/>
    </row>
    <row r="49" spans="1:8" ht="12.75">
      <c r="A49" s="11" t="s">
        <v>274</v>
      </c>
      <c r="B49" s="13" t="s">
        <v>274</v>
      </c>
      <c r="C49" s="15" t="s">
        <v>155</v>
      </c>
      <c r="D49" s="511"/>
      <c r="E49" s="102" t="s">
        <v>707</v>
      </c>
      <c r="F49" s="31" t="s">
        <v>708</v>
      </c>
      <c r="H49" s="520"/>
    </row>
    <row r="50" spans="1:8" ht="12.75">
      <c r="A50" s="11" t="s">
        <v>280</v>
      </c>
      <c r="B50" s="514" t="s">
        <v>282</v>
      </c>
      <c r="C50" s="516" t="s">
        <v>65</v>
      </c>
      <c r="D50" s="511"/>
      <c r="E50" s="102" t="s">
        <v>711</v>
      </c>
      <c r="F50" s="31" t="s">
        <v>708</v>
      </c>
      <c r="H50" s="518" t="s">
        <v>291</v>
      </c>
    </row>
    <row r="51" spans="1:8" ht="12.75">
      <c r="A51" s="11" t="s">
        <v>298</v>
      </c>
      <c r="B51" s="511"/>
      <c r="C51" s="517"/>
      <c r="D51" s="511"/>
      <c r="E51" s="102" t="s">
        <v>711</v>
      </c>
      <c r="F51" s="31" t="s">
        <v>708</v>
      </c>
      <c r="H51" s="519"/>
    </row>
    <row r="52" spans="1:8" ht="12.75">
      <c r="A52" s="11" t="s">
        <v>302</v>
      </c>
      <c r="B52" s="512"/>
      <c r="C52" s="517"/>
      <c r="D52" s="511"/>
      <c r="E52" s="102" t="s">
        <v>711</v>
      </c>
      <c r="F52" s="31" t="s">
        <v>708</v>
      </c>
      <c r="H52" s="519"/>
    </row>
    <row r="53" spans="1:8" ht="12.75">
      <c r="A53" s="11" t="s">
        <v>305</v>
      </c>
      <c r="B53" s="13" t="s">
        <v>305</v>
      </c>
      <c r="C53" s="15" t="s">
        <v>31</v>
      </c>
      <c r="D53" s="511"/>
      <c r="E53" s="102" t="s">
        <v>707</v>
      </c>
      <c r="F53" s="31" t="s">
        <v>708</v>
      </c>
      <c r="H53" s="519"/>
    </row>
    <row r="54" spans="1:8" ht="12.75">
      <c r="A54" s="11" t="s">
        <v>312</v>
      </c>
      <c r="B54" s="13" t="s">
        <v>312</v>
      </c>
      <c r="C54" s="15" t="s">
        <v>103</v>
      </c>
      <c r="D54" s="511"/>
      <c r="E54" s="102" t="s">
        <v>711</v>
      </c>
      <c r="F54" s="31" t="s">
        <v>708</v>
      </c>
      <c r="H54" s="519"/>
    </row>
    <row r="55" spans="1:8" ht="12.75">
      <c r="A55" s="11" t="s">
        <v>315</v>
      </c>
      <c r="B55" s="13" t="s">
        <v>315</v>
      </c>
      <c r="C55" s="15" t="s">
        <v>155</v>
      </c>
      <c r="D55" s="511"/>
      <c r="E55" s="102" t="s">
        <v>707</v>
      </c>
      <c r="F55" s="31" t="s">
        <v>708</v>
      </c>
      <c r="H55" s="520"/>
    </row>
    <row r="56" spans="1:8" ht="16.5" customHeight="1">
      <c r="A56" s="11" t="s">
        <v>319</v>
      </c>
      <c r="B56" s="514" t="s">
        <v>321</v>
      </c>
      <c r="C56" s="516" t="s">
        <v>65</v>
      </c>
      <c r="D56" s="511"/>
      <c r="E56" s="102" t="s">
        <v>711</v>
      </c>
      <c r="F56" s="31" t="s">
        <v>708</v>
      </c>
      <c r="H56" s="518" t="s">
        <v>325</v>
      </c>
    </row>
    <row r="57" spans="1:8" ht="12.75">
      <c r="A57" s="11" t="s">
        <v>328</v>
      </c>
      <c r="B57" s="512"/>
      <c r="C57" s="517"/>
      <c r="D57" s="511"/>
      <c r="E57" s="102" t="s">
        <v>707</v>
      </c>
      <c r="F57" s="31" t="s">
        <v>708</v>
      </c>
      <c r="H57" s="519"/>
    </row>
    <row r="58" spans="1:8" ht="12.75">
      <c r="A58" s="7" t="s">
        <v>332</v>
      </c>
      <c r="B58" s="13" t="s">
        <v>334</v>
      </c>
      <c r="C58" s="13" t="s">
        <v>207</v>
      </c>
      <c r="D58" s="511"/>
      <c r="E58" s="102" t="s">
        <v>711</v>
      </c>
      <c r="F58" s="31" t="s">
        <v>708</v>
      </c>
      <c r="H58" s="519"/>
    </row>
    <row r="59" spans="1:8" ht="12.75">
      <c r="A59" s="11" t="s">
        <v>336</v>
      </c>
      <c r="B59" s="13" t="s">
        <v>338</v>
      </c>
      <c r="C59" s="15" t="s">
        <v>155</v>
      </c>
      <c r="D59" s="511"/>
      <c r="E59" s="102" t="s">
        <v>707</v>
      </c>
      <c r="F59" s="31" t="s">
        <v>708</v>
      </c>
      <c r="H59" s="519"/>
    </row>
    <row r="60" spans="1:8" ht="12.75">
      <c r="A60" s="11" t="s">
        <v>340</v>
      </c>
      <c r="B60" s="13" t="s">
        <v>340</v>
      </c>
      <c r="C60" s="15" t="s">
        <v>31</v>
      </c>
      <c r="D60" s="511"/>
      <c r="E60" s="102" t="s">
        <v>707</v>
      </c>
      <c r="F60" s="31" t="s">
        <v>708</v>
      </c>
      <c r="H60" s="519"/>
    </row>
    <row r="61" spans="1:8" ht="12.75">
      <c r="A61" s="11" t="s">
        <v>344</v>
      </c>
      <c r="B61" s="13" t="s">
        <v>344</v>
      </c>
      <c r="C61" s="15" t="s">
        <v>103</v>
      </c>
      <c r="D61" s="511"/>
      <c r="E61" s="102" t="s">
        <v>711</v>
      </c>
      <c r="F61" s="31" t="s">
        <v>708</v>
      </c>
      <c r="H61" s="520"/>
    </row>
    <row r="62" spans="1:8" ht="12.75">
      <c r="A62" s="11" t="s">
        <v>42</v>
      </c>
      <c r="B62" s="514" t="s">
        <v>348</v>
      </c>
      <c r="C62" s="515" t="s">
        <v>351</v>
      </c>
      <c r="D62" s="511"/>
      <c r="E62" s="102" t="s">
        <v>707</v>
      </c>
      <c r="F62" s="31" t="s">
        <v>708</v>
      </c>
      <c r="H62" s="514" t="s">
        <v>268</v>
      </c>
    </row>
    <row r="63" spans="1:8" ht="12.75">
      <c r="A63" s="11" t="s">
        <v>43</v>
      </c>
      <c r="B63" s="512"/>
      <c r="C63" s="512"/>
      <c r="D63" s="511"/>
      <c r="E63" s="102" t="s">
        <v>707</v>
      </c>
      <c r="F63" s="31" t="s">
        <v>708</v>
      </c>
      <c r="H63" s="511"/>
    </row>
    <row r="64" spans="1:8" ht="12.75">
      <c r="A64" s="11" t="s">
        <v>56</v>
      </c>
      <c r="B64" s="13" t="s">
        <v>368</v>
      </c>
      <c r="C64" s="15" t="s">
        <v>155</v>
      </c>
      <c r="D64" s="511"/>
      <c r="E64" s="102" t="s">
        <v>707</v>
      </c>
      <c r="F64" s="31" t="s">
        <v>708</v>
      </c>
      <c r="H64" s="511"/>
    </row>
    <row r="65" spans="1:8" ht="12.75">
      <c r="A65" s="11" t="s">
        <v>59</v>
      </c>
      <c r="B65" s="13" t="s">
        <v>371</v>
      </c>
      <c r="C65" s="15" t="s">
        <v>31</v>
      </c>
      <c r="D65" s="511"/>
      <c r="E65" s="102" t="s">
        <v>707</v>
      </c>
      <c r="F65" s="31" t="s">
        <v>708</v>
      </c>
      <c r="H65" s="511"/>
    </row>
    <row r="66" spans="1:8" ht="12.75">
      <c r="A66" s="11" t="s">
        <v>51</v>
      </c>
      <c r="B66" s="13" t="s">
        <v>373</v>
      </c>
      <c r="C66" s="15" t="s">
        <v>374</v>
      </c>
      <c r="D66" s="511"/>
      <c r="E66" s="102" t="s">
        <v>711</v>
      </c>
      <c r="F66" s="31" t="s">
        <v>708</v>
      </c>
      <c r="H66" s="511"/>
    </row>
    <row r="67" spans="1:8" ht="12.75">
      <c r="A67" s="11" t="s">
        <v>41</v>
      </c>
      <c r="B67" s="13" t="s">
        <v>377</v>
      </c>
      <c r="C67" s="15" t="s">
        <v>271</v>
      </c>
      <c r="D67" s="511"/>
      <c r="E67" s="102" t="s">
        <v>707</v>
      </c>
      <c r="F67" s="31" t="s">
        <v>708</v>
      </c>
      <c r="H67" s="512"/>
    </row>
    <row r="68" spans="1:8" ht="12.75">
      <c r="A68" s="11" t="s">
        <v>378</v>
      </c>
      <c r="B68" s="514" t="s">
        <v>379</v>
      </c>
      <c r="C68" s="516" t="s">
        <v>65</v>
      </c>
      <c r="D68" s="511"/>
      <c r="E68" s="102" t="s">
        <v>711</v>
      </c>
      <c r="F68" s="31" t="s">
        <v>708</v>
      </c>
      <c r="H68" s="518" t="s">
        <v>381</v>
      </c>
    </row>
    <row r="69" spans="1:8" ht="12.75">
      <c r="A69" s="11" t="s">
        <v>383</v>
      </c>
      <c r="B69" s="511"/>
      <c r="C69" s="517"/>
      <c r="D69" s="511"/>
      <c r="E69" s="102" t="s">
        <v>711</v>
      </c>
      <c r="F69" s="31" t="s">
        <v>708</v>
      </c>
      <c r="H69" s="519"/>
    </row>
    <row r="70" spans="1:8" ht="12.75">
      <c r="A70" s="11" t="s">
        <v>385</v>
      </c>
      <c r="B70" s="512"/>
      <c r="C70" s="517"/>
      <c r="D70" s="511"/>
      <c r="E70" s="102" t="s">
        <v>711</v>
      </c>
      <c r="F70" s="31" t="s">
        <v>708</v>
      </c>
      <c r="H70" s="519"/>
    </row>
    <row r="71" spans="1:8" ht="12.75">
      <c r="A71" s="11" t="s">
        <v>387</v>
      </c>
      <c r="B71" s="13" t="s">
        <v>388</v>
      </c>
      <c r="C71" s="15" t="s">
        <v>155</v>
      </c>
      <c r="D71" s="511"/>
      <c r="E71" s="102" t="s">
        <v>707</v>
      </c>
      <c r="F71" s="31" t="s">
        <v>708</v>
      </c>
      <c r="H71" s="519"/>
    </row>
    <row r="72" spans="1:8" ht="12.75">
      <c r="A72" s="11" t="s">
        <v>390</v>
      </c>
      <c r="B72" s="13" t="s">
        <v>390</v>
      </c>
      <c r="C72" s="15" t="s">
        <v>103</v>
      </c>
      <c r="D72" s="511"/>
      <c r="E72" s="102" t="s">
        <v>711</v>
      </c>
      <c r="F72" s="31" t="s">
        <v>708</v>
      </c>
      <c r="H72" s="519"/>
    </row>
    <row r="73" spans="1:8" ht="12.75">
      <c r="A73" s="11" t="s">
        <v>391</v>
      </c>
      <c r="B73" s="13" t="s">
        <v>391</v>
      </c>
      <c r="C73" s="15" t="s">
        <v>31</v>
      </c>
      <c r="D73" s="511"/>
      <c r="E73" s="102" t="s">
        <v>707</v>
      </c>
      <c r="F73" s="31" t="s">
        <v>708</v>
      </c>
      <c r="H73" s="520"/>
    </row>
    <row r="74" spans="1:8" ht="12.75" hidden="1">
      <c r="A74" s="11" t="s">
        <v>21</v>
      </c>
      <c r="B74" s="514" t="s">
        <v>16</v>
      </c>
      <c r="C74" s="516" t="s">
        <v>65</v>
      </c>
      <c r="D74" s="511"/>
      <c r="E74" s="18"/>
      <c r="F74" s="31" t="s">
        <v>708</v>
      </c>
      <c r="H74" s="518" t="s">
        <v>394</v>
      </c>
    </row>
    <row r="75" spans="1:8" ht="12.75" hidden="1">
      <c r="A75" s="11" t="s">
        <v>44</v>
      </c>
      <c r="B75" s="511"/>
      <c r="C75" s="517"/>
      <c r="D75" s="511"/>
      <c r="E75" s="18"/>
      <c r="F75" s="31" t="s">
        <v>708</v>
      </c>
      <c r="H75" s="519"/>
    </row>
    <row r="76" spans="1:8" ht="12.75" hidden="1">
      <c r="A76" s="11" t="s">
        <v>49</v>
      </c>
      <c r="B76" s="512"/>
      <c r="C76" s="517"/>
      <c r="D76" s="511"/>
      <c r="E76" s="18"/>
      <c r="F76" s="31" t="s">
        <v>708</v>
      </c>
      <c r="H76" s="519"/>
    </row>
    <row r="77" spans="1:8" ht="12.75" hidden="1">
      <c r="A77" s="11" t="s">
        <v>53</v>
      </c>
      <c r="B77" s="13" t="s">
        <v>53</v>
      </c>
      <c r="C77" s="15" t="s">
        <v>238</v>
      </c>
      <c r="D77" s="511"/>
      <c r="E77" s="18"/>
      <c r="F77" s="31" t="s">
        <v>708</v>
      </c>
      <c r="H77" s="519"/>
    </row>
    <row r="78" spans="1:8" ht="12.75" hidden="1">
      <c r="A78" s="11" t="s">
        <v>58</v>
      </c>
      <c r="B78" s="13" t="s">
        <v>58</v>
      </c>
      <c r="C78" s="15" t="s">
        <v>103</v>
      </c>
      <c r="D78" s="511"/>
      <c r="E78" s="18"/>
      <c r="F78" s="31" t="s">
        <v>708</v>
      </c>
      <c r="H78" s="519"/>
    </row>
    <row r="79" spans="1:8" ht="12.75" hidden="1">
      <c r="A79" s="11" t="s">
        <v>60</v>
      </c>
      <c r="B79" s="13" t="s">
        <v>60</v>
      </c>
      <c r="C79" s="15" t="s">
        <v>31</v>
      </c>
      <c r="D79" s="511"/>
      <c r="E79" s="18"/>
      <c r="F79" s="31" t="s">
        <v>708</v>
      </c>
      <c r="H79" s="520"/>
    </row>
    <row r="80" spans="1:8" ht="12.75" hidden="1">
      <c r="A80" s="11" t="s">
        <v>70</v>
      </c>
      <c r="B80" s="514" t="s">
        <v>69</v>
      </c>
      <c r="C80" s="516" t="s">
        <v>65</v>
      </c>
      <c r="D80" s="511"/>
      <c r="E80" s="18"/>
      <c r="F80" s="31" t="s">
        <v>708</v>
      </c>
      <c r="H80" s="518" t="s">
        <v>67</v>
      </c>
    </row>
    <row r="81" spans="1:8" ht="12.75" hidden="1">
      <c r="A81" s="11" t="s">
        <v>73</v>
      </c>
      <c r="B81" s="512"/>
      <c r="C81" s="517"/>
      <c r="D81" s="511"/>
      <c r="E81" s="18"/>
      <c r="F81" s="31" t="s">
        <v>708</v>
      </c>
      <c r="H81" s="519"/>
    </row>
    <row r="82" spans="1:8" ht="12.75" hidden="1">
      <c r="A82" s="11" t="s">
        <v>74</v>
      </c>
      <c r="B82" s="13" t="s">
        <v>74</v>
      </c>
      <c r="C82" s="15" t="s">
        <v>238</v>
      </c>
      <c r="D82" s="511"/>
      <c r="E82" s="18"/>
      <c r="F82" s="31" t="s">
        <v>708</v>
      </c>
      <c r="H82" s="519"/>
    </row>
    <row r="83" spans="1:8" ht="12.75" hidden="1">
      <c r="A83" s="11" t="s">
        <v>77</v>
      </c>
      <c r="B83" s="13" t="s">
        <v>77</v>
      </c>
      <c r="C83" s="15" t="s">
        <v>99</v>
      </c>
      <c r="D83" s="511"/>
      <c r="E83" s="18"/>
      <c r="F83" s="31" t="s">
        <v>708</v>
      </c>
      <c r="H83" s="519"/>
    </row>
    <row r="84" spans="1:8" ht="12.75" hidden="1">
      <c r="A84" s="11" t="s">
        <v>78</v>
      </c>
      <c r="B84" s="13" t="s">
        <v>78</v>
      </c>
      <c r="C84" s="15" t="s">
        <v>408</v>
      </c>
      <c r="D84" s="511"/>
      <c r="E84" s="18"/>
      <c r="F84" s="31" t="s">
        <v>708</v>
      </c>
      <c r="H84" s="519"/>
    </row>
    <row r="85" spans="1:8" ht="12.75" hidden="1">
      <c r="A85" s="11" t="s">
        <v>80</v>
      </c>
      <c r="B85" s="13" t="s">
        <v>80</v>
      </c>
      <c r="C85" s="15" t="s">
        <v>103</v>
      </c>
      <c r="D85" s="511"/>
      <c r="E85" s="18"/>
      <c r="F85" s="31" t="s">
        <v>708</v>
      </c>
      <c r="H85" s="520"/>
    </row>
    <row r="86" spans="1:8" ht="12.75" hidden="1">
      <c r="A86" s="11" t="s">
        <v>85</v>
      </c>
      <c r="B86" s="514" t="s">
        <v>84</v>
      </c>
      <c r="C86" s="516" t="s">
        <v>65</v>
      </c>
      <c r="D86" s="511"/>
      <c r="E86" s="18"/>
      <c r="F86" s="31" t="s">
        <v>708</v>
      </c>
      <c r="H86" s="518" t="s">
        <v>81</v>
      </c>
    </row>
    <row r="87" spans="1:8" ht="12.75" hidden="1">
      <c r="A87" s="11" t="s">
        <v>86</v>
      </c>
      <c r="B87" s="511"/>
      <c r="C87" s="517"/>
      <c r="D87" s="511"/>
      <c r="E87" s="18"/>
      <c r="F87" s="31" t="s">
        <v>708</v>
      </c>
      <c r="H87" s="519"/>
    </row>
    <row r="88" spans="1:8" ht="12.75" hidden="1">
      <c r="A88" s="11" t="s">
        <v>88</v>
      </c>
      <c r="B88" s="511"/>
      <c r="C88" s="517"/>
      <c r="D88" s="511"/>
      <c r="E88" s="18"/>
      <c r="F88" s="31" t="s">
        <v>708</v>
      </c>
      <c r="H88" s="519"/>
    </row>
    <row r="89" spans="1:8" ht="12.75" hidden="1">
      <c r="A89" s="11" t="s">
        <v>90</v>
      </c>
      <c r="B89" s="512"/>
      <c r="C89" s="517"/>
      <c r="D89" s="511"/>
      <c r="E89" s="18"/>
      <c r="F89" s="31" t="s">
        <v>708</v>
      </c>
      <c r="H89" s="519"/>
    </row>
    <row r="90" spans="1:8" ht="12.75" hidden="1">
      <c r="A90" s="11" t="s">
        <v>92</v>
      </c>
      <c r="B90" s="13" t="s">
        <v>92</v>
      </c>
      <c r="C90" s="15" t="s">
        <v>31</v>
      </c>
      <c r="D90" s="511"/>
      <c r="E90" s="18"/>
      <c r="F90" s="31" t="s">
        <v>708</v>
      </c>
      <c r="H90" s="519"/>
    </row>
    <row r="91" spans="1:8" ht="12.75" hidden="1">
      <c r="A91" s="11" t="s">
        <v>94</v>
      </c>
      <c r="B91" s="13" t="s">
        <v>94</v>
      </c>
      <c r="C91" s="15" t="s">
        <v>238</v>
      </c>
      <c r="D91" s="511"/>
      <c r="E91" s="18"/>
      <c r="F91" s="31" t="s">
        <v>708</v>
      </c>
      <c r="H91" s="520"/>
    </row>
    <row r="92" spans="1:8" ht="12.75" hidden="1">
      <c r="A92" s="11" t="s">
        <v>100</v>
      </c>
      <c r="B92" s="514" t="s">
        <v>98</v>
      </c>
      <c r="C92" s="516" t="s">
        <v>65</v>
      </c>
      <c r="D92" s="511"/>
      <c r="E92" s="18"/>
      <c r="F92" s="31" t="s">
        <v>708</v>
      </c>
      <c r="H92" s="518" t="s">
        <v>79</v>
      </c>
    </row>
    <row r="93" spans="1:8" ht="12.75" hidden="1">
      <c r="A93" s="11" t="s">
        <v>101</v>
      </c>
      <c r="B93" s="511"/>
      <c r="C93" s="517"/>
      <c r="D93" s="511"/>
      <c r="E93" s="18"/>
      <c r="F93" s="31" t="s">
        <v>708</v>
      </c>
      <c r="H93" s="519"/>
    </row>
    <row r="94" spans="1:8" ht="12.75" hidden="1">
      <c r="A94" s="11" t="s">
        <v>104</v>
      </c>
      <c r="B94" s="512"/>
      <c r="C94" s="517"/>
      <c r="D94" s="511"/>
      <c r="E94" s="18"/>
      <c r="F94" s="31" t="s">
        <v>708</v>
      </c>
      <c r="H94" s="519"/>
    </row>
    <row r="95" spans="1:8" ht="12.75" hidden="1">
      <c r="A95" s="11" t="s">
        <v>107</v>
      </c>
      <c r="B95" s="13" t="s">
        <v>106</v>
      </c>
      <c r="C95" s="15" t="s">
        <v>238</v>
      </c>
      <c r="D95" s="511"/>
      <c r="E95" s="18"/>
      <c r="F95" s="31" t="s">
        <v>708</v>
      </c>
      <c r="H95" s="519"/>
    </row>
    <row r="96" spans="1:8" ht="12.75" hidden="1">
      <c r="A96" s="11" t="s">
        <v>109</v>
      </c>
      <c r="B96" s="13" t="s">
        <v>109</v>
      </c>
      <c r="C96" s="15" t="s">
        <v>103</v>
      </c>
      <c r="D96" s="511"/>
      <c r="E96" s="18"/>
      <c r="F96" s="31" t="s">
        <v>708</v>
      </c>
      <c r="H96" s="519"/>
    </row>
    <row r="97" spans="1:8" ht="12.75" hidden="1">
      <c r="A97" s="11" t="s">
        <v>111</v>
      </c>
      <c r="B97" s="13" t="s">
        <v>111</v>
      </c>
      <c r="C97" s="15" t="s">
        <v>31</v>
      </c>
      <c r="D97" s="511"/>
      <c r="E97" s="18"/>
      <c r="F97" s="31" t="s">
        <v>708</v>
      </c>
      <c r="H97" s="520"/>
    </row>
    <row r="98" spans="1:8" ht="12.75" hidden="1">
      <c r="A98" s="11" t="s">
        <v>116</v>
      </c>
      <c r="B98" s="13" t="s">
        <v>115</v>
      </c>
      <c r="C98" s="15" t="s">
        <v>65</v>
      </c>
      <c r="D98" s="511"/>
      <c r="E98" s="18"/>
      <c r="F98" s="31" t="s">
        <v>708</v>
      </c>
      <c r="H98" s="514" t="s">
        <v>113</v>
      </c>
    </row>
    <row r="99" spans="1:8" ht="12.75" hidden="1">
      <c r="A99" s="11" t="s">
        <v>119</v>
      </c>
      <c r="B99" s="514" t="s">
        <v>118</v>
      </c>
      <c r="C99" s="515" t="s">
        <v>238</v>
      </c>
      <c r="D99" s="511"/>
      <c r="E99" s="18"/>
      <c r="F99" s="31" t="s">
        <v>708</v>
      </c>
      <c r="H99" s="511"/>
    </row>
    <row r="100" spans="1:8" ht="12.75" hidden="1">
      <c r="A100" s="11" t="s">
        <v>121</v>
      </c>
      <c r="B100" s="512"/>
      <c r="C100" s="512"/>
      <c r="D100" s="511"/>
      <c r="E100" s="18"/>
      <c r="F100" s="31" t="s">
        <v>708</v>
      </c>
      <c r="H100" s="511"/>
    </row>
    <row r="101" spans="1:8" ht="12.75" hidden="1">
      <c r="A101" s="11" t="s">
        <v>123</v>
      </c>
      <c r="B101" s="13" t="s">
        <v>122</v>
      </c>
      <c r="C101" s="15" t="s">
        <v>103</v>
      </c>
      <c r="D101" s="511"/>
      <c r="E101" s="18"/>
      <c r="F101" s="31" t="s">
        <v>708</v>
      </c>
      <c r="H101" s="511"/>
    </row>
    <row r="102" spans="1:8" ht="12.75" hidden="1">
      <c r="A102" s="11" t="s">
        <v>125</v>
      </c>
      <c r="B102" s="13" t="s">
        <v>125</v>
      </c>
      <c r="C102" s="15" t="s">
        <v>31</v>
      </c>
      <c r="D102" s="511"/>
      <c r="E102" s="18"/>
      <c r="F102" s="31" t="s">
        <v>708</v>
      </c>
      <c r="H102" s="511"/>
    </row>
    <row r="103" spans="1:8" ht="12.75" hidden="1">
      <c r="A103" s="11" t="s">
        <v>127</v>
      </c>
      <c r="B103" s="13" t="s">
        <v>127</v>
      </c>
      <c r="C103" s="15" t="s">
        <v>155</v>
      </c>
      <c r="D103" s="511"/>
      <c r="E103" s="18"/>
      <c r="F103" s="31" t="s">
        <v>708</v>
      </c>
      <c r="H103" s="512"/>
    </row>
    <row r="104" spans="1:8" ht="12.75" hidden="1">
      <c r="A104" s="11" t="s">
        <v>146</v>
      </c>
      <c r="B104" s="514" t="s">
        <v>143</v>
      </c>
      <c r="C104" s="515" t="s">
        <v>65</v>
      </c>
      <c r="D104" s="511"/>
      <c r="E104" s="18"/>
      <c r="F104" s="31" t="s">
        <v>708</v>
      </c>
      <c r="H104" s="514" t="s">
        <v>140</v>
      </c>
    </row>
    <row r="105" spans="1:8" ht="12.75" hidden="1">
      <c r="A105" s="11" t="s">
        <v>148</v>
      </c>
      <c r="B105" s="512"/>
      <c r="C105" s="512"/>
      <c r="D105" s="511"/>
      <c r="E105" s="18"/>
      <c r="F105" s="31" t="s">
        <v>708</v>
      </c>
      <c r="H105" s="511"/>
    </row>
    <row r="106" spans="1:8" ht="12.75" hidden="1">
      <c r="A106" s="11" t="s">
        <v>153</v>
      </c>
      <c r="B106" s="13" t="s">
        <v>153</v>
      </c>
      <c r="C106" s="515" t="s">
        <v>31</v>
      </c>
      <c r="D106" s="511"/>
      <c r="E106" s="18"/>
      <c r="F106" s="31" t="s">
        <v>708</v>
      </c>
      <c r="H106" s="511"/>
    </row>
    <row r="107" spans="1:8" ht="12.75" hidden="1">
      <c r="A107" s="11" t="s">
        <v>157</v>
      </c>
      <c r="B107" s="13" t="s">
        <v>157</v>
      </c>
      <c r="C107" s="512"/>
      <c r="D107" s="511"/>
      <c r="E107" s="18"/>
      <c r="F107" s="31" t="s">
        <v>708</v>
      </c>
      <c r="H107" s="511"/>
    </row>
    <row r="108" spans="1:8" ht="12.75" hidden="1">
      <c r="A108" s="11" t="s">
        <v>158</v>
      </c>
      <c r="B108" s="13" t="s">
        <v>158</v>
      </c>
      <c r="C108" s="15" t="s">
        <v>238</v>
      </c>
      <c r="D108" s="511"/>
      <c r="E108" s="18"/>
      <c r="F108" s="31" t="s">
        <v>708</v>
      </c>
      <c r="H108" s="511"/>
    </row>
    <row r="109" spans="1:8" ht="12.75" hidden="1">
      <c r="A109" s="11" t="s">
        <v>164</v>
      </c>
      <c r="B109" s="13" t="s">
        <v>164</v>
      </c>
      <c r="C109" s="15" t="s">
        <v>103</v>
      </c>
      <c r="D109" s="511"/>
      <c r="E109" s="18"/>
      <c r="F109" s="31" t="s">
        <v>708</v>
      </c>
      <c r="H109" s="512"/>
    </row>
    <row r="110" spans="1:8" ht="12.75" hidden="1">
      <c r="A110" s="11" t="s">
        <v>175</v>
      </c>
      <c r="B110" s="514" t="s">
        <v>173</v>
      </c>
      <c r="C110" s="522" t="s">
        <v>65</v>
      </c>
      <c r="D110" s="511"/>
      <c r="E110" s="18"/>
      <c r="F110" s="31" t="s">
        <v>708</v>
      </c>
      <c r="H110" s="514" t="s">
        <v>165</v>
      </c>
    </row>
    <row r="111" spans="1:8" ht="12.75" hidden="1">
      <c r="A111" s="11" t="s">
        <v>178</v>
      </c>
      <c r="B111" s="511"/>
      <c r="C111" s="511"/>
      <c r="D111" s="511"/>
      <c r="E111" s="18"/>
      <c r="F111" s="31" t="s">
        <v>708</v>
      </c>
      <c r="H111" s="511"/>
    </row>
    <row r="112" spans="1:8" ht="12.75" hidden="1">
      <c r="A112" s="11" t="s">
        <v>180</v>
      </c>
      <c r="B112" s="511"/>
      <c r="C112" s="511"/>
      <c r="D112" s="511"/>
      <c r="E112" s="18"/>
      <c r="F112" s="31" t="s">
        <v>708</v>
      </c>
      <c r="H112" s="511"/>
    </row>
    <row r="113" spans="1:8" ht="12.75" hidden="1">
      <c r="A113" s="11" t="s">
        <v>187</v>
      </c>
      <c r="B113" s="512"/>
      <c r="C113" s="511"/>
      <c r="D113" s="511"/>
      <c r="E113" s="18"/>
      <c r="F113" s="31" t="s">
        <v>708</v>
      </c>
      <c r="H113" s="511"/>
    </row>
    <row r="114" spans="1:8" ht="12.75" hidden="1">
      <c r="A114" s="11" t="s">
        <v>192</v>
      </c>
      <c r="B114" s="13" t="s">
        <v>192</v>
      </c>
      <c r="C114" s="15" t="s">
        <v>103</v>
      </c>
      <c r="D114" s="511"/>
      <c r="E114" s="18"/>
      <c r="F114" s="31" t="s">
        <v>708</v>
      </c>
      <c r="H114" s="511"/>
    </row>
    <row r="115" spans="1:8" ht="12.75" hidden="1">
      <c r="A115" s="11" t="s">
        <v>195</v>
      </c>
      <c r="B115" s="13" t="s">
        <v>195</v>
      </c>
      <c r="C115" s="15" t="s">
        <v>31</v>
      </c>
      <c r="D115" s="511"/>
      <c r="E115" s="18"/>
      <c r="F115" s="31" t="s">
        <v>708</v>
      </c>
      <c r="H115" s="512"/>
    </row>
    <row r="116" spans="1:8" ht="12.75" hidden="1">
      <c r="A116" s="7" t="s">
        <v>215</v>
      </c>
      <c r="B116" s="514" t="s">
        <v>211</v>
      </c>
      <c r="C116" s="516" t="s">
        <v>65</v>
      </c>
      <c r="D116" s="511"/>
      <c r="E116" s="18"/>
      <c r="F116" s="31" t="s">
        <v>708</v>
      </c>
      <c r="H116" s="514" t="s">
        <v>176</v>
      </c>
    </row>
    <row r="117" spans="1:8" ht="12.75" hidden="1">
      <c r="A117" s="7" t="s">
        <v>217</v>
      </c>
      <c r="B117" s="511"/>
      <c r="C117" s="517"/>
      <c r="D117" s="511"/>
      <c r="E117" s="18"/>
      <c r="F117" s="31" t="s">
        <v>708</v>
      </c>
      <c r="H117" s="511"/>
    </row>
    <row r="118" spans="1:8" ht="12.75" hidden="1">
      <c r="A118" s="7" t="s">
        <v>219</v>
      </c>
      <c r="B118" s="512"/>
      <c r="C118" s="517"/>
      <c r="D118" s="511"/>
      <c r="E118" s="18"/>
      <c r="F118" s="31" t="s">
        <v>708</v>
      </c>
      <c r="H118" s="511"/>
    </row>
    <row r="119" spans="1:8" ht="12.75" hidden="1">
      <c r="A119" s="7" t="s">
        <v>222</v>
      </c>
      <c r="B119" s="13" t="s">
        <v>222</v>
      </c>
      <c r="C119" s="15" t="s">
        <v>238</v>
      </c>
      <c r="D119" s="511"/>
      <c r="E119" s="18"/>
      <c r="F119" s="31" t="s">
        <v>708</v>
      </c>
      <c r="H119" s="511"/>
    </row>
    <row r="120" spans="1:8" ht="12.75" hidden="1">
      <c r="A120" s="7" t="s">
        <v>224</v>
      </c>
      <c r="B120" s="13" t="s">
        <v>224</v>
      </c>
      <c r="C120" s="15" t="s">
        <v>103</v>
      </c>
      <c r="D120" s="511"/>
      <c r="E120" s="18"/>
      <c r="F120" s="31" t="s">
        <v>708</v>
      </c>
      <c r="H120" s="511"/>
    </row>
    <row r="121" spans="1:8" ht="12.75" hidden="1">
      <c r="A121" s="11" t="s">
        <v>227</v>
      </c>
      <c r="B121" s="13" t="s">
        <v>227</v>
      </c>
      <c r="C121" s="15" t="s">
        <v>374</v>
      </c>
      <c r="D121" s="511"/>
      <c r="E121" s="18"/>
      <c r="F121" s="31" t="s">
        <v>708</v>
      </c>
      <c r="H121" s="512"/>
    </row>
    <row r="122" spans="1:8" ht="12.75" hidden="1">
      <c r="A122" s="11" t="s">
        <v>242</v>
      </c>
      <c r="B122" s="13" t="s">
        <v>242</v>
      </c>
      <c r="C122" s="15" t="s">
        <v>238</v>
      </c>
      <c r="D122" s="511"/>
      <c r="E122" s="18"/>
      <c r="F122" s="31" t="s">
        <v>708</v>
      </c>
      <c r="H122" s="514" t="s">
        <v>196</v>
      </c>
    </row>
    <row r="123" spans="1:8" ht="12.75" hidden="1">
      <c r="A123" s="11" t="s">
        <v>247</v>
      </c>
      <c r="B123" s="514" t="s">
        <v>245</v>
      </c>
      <c r="C123" s="515" t="s">
        <v>65</v>
      </c>
      <c r="D123" s="511"/>
      <c r="E123" s="18"/>
      <c r="F123" s="31" t="s">
        <v>708</v>
      </c>
      <c r="H123" s="511"/>
    </row>
    <row r="124" spans="1:8" ht="12.75" hidden="1">
      <c r="A124" s="11" t="s">
        <v>250</v>
      </c>
      <c r="B124" s="512"/>
      <c r="C124" s="512"/>
      <c r="D124" s="511"/>
      <c r="E124" s="18"/>
      <c r="F124" s="31" t="s">
        <v>708</v>
      </c>
      <c r="H124" s="511"/>
    </row>
    <row r="125" spans="1:8" ht="12.75" hidden="1">
      <c r="A125" s="11" t="s">
        <v>249</v>
      </c>
      <c r="B125" s="13" t="s">
        <v>249</v>
      </c>
      <c r="C125" s="15" t="s">
        <v>31</v>
      </c>
      <c r="D125" s="511"/>
      <c r="E125" s="18"/>
      <c r="F125" s="31" t="s">
        <v>708</v>
      </c>
      <c r="H125" s="511"/>
    </row>
    <row r="126" spans="1:8" ht="12.75" hidden="1">
      <c r="A126" s="11" t="s">
        <v>254</v>
      </c>
      <c r="B126" s="13" t="s">
        <v>254</v>
      </c>
      <c r="C126" s="15" t="s">
        <v>103</v>
      </c>
      <c r="D126" s="511"/>
      <c r="E126" s="18"/>
      <c r="F126" s="31" t="s">
        <v>708</v>
      </c>
      <c r="H126" s="511"/>
    </row>
    <row r="127" spans="1:8" ht="12.75" hidden="1">
      <c r="A127" s="11" t="s">
        <v>255</v>
      </c>
      <c r="B127" s="13" t="s">
        <v>255</v>
      </c>
      <c r="C127" s="15" t="s">
        <v>408</v>
      </c>
      <c r="D127" s="512"/>
      <c r="E127" s="18"/>
      <c r="F127" s="31" t="s">
        <v>708</v>
      </c>
      <c r="H127" s="512"/>
    </row>
    <row r="128" spans="1:8" ht="12.75" hidden="1">
      <c r="A128" s="11" t="s">
        <v>259</v>
      </c>
      <c r="B128" s="13" t="s">
        <v>259</v>
      </c>
      <c r="C128" s="15" t="s">
        <v>155</v>
      </c>
      <c r="D128" s="522" t="s">
        <v>261</v>
      </c>
      <c r="E128" s="18"/>
      <c r="F128" s="31" t="s">
        <v>708</v>
      </c>
      <c r="H128" s="514" t="s">
        <v>67</v>
      </c>
    </row>
    <row r="129" spans="1:8" ht="12.75" hidden="1">
      <c r="A129" s="11" t="s">
        <v>263</v>
      </c>
      <c r="B129" s="13" t="s">
        <v>263</v>
      </c>
      <c r="C129" s="515" t="s">
        <v>374</v>
      </c>
      <c r="D129" s="511"/>
      <c r="E129" s="18"/>
      <c r="F129" s="31" t="s">
        <v>708</v>
      </c>
      <c r="H129" s="511"/>
    </row>
    <row r="130" spans="1:8" ht="12.75" hidden="1">
      <c r="A130" s="11" t="s">
        <v>269</v>
      </c>
      <c r="B130" s="514" t="s">
        <v>267</v>
      </c>
      <c r="C130" s="511"/>
      <c r="D130" s="511"/>
      <c r="E130" s="18"/>
      <c r="F130" s="31" t="s">
        <v>708</v>
      </c>
      <c r="H130" s="511"/>
    </row>
    <row r="131" spans="1:8" ht="12.75" hidden="1">
      <c r="A131" s="11" t="s">
        <v>273</v>
      </c>
      <c r="B131" s="512"/>
      <c r="C131" s="512"/>
      <c r="D131" s="511"/>
      <c r="E131" s="18"/>
      <c r="F131" s="31" t="s">
        <v>708</v>
      </c>
      <c r="H131" s="511"/>
    </row>
    <row r="132" spans="1:8" ht="12.75" hidden="1">
      <c r="A132" s="77" t="s">
        <v>277</v>
      </c>
      <c r="B132" s="13" t="s">
        <v>276</v>
      </c>
      <c r="C132" s="515" t="s">
        <v>155</v>
      </c>
      <c r="D132" s="511"/>
      <c r="E132" s="18"/>
      <c r="F132" s="31" t="s">
        <v>708</v>
      </c>
      <c r="H132" s="511"/>
    </row>
    <row r="133" spans="1:8" ht="12.75" hidden="1">
      <c r="A133" s="11" t="s">
        <v>281</v>
      </c>
      <c r="B133" s="13" t="s">
        <v>279</v>
      </c>
      <c r="C133" s="512"/>
      <c r="D133" s="511"/>
      <c r="E133" s="18"/>
      <c r="F133" s="31" t="s">
        <v>708</v>
      </c>
      <c r="H133" s="511"/>
    </row>
    <row r="134" spans="1:8" ht="12.75" hidden="1">
      <c r="A134" s="11" t="s">
        <v>285</v>
      </c>
      <c r="B134" s="13" t="s">
        <v>284</v>
      </c>
      <c r="C134" s="15" t="s">
        <v>374</v>
      </c>
      <c r="D134" s="511"/>
      <c r="E134" s="18"/>
      <c r="F134" s="31" t="s">
        <v>708</v>
      </c>
      <c r="H134" s="512"/>
    </row>
    <row r="135" spans="1:8" ht="12.75" hidden="1">
      <c r="A135" s="11" t="s">
        <v>289</v>
      </c>
      <c r="B135" s="13" t="s">
        <v>287</v>
      </c>
      <c r="C135" s="15" t="s">
        <v>155</v>
      </c>
      <c r="D135" s="511"/>
      <c r="E135" s="18"/>
      <c r="F135" s="31" t="s">
        <v>708</v>
      </c>
      <c r="H135" s="514" t="s">
        <v>81</v>
      </c>
    </row>
    <row r="136" spans="1:8" ht="12.75" hidden="1">
      <c r="A136" s="11" t="s">
        <v>293</v>
      </c>
      <c r="B136" s="13" t="s">
        <v>292</v>
      </c>
      <c r="C136" s="15" t="s">
        <v>374</v>
      </c>
      <c r="D136" s="511"/>
      <c r="E136" s="18"/>
      <c r="F136" s="31" t="s">
        <v>708</v>
      </c>
      <c r="H136" s="511"/>
    </row>
    <row r="137" spans="1:8" ht="12.75" hidden="1">
      <c r="A137" s="11" t="s">
        <v>297</v>
      </c>
      <c r="B137" s="13" t="s">
        <v>295</v>
      </c>
      <c r="C137" s="15" t="s">
        <v>155</v>
      </c>
      <c r="D137" s="511"/>
      <c r="E137" s="18"/>
      <c r="F137" s="31" t="s">
        <v>708</v>
      </c>
      <c r="H137" s="512"/>
    </row>
    <row r="138" spans="1:8" ht="12.75" hidden="1">
      <c r="A138" s="77" t="s">
        <v>480</v>
      </c>
      <c r="B138" s="13" t="s">
        <v>300</v>
      </c>
      <c r="C138" s="15" t="s">
        <v>155</v>
      </c>
      <c r="D138" s="511"/>
      <c r="E138" s="18"/>
      <c r="F138" s="31" t="s">
        <v>708</v>
      </c>
      <c r="H138" s="514" t="s">
        <v>140</v>
      </c>
    </row>
    <row r="139" spans="1:8" ht="12.75" hidden="1">
      <c r="A139" s="11" t="s">
        <v>482</v>
      </c>
      <c r="B139" s="13" t="s">
        <v>303</v>
      </c>
      <c r="C139" s="15" t="s">
        <v>374</v>
      </c>
      <c r="D139" s="511"/>
      <c r="E139" s="18"/>
      <c r="F139" s="31" t="s">
        <v>708</v>
      </c>
      <c r="H139" s="511"/>
    </row>
    <row r="140" spans="1:8" ht="12.75">
      <c r="A140" s="11" t="s">
        <v>307</v>
      </c>
      <c r="B140" s="13" t="s">
        <v>307</v>
      </c>
      <c r="C140" s="15" t="s">
        <v>155</v>
      </c>
      <c r="D140" s="511"/>
      <c r="E140" s="102" t="s">
        <v>707</v>
      </c>
      <c r="F140" s="31" t="s">
        <v>708</v>
      </c>
      <c r="H140" s="512"/>
    </row>
    <row r="141" spans="1:8" ht="12.75">
      <c r="A141" s="11" t="s">
        <v>45</v>
      </c>
      <c r="B141" s="13" t="s">
        <v>348</v>
      </c>
      <c r="C141" s="15" t="s">
        <v>351</v>
      </c>
      <c r="D141" s="511"/>
      <c r="E141" s="102" t="s">
        <v>707</v>
      </c>
      <c r="F141" s="31" t="s">
        <v>708</v>
      </c>
      <c r="H141" s="514" t="s">
        <v>268</v>
      </c>
    </row>
    <row r="142" spans="1:8" ht="12.75" hidden="1">
      <c r="A142" s="11" t="s">
        <v>30</v>
      </c>
      <c r="B142" s="514" t="s">
        <v>440</v>
      </c>
      <c r="C142" s="515" t="s">
        <v>207</v>
      </c>
      <c r="D142" s="511"/>
      <c r="E142" s="18"/>
      <c r="F142" s="31" t="s">
        <v>708</v>
      </c>
      <c r="H142" s="511"/>
    </row>
    <row r="143" spans="1:8" ht="12.75" hidden="1">
      <c r="A143" s="11" t="s">
        <v>32</v>
      </c>
      <c r="B143" s="512"/>
      <c r="C143" s="512"/>
      <c r="D143" s="511"/>
      <c r="E143" s="18"/>
      <c r="F143" s="31" t="s">
        <v>708</v>
      </c>
      <c r="H143" s="511"/>
    </row>
    <row r="144" spans="1:8" ht="12.75" hidden="1">
      <c r="A144" s="11" t="s">
        <v>19</v>
      </c>
      <c r="B144" s="13" t="s">
        <v>443</v>
      </c>
      <c r="C144" s="15" t="s">
        <v>271</v>
      </c>
      <c r="D144" s="511"/>
      <c r="E144" s="18"/>
      <c r="F144" s="31" t="s">
        <v>708</v>
      </c>
      <c r="H144" s="511"/>
    </row>
    <row r="145" spans="1:8" ht="12.75" hidden="1">
      <c r="A145" s="11" t="s">
        <v>25</v>
      </c>
      <c r="B145" s="514" t="s">
        <v>445</v>
      </c>
      <c r="C145" s="523" t="s">
        <v>207</v>
      </c>
      <c r="D145" s="511"/>
      <c r="E145" s="18"/>
      <c r="F145" s="31" t="s">
        <v>708</v>
      </c>
      <c r="H145" s="511"/>
    </row>
    <row r="146" spans="1:8" ht="12.75" hidden="1">
      <c r="A146" s="11" t="s">
        <v>28</v>
      </c>
      <c r="B146" s="512"/>
      <c r="C146" s="512"/>
      <c r="D146" s="511"/>
      <c r="E146" s="18"/>
      <c r="F146" s="31" t="s">
        <v>708</v>
      </c>
      <c r="H146" s="511"/>
    </row>
    <row r="147" spans="1:8" ht="12.75" hidden="1">
      <c r="A147" s="11" t="s">
        <v>27</v>
      </c>
      <c r="B147" s="13" t="s">
        <v>449</v>
      </c>
      <c r="C147" s="15" t="s">
        <v>155</v>
      </c>
      <c r="D147" s="511"/>
      <c r="E147" s="18"/>
      <c r="F147" s="31" t="s">
        <v>708</v>
      </c>
      <c r="H147" s="511"/>
    </row>
    <row r="148" spans="1:8" ht="12.75" hidden="1">
      <c r="A148" s="11" t="s">
        <v>24</v>
      </c>
      <c r="B148" s="13" t="s">
        <v>452</v>
      </c>
      <c r="C148" s="15" t="s">
        <v>374</v>
      </c>
      <c r="D148" s="511"/>
      <c r="E148" s="18"/>
      <c r="F148" s="31" t="s">
        <v>708</v>
      </c>
      <c r="H148" s="511"/>
    </row>
    <row r="149" spans="1:8" ht="12.75" hidden="1">
      <c r="A149" s="11" t="s">
        <v>52</v>
      </c>
      <c r="B149" s="13" t="s">
        <v>52</v>
      </c>
      <c r="C149" s="15" t="s">
        <v>491</v>
      </c>
      <c r="D149" s="511"/>
      <c r="E149" s="18"/>
      <c r="F149" s="31" t="s">
        <v>708</v>
      </c>
      <c r="H149" s="511"/>
    </row>
    <row r="150" spans="1:8" ht="12.75" hidden="1">
      <c r="A150" s="11" t="s">
        <v>54</v>
      </c>
      <c r="B150" s="13" t="s">
        <v>456</v>
      </c>
      <c r="C150" s="15" t="s">
        <v>65</v>
      </c>
      <c r="D150" s="511"/>
      <c r="E150" s="18"/>
      <c r="F150" s="31" t="s">
        <v>708</v>
      </c>
      <c r="H150" s="511"/>
    </row>
    <row r="151" spans="1:8" ht="12.75" hidden="1">
      <c r="A151" s="11" t="s">
        <v>55</v>
      </c>
      <c r="B151" s="13" t="s">
        <v>55</v>
      </c>
      <c r="C151" s="15" t="s">
        <v>103</v>
      </c>
      <c r="D151" s="511"/>
      <c r="E151" s="18"/>
      <c r="F151" s="31" t="s">
        <v>708</v>
      </c>
      <c r="H151" s="511"/>
    </row>
    <row r="152" spans="1:8" ht="12.75" hidden="1">
      <c r="A152" s="11" t="s">
        <v>46</v>
      </c>
      <c r="B152" s="514" t="s">
        <v>459</v>
      </c>
      <c r="C152" s="515" t="s">
        <v>493</v>
      </c>
      <c r="D152" s="511"/>
      <c r="E152" s="18"/>
      <c r="F152" s="31" t="s">
        <v>708</v>
      </c>
      <c r="H152" s="511"/>
    </row>
    <row r="153" spans="1:8" ht="12.75" hidden="1">
      <c r="A153" s="11" t="s">
        <v>47</v>
      </c>
      <c r="B153" s="511"/>
      <c r="C153" s="511"/>
      <c r="D153" s="511"/>
      <c r="E153" s="18"/>
      <c r="F153" s="31" t="s">
        <v>708</v>
      </c>
      <c r="H153" s="511"/>
    </row>
    <row r="154" spans="1:8" ht="12.75" hidden="1">
      <c r="A154" s="11" t="s">
        <v>48</v>
      </c>
      <c r="B154" s="511"/>
      <c r="C154" s="511"/>
      <c r="D154" s="511"/>
      <c r="E154" s="18"/>
      <c r="F154" s="31" t="s">
        <v>708</v>
      </c>
      <c r="H154" s="511"/>
    </row>
    <row r="155" spans="1:8" ht="12.75">
      <c r="A155" s="11" t="s">
        <v>50</v>
      </c>
      <c r="B155" s="512"/>
      <c r="C155" s="512"/>
      <c r="D155" s="512"/>
      <c r="E155" s="102" t="s">
        <v>707</v>
      </c>
      <c r="F155" s="31" t="s">
        <v>708</v>
      </c>
      <c r="H155" s="512"/>
    </row>
    <row r="156" spans="1:8" ht="12.75" hidden="1">
      <c r="A156" s="11" t="s">
        <v>33</v>
      </c>
      <c r="B156" s="13" t="s">
        <v>425</v>
      </c>
      <c r="C156" s="15" t="s">
        <v>155</v>
      </c>
      <c r="D156" s="522" t="s">
        <v>66</v>
      </c>
      <c r="E156" s="18"/>
      <c r="F156" s="31" t="s">
        <v>708</v>
      </c>
      <c r="H156" s="514" t="s">
        <v>268</v>
      </c>
    </row>
    <row r="157" spans="1:8" ht="12.75">
      <c r="A157" s="11" t="s">
        <v>34</v>
      </c>
      <c r="B157" s="13" t="s">
        <v>499</v>
      </c>
      <c r="C157" s="15" t="s">
        <v>31</v>
      </c>
      <c r="D157" s="511"/>
      <c r="E157" s="102" t="s">
        <v>707</v>
      </c>
      <c r="F157" s="31" t="s">
        <v>708</v>
      </c>
      <c r="H157" s="512"/>
    </row>
    <row r="158" spans="1:8" ht="12.75" hidden="1">
      <c r="A158" s="77" t="s">
        <v>231</v>
      </c>
      <c r="B158" s="13" t="s">
        <v>500</v>
      </c>
      <c r="C158" s="15" t="s">
        <v>155</v>
      </c>
      <c r="D158" s="511"/>
      <c r="E158" s="18"/>
      <c r="F158" s="31" t="s">
        <v>708</v>
      </c>
      <c r="H158" s="514" t="s">
        <v>176</v>
      </c>
    </row>
    <row r="159" spans="1:8" ht="25.5">
      <c r="A159" s="84" t="s">
        <v>501</v>
      </c>
      <c r="B159" s="13" t="s">
        <v>502</v>
      </c>
      <c r="C159" s="86" t="s">
        <v>238</v>
      </c>
      <c r="D159" s="511"/>
      <c r="E159" s="102" t="s">
        <v>707</v>
      </c>
      <c r="F159" s="31" t="s">
        <v>708</v>
      </c>
      <c r="H159" s="512"/>
    </row>
    <row r="160" spans="1:8" ht="12.75" hidden="1">
      <c r="A160" s="77" t="s">
        <v>206</v>
      </c>
      <c r="B160" s="13" t="s">
        <v>204</v>
      </c>
      <c r="C160" s="515" t="s">
        <v>155</v>
      </c>
      <c r="D160" s="511"/>
      <c r="E160" s="18"/>
      <c r="F160" s="31" t="s">
        <v>708</v>
      </c>
      <c r="H160" s="15" t="s">
        <v>165</v>
      </c>
    </row>
    <row r="161" spans="1:8" ht="12.75">
      <c r="A161" s="11" t="s">
        <v>363</v>
      </c>
      <c r="B161" s="13" t="s">
        <v>358</v>
      </c>
      <c r="C161" s="512"/>
      <c r="D161" s="511"/>
      <c r="E161" s="102" t="s">
        <v>707</v>
      </c>
      <c r="F161" s="31" t="s">
        <v>708</v>
      </c>
      <c r="H161" s="8" t="s">
        <v>198</v>
      </c>
    </row>
    <row r="162" spans="1:8" ht="12.75" hidden="1">
      <c r="A162" s="11" t="s">
        <v>256</v>
      </c>
      <c r="B162" s="13" t="s">
        <v>256</v>
      </c>
      <c r="C162" s="15" t="s">
        <v>238</v>
      </c>
      <c r="D162" s="511"/>
      <c r="E162" s="18"/>
      <c r="F162" s="31" t="s">
        <v>708</v>
      </c>
      <c r="H162" s="8" t="s">
        <v>196</v>
      </c>
    </row>
    <row r="163" spans="1:8" ht="12.75">
      <c r="A163" s="11" t="s">
        <v>64</v>
      </c>
      <c r="B163" s="13" t="s">
        <v>64</v>
      </c>
      <c r="C163" s="15" t="s">
        <v>155</v>
      </c>
      <c r="D163" s="511"/>
      <c r="E163" s="102" t="s">
        <v>707</v>
      </c>
      <c r="F163" s="31" t="s">
        <v>708</v>
      </c>
      <c r="H163" s="8" t="s">
        <v>13</v>
      </c>
    </row>
    <row r="164" spans="1:8" ht="12.75" hidden="1">
      <c r="A164" s="11" t="s">
        <v>168</v>
      </c>
      <c r="B164" s="13" t="s">
        <v>168</v>
      </c>
      <c r="C164" s="515" t="s">
        <v>491</v>
      </c>
      <c r="D164" s="511"/>
      <c r="E164" s="18"/>
      <c r="H164" s="8" t="s">
        <v>140</v>
      </c>
    </row>
    <row r="165" spans="1:8" ht="12.75" hidden="1">
      <c r="A165" s="11" t="s">
        <v>132</v>
      </c>
      <c r="B165" s="13" t="s">
        <v>132</v>
      </c>
      <c r="C165" s="512"/>
      <c r="D165" s="512"/>
      <c r="E165" s="18"/>
      <c r="H165" s="8" t="s">
        <v>113</v>
      </c>
    </row>
    <row r="166" spans="1:8" ht="12.75" hidden="1">
      <c r="A166" s="11" t="s">
        <v>510</v>
      </c>
      <c r="B166" s="514" t="s">
        <v>511</v>
      </c>
      <c r="C166" s="515" t="s">
        <v>128</v>
      </c>
      <c r="D166" s="514" t="s">
        <v>513</v>
      </c>
      <c r="E166" s="514"/>
      <c r="H166" s="514" t="s">
        <v>79</v>
      </c>
    </row>
    <row r="167" spans="1:8" ht="12.75" hidden="1">
      <c r="A167" s="11" t="s">
        <v>517</v>
      </c>
      <c r="B167" s="511"/>
      <c r="C167" s="511"/>
      <c r="D167" s="511"/>
      <c r="E167" s="511"/>
      <c r="H167" s="511"/>
    </row>
    <row r="168" spans="1:8" ht="12.75" hidden="1">
      <c r="A168" s="11" t="s">
        <v>518</v>
      </c>
      <c r="B168" s="512"/>
      <c r="C168" s="512"/>
      <c r="D168" s="511"/>
      <c r="E168" s="512"/>
      <c r="H168" s="511"/>
    </row>
    <row r="169" spans="1:8" ht="12.75" hidden="1">
      <c r="A169" s="7" t="s">
        <v>519</v>
      </c>
      <c r="B169" s="514" t="s">
        <v>520</v>
      </c>
      <c r="C169" s="515" t="s">
        <v>207</v>
      </c>
      <c r="D169" s="511"/>
      <c r="E169" s="514"/>
      <c r="H169" s="511"/>
    </row>
    <row r="170" spans="1:8" ht="12.75" hidden="1">
      <c r="A170" s="7" t="s">
        <v>521</v>
      </c>
      <c r="B170" s="512"/>
      <c r="C170" s="512"/>
      <c r="D170" s="511"/>
      <c r="E170" s="512"/>
      <c r="H170" s="511"/>
    </row>
    <row r="171" spans="1:8" ht="12.75" hidden="1">
      <c r="A171" s="11" t="s">
        <v>522</v>
      </c>
      <c r="B171" s="13" t="s">
        <v>523</v>
      </c>
      <c r="C171" s="15" t="s">
        <v>374</v>
      </c>
      <c r="D171" s="511"/>
      <c r="E171" s="18"/>
      <c r="H171" s="511"/>
    </row>
    <row r="172" spans="1:8" ht="12.75" hidden="1">
      <c r="A172" s="11" t="s">
        <v>524</v>
      </c>
      <c r="B172" s="13" t="s">
        <v>525</v>
      </c>
      <c r="C172" s="515" t="s">
        <v>238</v>
      </c>
      <c r="D172" s="511"/>
      <c r="E172" s="18"/>
      <c r="H172" s="511"/>
    </row>
    <row r="173" spans="1:8" ht="12.75" hidden="1">
      <c r="A173" s="11" t="s">
        <v>526</v>
      </c>
      <c r="B173" s="13" t="s">
        <v>527</v>
      </c>
      <c r="C173" s="512"/>
      <c r="D173" s="511"/>
      <c r="E173" s="18"/>
      <c r="H173" s="511"/>
    </row>
    <row r="174" spans="1:8" ht="12.75" hidden="1">
      <c r="A174" s="11" t="s">
        <v>528</v>
      </c>
      <c r="B174" s="13" t="s">
        <v>529</v>
      </c>
      <c r="C174" s="15" t="s">
        <v>155</v>
      </c>
      <c r="D174" s="511"/>
      <c r="E174" s="18"/>
      <c r="H174" s="511"/>
    </row>
    <row r="175" spans="1:8" ht="12.75" hidden="1">
      <c r="A175" s="11" t="s">
        <v>530</v>
      </c>
      <c r="B175" s="13" t="s">
        <v>263</v>
      </c>
      <c r="C175" s="15" t="s">
        <v>374</v>
      </c>
      <c r="D175" s="511"/>
      <c r="E175" s="18"/>
      <c r="H175" s="511"/>
    </row>
    <row r="176" spans="1:8" ht="12.75" hidden="1">
      <c r="A176" s="11" t="s">
        <v>531</v>
      </c>
      <c r="B176" s="514" t="s">
        <v>532</v>
      </c>
      <c r="C176" s="515" t="s">
        <v>207</v>
      </c>
      <c r="D176" s="511"/>
      <c r="E176" s="18"/>
      <c r="H176" s="511"/>
    </row>
    <row r="177" spans="1:8" ht="12.75" hidden="1">
      <c r="A177" s="11" t="s">
        <v>533</v>
      </c>
      <c r="B177" s="512"/>
      <c r="C177" s="512"/>
      <c r="D177" s="511"/>
      <c r="E177" s="18"/>
      <c r="H177" s="511"/>
    </row>
    <row r="178" spans="1:8" ht="12.75" hidden="1">
      <c r="A178" s="11" t="s">
        <v>534</v>
      </c>
      <c r="B178" s="13" t="s">
        <v>535</v>
      </c>
      <c r="C178" s="15" t="s">
        <v>374</v>
      </c>
      <c r="D178" s="511"/>
      <c r="E178" s="18"/>
      <c r="H178" s="511"/>
    </row>
    <row r="179" spans="1:8" ht="12.75" hidden="1">
      <c r="A179" s="11" t="s">
        <v>83</v>
      </c>
      <c r="B179" s="13" t="s">
        <v>536</v>
      </c>
      <c r="C179" s="15" t="s">
        <v>155</v>
      </c>
      <c r="D179" s="511"/>
      <c r="E179" s="18"/>
      <c r="H179" s="512"/>
    </row>
    <row r="180" spans="1:8" ht="12.75" hidden="1">
      <c r="A180" s="11" t="s">
        <v>537</v>
      </c>
      <c r="B180" s="514" t="s">
        <v>538</v>
      </c>
      <c r="C180" s="515" t="s">
        <v>207</v>
      </c>
      <c r="D180" s="511"/>
      <c r="E180" s="18"/>
      <c r="H180" s="13"/>
    </row>
    <row r="181" spans="1:8" ht="12.75" hidden="1">
      <c r="A181" s="7" t="s">
        <v>539</v>
      </c>
      <c r="B181" s="512"/>
      <c r="C181" s="512"/>
      <c r="D181" s="511"/>
      <c r="E181" s="18"/>
      <c r="H181" s="13"/>
    </row>
    <row r="182" spans="1:8" ht="12.75" hidden="1">
      <c r="A182" s="11" t="s">
        <v>540</v>
      </c>
      <c r="B182" s="13" t="s">
        <v>541</v>
      </c>
      <c r="C182" s="15" t="s">
        <v>374</v>
      </c>
      <c r="D182" s="511"/>
      <c r="E182" s="18"/>
      <c r="H182" s="13"/>
    </row>
    <row r="183" spans="1:8" ht="12.75" hidden="1">
      <c r="A183" s="11" t="s">
        <v>542</v>
      </c>
      <c r="B183" s="13" t="s">
        <v>543</v>
      </c>
      <c r="C183" s="15" t="s">
        <v>155</v>
      </c>
      <c r="D183" s="511"/>
      <c r="E183" s="18"/>
      <c r="H183" s="13"/>
    </row>
    <row r="184" spans="1:8" ht="12.75" hidden="1">
      <c r="A184" s="11" t="s">
        <v>544</v>
      </c>
      <c r="B184" s="13" t="s">
        <v>545</v>
      </c>
      <c r="C184" s="15" t="s">
        <v>374</v>
      </c>
      <c r="D184" s="511"/>
      <c r="E184" s="18"/>
      <c r="H184" s="13"/>
    </row>
    <row r="185" spans="1:8" ht="12.75" hidden="1">
      <c r="A185" s="11" t="s">
        <v>547</v>
      </c>
      <c r="B185" s="514" t="s">
        <v>547</v>
      </c>
      <c r="C185" s="515" t="s">
        <v>155</v>
      </c>
      <c r="D185" s="511"/>
      <c r="E185" s="18"/>
      <c r="H185" s="13"/>
    </row>
    <row r="186" spans="1:8" ht="12.75" hidden="1">
      <c r="A186" s="11" t="s">
        <v>548</v>
      </c>
      <c r="B186" s="512"/>
      <c r="C186" s="512"/>
      <c r="D186" s="511"/>
      <c r="E186" s="18"/>
      <c r="H186" s="13"/>
    </row>
    <row r="187" spans="1:8" ht="12.75" hidden="1">
      <c r="A187" s="11" t="s">
        <v>549</v>
      </c>
      <c r="B187" s="13" t="s">
        <v>549</v>
      </c>
      <c r="C187" s="13" t="s">
        <v>207</v>
      </c>
      <c r="D187" s="511"/>
      <c r="E187" s="18"/>
      <c r="H187" s="13"/>
    </row>
    <row r="188" spans="1:8" ht="12.75" hidden="1">
      <c r="A188" s="11" t="s">
        <v>551</v>
      </c>
      <c r="B188" s="13" t="s">
        <v>551</v>
      </c>
      <c r="C188" s="15" t="s">
        <v>374</v>
      </c>
      <c r="D188" s="511"/>
      <c r="E188" s="18"/>
      <c r="H188" s="13"/>
    </row>
    <row r="189" spans="1:8" ht="12.75" hidden="1">
      <c r="A189" s="11" t="s">
        <v>110</v>
      </c>
      <c r="B189" s="514" t="s">
        <v>552</v>
      </c>
      <c r="C189" s="515" t="s">
        <v>553</v>
      </c>
      <c r="D189" s="511"/>
      <c r="E189" s="18"/>
      <c r="H189" s="13"/>
    </row>
    <row r="190" spans="1:8" ht="12.75" hidden="1">
      <c r="A190" s="11" t="s">
        <v>129</v>
      </c>
      <c r="B190" s="511"/>
      <c r="C190" s="511"/>
      <c r="D190" s="511"/>
      <c r="E190" s="18"/>
      <c r="H190" s="13"/>
    </row>
    <row r="191" spans="1:8" ht="12.75" hidden="1">
      <c r="A191" s="11" t="s">
        <v>135</v>
      </c>
      <c r="B191" s="512"/>
      <c r="C191" s="512"/>
      <c r="D191" s="511"/>
      <c r="E191" s="18"/>
      <c r="H191" s="13"/>
    </row>
    <row r="192" spans="1:8" ht="12.75" hidden="1">
      <c r="A192" s="11" t="s">
        <v>554</v>
      </c>
      <c r="B192" s="13" t="s">
        <v>555</v>
      </c>
      <c r="C192" s="15" t="s">
        <v>155</v>
      </c>
      <c r="D192" s="511"/>
      <c r="E192" s="18"/>
      <c r="H192" s="13"/>
    </row>
    <row r="193" spans="1:8" ht="12.75" hidden="1">
      <c r="A193" s="11" t="s">
        <v>556</v>
      </c>
      <c r="B193" s="13" t="s">
        <v>557</v>
      </c>
      <c r="C193" s="15" t="s">
        <v>374</v>
      </c>
      <c r="D193" s="511"/>
      <c r="E193" s="18"/>
      <c r="H193" s="13"/>
    </row>
    <row r="194" spans="1:8" ht="12.75" hidden="1">
      <c r="A194" s="11" t="s">
        <v>558</v>
      </c>
      <c r="B194" s="13" t="s">
        <v>558</v>
      </c>
      <c r="C194" s="15" t="s">
        <v>155</v>
      </c>
      <c r="D194" s="511"/>
      <c r="E194" s="18"/>
      <c r="H194" s="13"/>
    </row>
    <row r="195" spans="1:8" ht="12.75" hidden="1">
      <c r="A195" s="11" t="s">
        <v>559</v>
      </c>
      <c r="B195" s="13" t="s">
        <v>559</v>
      </c>
      <c r="C195" s="15" t="s">
        <v>374</v>
      </c>
      <c r="D195" s="511"/>
      <c r="E195" s="18"/>
      <c r="H195" s="13"/>
    </row>
    <row r="196" spans="1:8" ht="12.75" hidden="1">
      <c r="A196" s="11" t="s">
        <v>137</v>
      </c>
      <c r="B196" s="13" t="s">
        <v>154</v>
      </c>
      <c r="C196" s="15" t="s">
        <v>155</v>
      </c>
      <c r="D196" s="511"/>
      <c r="E196" s="18"/>
      <c r="H196" s="13"/>
    </row>
    <row r="197" spans="1:8" ht="12.75" hidden="1">
      <c r="A197" s="11" t="s">
        <v>560</v>
      </c>
      <c r="B197" s="13" t="s">
        <v>561</v>
      </c>
      <c r="C197" s="15" t="s">
        <v>374</v>
      </c>
      <c r="D197" s="511"/>
      <c r="E197" s="18"/>
      <c r="H197" s="13"/>
    </row>
    <row r="198" spans="1:8" ht="12.75" hidden="1">
      <c r="A198" s="11" t="s">
        <v>562</v>
      </c>
      <c r="B198" s="514" t="s">
        <v>563</v>
      </c>
      <c r="C198" s="514" t="s">
        <v>207</v>
      </c>
      <c r="D198" s="511"/>
      <c r="E198" s="18"/>
      <c r="H198" s="13"/>
    </row>
    <row r="199" spans="1:8" ht="12.75" hidden="1">
      <c r="A199" s="11" t="s">
        <v>564</v>
      </c>
      <c r="B199" s="512"/>
      <c r="C199" s="512"/>
      <c r="D199" s="511"/>
      <c r="E199" s="18"/>
      <c r="H199" s="13"/>
    </row>
    <row r="200" spans="1:8" ht="12.75" hidden="1">
      <c r="A200" s="11" t="s">
        <v>149</v>
      </c>
      <c r="B200" s="13" t="s">
        <v>149</v>
      </c>
      <c r="C200" s="15" t="s">
        <v>374</v>
      </c>
      <c r="D200" s="511"/>
      <c r="E200" s="18"/>
      <c r="H200" s="13"/>
    </row>
    <row r="201" spans="1:8" ht="12.75" hidden="1">
      <c r="A201" s="11" t="s">
        <v>565</v>
      </c>
      <c r="B201" s="13" t="s">
        <v>566</v>
      </c>
      <c r="C201" s="15" t="s">
        <v>155</v>
      </c>
      <c r="D201" s="511"/>
      <c r="E201" s="18"/>
      <c r="H201" s="13"/>
    </row>
    <row r="202" spans="1:8" ht="12.75" hidden="1">
      <c r="A202" s="7" t="s">
        <v>568</v>
      </c>
      <c r="B202" s="13" t="s">
        <v>569</v>
      </c>
      <c r="C202" s="13" t="s">
        <v>207</v>
      </c>
      <c r="D202" s="511"/>
      <c r="E202" s="18"/>
      <c r="H202" s="13"/>
    </row>
    <row r="203" spans="1:8" ht="12.75" hidden="1">
      <c r="A203" s="11" t="s">
        <v>156</v>
      </c>
      <c r="B203" s="13" t="s">
        <v>570</v>
      </c>
      <c r="C203" s="15" t="s">
        <v>374</v>
      </c>
      <c r="D203" s="511"/>
      <c r="E203" s="18"/>
      <c r="H203" s="13"/>
    </row>
    <row r="204" spans="1:8" ht="12.75" hidden="1">
      <c r="A204" s="11" t="s">
        <v>161</v>
      </c>
      <c r="B204" s="13" t="s">
        <v>571</v>
      </c>
      <c r="C204" s="15" t="s">
        <v>553</v>
      </c>
      <c r="D204" s="511"/>
      <c r="E204" s="18"/>
      <c r="H204" s="13"/>
    </row>
    <row r="205" spans="1:8" ht="12.75" hidden="1">
      <c r="A205" s="11" t="s">
        <v>572</v>
      </c>
      <c r="B205" s="13" t="s">
        <v>573</v>
      </c>
      <c r="C205" s="13" t="s">
        <v>207</v>
      </c>
      <c r="D205" s="511"/>
      <c r="E205" s="18"/>
      <c r="H205" s="13"/>
    </row>
    <row r="206" spans="1:8" ht="12.75" hidden="1">
      <c r="A206" s="11" t="s">
        <v>574</v>
      </c>
      <c r="B206" s="13" t="s">
        <v>575</v>
      </c>
      <c r="C206" s="15" t="s">
        <v>374</v>
      </c>
      <c r="D206" s="511"/>
      <c r="E206" s="18"/>
      <c r="H206" s="13"/>
    </row>
    <row r="207" spans="1:8" ht="12.75" hidden="1">
      <c r="A207" s="11" t="s">
        <v>166</v>
      </c>
      <c r="B207" s="13" t="s">
        <v>576</v>
      </c>
      <c r="C207" s="15" t="s">
        <v>155</v>
      </c>
      <c r="D207" s="511"/>
      <c r="E207" s="18"/>
      <c r="H207" s="13"/>
    </row>
    <row r="208" spans="1:8" ht="12.75" hidden="1">
      <c r="A208" s="11" t="s">
        <v>577</v>
      </c>
      <c r="B208" s="13" t="s">
        <v>578</v>
      </c>
      <c r="C208" s="15" t="s">
        <v>374</v>
      </c>
      <c r="D208" s="511"/>
      <c r="E208" s="18"/>
      <c r="H208" s="13"/>
    </row>
    <row r="209" spans="1:8" ht="12.75" hidden="1">
      <c r="A209" s="11" t="s">
        <v>170</v>
      </c>
      <c r="B209" s="13" t="s">
        <v>579</v>
      </c>
      <c r="C209" s="15" t="s">
        <v>491</v>
      </c>
      <c r="D209" s="511"/>
      <c r="E209" s="18"/>
      <c r="H209" s="13"/>
    </row>
    <row r="210" spans="1:8" ht="12.75" hidden="1">
      <c r="A210" s="7" t="s">
        <v>580</v>
      </c>
      <c r="B210" s="514" t="s">
        <v>581</v>
      </c>
      <c r="C210" s="515" t="s">
        <v>207</v>
      </c>
      <c r="D210" s="511"/>
      <c r="E210" s="18"/>
      <c r="H210" s="13"/>
    </row>
    <row r="211" spans="1:8" ht="12.75" hidden="1">
      <c r="A211" s="11" t="s">
        <v>582</v>
      </c>
      <c r="B211" s="511"/>
      <c r="C211" s="511"/>
      <c r="D211" s="511"/>
      <c r="E211" s="18"/>
      <c r="H211" s="13"/>
    </row>
    <row r="212" spans="1:8" ht="12.75" hidden="1">
      <c r="A212" s="11" t="s">
        <v>584</v>
      </c>
      <c r="B212" s="512"/>
      <c r="C212" s="512"/>
      <c r="D212" s="511"/>
      <c r="E212" s="18"/>
      <c r="H212" s="13"/>
    </row>
    <row r="213" spans="1:8" ht="12.75" hidden="1">
      <c r="A213" s="7" t="s">
        <v>585</v>
      </c>
      <c r="B213" s="514" t="s">
        <v>586</v>
      </c>
      <c r="C213" s="514" t="s">
        <v>207</v>
      </c>
      <c r="D213" s="511"/>
      <c r="E213" s="18"/>
      <c r="H213" s="13"/>
    </row>
    <row r="214" spans="1:8" ht="12.75" hidden="1">
      <c r="A214" s="11" t="s">
        <v>587</v>
      </c>
      <c r="B214" s="512"/>
      <c r="C214" s="512"/>
      <c r="D214" s="511"/>
      <c r="E214" s="18"/>
      <c r="H214" s="13"/>
    </row>
    <row r="215" spans="1:8" ht="12.75" hidden="1">
      <c r="A215" s="11" t="s">
        <v>588</v>
      </c>
      <c r="B215" s="13" t="s">
        <v>589</v>
      </c>
      <c r="C215" s="15" t="s">
        <v>155</v>
      </c>
      <c r="D215" s="511"/>
      <c r="E215" s="18"/>
      <c r="H215" s="13"/>
    </row>
    <row r="216" spans="1:8" ht="12.75" hidden="1">
      <c r="A216" s="7" t="s">
        <v>590</v>
      </c>
      <c r="B216" s="13" t="s">
        <v>591</v>
      </c>
      <c r="C216" s="13" t="s">
        <v>207</v>
      </c>
      <c r="D216" s="511"/>
      <c r="E216" s="18"/>
      <c r="H216" s="13"/>
    </row>
    <row r="217" spans="1:8" ht="12.75" hidden="1">
      <c r="A217" s="11" t="s">
        <v>592</v>
      </c>
      <c r="B217" s="13" t="s">
        <v>593</v>
      </c>
      <c r="C217" s="15" t="s">
        <v>374</v>
      </c>
      <c r="D217" s="511"/>
      <c r="E217" s="18"/>
      <c r="H217" s="13"/>
    </row>
    <row r="218" spans="1:8" ht="12.75" hidden="1">
      <c r="A218" s="11" t="s">
        <v>594</v>
      </c>
      <c r="B218" s="13" t="s">
        <v>595</v>
      </c>
      <c r="C218" s="15" t="s">
        <v>155</v>
      </c>
      <c r="D218" s="511"/>
      <c r="E218" s="18"/>
      <c r="H218" s="13"/>
    </row>
    <row r="219" spans="1:8" ht="12.75" hidden="1">
      <c r="A219" s="7" t="s">
        <v>179</v>
      </c>
      <c r="B219" s="13" t="s">
        <v>596</v>
      </c>
      <c r="C219" s="15" t="s">
        <v>31</v>
      </c>
      <c r="D219" s="511"/>
      <c r="E219" s="18"/>
      <c r="H219" s="13"/>
    </row>
    <row r="220" spans="1:8" ht="12.75" hidden="1">
      <c r="A220" s="7" t="s">
        <v>189</v>
      </c>
      <c r="B220" s="13" t="s">
        <v>597</v>
      </c>
      <c r="C220" s="15" t="s">
        <v>598</v>
      </c>
      <c r="D220" s="511"/>
      <c r="E220" s="18"/>
      <c r="H220" s="13"/>
    </row>
    <row r="221" spans="1:8" ht="12.75" hidden="1">
      <c r="A221" s="7" t="s">
        <v>193</v>
      </c>
      <c r="B221" s="13" t="s">
        <v>193</v>
      </c>
      <c r="C221" s="15" t="s">
        <v>491</v>
      </c>
      <c r="D221" s="511"/>
      <c r="E221" s="18"/>
      <c r="H221" s="13"/>
    </row>
    <row r="222" spans="1:8" ht="12.75" hidden="1">
      <c r="A222" s="11" t="s">
        <v>197</v>
      </c>
      <c r="B222" s="13" t="s">
        <v>197</v>
      </c>
      <c r="C222" s="15" t="s">
        <v>374</v>
      </c>
      <c r="D222" s="511"/>
      <c r="E222" s="18"/>
      <c r="H222" s="13"/>
    </row>
    <row r="223" spans="1:8" ht="12.75" hidden="1">
      <c r="A223" s="11" t="s">
        <v>599</v>
      </c>
      <c r="B223" s="514" t="s">
        <v>600</v>
      </c>
      <c r="C223" s="515" t="s">
        <v>553</v>
      </c>
      <c r="D223" s="511"/>
      <c r="E223" s="18"/>
      <c r="H223" s="13"/>
    </row>
    <row r="224" spans="1:8" ht="12.75" hidden="1">
      <c r="A224" s="11" t="s">
        <v>601</v>
      </c>
      <c r="B224" s="512"/>
      <c r="C224" s="512"/>
      <c r="D224" s="511"/>
      <c r="E224" s="18"/>
      <c r="H224" s="13"/>
    </row>
    <row r="225" spans="1:8" ht="12.75" hidden="1">
      <c r="A225" s="11" t="s">
        <v>602</v>
      </c>
      <c r="B225" s="514" t="s">
        <v>603</v>
      </c>
      <c r="C225" s="515" t="s">
        <v>374</v>
      </c>
      <c r="D225" s="511"/>
      <c r="E225" s="18"/>
      <c r="H225" s="13"/>
    </row>
    <row r="226" spans="1:8" ht="12.75" hidden="1">
      <c r="A226" s="11" t="s">
        <v>604</v>
      </c>
      <c r="B226" s="512"/>
      <c r="C226" s="512"/>
      <c r="D226" s="511"/>
      <c r="E226" s="18"/>
      <c r="H226" s="13"/>
    </row>
    <row r="227" spans="1:8" ht="12.75" hidden="1">
      <c r="A227" s="11" t="s">
        <v>202</v>
      </c>
      <c r="B227" s="11" t="s">
        <v>202</v>
      </c>
      <c r="C227" s="15" t="s">
        <v>374</v>
      </c>
      <c r="D227" s="511"/>
      <c r="E227" s="18"/>
      <c r="H227" s="13"/>
    </row>
    <row r="228" spans="1:8" ht="12.75" hidden="1">
      <c r="A228" s="77" t="s">
        <v>605</v>
      </c>
      <c r="B228" s="514" t="s">
        <v>606</v>
      </c>
      <c r="C228" s="515" t="s">
        <v>155</v>
      </c>
      <c r="D228" s="511"/>
      <c r="E228" s="18"/>
      <c r="H228" s="13"/>
    </row>
    <row r="229" spans="1:8" ht="12.75" hidden="1">
      <c r="A229" s="11" t="s">
        <v>607</v>
      </c>
      <c r="B229" s="512"/>
      <c r="C229" s="512"/>
      <c r="D229" s="511"/>
      <c r="E229" s="18"/>
      <c r="H229" s="13"/>
    </row>
    <row r="230" spans="1:8" ht="12.75" hidden="1">
      <c r="A230" s="11" t="s">
        <v>608</v>
      </c>
      <c r="B230" s="13" t="s">
        <v>609</v>
      </c>
      <c r="C230" s="15" t="s">
        <v>374</v>
      </c>
      <c r="D230" s="511"/>
      <c r="E230" s="18"/>
      <c r="H230" s="13"/>
    </row>
    <row r="231" spans="1:8" ht="12.75" hidden="1">
      <c r="A231" s="11" t="s">
        <v>610</v>
      </c>
      <c r="B231" s="514" t="s">
        <v>611</v>
      </c>
      <c r="C231" s="515" t="s">
        <v>128</v>
      </c>
      <c r="D231" s="511"/>
      <c r="E231" s="18"/>
      <c r="H231" s="13"/>
    </row>
    <row r="232" spans="1:8" ht="12.75" hidden="1">
      <c r="A232" s="11" t="s">
        <v>612</v>
      </c>
      <c r="B232" s="512"/>
      <c r="C232" s="512"/>
      <c r="D232" s="511"/>
      <c r="E232" s="18"/>
      <c r="H232" s="13"/>
    </row>
    <row r="233" spans="1:8" ht="12.75" hidden="1">
      <c r="A233" s="11" t="s">
        <v>37</v>
      </c>
      <c r="B233" s="514" t="s">
        <v>614</v>
      </c>
      <c r="C233" s="515" t="s">
        <v>151</v>
      </c>
      <c r="D233" s="511"/>
      <c r="E233" s="18"/>
      <c r="H233" s="13"/>
    </row>
    <row r="234" spans="1:8" ht="12.75" hidden="1">
      <c r="A234" s="11" t="s">
        <v>38</v>
      </c>
      <c r="B234" s="511"/>
      <c r="C234" s="511"/>
      <c r="D234" s="511"/>
      <c r="E234" s="18"/>
      <c r="H234" s="13"/>
    </row>
    <row r="235" spans="1:8" ht="12.75" hidden="1">
      <c r="A235" s="11" t="s">
        <v>39</v>
      </c>
      <c r="B235" s="512"/>
      <c r="C235" s="512"/>
      <c r="D235" s="511"/>
      <c r="E235" s="18"/>
      <c r="H235" s="13"/>
    </row>
    <row r="236" spans="1:8" ht="12.75" hidden="1">
      <c r="A236" s="11" t="s">
        <v>36</v>
      </c>
      <c r="B236" s="13" t="s">
        <v>36</v>
      </c>
      <c r="C236" s="15" t="s">
        <v>103</v>
      </c>
      <c r="D236" s="511"/>
      <c r="E236" s="18"/>
      <c r="H236" s="13"/>
    </row>
    <row r="237" spans="1:8" ht="12.75" hidden="1">
      <c r="A237" s="11" t="s">
        <v>615</v>
      </c>
      <c r="B237" s="514" t="s">
        <v>616</v>
      </c>
      <c r="C237" s="515" t="s">
        <v>553</v>
      </c>
      <c r="D237" s="511"/>
      <c r="E237" s="18"/>
      <c r="H237" s="13"/>
    </row>
    <row r="238" spans="1:8" ht="12.75" hidden="1">
      <c r="A238" s="11" t="s">
        <v>617</v>
      </c>
      <c r="B238" s="511"/>
      <c r="C238" s="511"/>
      <c r="D238" s="511"/>
      <c r="E238" s="18"/>
      <c r="H238" s="13"/>
    </row>
    <row r="239" spans="1:8" ht="12.75" hidden="1">
      <c r="A239" s="11" t="s">
        <v>618</v>
      </c>
      <c r="B239" s="511"/>
      <c r="C239" s="511"/>
      <c r="D239" s="511"/>
      <c r="E239" s="18"/>
      <c r="H239" s="13"/>
    </row>
    <row r="240" spans="1:8" ht="12.75" hidden="1">
      <c r="A240" s="11" t="s">
        <v>619</v>
      </c>
      <c r="B240" s="512"/>
      <c r="C240" s="512"/>
      <c r="D240" s="512"/>
      <c r="E240" s="18"/>
      <c r="H240" s="13"/>
    </row>
    <row r="241" spans="1:8" ht="12.75" hidden="1">
      <c r="A241" s="11" t="s">
        <v>620</v>
      </c>
      <c r="B241" s="514" t="s">
        <v>621</v>
      </c>
      <c r="C241" s="515" t="s">
        <v>622</v>
      </c>
      <c r="D241" s="514" t="s">
        <v>623</v>
      </c>
      <c r="E241" s="18"/>
      <c r="H241" s="13"/>
    </row>
    <row r="242" spans="1:8" ht="12.75" hidden="1">
      <c r="A242" s="11" t="s">
        <v>624</v>
      </c>
      <c r="B242" s="511"/>
      <c r="C242" s="511"/>
      <c r="D242" s="511"/>
      <c r="E242" s="18"/>
      <c r="H242" s="13"/>
    </row>
    <row r="243" spans="1:8" ht="12.75" hidden="1">
      <c r="A243" s="11" t="s">
        <v>625</v>
      </c>
      <c r="B243" s="512"/>
      <c r="C243" s="511"/>
      <c r="D243" s="511"/>
      <c r="E243" s="18"/>
      <c r="H243" s="13"/>
    </row>
    <row r="244" spans="1:8" ht="12.75" hidden="1">
      <c r="A244" s="11" t="s">
        <v>626</v>
      </c>
      <c r="B244" s="514" t="s">
        <v>627</v>
      </c>
      <c r="C244" s="511"/>
      <c r="D244" s="511"/>
      <c r="E244" s="18"/>
      <c r="H244" s="13"/>
    </row>
    <row r="245" spans="1:8" ht="12.75" hidden="1">
      <c r="A245" s="11" t="s">
        <v>628</v>
      </c>
      <c r="B245" s="511"/>
      <c r="C245" s="511"/>
      <c r="D245" s="511"/>
      <c r="E245" s="18"/>
      <c r="H245" s="13"/>
    </row>
    <row r="246" spans="1:8" ht="12.75" hidden="1">
      <c r="A246" s="11" t="s">
        <v>629</v>
      </c>
      <c r="B246" s="512"/>
      <c r="C246" s="511"/>
      <c r="D246" s="511"/>
      <c r="E246" s="18"/>
      <c r="H246" s="13"/>
    </row>
    <row r="247" spans="1:8" ht="12.75" hidden="1">
      <c r="A247" s="11" t="s">
        <v>630</v>
      </c>
      <c r="B247" s="514" t="s">
        <v>631</v>
      </c>
      <c r="C247" s="511"/>
      <c r="D247" s="511"/>
      <c r="E247" s="18"/>
      <c r="H247" s="13"/>
    </row>
    <row r="248" spans="1:8" ht="12.75" hidden="1">
      <c r="A248" s="11" t="s">
        <v>632</v>
      </c>
      <c r="B248" s="511"/>
      <c r="C248" s="511"/>
      <c r="D248" s="511"/>
      <c r="E248" s="18"/>
      <c r="H248" s="13"/>
    </row>
    <row r="249" spans="1:8" ht="12.75" hidden="1">
      <c r="A249" s="11" t="s">
        <v>633</v>
      </c>
      <c r="B249" s="512"/>
      <c r="C249" s="512"/>
      <c r="D249" s="512"/>
      <c r="E249" s="18"/>
      <c r="H249" s="13"/>
    </row>
    <row r="250" spans="1:8" ht="12.75" hidden="1">
      <c r="A250" s="11" t="s">
        <v>634</v>
      </c>
      <c r="B250" s="13" t="s">
        <v>634</v>
      </c>
      <c r="C250" s="15" t="s">
        <v>493</v>
      </c>
      <c r="D250" s="514" t="s">
        <v>635</v>
      </c>
      <c r="E250" s="18"/>
      <c r="H250" s="13"/>
    </row>
    <row r="251" spans="1:8" ht="12.75" hidden="1">
      <c r="A251" s="11" t="s">
        <v>211</v>
      </c>
      <c r="B251" s="15" t="s">
        <v>211</v>
      </c>
      <c r="C251" s="515" t="s">
        <v>65</v>
      </c>
      <c r="D251" s="511"/>
      <c r="E251" s="18"/>
      <c r="H251" s="13"/>
    </row>
    <row r="252" spans="1:8" ht="12.75" hidden="1">
      <c r="A252" s="11" t="s">
        <v>637</v>
      </c>
      <c r="B252" s="15" t="s">
        <v>637</v>
      </c>
      <c r="C252" s="511"/>
      <c r="D252" s="511"/>
      <c r="E252" s="18"/>
      <c r="H252" s="13"/>
    </row>
    <row r="253" spans="1:8" ht="12.75" hidden="1">
      <c r="A253" s="11" t="s">
        <v>638</v>
      </c>
      <c r="B253" s="15" t="s">
        <v>638</v>
      </c>
      <c r="C253" s="511"/>
      <c r="D253" s="511"/>
      <c r="E253" s="18"/>
      <c r="H253" s="13"/>
    </row>
    <row r="254" spans="1:8" ht="12.75" hidden="1">
      <c r="A254" s="11" t="s">
        <v>69</v>
      </c>
      <c r="B254" s="15" t="s">
        <v>69</v>
      </c>
      <c r="C254" s="511"/>
      <c r="D254" s="511"/>
      <c r="E254" s="18"/>
      <c r="H254" s="13"/>
    </row>
    <row r="255" spans="1:8" ht="12.75" hidden="1">
      <c r="A255" s="11" t="s">
        <v>639</v>
      </c>
      <c r="B255" s="15" t="s">
        <v>639</v>
      </c>
      <c r="C255" s="512"/>
      <c r="D255" s="511"/>
      <c r="E255" s="18"/>
      <c r="H255" s="13"/>
    </row>
    <row r="256" spans="1:8" ht="12.75" hidden="1">
      <c r="A256" s="11" t="s">
        <v>287</v>
      </c>
      <c r="B256" s="8" t="s">
        <v>287</v>
      </c>
      <c r="C256" s="515" t="s">
        <v>155</v>
      </c>
      <c r="D256" s="511"/>
      <c r="E256" s="18"/>
      <c r="H256" s="13"/>
    </row>
    <row r="257" spans="1:8" ht="12.75" hidden="1">
      <c r="A257" s="11" t="s">
        <v>643</v>
      </c>
      <c r="B257" s="8" t="s">
        <v>643</v>
      </c>
      <c r="C257" s="511"/>
      <c r="D257" s="511"/>
      <c r="E257" s="18"/>
      <c r="H257" s="13"/>
    </row>
    <row r="258" spans="1:8" ht="12.75" hidden="1">
      <c r="A258" s="11" t="s">
        <v>425</v>
      </c>
      <c r="B258" s="8" t="s">
        <v>425</v>
      </c>
      <c r="C258" s="512"/>
      <c r="D258" s="512"/>
      <c r="E258" s="18"/>
      <c r="H258" s="13"/>
    </row>
    <row r="259" spans="1:8" ht="12.75" hidden="1">
      <c r="A259" s="11" t="s">
        <v>646</v>
      </c>
      <c r="B259" s="514" t="s">
        <v>647</v>
      </c>
      <c r="C259" s="515" t="s">
        <v>31</v>
      </c>
      <c r="D259" s="514" t="s">
        <v>649</v>
      </c>
      <c r="E259" s="18"/>
      <c r="H259" s="13"/>
    </row>
    <row r="260" spans="1:8" ht="12.75" hidden="1">
      <c r="A260" s="11" t="s">
        <v>651</v>
      </c>
      <c r="B260" s="512"/>
      <c r="C260" s="512"/>
      <c r="D260" s="511"/>
      <c r="E260" s="18"/>
      <c r="H260" s="13"/>
    </row>
    <row r="261" spans="1:8" ht="12.75" hidden="1">
      <c r="A261" s="11" t="s">
        <v>653</v>
      </c>
      <c r="B261" s="514" t="s">
        <v>654</v>
      </c>
      <c r="C261" s="515" t="s">
        <v>155</v>
      </c>
      <c r="D261" s="511"/>
      <c r="E261" s="18"/>
      <c r="H261" s="13"/>
    </row>
    <row r="262" spans="1:8" ht="12.75" hidden="1">
      <c r="A262" s="11" t="s">
        <v>658</v>
      </c>
      <c r="B262" s="512"/>
      <c r="C262" s="511"/>
      <c r="D262" s="511"/>
      <c r="E262" s="18"/>
      <c r="H262" s="13"/>
    </row>
    <row r="263" spans="1:8" ht="12.75" hidden="1">
      <c r="A263" s="11" t="s">
        <v>659</v>
      </c>
      <c r="B263" s="514" t="s">
        <v>660</v>
      </c>
      <c r="C263" s="511"/>
      <c r="D263" s="511"/>
      <c r="E263" s="18"/>
      <c r="H263" s="13"/>
    </row>
    <row r="264" spans="1:8" ht="12.75" hidden="1">
      <c r="A264" s="11" t="s">
        <v>661</v>
      </c>
      <c r="B264" s="512"/>
      <c r="C264" s="512"/>
      <c r="D264" s="512"/>
      <c r="E264" s="18"/>
      <c r="H264" s="13"/>
    </row>
    <row r="265" spans="1:8" ht="12.75" hidden="1">
      <c r="A265" s="11" t="s">
        <v>662</v>
      </c>
      <c r="B265" s="8" t="s">
        <v>662</v>
      </c>
      <c r="C265" s="515" t="s">
        <v>408</v>
      </c>
      <c r="D265" s="514" t="s">
        <v>663</v>
      </c>
      <c r="E265" s="18"/>
      <c r="H265" s="13"/>
    </row>
    <row r="266" spans="1:8" ht="12.75" hidden="1">
      <c r="A266" s="11" t="s">
        <v>664</v>
      </c>
      <c r="B266" s="8" t="s">
        <v>664</v>
      </c>
      <c r="C266" s="512"/>
      <c r="D266" s="512"/>
      <c r="E266" s="18"/>
      <c r="H266" s="13"/>
    </row>
    <row r="267" spans="1:8" ht="12.75" hidden="1">
      <c r="A267" s="7" t="s">
        <v>310</v>
      </c>
      <c r="B267" s="13" t="s">
        <v>309</v>
      </c>
      <c r="C267" s="514" t="s">
        <v>666</v>
      </c>
      <c r="D267" s="514" t="s">
        <v>311</v>
      </c>
      <c r="E267" s="18"/>
      <c r="H267" s="13"/>
    </row>
    <row r="268" spans="1:8" ht="12.75" hidden="1">
      <c r="A268" s="7" t="s">
        <v>314</v>
      </c>
      <c r="B268" s="13" t="s">
        <v>313</v>
      </c>
      <c r="C268" s="512"/>
      <c r="D268" s="511"/>
      <c r="E268" s="18"/>
      <c r="H268" s="13"/>
    </row>
    <row r="269" spans="1:8" ht="12.75" hidden="1">
      <c r="A269" s="7" t="s">
        <v>317</v>
      </c>
      <c r="B269" s="13" t="s">
        <v>316</v>
      </c>
      <c r="C269" s="13" t="s">
        <v>374</v>
      </c>
      <c r="D269" s="511"/>
      <c r="E269" s="18"/>
      <c r="H269" s="13"/>
    </row>
    <row r="270" spans="1:8" ht="12.75" hidden="1">
      <c r="A270" s="7" t="s">
        <v>323</v>
      </c>
      <c r="B270" s="514" t="s">
        <v>322</v>
      </c>
      <c r="C270" s="514" t="s">
        <v>668</v>
      </c>
      <c r="D270" s="511"/>
      <c r="E270" s="18"/>
      <c r="H270" s="13"/>
    </row>
    <row r="271" spans="1:8" ht="12.75" hidden="1">
      <c r="A271" s="7" t="s">
        <v>324</v>
      </c>
      <c r="B271" s="511"/>
      <c r="C271" s="511"/>
      <c r="D271" s="511"/>
      <c r="E271" s="18"/>
      <c r="H271" s="13"/>
    </row>
    <row r="272" spans="1:8" ht="12.75" hidden="1">
      <c r="A272" s="7" t="s">
        <v>326</v>
      </c>
      <c r="B272" s="511"/>
      <c r="C272" s="511"/>
      <c r="D272" s="511"/>
      <c r="E272" s="18"/>
      <c r="H272" s="13"/>
    </row>
    <row r="273" spans="1:8" ht="12.75" hidden="1">
      <c r="A273" s="7" t="s">
        <v>329</v>
      </c>
      <c r="B273" s="512"/>
      <c r="C273" s="512"/>
      <c r="D273" s="511"/>
      <c r="E273" s="18"/>
      <c r="H273" s="13"/>
    </row>
    <row r="274" spans="1:8" ht="12.75" hidden="1">
      <c r="A274" s="7" t="s">
        <v>335</v>
      </c>
      <c r="B274" s="514" t="s">
        <v>333</v>
      </c>
      <c r="C274" s="514" t="s">
        <v>666</v>
      </c>
      <c r="D274" s="511"/>
      <c r="E274" s="18"/>
      <c r="H274" s="13"/>
    </row>
    <row r="275" spans="1:8" ht="12.75" hidden="1">
      <c r="A275" s="7" t="s">
        <v>337</v>
      </c>
      <c r="B275" s="512"/>
      <c r="C275" s="512"/>
      <c r="D275" s="511"/>
      <c r="E275" s="18"/>
      <c r="H275" s="13"/>
    </row>
    <row r="276" spans="1:8" ht="12.75" hidden="1">
      <c r="A276" s="7" t="s">
        <v>341</v>
      </c>
      <c r="B276" s="514" t="s">
        <v>339</v>
      </c>
      <c r="C276" s="514" t="s">
        <v>374</v>
      </c>
      <c r="D276" s="511"/>
      <c r="E276" s="18"/>
      <c r="H276" s="13"/>
    </row>
    <row r="277" spans="1:8" ht="12.75" hidden="1">
      <c r="A277" s="7" t="s">
        <v>343</v>
      </c>
      <c r="B277" s="512"/>
      <c r="C277" s="512"/>
      <c r="D277" s="512"/>
      <c r="E277" s="18"/>
      <c r="H277" s="13"/>
    </row>
    <row r="278" spans="1:8" ht="12.75" hidden="1">
      <c r="A278" s="54" t="s">
        <v>467</v>
      </c>
      <c r="B278" s="61" t="s">
        <v>467</v>
      </c>
      <c r="C278" s="97" t="s">
        <v>553</v>
      </c>
      <c r="D278" s="514" t="s">
        <v>350</v>
      </c>
      <c r="E278" s="18"/>
      <c r="H278" s="13"/>
    </row>
    <row r="279" spans="1:8" ht="12.75" hidden="1">
      <c r="A279" s="54" t="s">
        <v>469</v>
      </c>
      <c r="B279" s="61" t="s">
        <v>469</v>
      </c>
      <c r="C279" s="97" t="s">
        <v>374</v>
      </c>
      <c r="D279" s="511"/>
      <c r="E279" s="18"/>
      <c r="H279" s="13"/>
    </row>
    <row r="280" spans="1:8" ht="12.75" hidden="1">
      <c r="A280" s="55" t="s">
        <v>349</v>
      </c>
      <c r="B280" s="61" t="s">
        <v>349</v>
      </c>
      <c r="C280" s="524" t="s">
        <v>207</v>
      </c>
      <c r="D280" s="511"/>
      <c r="E280" s="18"/>
      <c r="H280" s="13"/>
    </row>
    <row r="281" spans="1:8" ht="12.75" hidden="1">
      <c r="A281" s="55" t="s">
        <v>353</v>
      </c>
      <c r="B281" s="61" t="s">
        <v>353</v>
      </c>
      <c r="C281" s="512"/>
      <c r="D281" s="511"/>
      <c r="E281" s="18"/>
      <c r="H281" s="13"/>
    </row>
    <row r="282" spans="1:8" ht="12.75" hidden="1">
      <c r="A282" s="55" t="s">
        <v>472</v>
      </c>
      <c r="B282" s="62" t="s">
        <v>472</v>
      </c>
      <c r="C282" s="97" t="s">
        <v>374</v>
      </c>
      <c r="D282" s="511"/>
      <c r="E282" s="18"/>
      <c r="H282" s="13"/>
    </row>
    <row r="283" spans="1:8" ht="12.75" hidden="1">
      <c r="A283" s="55" t="s">
        <v>474</v>
      </c>
      <c r="B283" s="62" t="s">
        <v>474</v>
      </c>
      <c r="C283" s="97" t="s">
        <v>666</v>
      </c>
      <c r="D283" s="511"/>
      <c r="E283" s="18"/>
      <c r="H283" s="13"/>
    </row>
    <row r="284" spans="1:8" ht="12.75" hidden="1">
      <c r="A284" s="7" t="s">
        <v>11</v>
      </c>
      <c r="B284" s="4" t="s">
        <v>11</v>
      </c>
      <c r="C284" s="97" t="s">
        <v>374</v>
      </c>
      <c r="D284" s="511"/>
      <c r="E284" s="18"/>
      <c r="H284" s="13"/>
    </row>
    <row r="285" spans="1:8" ht="12.75" hidden="1">
      <c r="A285" s="7" t="s">
        <v>17</v>
      </c>
      <c r="B285" s="4" t="s">
        <v>17</v>
      </c>
      <c r="C285" s="97" t="s">
        <v>207</v>
      </c>
      <c r="D285" s="512"/>
      <c r="E285" s="18"/>
      <c r="H285" s="13"/>
    </row>
  </sheetData>
  <mergeCells count="146">
    <mergeCell ref="B237:B240"/>
    <mergeCell ref="B241:B243"/>
    <mergeCell ref="C225:C226"/>
    <mergeCell ref="C228:C229"/>
    <mergeCell ref="B231:B232"/>
    <mergeCell ref="C231:C232"/>
    <mergeCell ref="B233:B235"/>
    <mergeCell ref="C233:C235"/>
    <mergeCell ref="C237:C240"/>
    <mergeCell ref="D241:D249"/>
    <mergeCell ref="D250:D258"/>
    <mergeCell ref="D259:D264"/>
    <mergeCell ref="D265:D266"/>
    <mergeCell ref="B270:B273"/>
    <mergeCell ref="C270:C273"/>
    <mergeCell ref="B274:B275"/>
    <mergeCell ref="C274:C275"/>
    <mergeCell ref="B259:B260"/>
    <mergeCell ref="B261:B262"/>
    <mergeCell ref="B263:B264"/>
    <mergeCell ref="B276:B277"/>
    <mergeCell ref="C276:C277"/>
    <mergeCell ref="C280:C281"/>
    <mergeCell ref="D267:D277"/>
    <mergeCell ref="D278:D285"/>
    <mergeCell ref="C160:C161"/>
    <mergeCell ref="C164:C165"/>
    <mergeCell ref="B166:B168"/>
    <mergeCell ref="C166:C168"/>
    <mergeCell ref="B169:B170"/>
    <mergeCell ref="C172:C173"/>
    <mergeCell ref="C176:C177"/>
    <mergeCell ref="B176:B177"/>
    <mergeCell ref="B180:B181"/>
    <mergeCell ref="C180:C181"/>
    <mergeCell ref="C259:C260"/>
    <mergeCell ref="C261:C264"/>
    <mergeCell ref="C265:C266"/>
    <mergeCell ref="C267:C268"/>
    <mergeCell ref="C241:C249"/>
    <mergeCell ref="B244:B246"/>
    <mergeCell ref="B247:B249"/>
    <mergeCell ref="C251:C255"/>
    <mergeCell ref="C256:C258"/>
    <mergeCell ref="B185:B186"/>
    <mergeCell ref="C185:C186"/>
    <mergeCell ref="B189:B191"/>
    <mergeCell ref="C189:C191"/>
    <mergeCell ref="B142:B143"/>
    <mergeCell ref="B145:B146"/>
    <mergeCell ref="B104:B105"/>
    <mergeCell ref="C104:C105"/>
    <mergeCell ref="B110:B113"/>
    <mergeCell ref="B116:B118"/>
    <mergeCell ref="B123:B124"/>
    <mergeCell ref="B130:B131"/>
    <mergeCell ref="B152:B155"/>
    <mergeCell ref="C129:C131"/>
    <mergeCell ref="C132:C133"/>
    <mergeCell ref="C142:C143"/>
    <mergeCell ref="C145:C146"/>
    <mergeCell ref="C152:C155"/>
    <mergeCell ref="B223:B224"/>
    <mergeCell ref="B225:B226"/>
    <mergeCell ref="B228:B229"/>
    <mergeCell ref="B198:B199"/>
    <mergeCell ref="C198:C199"/>
    <mergeCell ref="B210:B212"/>
    <mergeCell ref="C210:C212"/>
    <mergeCell ref="B213:B214"/>
    <mergeCell ref="C213:C214"/>
    <mergeCell ref="C223:C224"/>
    <mergeCell ref="C99:C100"/>
    <mergeCell ref="H158:H159"/>
    <mergeCell ref="H166:H179"/>
    <mergeCell ref="H116:H121"/>
    <mergeCell ref="H122:H127"/>
    <mergeCell ref="H128:H134"/>
    <mergeCell ref="H135:H137"/>
    <mergeCell ref="H138:H140"/>
    <mergeCell ref="H141:H155"/>
    <mergeCell ref="H156:H157"/>
    <mergeCell ref="E166:E168"/>
    <mergeCell ref="C169:C170"/>
    <mergeCell ref="E169:E170"/>
    <mergeCell ref="D156:D165"/>
    <mergeCell ref="D166:D240"/>
    <mergeCell ref="D128:D155"/>
    <mergeCell ref="B3:B5"/>
    <mergeCell ref="B38:B39"/>
    <mergeCell ref="B44:B45"/>
    <mergeCell ref="B50:B52"/>
    <mergeCell ref="B56:B57"/>
    <mergeCell ref="B62:B63"/>
    <mergeCell ref="B68:B70"/>
    <mergeCell ref="D2:D127"/>
    <mergeCell ref="B74:B76"/>
    <mergeCell ref="B80:B81"/>
    <mergeCell ref="B86:B89"/>
    <mergeCell ref="B92:B94"/>
    <mergeCell ref="B99:B100"/>
    <mergeCell ref="B14:B16"/>
    <mergeCell ref="B8:B10"/>
    <mergeCell ref="B20:B22"/>
    <mergeCell ref="B26:B28"/>
    <mergeCell ref="B32:B34"/>
    <mergeCell ref="C38:C39"/>
    <mergeCell ref="C50:C52"/>
    <mergeCell ref="C86:C89"/>
    <mergeCell ref="C116:C118"/>
    <mergeCell ref="C92:C94"/>
    <mergeCell ref="C123:C124"/>
    <mergeCell ref="C106:C107"/>
    <mergeCell ref="C110:C113"/>
    <mergeCell ref="C68:C70"/>
    <mergeCell ref="H68:H73"/>
    <mergeCell ref="C74:C76"/>
    <mergeCell ref="H74:H79"/>
    <mergeCell ref="C80:C81"/>
    <mergeCell ref="C14:C16"/>
    <mergeCell ref="H14:H19"/>
    <mergeCell ref="H20:H25"/>
    <mergeCell ref="C26:C28"/>
    <mergeCell ref="C20:C22"/>
    <mergeCell ref="C32:C34"/>
    <mergeCell ref="C40:C41"/>
    <mergeCell ref="C44:C45"/>
    <mergeCell ref="H32:H37"/>
    <mergeCell ref="H38:H43"/>
    <mergeCell ref="H80:H85"/>
    <mergeCell ref="H86:H91"/>
    <mergeCell ref="H92:H97"/>
    <mergeCell ref="H98:H103"/>
    <mergeCell ref="H104:H109"/>
    <mergeCell ref="H110:H115"/>
    <mergeCell ref="H50:H55"/>
    <mergeCell ref="C56:C57"/>
    <mergeCell ref="H56:H61"/>
    <mergeCell ref="C62:C63"/>
    <mergeCell ref="H62:H67"/>
    <mergeCell ref="H2:H7"/>
    <mergeCell ref="C3:C5"/>
    <mergeCell ref="C8:C10"/>
    <mergeCell ref="H8:H13"/>
    <mergeCell ref="H26:H31"/>
    <mergeCell ref="H44:H49"/>
  </mergeCells>
  <dataValidations count="1">
    <dataValidation type="list" allowBlank="1" showErrorMessage="1" sqref="E2:E163" xr:uid="{00000000-0002-0000-0700-000000000000}">
      <formula1>"Indoor,Outdoor"</formula1>
    </dataValidation>
  </dataValidations>
  <printOptions horizontalCentered="1" gridLines="1"/>
  <pageMargins left="0.7" right="0.7" top="0.75" bottom="0.75" header="0" footer="0"/>
  <pageSetup fitToHeight="0" pageOrder="overThenDown" orientation="landscape" cellComments="atEnd"/>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H285"/>
  <sheetViews>
    <sheetView workbookViewId="0">
      <pane ySplit="1" topLeftCell="A2" activePane="bottomLeft" state="frozen"/>
      <selection pane="bottomLeft" activeCell="B3" sqref="B3"/>
    </sheetView>
  </sheetViews>
  <sheetFormatPr defaultColWidth="12.5703125" defaultRowHeight="15.75" customHeight="1"/>
  <cols>
    <col min="1" max="1" width="53.5703125" customWidth="1"/>
    <col min="2" max="2" width="43.85546875" hidden="1" customWidth="1"/>
    <col min="3" max="3" width="12.85546875" hidden="1" customWidth="1"/>
    <col min="4" max="4" width="21.7109375" customWidth="1"/>
    <col min="5" max="5" width="29.42578125" customWidth="1"/>
    <col min="8" max="8" width="26" hidden="1" customWidth="1"/>
  </cols>
  <sheetData>
    <row r="1" spans="1:8" ht="12.75">
      <c r="A1" s="5" t="s">
        <v>8</v>
      </c>
      <c r="B1" s="5" t="s">
        <v>12</v>
      </c>
      <c r="C1" s="9" t="s">
        <v>14</v>
      </c>
      <c r="D1" s="5" t="s">
        <v>7</v>
      </c>
      <c r="E1" s="12" t="s">
        <v>700</v>
      </c>
      <c r="H1" s="5" t="s">
        <v>2</v>
      </c>
    </row>
    <row r="2" spans="1:8" ht="12.75">
      <c r="A2" s="14" t="s">
        <v>26</v>
      </c>
      <c r="B2" s="15" t="s">
        <v>26</v>
      </c>
      <c r="C2" s="16" t="s">
        <v>31</v>
      </c>
      <c r="D2" s="514" t="s">
        <v>22</v>
      </c>
      <c r="E2" s="102" t="s">
        <v>707</v>
      </c>
      <c r="F2" s="31" t="s">
        <v>708</v>
      </c>
      <c r="H2" s="514" t="s">
        <v>57</v>
      </c>
    </row>
    <row r="3" spans="1:8" ht="12.75">
      <c r="A3" s="14" t="s">
        <v>61</v>
      </c>
      <c r="B3" s="515" t="s">
        <v>62</v>
      </c>
      <c r="C3" s="515" t="s">
        <v>65</v>
      </c>
      <c r="D3" s="511"/>
      <c r="E3" s="102" t="s">
        <v>711</v>
      </c>
      <c r="F3" s="31" t="s">
        <v>708</v>
      </c>
      <c r="H3" s="511"/>
    </row>
    <row r="4" spans="1:8" ht="12.75">
      <c r="A4" s="14" t="s">
        <v>87</v>
      </c>
      <c r="B4" s="511"/>
      <c r="C4" s="511"/>
      <c r="D4" s="511"/>
      <c r="E4" s="102" t="s">
        <v>711</v>
      </c>
      <c r="F4" s="31" t="s">
        <v>708</v>
      </c>
      <c r="H4" s="511"/>
    </row>
    <row r="5" spans="1:8" ht="12.75">
      <c r="A5" s="14" t="s">
        <v>91</v>
      </c>
      <c r="B5" s="512"/>
      <c r="C5" s="512"/>
      <c r="D5" s="511"/>
      <c r="E5" s="102" t="s">
        <v>711</v>
      </c>
      <c r="F5" s="31" t="s">
        <v>708</v>
      </c>
      <c r="H5" s="511"/>
    </row>
    <row r="6" spans="1:8" ht="12.75">
      <c r="A6" s="14" t="s">
        <v>96</v>
      </c>
      <c r="B6" s="15" t="s">
        <v>96</v>
      </c>
      <c r="C6" s="16" t="s">
        <v>99</v>
      </c>
      <c r="D6" s="511"/>
      <c r="E6" s="102" t="s">
        <v>711</v>
      </c>
      <c r="F6" s="31" t="s">
        <v>708</v>
      </c>
      <c r="H6" s="511"/>
    </row>
    <row r="7" spans="1:8" ht="12.75">
      <c r="A7" s="14" t="s">
        <v>102</v>
      </c>
      <c r="B7" s="15" t="s">
        <v>102</v>
      </c>
      <c r="C7" s="16" t="s">
        <v>103</v>
      </c>
      <c r="D7" s="511"/>
      <c r="E7" s="102" t="s">
        <v>711</v>
      </c>
      <c r="F7" s="31" t="s">
        <v>708</v>
      </c>
      <c r="H7" s="512"/>
    </row>
    <row r="8" spans="1:8" ht="12.75">
      <c r="A8" s="14" t="s">
        <v>105</v>
      </c>
      <c r="B8" s="515" t="s">
        <v>108</v>
      </c>
      <c r="C8" s="515" t="s">
        <v>65</v>
      </c>
      <c r="D8" s="511"/>
      <c r="E8" s="102" t="s">
        <v>707</v>
      </c>
      <c r="F8" s="31" t="s">
        <v>708</v>
      </c>
      <c r="H8" s="514" t="s">
        <v>117</v>
      </c>
    </row>
    <row r="9" spans="1:8" ht="12.75">
      <c r="A9" s="14" t="s">
        <v>120</v>
      </c>
      <c r="B9" s="511"/>
      <c r="C9" s="511"/>
      <c r="D9" s="511"/>
      <c r="E9" s="102" t="s">
        <v>707</v>
      </c>
      <c r="F9" s="31" t="s">
        <v>708</v>
      </c>
      <c r="H9" s="511"/>
    </row>
    <row r="10" spans="1:8" ht="12.75">
      <c r="A10" s="14" t="s">
        <v>124</v>
      </c>
      <c r="B10" s="512"/>
      <c r="C10" s="512"/>
      <c r="D10" s="511"/>
      <c r="E10" s="102" t="s">
        <v>707</v>
      </c>
      <c r="F10" s="31" t="s">
        <v>708</v>
      </c>
      <c r="H10" s="511"/>
    </row>
    <row r="11" spans="1:8" ht="12.75">
      <c r="A11" s="14" t="s">
        <v>126</v>
      </c>
      <c r="B11" s="15" t="s">
        <v>126</v>
      </c>
      <c r="C11" s="15" t="s">
        <v>128</v>
      </c>
      <c r="D11" s="511"/>
      <c r="E11" s="102" t="s">
        <v>711</v>
      </c>
      <c r="F11" s="31" t="s">
        <v>708</v>
      </c>
      <c r="H11" s="511"/>
    </row>
    <row r="12" spans="1:8" ht="12.75">
      <c r="A12" s="14" t="s">
        <v>130</v>
      </c>
      <c r="B12" s="15" t="s">
        <v>130</v>
      </c>
      <c r="C12" s="15" t="s">
        <v>31</v>
      </c>
      <c r="D12" s="511"/>
      <c r="E12" s="102" t="s">
        <v>707</v>
      </c>
      <c r="F12" s="31" t="s">
        <v>708</v>
      </c>
      <c r="H12" s="511"/>
    </row>
    <row r="13" spans="1:8" ht="12.75">
      <c r="A13" s="14" t="s">
        <v>131</v>
      </c>
      <c r="B13" s="15" t="s">
        <v>131</v>
      </c>
      <c r="C13" s="15" t="s">
        <v>103</v>
      </c>
      <c r="D13" s="511"/>
      <c r="E13" s="102" t="s">
        <v>711</v>
      </c>
      <c r="F13" s="31" t="s">
        <v>708</v>
      </c>
      <c r="H13" s="512"/>
    </row>
    <row r="14" spans="1:8" ht="12.75">
      <c r="A14" s="14" t="s">
        <v>133</v>
      </c>
      <c r="B14" s="515" t="s">
        <v>134</v>
      </c>
      <c r="C14" s="515" t="s">
        <v>65</v>
      </c>
      <c r="D14" s="511"/>
      <c r="E14" s="102" t="s">
        <v>711</v>
      </c>
      <c r="F14" s="31" t="s">
        <v>708</v>
      </c>
      <c r="H14" s="514" t="s">
        <v>136</v>
      </c>
    </row>
    <row r="15" spans="1:8" ht="12.75">
      <c r="A15" s="14" t="s">
        <v>138</v>
      </c>
      <c r="B15" s="511"/>
      <c r="C15" s="511"/>
      <c r="D15" s="511"/>
      <c r="E15" s="102" t="s">
        <v>711</v>
      </c>
      <c r="F15" s="31" t="s">
        <v>708</v>
      </c>
      <c r="H15" s="511"/>
    </row>
    <row r="16" spans="1:8" ht="12.75">
      <c r="A16" s="14" t="s">
        <v>145</v>
      </c>
      <c r="B16" s="512"/>
      <c r="C16" s="512"/>
      <c r="D16" s="511"/>
      <c r="E16" s="102" t="s">
        <v>707</v>
      </c>
      <c r="F16" s="31" t="s">
        <v>708</v>
      </c>
      <c r="H16" s="511"/>
    </row>
    <row r="17" spans="1:8" ht="12.75">
      <c r="A17" s="14" t="s">
        <v>147</v>
      </c>
      <c r="B17" s="15" t="s">
        <v>147</v>
      </c>
      <c r="C17" s="15" t="s">
        <v>103</v>
      </c>
      <c r="D17" s="511"/>
      <c r="E17" s="102" t="s">
        <v>711</v>
      </c>
      <c r="F17" s="31" t="s">
        <v>708</v>
      </c>
      <c r="H17" s="511"/>
    </row>
    <row r="18" spans="1:8" ht="12.75">
      <c r="A18" s="14" t="s">
        <v>150</v>
      </c>
      <c r="B18" s="15" t="s">
        <v>150</v>
      </c>
      <c r="C18" s="15" t="s">
        <v>151</v>
      </c>
      <c r="D18" s="511"/>
      <c r="E18" s="102" t="s">
        <v>711</v>
      </c>
      <c r="F18" s="31" t="s">
        <v>708</v>
      </c>
      <c r="H18" s="511"/>
    </row>
    <row r="19" spans="1:8" ht="12.75">
      <c r="A19" s="14" t="s">
        <v>154</v>
      </c>
      <c r="B19" s="15" t="s">
        <v>154</v>
      </c>
      <c r="C19" s="15" t="s">
        <v>155</v>
      </c>
      <c r="D19" s="511"/>
      <c r="E19" s="102" t="s">
        <v>707</v>
      </c>
      <c r="F19" s="31" t="s">
        <v>708</v>
      </c>
      <c r="H19" s="512"/>
    </row>
    <row r="20" spans="1:8" ht="12.75">
      <c r="A20" s="11" t="s">
        <v>159</v>
      </c>
      <c r="B20" s="515" t="s">
        <v>160</v>
      </c>
      <c r="C20" s="515" t="s">
        <v>65</v>
      </c>
      <c r="D20" s="511"/>
      <c r="E20" s="102" t="s">
        <v>711</v>
      </c>
      <c r="F20" s="31" t="s">
        <v>708</v>
      </c>
      <c r="H20" s="514" t="s">
        <v>167</v>
      </c>
    </row>
    <row r="21" spans="1:8" ht="12.75">
      <c r="A21" s="11" t="s">
        <v>169</v>
      </c>
      <c r="B21" s="511"/>
      <c r="C21" s="511"/>
      <c r="D21" s="511"/>
      <c r="E21" s="102" t="s">
        <v>711</v>
      </c>
      <c r="F21" s="31" t="s">
        <v>708</v>
      </c>
      <c r="H21" s="511"/>
    </row>
    <row r="22" spans="1:8" ht="12.75">
      <c r="A22" s="11" t="s">
        <v>174</v>
      </c>
      <c r="B22" s="512"/>
      <c r="C22" s="512"/>
      <c r="D22" s="511"/>
      <c r="E22" s="102" t="s">
        <v>707</v>
      </c>
      <c r="F22" s="31" t="s">
        <v>708</v>
      </c>
      <c r="H22" s="511"/>
    </row>
    <row r="23" spans="1:8" ht="12.75">
      <c r="A23" s="11" t="s">
        <v>177</v>
      </c>
      <c r="B23" s="13" t="s">
        <v>177</v>
      </c>
      <c r="C23" s="15" t="s">
        <v>103</v>
      </c>
      <c r="D23" s="511"/>
      <c r="E23" s="102" t="s">
        <v>711</v>
      </c>
      <c r="F23" s="31" t="s">
        <v>708</v>
      </c>
      <c r="H23" s="511"/>
    </row>
    <row r="24" spans="1:8" ht="12.75">
      <c r="A24" s="11" t="s">
        <v>181</v>
      </c>
      <c r="B24" s="13" t="s">
        <v>182</v>
      </c>
      <c r="C24" s="15" t="s">
        <v>103</v>
      </c>
      <c r="D24" s="511"/>
      <c r="E24" s="102" t="s">
        <v>711</v>
      </c>
      <c r="F24" s="31" t="s">
        <v>708</v>
      </c>
      <c r="H24" s="511"/>
    </row>
    <row r="25" spans="1:8" ht="12.75">
      <c r="A25" s="11" t="s">
        <v>184</v>
      </c>
      <c r="B25" s="13" t="s">
        <v>184</v>
      </c>
      <c r="C25" s="15" t="s">
        <v>155</v>
      </c>
      <c r="D25" s="511"/>
      <c r="E25" s="102" t="s">
        <v>707</v>
      </c>
      <c r="F25" s="31" t="s">
        <v>708</v>
      </c>
      <c r="H25" s="512"/>
    </row>
    <row r="26" spans="1:8" ht="12.75">
      <c r="A26" s="11" t="s">
        <v>188</v>
      </c>
      <c r="B26" s="514" t="s">
        <v>190</v>
      </c>
      <c r="C26" s="515" t="s">
        <v>65</v>
      </c>
      <c r="D26" s="511"/>
      <c r="E26" s="102" t="s">
        <v>711</v>
      </c>
      <c r="F26" s="31" t="s">
        <v>708</v>
      </c>
      <c r="H26" s="514" t="s">
        <v>198</v>
      </c>
    </row>
    <row r="27" spans="1:8" ht="12.75">
      <c r="A27" s="11" t="s">
        <v>201</v>
      </c>
      <c r="B27" s="511"/>
      <c r="C27" s="511"/>
      <c r="D27" s="511"/>
      <c r="E27" s="102" t="s">
        <v>707</v>
      </c>
      <c r="F27" s="31" t="s">
        <v>708</v>
      </c>
      <c r="H27" s="511"/>
    </row>
    <row r="28" spans="1:8" ht="12.75">
      <c r="A28" s="11" t="s">
        <v>203</v>
      </c>
      <c r="B28" s="512"/>
      <c r="C28" s="512"/>
      <c r="D28" s="511"/>
      <c r="E28" s="102" t="s">
        <v>711</v>
      </c>
      <c r="F28" s="31" t="s">
        <v>708</v>
      </c>
      <c r="H28" s="511"/>
    </row>
    <row r="29" spans="1:8" ht="12.75">
      <c r="A29" s="11" t="s">
        <v>205</v>
      </c>
      <c r="B29" s="13" t="s">
        <v>205</v>
      </c>
      <c r="C29" s="15" t="s">
        <v>207</v>
      </c>
      <c r="D29" s="511"/>
      <c r="E29" s="102" t="s">
        <v>711</v>
      </c>
      <c r="F29" s="31" t="s">
        <v>708</v>
      </c>
      <c r="H29" s="511"/>
    </row>
    <row r="30" spans="1:8" ht="12.75">
      <c r="A30" s="11" t="s">
        <v>208</v>
      </c>
      <c r="B30" s="13" t="s">
        <v>208</v>
      </c>
      <c r="C30" s="15" t="s">
        <v>103</v>
      </c>
      <c r="D30" s="511"/>
      <c r="E30" s="102" t="s">
        <v>711</v>
      </c>
      <c r="F30" s="31" t="s">
        <v>708</v>
      </c>
      <c r="H30" s="511"/>
    </row>
    <row r="31" spans="1:8" ht="12.75">
      <c r="A31" s="11" t="s">
        <v>209</v>
      </c>
      <c r="B31" s="13" t="s">
        <v>209</v>
      </c>
      <c r="C31" s="15" t="s">
        <v>155</v>
      </c>
      <c r="D31" s="511"/>
      <c r="E31" s="102" t="s">
        <v>707</v>
      </c>
      <c r="F31" s="31" t="s">
        <v>708</v>
      </c>
      <c r="H31" s="512"/>
    </row>
    <row r="32" spans="1:8" ht="12.75">
      <c r="A32" s="11" t="s">
        <v>213</v>
      </c>
      <c r="B32" s="514" t="s">
        <v>214</v>
      </c>
      <c r="C32" s="515" t="s">
        <v>65</v>
      </c>
      <c r="D32" s="511"/>
      <c r="E32" s="102" t="s">
        <v>711</v>
      </c>
      <c r="F32" s="31" t="s">
        <v>708</v>
      </c>
      <c r="H32" s="514" t="s">
        <v>216</v>
      </c>
    </row>
    <row r="33" spans="1:8" ht="12.75">
      <c r="A33" s="11" t="s">
        <v>218</v>
      </c>
      <c r="B33" s="511"/>
      <c r="C33" s="511"/>
      <c r="D33" s="511"/>
      <c r="E33" s="102" t="s">
        <v>711</v>
      </c>
      <c r="F33" s="31" t="s">
        <v>708</v>
      </c>
      <c r="H33" s="511"/>
    </row>
    <row r="34" spans="1:8" ht="12.75">
      <c r="A34" s="11" t="s">
        <v>220</v>
      </c>
      <c r="B34" s="512"/>
      <c r="C34" s="512"/>
      <c r="D34" s="511"/>
      <c r="E34" s="102" t="s">
        <v>707</v>
      </c>
      <c r="F34" s="31" t="s">
        <v>708</v>
      </c>
      <c r="H34" s="511"/>
    </row>
    <row r="35" spans="1:8" ht="12.75">
      <c r="A35" s="11" t="s">
        <v>221</v>
      </c>
      <c r="B35" s="13" t="s">
        <v>221</v>
      </c>
      <c r="C35" s="15" t="s">
        <v>155</v>
      </c>
      <c r="D35" s="511"/>
      <c r="E35" s="102" t="s">
        <v>707</v>
      </c>
      <c r="F35" s="31" t="s">
        <v>708</v>
      </c>
      <c r="H35" s="511"/>
    </row>
    <row r="36" spans="1:8" ht="12.75">
      <c r="A36" s="11" t="s">
        <v>223</v>
      </c>
      <c r="B36" s="13" t="s">
        <v>223</v>
      </c>
      <c r="C36" s="15" t="s">
        <v>31</v>
      </c>
      <c r="D36" s="511"/>
      <c r="E36" s="102" t="s">
        <v>707</v>
      </c>
      <c r="F36" s="31" t="s">
        <v>708</v>
      </c>
      <c r="H36" s="511"/>
    </row>
    <row r="37" spans="1:8" ht="12.75">
      <c r="A37" s="11" t="s">
        <v>225</v>
      </c>
      <c r="B37" s="13" t="s">
        <v>225</v>
      </c>
      <c r="C37" s="15" t="s">
        <v>103</v>
      </c>
      <c r="D37" s="511"/>
      <c r="E37" s="102" t="s">
        <v>711</v>
      </c>
      <c r="F37" s="31" t="s">
        <v>708</v>
      </c>
      <c r="H37" s="512"/>
    </row>
    <row r="38" spans="1:8" ht="12.75">
      <c r="A38" s="11" t="s">
        <v>226</v>
      </c>
      <c r="B38" s="514" t="s">
        <v>228</v>
      </c>
      <c r="C38" s="516" t="s">
        <v>65</v>
      </c>
      <c r="D38" s="511"/>
      <c r="E38" s="102" t="s">
        <v>711</v>
      </c>
      <c r="F38" s="31" t="s">
        <v>708</v>
      </c>
      <c r="H38" s="518" t="s">
        <v>229</v>
      </c>
    </row>
    <row r="39" spans="1:8" ht="12.75">
      <c r="A39" s="11" t="s">
        <v>233</v>
      </c>
      <c r="B39" s="512"/>
      <c r="C39" s="517"/>
      <c r="D39" s="511"/>
      <c r="E39" s="102" t="s">
        <v>711</v>
      </c>
      <c r="F39" s="31" t="s">
        <v>708</v>
      </c>
      <c r="H39" s="519"/>
    </row>
    <row r="40" spans="1:8" ht="12.75">
      <c r="A40" s="11" t="s">
        <v>236</v>
      </c>
      <c r="B40" s="13" t="s">
        <v>236</v>
      </c>
      <c r="C40" s="515" t="s">
        <v>238</v>
      </c>
      <c r="D40" s="511"/>
      <c r="E40" s="102" t="s">
        <v>707</v>
      </c>
      <c r="F40" s="31" t="s">
        <v>708</v>
      </c>
      <c r="H40" s="519"/>
    </row>
    <row r="41" spans="1:8" ht="12.75">
      <c r="A41" s="11" t="s">
        <v>243</v>
      </c>
      <c r="B41" s="13" t="s">
        <v>243</v>
      </c>
      <c r="C41" s="512"/>
      <c r="D41" s="511"/>
      <c r="E41" s="102" t="s">
        <v>707</v>
      </c>
      <c r="F41" s="31" t="s">
        <v>708</v>
      </c>
      <c r="H41" s="519"/>
    </row>
    <row r="42" spans="1:8" ht="12.75">
      <c r="A42" s="11" t="s">
        <v>246</v>
      </c>
      <c r="B42" s="13" t="s">
        <v>246</v>
      </c>
      <c r="C42" s="15" t="s">
        <v>103</v>
      </c>
      <c r="D42" s="511"/>
      <c r="E42" s="102" t="s">
        <v>711</v>
      </c>
      <c r="F42" s="31" t="s">
        <v>708</v>
      </c>
      <c r="H42" s="519"/>
    </row>
    <row r="43" spans="1:8" ht="12.75">
      <c r="A43" s="11" t="s">
        <v>248</v>
      </c>
      <c r="B43" s="13" t="s">
        <v>248</v>
      </c>
      <c r="C43" s="15" t="s">
        <v>207</v>
      </c>
      <c r="D43" s="511"/>
      <c r="E43" s="102" t="s">
        <v>711</v>
      </c>
      <c r="F43" s="31" t="s">
        <v>708</v>
      </c>
      <c r="H43" s="520"/>
    </row>
    <row r="44" spans="1:8" ht="12.75">
      <c r="A44" s="11" t="s">
        <v>252</v>
      </c>
      <c r="B44" s="514" t="s">
        <v>253</v>
      </c>
      <c r="C44" s="516" t="s">
        <v>65</v>
      </c>
      <c r="D44" s="511"/>
      <c r="E44" s="102" t="s">
        <v>707</v>
      </c>
      <c r="F44" s="31" t="s">
        <v>708</v>
      </c>
      <c r="H44" s="518" t="s">
        <v>257</v>
      </c>
    </row>
    <row r="45" spans="1:8" ht="12.75">
      <c r="A45" s="11" t="s">
        <v>262</v>
      </c>
      <c r="B45" s="512"/>
      <c r="C45" s="517"/>
      <c r="D45" s="511"/>
      <c r="E45" s="102" t="s">
        <v>707</v>
      </c>
      <c r="F45" s="31" t="s">
        <v>708</v>
      </c>
      <c r="H45" s="519"/>
    </row>
    <row r="46" spans="1:8" ht="12.75">
      <c r="A46" s="11" t="s">
        <v>266</v>
      </c>
      <c r="B46" s="13" t="s">
        <v>266</v>
      </c>
      <c r="C46" s="15" t="s">
        <v>31</v>
      </c>
      <c r="D46" s="511"/>
      <c r="E46" s="102" t="s">
        <v>707</v>
      </c>
      <c r="F46" s="31" t="s">
        <v>708</v>
      </c>
      <c r="H46" s="519"/>
    </row>
    <row r="47" spans="1:8" ht="12.75">
      <c r="A47" s="11" t="s">
        <v>270</v>
      </c>
      <c r="B47" s="13" t="s">
        <v>270</v>
      </c>
      <c r="C47" s="15" t="s">
        <v>271</v>
      </c>
      <c r="D47" s="511"/>
      <c r="E47" s="102" t="s">
        <v>711</v>
      </c>
      <c r="F47" s="31" t="s">
        <v>708</v>
      </c>
      <c r="H47" s="519"/>
    </row>
    <row r="48" spans="1:8" ht="12.75">
      <c r="A48" s="11" t="s">
        <v>272</v>
      </c>
      <c r="B48" s="13" t="s">
        <v>272</v>
      </c>
      <c r="C48" s="15" t="s">
        <v>103</v>
      </c>
      <c r="D48" s="511"/>
      <c r="E48" s="102" t="s">
        <v>711</v>
      </c>
      <c r="F48" s="31" t="s">
        <v>708</v>
      </c>
      <c r="H48" s="519"/>
    </row>
    <row r="49" spans="1:8" ht="12.75">
      <c r="A49" s="11" t="s">
        <v>274</v>
      </c>
      <c r="B49" s="13" t="s">
        <v>274</v>
      </c>
      <c r="C49" s="15" t="s">
        <v>155</v>
      </c>
      <c r="D49" s="511"/>
      <c r="E49" s="102" t="s">
        <v>707</v>
      </c>
      <c r="F49" s="31" t="s">
        <v>708</v>
      </c>
      <c r="H49" s="520"/>
    </row>
    <row r="50" spans="1:8" ht="12.75">
      <c r="A50" s="11" t="s">
        <v>280</v>
      </c>
      <c r="B50" s="514" t="s">
        <v>282</v>
      </c>
      <c r="C50" s="516" t="s">
        <v>65</v>
      </c>
      <c r="D50" s="511"/>
      <c r="E50" s="102" t="s">
        <v>711</v>
      </c>
      <c r="F50" s="31" t="s">
        <v>708</v>
      </c>
      <c r="H50" s="518" t="s">
        <v>291</v>
      </c>
    </row>
    <row r="51" spans="1:8" ht="12.75">
      <c r="A51" s="11" t="s">
        <v>298</v>
      </c>
      <c r="B51" s="511"/>
      <c r="C51" s="517"/>
      <c r="D51" s="511"/>
      <c r="E51" s="102" t="s">
        <v>711</v>
      </c>
      <c r="F51" s="31" t="s">
        <v>708</v>
      </c>
      <c r="H51" s="519"/>
    </row>
    <row r="52" spans="1:8" ht="12.75">
      <c r="A52" s="11" t="s">
        <v>302</v>
      </c>
      <c r="B52" s="512"/>
      <c r="C52" s="517"/>
      <c r="D52" s="511"/>
      <c r="E52" s="102" t="s">
        <v>711</v>
      </c>
      <c r="F52" s="31" t="s">
        <v>708</v>
      </c>
      <c r="H52" s="519"/>
    </row>
    <row r="53" spans="1:8" ht="12.75">
      <c r="A53" s="11" t="s">
        <v>305</v>
      </c>
      <c r="B53" s="13" t="s">
        <v>305</v>
      </c>
      <c r="C53" s="15" t="s">
        <v>31</v>
      </c>
      <c r="D53" s="511"/>
      <c r="E53" s="102" t="s">
        <v>707</v>
      </c>
      <c r="F53" s="31" t="s">
        <v>708</v>
      </c>
      <c r="H53" s="519"/>
    </row>
    <row r="54" spans="1:8" ht="12.75">
      <c r="A54" s="11" t="s">
        <v>312</v>
      </c>
      <c r="B54" s="13" t="s">
        <v>312</v>
      </c>
      <c r="C54" s="15" t="s">
        <v>103</v>
      </c>
      <c r="D54" s="511"/>
      <c r="E54" s="102" t="s">
        <v>711</v>
      </c>
      <c r="F54" s="31" t="s">
        <v>708</v>
      </c>
      <c r="H54" s="519"/>
    </row>
    <row r="55" spans="1:8" ht="12.75">
      <c r="A55" s="11" t="s">
        <v>315</v>
      </c>
      <c r="B55" s="13" t="s">
        <v>315</v>
      </c>
      <c r="C55" s="15" t="s">
        <v>155</v>
      </c>
      <c r="D55" s="511"/>
      <c r="E55" s="102" t="s">
        <v>707</v>
      </c>
      <c r="F55" s="31" t="s">
        <v>708</v>
      </c>
      <c r="H55" s="520"/>
    </row>
    <row r="56" spans="1:8" ht="16.5" customHeight="1">
      <c r="A56" s="11" t="s">
        <v>319</v>
      </c>
      <c r="B56" s="514" t="s">
        <v>321</v>
      </c>
      <c r="C56" s="516" t="s">
        <v>65</v>
      </c>
      <c r="D56" s="511"/>
      <c r="E56" s="102" t="s">
        <v>711</v>
      </c>
      <c r="F56" s="31" t="s">
        <v>708</v>
      </c>
      <c r="H56" s="518" t="s">
        <v>325</v>
      </c>
    </row>
    <row r="57" spans="1:8" ht="12.75">
      <c r="A57" s="11" t="s">
        <v>328</v>
      </c>
      <c r="B57" s="512"/>
      <c r="C57" s="517"/>
      <c r="D57" s="511"/>
      <c r="E57" s="102" t="s">
        <v>707</v>
      </c>
      <c r="F57" s="31" t="s">
        <v>708</v>
      </c>
      <c r="H57" s="519"/>
    </row>
    <row r="58" spans="1:8" ht="12.75">
      <c r="A58" s="7" t="s">
        <v>332</v>
      </c>
      <c r="B58" s="13" t="s">
        <v>334</v>
      </c>
      <c r="C58" s="13" t="s">
        <v>207</v>
      </c>
      <c r="D58" s="511"/>
      <c r="E58" s="102" t="s">
        <v>711</v>
      </c>
      <c r="F58" s="31" t="s">
        <v>708</v>
      </c>
      <c r="H58" s="519"/>
    </row>
    <row r="59" spans="1:8" ht="12.75">
      <c r="A59" s="11" t="s">
        <v>336</v>
      </c>
      <c r="B59" s="13" t="s">
        <v>338</v>
      </c>
      <c r="C59" s="15" t="s">
        <v>155</v>
      </c>
      <c r="D59" s="511"/>
      <c r="E59" s="102" t="s">
        <v>707</v>
      </c>
      <c r="F59" s="31" t="s">
        <v>708</v>
      </c>
      <c r="H59" s="519"/>
    </row>
    <row r="60" spans="1:8" ht="12.75">
      <c r="A60" s="11" t="s">
        <v>340</v>
      </c>
      <c r="B60" s="13" t="s">
        <v>340</v>
      </c>
      <c r="C60" s="15" t="s">
        <v>31</v>
      </c>
      <c r="D60" s="511"/>
      <c r="E60" s="102" t="s">
        <v>707</v>
      </c>
      <c r="F60" s="31" t="s">
        <v>708</v>
      </c>
      <c r="H60" s="519"/>
    </row>
    <row r="61" spans="1:8" ht="12.75">
      <c r="A61" s="11" t="s">
        <v>344</v>
      </c>
      <c r="B61" s="13" t="s">
        <v>344</v>
      </c>
      <c r="C61" s="15" t="s">
        <v>103</v>
      </c>
      <c r="D61" s="511"/>
      <c r="E61" s="102" t="s">
        <v>711</v>
      </c>
      <c r="F61" s="31" t="s">
        <v>708</v>
      </c>
      <c r="H61" s="520"/>
    </row>
    <row r="62" spans="1:8" ht="12.75">
      <c r="A62" s="11" t="s">
        <v>42</v>
      </c>
      <c r="B62" s="514" t="s">
        <v>348</v>
      </c>
      <c r="C62" s="515" t="s">
        <v>351</v>
      </c>
      <c r="D62" s="511"/>
      <c r="E62" s="102" t="s">
        <v>707</v>
      </c>
      <c r="F62" s="31" t="s">
        <v>708</v>
      </c>
      <c r="H62" s="514" t="s">
        <v>268</v>
      </c>
    </row>
    <row r="63" spans="1:8" ht="12.75">
      <c r="A63" s="11" t="s">
        <v>43</v>
      </c>
      <c r="B63" s="512"/>
      <c r="C63" s="512"/>
      <c r="D63" s="511"/>
      <c r="E63" s="102" t="s">
        <v>707</v>
      </c>
      <c r="F63" s="31" t="s">
        <v>708</v>
      </c>
      <c r="H63" s="511"/>
    </row>
    <row r="64" spans="1:8" ht="12.75">
      <c r="A64" s="11" t="s">
        <v>56</v>
      </c>
      <c r="B64" s="13" t="s">
        <v>368</v>
      </c>
      <c r="C64" s="15" t="s">
        <v>155</v>
      </c>
      <c r="D64" s="511"/>
      <c r="E64" s="102" t="s">
        <v>707</v>
      </c>
      <c r="F64" s="31" t="s">
        <v>708</v>
      </c>
      <c r="H64" s="511"/>
    </row>
    <row r="65" spans="1:8" ht="12.75">
      <c r="A65" s="11" t="s">
        <v>59</v>
      </c>
      <c r="B65" s="13" t="s">
        <v>371</v>
      </c>
      <c r="C65" s="15" t="s">
        <v>31</v>
      </c>
      <c r="D65" s="511"/>
      <c r="E65" s="102" t="s">
        <v>707</v>
      </c>
      <c r="F65" s="31" t="s">
        <v>708</v>
      </c>
      <c r="H65" s="511"/>
    </row>
    <row r="66" spans="1:8" ht="12.75">
      <c r="A66" s="11" t="s">
        <v>51</v>
      </c>
      <c r="B66" s="13" t="s">
        <v>373</v>
      </c>
      <c r="C66" s="15" t="s">
        <v>374</v>
      </c>
      <c r="D66" s="511"/>
      <c r="E66" s="102" t="s">
        <v>711</v>
      </c>
      <c r="F66" s="31" t="s">
        <v>708</v>
      </c>
      <c r="H66" s="511"/>
    </row>
    <row r="67" spans="1:8" ht="12.75">
      <c r="A67" s="11" t="s">
        <v>41</v>
      </c>
      <c r="B67" s="13" t="s">
        <v>377</v>
      </c>
      <c r="C67" s="15" t="s">
        <v>271</v>
      </c>
      <c r="D67" s="511"/>
      <c r="E67" s="102" t="s">
        <v>707</v>
      </c>
      <c r="F67" s="31" t="s">
        <v>708</v>
      </c>
      <c r="H67" s="512"/>
    </row>
    <row r="68" spans="1:8" ht="12.75">
      <c r="A68" s="11" t="s">
        <v>378</v>
      </c>
      <c r="B68" s="514" t="s">
        <v>379</v>
      </c>
      <c r="C68" s="516" t="s">
        <v>65</v>
      </c>
      <c r="D68" s="511"/>
      <c r="E68" s="102" t="s">
        <v>711</v>
      </c>
      <c r="F68" s="31" t="s">
        <v>708</v>
      </c>
      <c r="H68" s="518" t="s">
        <v>381</v>
      </c>
    </row>
    <row r="69" spans="1:8" ht="12.75">
      <c r="A69" s="11" t="s">
        <v>383</v>
      </c>
      <c r="B69" s="511"/>
      <c r="C69" s="517"/>
      <c r="D69" s="511"/>
      <c r="E69" s="102" t="s">
        <v>711</v>
      </c>
      <c r="F69" s="31" t="s">
        <v>708</v>
      </c>
      <c r="H69" s="519"/>
    </row>
    <row r="70" spans="1:8" ht="12.75">
      <c r="A70" s="11" t="s">
        <v>385</v>
      </c>
      <c r="B70" s="512"/>
      <c r="C70" s="517"/>
      <c r="D70" s="511"/>
      <c r="E70" s="102" t="s">
        <v>711</v>
      </c>
      <c r="F70" s="31" t="s">
        <v>708</v>
      </c>
      <c r="H70" s="519"/>
    </row>
    <row r="71" spans="1:8" ht="12.75">
      <c r="A71" s="11" t="s">
        <v>387</v>
      </c>
      <c r="B71" s="13" t="s">
        <v>388</v>
      </c>
      <c r="C71" s="15" t="s">
        <v>155</v>
      </c>
      <c r="D71" s="511"/>
      <c r="E71" s="102" t="s">
        <v>707</v>
      </c>
      <c r="F71" s="31" t="s">
        <v>708</v>
      </c>
      <c r="H71" s="519"/>
    </row>
    <row r="72" spans="1:8" ht="12.75">
      <c r="A72" s="11" t="s">
        <v>390</v>
      </c>
      <c r="B72" s="13" t="s">
        <v>390</v>
      </c>
      <c r="C72" s="15" t="s">
        <v>103</v>
      </c>
      <c r="D72" s="511"/>
      <c r="E72" s="102" t="s">
        <v>711</v>
      </c>
      <c r="F72" s="31" t="s">
        <v>708</v>
      </c>
      <c r="H72" s="519"/>
    </row>
    <row r="73" spans="1:8" ht="12.75">
      <c r="A73" s="11" t="s">
        <v>391</v>
      </c>
      <c r="B73" s="13" t="s">
        <v>391</v>
      </c>
      <c r="C73" s="15" t="s">
        <v>31</v>
      </c>
      <c r="D73" s="511"/>
      <c r="E73" s="102" t="s">
        <v>707</v>
      </c>
      <c r="F73" s="31" t="s">
        <v>708</v>
      </c>
      <c r="H73" s="520"/>
    </row>
    <row r="74" spans="1:8" ht="12.75" hidden="1">
      <c r="A74" s="11" t="s">
        <v>21</v>
      </c>
      <c r="B74" s="514" t="s">
        <v>16</v>
      </c>
      <c r="C74" s="516" t="s">
        <v>65</v>
      </c>
      <c r="D74" s="511"/>
      <c r="E74" s="18"/>
      <c r="F74" s="31" t="s">
        <v>708</v>
      </c>
      <c r="H74" s="518" t="s">
        <v>394</v>
      </c>
    </row>
    <row r="75" spans="1:8" ht="12.75" hidden="1">
      <c r="A75" s="11" t="s">
        <v>44</v>
      </c>
      <c r="B75" s="511"/>
      <c r="C75" s="517"/>
      <c r="D75" s="511"/>
      <c r="E75" s="18"/>
      <c r="F75" s="31" t="s">
        <v>708</v>
      </c>
      <c r="H75" s="519"/>
    </row>
    <row r="76" spans="1:8" ht="12.75" hidden="1">
      <c r="A76" s="11" t="s">
        <v>49</v>
      </c>
      <c r="B76" s="512"/>
      <c r="C76" s="517"/>
      <c r="D76" s="511"/>
      <c r="E76" s="18"/>
      <c r="F76" s="31" t="s">
        <v>708</v>
      </c>
      <c r="H76" s="519"/>
    </row>
    <row r="77" spans="1:8" ht="12.75" hidden="1">
      <c r="A77" s="11" t="s">
        <v>53</v>
      </c>
      <c r="B77" s="13" t="s">
        <v>53</v>
      </c>
      <c r="C77" s="15" t="s">
        <v>238</v>
      </c>
      <c r="D77" s="511"/>
      <c r="E77" s="18"/>
      <c r="F77" s="31" t="s">
        <v>708</v>
      </c>
      <c r="H77" s="519"/>
    </row>
    <row r="78" spans="1:8" ht="12.75" hidden="1">
      <c r="A78" s="11" t="s">
        <v>58</v>
      </c>
      <c r="B78" s="13" t="s">
        <v>58</v>
      </c>
      <c r="C78" s="15" t="s">
        <v>103</v>
      </c>
      <c r="D78" s="511"/>
      <c r="E78" s="18"/>
      <c r="F78" s="31" t="s">
        <v>708</v>
      </c>
      <c r="H78" s="519"/>
    </row>
    <row r="79" spans="1:8" ht="12.75" hidden="1">
      <c r="A79" s="11" t="s">
        <v>60</v>
      </c>
      <c r="B79" s="13" t="s">
        <v>60</v>
      </c>
      <c r="C79" s="15" t="s">
        <v>31</v>
      </c>
      <c r="D79" s="511"/>
      <c r="E79" s="18"/>
      <c r="F79" s="31" t="s">
        <v>708</v>
      </c>
      <c r="H79" s="520"/>
    </row>
    <row r="80" spans="1:8" ht="12.75" hidden="1">
      <c r="A80" s="11" t="s">
        <v>70</v>
      </c>
      <c r="B80" s="514" t="s">
        <v>69</v>
      </c>
      <c r="C80" s="516" t="s">
        <v>65</v>
      </c>
      <c r="D80" s="511"/>
      <c r="E80" s="18"/>
      <c r="F80" s="31" t="s">
        <v>708</v>
      </c>
      <c r="H80" s="518" t="s">
        <v>67</v>
      </c>
    </row>
    <row r="81" spans="1:8" ht="12.75" hidden="1">
      <c r="A81" s="11" t="s">
        <v>73</v>
      </c>
      <c r="B81" s="512"/>
      <c r="C81" s="517"/>
      <c r="D81" s="511"/>
      <c r="E81" s="18"/>
      <c r="F81" s="31" t="s">
        <v>708</v>
      </c>
      <c r="H81" s="519"/>
    </row>
    <row r="82" spans="1:8" ht="12.75" hidden="1">
      <c r="A82" s="11" t="s">
        <v>74</v>
      </c>
      <c r="B82" s="13" t="s">
        <v>74</v>
      </c>
      <c r="C82" s="15" t="s">
        <v>238</v>
      </c>
      <c r="D82" s="511"/>
      <c r="E82" s="18"/>
      <c r="F82" s="31" t="s">
        <v>708</v>
      </c>
      <c r="H82" s="519"/>
    </row>
    <row r="83" spans="1:8" ht="12.75" hidden="1">
      <c r="A83" s="11" t="s">
        <v>77</v>
      </c>
      <c r="B83" s="13" t="s">
        <v>77</v>
      </c>
      <c r="C83" s="15" t="s">
        <v>99</v>
      </c>
      <c r="D83" s="511"/>
      <c r="E83" s="18"/>
      <c r="F83" s="31" t="s">
        <v>708</v>
      </c>
      <c r="H83" s="519"/>
    </row>
    <row r="84" spans="1:8" ht="12.75" hidden="1">
      <c r="A84" s="11" t="s">
        <v>78</v>
      </c>
      <c r="B84" s="13" t="s">
        <v>78</v>
      </c>
      <c r="C84" s="15" t="s">
        <v>408</v>
      </c>
      <c r="D84" s="511"/>
      <c r="E84" s="18"/>
      <c r="F84" s="31" t="s">
        <v>708</v>
      </c>
      <c r="H84" s="519"/>
    </row>
    <row r="85" spans="1:8" ht="12.75" hidden="1">
      <c r="A85" s="11" t="s">
        <v>80</v>
      </c>
      <c r="B85" s="13" t="s">
        <v>80</v>
      </c>
      <c r="C85" s="15" t="s">
        <v>103</v>
      </c>
      <c r="D85" s="511"/>
      <c r="E85" s="18"/>
      <c r="F85" s="31" t="s">
        <v>708</v>
      </c>
      <c r="H85" s="520"/>
    </row>
    <row r="86" spans="1:8" ht="12.75" hidden="1">
      <c r="A86" s="11" t="s">
        <v>85</v>
      </c>
      <c r="B86" s="514" t="s">
        <v>84</v>
      </c>
      <c r="C86" s="516" t="s">
        <v>65</v>
      </c>
      <c r="D86" s="511"/>
      <c r="E86" s="18"/>
      <c r="F86" s="31" t="s">
        <v>708</v>
      </c>
      <c r="H86" s="518" t="s">
        <v>81</v>
      </c>
    </row>
    <row r="87" spans="1:8" ht="12.75" hidden="1">
      <c r="A87" s="11" t="s">
        <v>86</v>
      </c>
      <c r="B87" s="511"/>
      <c r="C87" s="517"/>
      <c r="D87" s="511"/>
      <c r="E87" s="18"/>
      <c r="F87" s="31" t="s">
        <v>708</v>
      </c>
      <c r="H87" s="519"/>
    </row>
    <row r="88" spans="1:8" ht="12.75" hidden="1">
      <c r="A88" s="11" t="s">
        <v>88</v>
      </c>
      <c r="B88" s="511"/>
      <c r="C88" s="517"/>
      <c r="D88" s="511"/>
      <c r="E88" s="18"/>
      <c r="F88" s="31" t="s">
        <v>708</v>
      </c>
      <c r="H88" s="519"/>
    </row>
    <row r="89" spans="1:8" ht="12.75" hidden="1">
      <c r="A89" s="11" t="s">
        <v>90</v>
      </c>
      <c r="B89" s="512"/>
      <c r="C89" s="517"/>
      <c r="D89" s="511"/>
      <c r="E89" s="18"/>
      <c r="F89" s="31" t="s">
        <v>708</v>
      </c>
      <c r="H89" s="519"/>
    </row>
    <row r="90" spans="1:8" ht="12.75" hidden="1">
      <c r="A90" s="11" t="s">
        <v>92</v>
      </c>
      <c r="B90" s="13" t="s">
        <v>92</v>
      </c>
      <c r="C90" s="15" t="s">
        <v>31</v>
      </c>
      <c r="D90" s="511"/>
      <c r="E90" s="18"/>
      <c r="F90" s="31" t="s">
        <v>708</v>
      </c>
      <c r="H90" s="519"/>
    </row>
    <row r="91" spans="1:8" ht="12.75" hidden="1">
      <c r="A91" s="11" t="s">
        <v>94</v>
      </c>
      <c r="B91" s="13" t="s">
        <v>94</v>
      </c>
      <c r="C91" s="15" t="s">
        <v>238</v>
      </c>
      <c r="D91" s="511"/>
      <c r="E91" s="18"/>
      <c r="F91" s="31" t="s">
        <v>708</v>
      </c>
      <c r="H91" s="520"/>
    </row>
    <row r="92" spans="1:8" ht="12.75" hidden="1">
      <c r="A92" s="11" t="s">
        <v>100</v>
      </c>
      <c r="B92" s="514" t="s">
        <v>98</v>
      </c>
      <c r="C92" s="516" t="s">
        <v>65</v>
      </c>
      <c r="D92" s="511"/>
      <c r="E92" s="18"/>
      <c r="F92" s="31" t="s">
        <v>708</v>
      </c>
      <c r="H92" s="518" t="s">
        <v>79</v>
      </c>
    </row>
    <row r="93" spans="1:8" ht="12.75" hidden="1">
      <c r="A93" s="11" t="s">
        <v>101</v>
      </c>
      <c r="B93" s="511"/>
      <c r="C93" s="517"/>
      <c r="D93" s="511"/>
      <c r="E93" s="18"/>
      <c r="F93" s="31" t="s">
        <v>708</v>
      </c>
      <c r="H93" s="519"/>
    </row>
    <row r="94" spans="1:8" ht="12.75" hidden="1">
      <c r="A94" s="11" t="s">
        <v>104</v>
      </c>
      <c r="B94" s="512"/>
      <c r="C94" s="517"/>
      <c r="D94" s="511"/>
      <c r="E94" s="18"/>
      <c r="F94" s="31" t="s">
        <v>708</v>
      </c>
      <c r="H94" s="519"/>
    </row>
    <row r="95" spans="1:8" ht="12.75" hidden="1">
      <c r="A95" s="11" t="s">
        <v>107</v>
      </c>
      <c r="B95" s="13" t="s">
        <v>106</v>
      </c>
      <c r="C95" s="15" t="s">
        <v>238</v>
      </c>
      <c r="D95" s="511"/>
      <c r="E95" s="18"/>
      <c r="F95" s="31" t="s">
        <v>708</v>
      </c>
      <c r="H95" s="519"/>
    </row>
    <row r="96" spans="1:8" ht="12.75" hidden="1">
      <c r="A96" s="11" t="s">
        <v>109</v>
      </c>
      <c r="B96" s="13" t="s">
        <v>109</v>
      </c>
      <c r="C96" s="15" t="s">
        <v>103</v>
      </c>
      <c r="D96" s="511"/>
      <c r="E96" s="18"/>
      <c r="F96" s="31" t="s">
        <v>708</v>
      </c>
      <c r="H96" s="519"/>
    </row>
    <row r="97" spans="1:8" ht="12.75" hidden="1">
      <c r="A97" s="11" t="s">
        <v>111</v>
      </c>
      <c r="B97" s="13" t="s">
        <v>111</v>
      </c>
      <c r="C97" s="15" t="s">
        <v>31</v>
      </c>
      <c r="D97" s="511"/>
      <c r="E97" s="18"/>
      <c r="F97" s="31" t="s">
        <v>708</v>
      </c>
      <c r="H97" s="520"/>
    </row>
    <row r="98" spans="1:8" ht="12.75" hidden="1">
      <c r="A98" s="11" t="s">
        <v>116</v>
      </c>
      <c r="B98" s="13" t="s">
        <v>115</v>
      </c>
      <c r="C98" s="15" t="s">
        <v>65</v>
      </c>
      <c r="D98" s="511"/>
      <c r="E98" s="18"/>
      <c r="F98" s="31" t="s">
        <v>708</v>
      </c>
      <c r="H98" s="514" t="s">
        <v>113</v>
      </c>
    </row>
    <row r="99" spans="1:8" ht="12.75" hidden="1">
      <c r="A99" s="11" t="s">
        <v>119</v>
      </c>
      <c r="B99" s="514" t="s">
        <v>118</v>
      </c>
      <c r="C99" s="515" t="s">
        <v>238</v>
      </c>
      <c r="D99" s="511"/>
      <c r="E99" s="18"/>
      <c r="F99" s="31" t="s">
        <v>708</v>
      </c>
      <c r="H99" s="511"/>
    </row>
    <row r="100" spans="1:8" ht="12.75" hidden="1">
      <c r="A100" s="11" t="s">
        <v>121</v>
      </c>
      <c r="B100" s="512"/>
      <c r="C100" s="512"/>
      <c r="D100" s="511"/>
      <c r="E100" s="18"/>
      <c r="F100" s="31" t="s">
        <v>708</v>
      </c>
      <c r="H100" s="511"/>
    </row>
    <row r="101" spans="1:8" ht="12.75" hidden="1">
      <c r="A101" s="11" t="s">
        <v>123</v>
      </c>
      <c r="B101" s="13" t="s">
        <v>122</v>
      </c>
      <c r="C101" s="15" t="s">
        <v>103</v>
      </c>
      <c r="D101" s="511"/>
      <c r="E101" s="18"/>
      <c r="F101" s="31" t="s">
        <v>708</v>
      </c>
      <c r="H101" s="511"/>
    </row>
    <row r="102" spans="1:8" ht="12.75" hidden="1">
      <c r="A102" s="11" t="s">
        <v>125</v>
      </c>
      <c r="B102" s="13" t="s">
        <v>125</v>
      </c>
      <c r="C102" s="15" t="s">
        <v>31</v>
      </c>
      <c r="D102" s="511"/>
      <c r="E102" s="18"/>
      <c r="F102" s="31" t="s">
        <v>708</v>
      </c>
      <c r="H102" s="511"/>
    </row>
    <row r="103" spans="1:8" ht="12.75" hidden="1">
      <c r="A103" s="11" t="s">
        <v>127</v>
      </c>
      <c r="B103" s="13" t="s">
        <v>127</v>
      </c>
      <c r="C103" s="15" t="s">
        <v>155</v>
      </c>
      <c r="D103" s="511"/>
      <c r="E103" s="18"/>
      <c r="F103" s="31" t="s">
        <v>708</v>
      </c>
      <c r="H103" s="512"/>
    </row>
    <row r="104" spans="1:8" ht="12.75" hidden="1">
      <c r="A104" s="11" t="s">
        <v>146</v>
      </c>
      <c r="B104" s="514" t="s">
        <v>143</v>
      </c>
      <c r="C104" s="515" t="s">
        <v>65</v>
      </c>
      <c r="D104" s="511"/>
      <c r="E104" s="18"/>
      <c r="F104" s="31" t="s">
        <v>708</v>
      </c>
      <c r="H104" s="514" t="s">
        <v>140</v>
      </c>
    </row>
    <row r="105" spans="1:8" ht="12.75" hidden="1">
      <c r="A105" s="11" t="s">
        <v>148</v>
      </c>
      <c r="B105" s="512"/>
      <c r="C105" s="512"/>
      <c r="D105" s="511"/>
      <c r="E105" s="18"/>
      <c r="F105" s="31" t="s">
        <v>708</v>
      </c>
      <c r="H105" s="511"/>
    </row>
    <row r="106" spans="1:8" ht="12.75" hidden="1">
      <c r="A106" s="11" t="s">
        <v>153</v>
      </c>
      <c r="B106" s="13" t="s">
        <v>153</v>
      </c>
      <c r="C106" s="515" t="s">
        <v>31</v>
      </c>
      <c r="D106" s="511"/>
      <c r="E106" s="18"/>
      <c r="F106" s="31" t="s">
        <v>708</v>
      </c>
      <c r="H106" s="511"/>
    </row>
    <row r="107" spans="1:8" ht="12.75" hidden="1">
      <c r="A107" s="11" t="s">
        <v>157</v>
      </c>
      <c r="B107" s="13" t="s">
        <v>157</v>
      </c>
      <c r="C107" s="512"/>
      <c r="D107" s="511"/>
      <c r="E107" s="18"/>
      <c r="F107" s="31" t="s">
        <v>708</v>
      </c>
      <c r="H107" s="511"/>
    </row>
    <row r="108" spans="1:8" ht="12.75" hidden="1">
      <c r="A108" s="11" t="s">
        <v>158</v>
      </c>
      <c r="B108" s="13" t="s">
        <v>158</v>
      </c>
      <c r="C108" s="15" t="s">
        <v>238</v>
      </c>
      <c r="D108" s="511"/>
      <c r="E108" s="18"/>
      <c r="F108" s="31" t="s">
        <v>708</v>
      </c>
      <c r="H108" s="511"/>
    </row>
    <row r="109" spans="1:8" ht="12.75" hidden="1">
      <c r="A109" s="11" t="s">
        <v>164</v>
      </c>
      <c r="B109" s="13" t="s">
        <v>164</v>
      </c>
      <c r="C109" s="15" t="s">
        <v>103</v>
      </c>
      <c r="D109" s="511"/>
      <c r="E109" s="18"/>
      <c r="F109" s="31" t="s">
        <v>708</v>
      </c>
      <c r="H109" s="512"/>
    </row>
    <row r="110" spans="1:8" ht="12.75" hidden="1">
      <c r="A110" s="11" t="s">
        <v>175</v>
      </c>
      <c r="B110" s="514" t="s">
        <v>173</v>
      </c>
      <c r="C110" s="522" t="s">
        <v>65</v>
      </c>
      <c r="D110" s="511"/>
      <c r="E110" s="18"/>
      <c r="F110" s="31" t="s">
        <v>708</v>
      </c>
      <c r="H110" s="514" t="s">
        <v>165</v>
      </c>
    </row>
    <row r="111" spans="1:8" ht="12.75" hidden="1">
      <c r="A111" s="11" t="s">
        <v>178</v>
      </c>
      <c r="B111" s="511"/>
      <c r="C111" s="511"/>
      <c r="D111" s="511"/>
      <c r="E111" s="18"/>
      <c r="F111" s="31" t="s">
        <v>708</v>
      </c>
      <c r="H111" s="511"/>
    </row>
    <row r="112" spans="1:8" ht="12.75" hidden="1">
      <c r="A112" s="11" t="s">
        <v>180</v>
      </c>
      <c r="B112" s="511"/>
      <c r="C112" s="511"/>
      <c r="D112" s="511"/>
      <c r="E112" s="18"/>
      <c r="F112" s="31" t="s">
        <v>708</v>
      </c>
      <c r="H112" s="511"/>
    </row>
    <row r="113" spans="1:8" ht="12.75" hidden="1">
      <c r="A113" s="11" t="s">
        <v>187</v>
      </c>
      <c r="B113" s="512"/>
      <c r="C113" s="511"/>
      <c r="D113" s="511"/>
      <c r="E113" s="18"/>
      <c r="F113" s="31" t="s">
        <v>708</v>
      </c>
      <c r="H113" s="511"/>
    </row>
    <row r="114" spans="1:8" ht="12.75" hidden="1">
      <c r="A114" s="11" t="s">
        <v>192</v>
      </c>
      <c r="B114" s="13" t="s">
        <v>192</v>
      </c>
      <c r="C114" s="15" t="s">
        <v>103</v>
      </c>
      <c r="D114" s="511"/>
      <c r="E114" s="18"/>
      <c r="F114" s="31" t="s">
        <v>708</v>
      </c>
      <c r="H114" s="511"/>
    </row>
    <row r="115" spans="1:8" ht="12.75" hidden="1">
      <c r="A115" s="11" t="s">
        <v>195</v>
      </c>
      <c r="B115" s="13" t="s">
        <v>195</v>
      </c>
      <c r="C115" s="15" t="s">
        <v>31</v>
      </c>
      <c r="D115" s="511"/>
      <c r="E115" s="18"/>
      <c r="F115" s="31" t="s">
        <v>708</v>
      </c>
      <c r="H115" s="512"/>
    </row>
    <row r="116" spans="1:8" ht="12.75" hidden="1">
      <c r="A116" s="7" t="s">
        <v>215</v>
      </c>
      <c r="B116" s="514" t="s">
        <v>211</v>
      </c>
      <c r="C116" s="516" t="s">
        <v>65</v>
      </c>
      <c r="D116" s="511"/>
      <c r="E116" s="18"/>
      <c r="F116" s="31" t="s">
        <v>708</v>
      </c>
      <c r="H116" s="514" t="s">
        <v>176</v>
      </c>
    </row>
    <row r="117" spans="1:8" ht="12.75" hidden="1">
      <c r="A117" s="7" t="s">
        <v>217</v>
      </c>
      <c r="B117" s="511"/>
      <c r="C117" s="517"/>
      <c r="D117" s="511"/>
      <c r="E117" s="18"/>
      <c r="F117" s="31" t="s">
        <v>708</v>
      </c>
      <c r="H117" s="511"/>
    </row>
    <row r="118" spans="1:8" ht="12.75" hidden="1">
      <c r="A118" s="7" t="s">
        <v>219</v>
      </c>
      <c r="B118" s="512"/>
      <c r="C118" s="517"/>
      <c r="D118" s="511"/>
      <c r="E118" s="18"/>
      <c r="F118" s="31" t="s">
        <v>708</v>
      </c>
      <c r="H118" s="511"/>
    </row>
    <row r="119" spans="1:8" ht="12.75" hidden="1">
      <c r="A119" s="7" t="s">
        <v>222</v>
      </c>
      <c r="B119" s="13" t="s">
        <v>222</v>
      </c>
      <c r="C119" s="15" t="s">
        <v>238</v>
      </c>
      <c r="D119" s="511"/>
      <c r="E119" s="18"/>
      <c r="F119" s="31" t="s">
        <v>708</v>
      </c>
      <c r="H119" s="511"/>
    </row>
    <row r="120" spans="1:8" ht="12.75" hidden="1">
      <c r="A120" s="7" t="s">
        <v>224</v>
      </c>
      <c r="B120" s="13" t="s">
        <v>224</v>
      </c>
      <c r="C120" s="15" t="s">
        <v>103</v>
      </c>
      <c r="D120" s="511"/>
      <c r="E120" s="18"/>
      <c r="F120" s="31" t="s">
        <v>708</v>
      </c>
      <c r="H120" s="511"/>
    </row>
    <row r="121" spans="1:8" ht="12.75" hidden="1">
      <c r="A121" s="11" t="s">
        <v>227</v>
      </c>
      <c r="B121" s="13" t="s">
        <v>227</v>
      </c>
      <c r="C121" s="15" t="s">
        <v>374</v>
      </c>
      <c r="D121" s="511"/>
      <c r="E121" s="18"/>
      <c r="F121" s="31" t="s">
        <v>708</v>
      </c>
      <c r="H121" s="512"/>
    </row>
    <row r="122" spans="1:8" ht="12.75" hidden="1">
      <c r="A122" s="11" t="s">
        <v>242</v>
      </c>
      <c r="B122" s="13" t="s">
        <v>242</v>
      </c>
      <c r="C122" s="15" t="s">
        <v>238</v>
      </c>
      <c r="D122" s="511"/>
      <c r="E122" s="18"/>
      <c r="F122" s="31" t="s">
        <v>708</v>
      </c>
      <c r="H122" s="514" t="s">
        <v>196</v>
      </c>
    </row>
    <row r="123" spans="1:8" ht="12.75" hidden="1">
      <c r="A123" s="11" t="s">
        <v>247</v>
      </c>
      <c r="B123" s="514" t="s">
        <v>245</v>
      </c>
      <c r="C123" s="515" t="s">
        <v>65</v>
      </c>
      <c r="D123" s="511"/>
      <c r="E123" s="18"/>
      <c r="F123" s="31" t="s">
        <v>708</v>
      </c>
      <c r="H123" s="511"/>
    </row>
    <row r="124" spans="1:8" ht="12.75" hidden="1">
      <c r="A124" s="11" t="s">
        <v>250</v>
      </c>
      <c r="B124" s="512"/>
      <c r="C124" s="512"/>
      <c r="D124" s="511"/>
      <c r="E124" s="18"/>
      <c r="F124" s="31" t="s">
        <v>708</v>
      </c>
      <c r="H124" s="511"/>
    </row>
    <row r="125" spans="1:8" ht="12.75" hidden="1">
      <c r="A125" s="11" t="s">
        <v>249</v>
      </c>
      <c r="B125" s="13" t="s">
        <v>249</v>
      </c>
      <c r="C125" s="15" t="s">
        <v>31</v>
      </c>
      <c r="D125" s="511"/>
      <c r="E125" s="18"/>
      <c r="F125" s="31" t="s">
        <v>708</v>
      </c>
      <c r="H125" s="511"/>
    </row>
    <row r="126" spans="1:8" ht="12.75" hidden="1">
      <c r="A126" s="11" t="s">
        <v>254</v>
      </c>
      <c r="B126" s="13" t="s">
        <v>254</v>
      </c>
      <c r="C126" s="15" t="s">
        <v>103</v>
      </c>
      <c r="D126" s="511"/>
      <c r="E126" s="18"/>
      <c r="F126" s="31" t="s">
        <v>708</v>
      </c>
      <c r="H126" s="511"/>
    </row>
    <row r="127" spans="1:8" ht="12.75" hidden="1">
      <c r="A127" s="11" t="s">
        <v>255</v>
      </c>
      <c r="B127" s="13" t="s">
        <v>255</v>
      </c>
      <c r="C127" s="15" t="s">
        <v>408</v>
      </c>
      <c r="D127" s="512"/>
      <c r="E127" s="18"/>
      <c r="F127" s="31" t="s">
        <v>708</v>
      </c>
      <c r="H127" s="512"/>
    </row>
    <row r="128" spans="1:8" ht="12.75" hidden="1">
      <c r="A128" s="11" t="s">
        <v>259</v>
      </c>
      <c r="B128" s="13" t="s">
        <v>259</v>
      </c>
      <c r="C128" s="15" t="s">
        <v>155</v>
      </c>
      <c r="D128" s="522" t="s">
        <v>261</v>
      </c>
      <c r="E128" s="18"/>
      <c r="F128" s="31" t="s">
        <v>708</v>
      </c>
      <c r="H128" s="514" t="s">
        <v>67</v>
      </c>
    </row>
    <row r="129" spans="1:8" ht="12.75" hidden="1">
      <c r="A129" s="11" t="s">
        <v>263</v>
      </c>
      <c r="B129" s="13" t="s">
        <v>263</v>
      </c>
      <c r="C129" s="515" t="s">
        <v>374</v>
      </c>
      <c r="D129" s="511"/>
      <c r="E129" s="18"/>
      <c r="F129" s="31" t="s">
        <v>708</v>
      </c>
      <c r="H129" s="511"/>
    </row>
    <row r="130" spans="1:8" ht="12.75" hidden="1">
      <c r="A130" s="11" t="s">
        <v>269</v>
      </c>
      <c r="B130" s="514" t="s">
        <v>267</v>
      </c>
      <c r="C130" s="511"/>
      <c r="D130" s="511"/>
      <c r="E130" s="18"/>
      <c r="F130" s="31" t="s">
        <v>708</v>
      </c>
      <c r="H130" s="511"/>
    </row>
    <row r="131" spans="1:8" ht="12.75" hidden="1">
      <c r="A131" s="11" t="s">
        <v>273</v>
      </c>
      <c r="B131" s="512"/>
      <c r="C131" s="512"/>
      <c r="D131" s="511"/>
      <c r="E131" s="18"/>
      <c r="F131" s="31" t="s">
        <v>708</v>
      </c>
      <c r="H131" s="511"/>
    </row>
    <row r="132" spans="1:8" ht="12.75" hidden="1">
      <c r="A132" s="77" t="s">
        <v>277</v>
      </c>
      <c r="B132" s="13" t="s">
        <v>276</v>
      </c>
      <c r="C132" s="515" t="s">
        <v>155</v>
      </c>
      <c r="D132" s="511"/>
      <c r="E132" s="18"/>
      <c r="F132" s="31" t="s">
        <v>708</v>
      </c>
      <c r="H132" s="511"/>
    </row>
    <row r="133" spans="1:8" ht="12.75" hidden="1">
      <c r="A133" s="11" t="s">
        <v>281</v>
      </c>
      <c r="B133" s="13" t="s">
        <v>279</v>
      </c>
      <c r="C133" s="512"/>
      <c r="D133" s="511"/>
      <c r="E133" s="18"/>
      <c r="F133" s="31" t="s">
        <v>708</v>
      </c>
      <c r="H133" s="511"/>
    </row>
    <row r="134" spans="1:8" ht="12.75" hidden="1">
      <c r="A134" s="11" t="s">
        <v>285</v>
      </c>
      <c r="B134" s="13" t="s">
        <v>284</v>
      </c>
      <c r="C134" s="15" t="s">
        <v>374</v>
      </c>
      <c r="D134" s="511"/>
      <c r="E134" s="18"/>
      <c r="F134" s="31" t="s">
        <v>708</v>
      </c>
      <c r="H134" s="512"/>
    </row>
    <row r="135" spans="1:8" ht="12.75" hidden="1">
      <c r="A135" s="11" t="s">
        <v>289</v>
      </c>
      <c r="B135" s="13" t="s">
        <v>287</v>
      </c>
      <c r="C135" s="15" t="s">
        <v>155</v>
      </c>
      <c r="D135" s="511"/>
      <c r="E135" s="18"/>
      <c r="F135" s="31" t="s">
        <v>708</v>
      </c>
      <c r="H135" s="514" t="s">
        <v>81</v>
      </c>
    </row>
    <row r="136" spans="1:8" ht="12.75" hidden="1">
      <c r="A136" s="11" t="s">
        <v>293</v>
      </c>
      <c r="B136" s="13" t="s">
        <v>292</v>
      </c>
      <c r="C136" s="15" t="s">
        <v>374</v>
      </c>
      <c r="D136" s="511"/>
      <c r="E136" s="18"/>
      <c r="F136" s="31" t="s">
        <v>708</v>
      </c>
      <c r="H136" s="511"/>
    </row>
    <row r="137" spans="1:8" ht="12.75" hidden="1">
      <c r="A137" s="11" t="s">
        <v>297</v>
      </c>
      <c r="B137" s="13" t="s">
        <v>295</v>
      </c>
      <c r="C137" s="15" t="s">
        <v>155</v>
      </c>
      <c r="D137" s="511"/>
      <c r="E137" s="18"/>
      <c r="F137" s="31" t="s">
        <v>708</v>
      </c>
      <c r="H137" s="512"/>
    </row>
    <row r="138" spans="1:8" ht="12.75" hidden="1">
      <c r="A138" s="77" t="s">
        <v>480</v>
      </c>
      <c r="B138" s="13" t="s">
        <v>300</v>
      </c>
      <c r="C138" s="15" t="s">
        <v>155</v>
      </c>
      <c r="D138" s="511"/>
      <c r="E138" s="18"/>
      <c r="F138" s="31" t="s">
        <v>708</v>
      </c>
      <c r="H138" s="514" t="s">
        <v>140</v>
      </c>
    </row>
    <row r="139" spans="1:8" ht="12.75" hidden="1">
      <c r="A139" s="11" t="s">
        <v>482</v>
      </c>
      <c r="B139" s="13" t="s">
        <v>303</v>
      </c>
      <c r="C139" s="15" t="s">
        <v>374</v>
      </c>
      <c r="D139" s="511"/>
      <c r="E139" s="18"/>
      <c r="F139" s="31" t="s">
        <v>708</v>
      </c>
      <c r="H139" s="511"/>
    </row>
    <row r="140" spans="1:8" ht="12.75">
      <c r="A140" s="11" t="s">
        <v>307</v>
      </c>
      <c r="B140" s="13" t="s">
        <v>307</v>
      </c>
      <c r="C140" s="15" t="s">
        <v>155</v>
      </c>
      <c r="D140" s="511"/>
      <c r="E140" s="102" t="s">
        <v>707</v>
      </c>
      <c r="F140" s="31" t="s">
        <v>708</v>
      </c>
      <c r="H140" s="512"/>
    </row>
    <row r="141" spans="1:8" ht="12.75">
      <c r="A141" s="11" t="s">
        <v>45</v>
      </c>
      <c r="B141" s="13" t="s">
        <v>348</v>
      </c>
      <c r="C141" s="15" t="s">
        <v>351</v>
      </c>
      <c r="D141" s="511"/>
      <c r="E141" s="102" t="s">
        <v>707</v>
      </c>
      <c r="F141" s="31" t="s">
        <v>708</v>
      </c>
      <c r="H141" s="514" t="s">
        <v>268</v>
      </c>
    </row>
    <row r="142" spans="1:8" ht="12.75" hidden="1">
      <c r="A142" s="11" t="s">
        <v>30</v>
      </c>
      <c r="B142" s="514" t="s">
        <v>440</v>
      </c>
      <c r="C142" s="515" t="s">
        <v>207</v>
      </c>
      <c r="D142" s="511"/>
      <c r="E142" s="18"/>
      <c r="F142" s="31" t="s">
        <v>708</v>
      </c>
      <c r="H142" s="511"/>
    </row>
    <row r="143" spans="1:8" ht="12.75" hidden="1">
      <c r="A143" s="11" t="s">
        <v>32</v>
      </c>
      <c r="B143" s="512"/>
      <c r="C143" s="512"/>
      <c r="D143" s="511"/>
      <c r="E143" s="18"/>
      <c r="F143" s="31" t="s">
        <v>708</v>
      </c>
      <c r="H143" s="511"/>
    </row>
    <row r="144" spans="1:8" ht="12.75" hidden="1">
      <c r="A144" s="11" t="s">
        <v>19</v>
      </c>
      <c r="B144" s="13" t="s">
        <v>443</v>
      </c>
      <c r="C144" s="15" t="s">
        <v>271</v>
      </c>
      <c r="D144" s="511"/>
      <c r="E144" s="18"/>
      <c r="F144" s="31" t="s">
        <v>708</v>
      </c>
      <c r="H144" s="511"/>
    </row>
    <row r="145" spans="1:8" ht="12.75" hidden="1">
      <c r="A145" s="11" t="s">
        <v>25</v>
      </c>
      <c r="B145" s="514" t="s">
        <v>445</v>
      </c>
      <c r="C145" s="523" t="s">
        <v>207</v>
      </c>
      <c r="D145" s="511"/>
      <c r="E145" s="18"/>
      <c r="F145" s="31" t="s">
        <v>708</v>
      </c>
      <c r="H145" s="511"/>
    </row>
    <row r="146" spans="1:8" ht="12.75" hidden="1">
      <c r="A146" s="11" t="s">
        <v>28</v>
      </c>
      <c r="B146" s="512"/>
      <c r="C146" s="512"/>
      <c r="D146" s="511"/>
      <c r="E146" s="18"/>
      <c r="F146" s="31" t="s">
        <v>708</v>
      </c>
      <c r="H146" s="511"/>
    </row>
    <row r="147" spans="1:8" ht="12.75" hidden="1">
      <c r="A147" s="11" t="s">
        <v>27</v>
      </c>
      <c r="B147" s="13" t="s">
        <v>449</v>
      </c>
      <c r="C147" s="15" t="s">
        <v>155</v>
      </c>
      <c r="D147" s="511"/>
      <c r="E147" s="18"/>
      <c r="F147" s="31" t="s">
        <v>708</v>
      </c>
      <c r="H147" s="511"/>
    </row>
    <row r="148" spans="1:8" ht="12.75" hidden="1">
      <c r="A148" s="11" t="s">
        <v>24</v>
      </c>
      <c r="B148" s="13" t="s">
        <v>452</v>
      </c>
      <c r="C148" s="15" t="s">
        <v>374</v>
      </c>
      <c r="D148" s="511"/>
      <c r="E148" s="18"/>
      <c r="F148" s="31" t="s">
        <v>708</v>
      </c>
      <c r="H148" s="511"/>
    </row>
    <row r="149" spans="1:8" ht="12.75" hidden="1">
      <c r="A149" s="11" t="s">
        <v>52</v>
      </c>
      <c r="B149" s="13" t="s">
        <v>52</v>
      </c>
      <c r="C149" s="15" t="s">
        <v>491</v>
      </c>
      <c r="D149" s="511"/>
      <c r="E149" s="18"/>
      <c r="F149" s="31" t="s">
        <v>708</v>
      </c>
      <c r="H149" s="511"/>
    </row>
    <row r="150" spans="1:8" ht="12.75" hidden="1">
      <c r="A150" s="11" t="s">
        <v>54</v>
      </c>
      <c r="B150" s="13" t="s">
        <v>456</v>
      </c>
      <c r="C150" s="15" t="s">
        <v>65</v>
      </c>
      <c r="D150" s="511"/>
      <c r="E150" s="18"/>
      <c r="F150" s="31" t="s">
        <v>708</v>
      </c>
      <c r="H150" s="511"/>
    </row>
    <row r="151" spans="1:8" ht="12.75" hidden="1">
      <c r="A151" s="11" t="s">
        <v>55</v>
      </c>
      <c r="B151" s="13" t="s">
        <v>55</v>
      </c>
      <c r="C151" s="15" t="s">
        <v>103</v>
      </c>
      <c r="D151" s="511"/>
      <c r="E151" s="18"/>
      <c r="F151" s="31" t="s">
        <v>708</v>
      </c>
      <c r="H151" s="511"/>
    </row>
    <row r="152" spans="1:8" ht="12.75" hidden="1">
      <c r="A152" s="11" t="s">
        <v>46</v>
      </c>
      <c r="B152" s="514" t="s">
        <v>459</v>
      </c>
      <c r="C152" s="515" t="s">
        <v>493</v>
      </c>
      <c r="D152" s="511"/>
      <c r="E152" s="18"/>
      <c r="F152" s="31" t="s">
        <v>708</v>
      </c>
      <c r="H152" s="511"/>
    </row>
    <row r="153" spans="1:8" ht="12.75" hidden="1">
      <c r="A153" s="11" t="s">
        <v>47</v>
      </c>
      <c r="B153" s="511"/>
      <c r="C153" s="511"/>
      <c r="D153" s="511"/>
      <c r="E153" s="18"/>
      <c r="F153" s="31" t="s">
        <v>708</v>
      </c>
      <c r="H153" s="511"/>
    </row>
    <row r="154" spans="1:8" ht="12.75" hidden="1">
      <c r="A154" s="11" t="s">
        <v>48</v>
      </c>
      <c r="B154" s="511"/>
      <c r="C154" s="511"/>
      <c r="D154" s="511"/>
      <c r="E154" s="18"/>
      <c r="F154" s="31" t="s">
        <v>708</v>
      </c>
      <c r="H154" s="511"/>
    </row>
    <row r="155" spans="1:8" ht="12.75">
      <c r="A155" s="11" t="s">
        <v>50</v>
      </c>
      <c r="B155" s="512"/>
      <c r="C155" s="512"/>
      <c r="D155" s="512"/>
      <c r="E155" s="102" t="s">
        <v>707</v>
      </c>
      <c r="F155" s="31" t="s">
        <v>708</v>
      </c>
      <c r="H155" s="512"/>
    </row>
    <row r="156" spans="1:8" ht="12.75" hidden="1">
      <c r="A156" s="11" t="s">
        <v>33</v>
      </c>
      <c r="B156" s="13" t="s">
        <v>425</v>
      </c>
      <c r="C156" s="15" t="s">
        <v>155</v>
      </c>
      <c r="D156" s="522" t="s">
        <v>66</v>
      </c>
      <c r="E156" s="18"/>
      <c r="F156" s="31" t="s">
        <v>708</v>
      </c>
      <c r="H156" s="514" t="s">
        <v>268</v>
      </c>
    </row>
    <row r="157" spans="1:8" ht="12.75">
      <c r="A157" s="11" t="s">
        <v>34</v>
      </c>
      <c r="B157" s="13" t="s">
        <v>499</v>
      </c>
      <c r="C157" s="15" t="s">
        <v>31</v>
      </c>
      <c r="D157" s="511"/>
      <c r="E157" s="102" t="s">
        <v>707</v>
      </c>
      <c r="F157" s="31" t="s">
        <v>708</v>
      </c>
      <c r="H157" s="512"/>
    </row>
    <row r="158" spans="1:8" ht="12.75" hidden="1">
      <c r="A158" s="77" t="s">
        <v>231</v>
      </c>
      <c r="B158" s="13" t="s">
        <v>500</v>
      </c>
      <c r="C158" s="15" t="s">
        <v>155</v>
      </c>
      <c r="D158" s="511"/>
      <c r="E158" s="18"/>
      <c r="F158" s="31" t="s">
        <v>708</v>
      </c>
      <c r="H158" s="514" t="s">
        <v>176</v>
      </c>
    </row>
    <row r="159" spans="1:8" ht="25.5">
      <c r="A159" s="84" t="s">
        <v>501</v>
      </c>
      <c r="B159" s="13" t="s">
        <v>502</v>
      </c>
      <c r="C159" s="86" t="s">
        <v>238</v>
      </c>
      <c r="D159" s="511"/>
      <c r="E159" s="102" t="s">
        <v>707</v>
      </c>
      <c r="F159" s="31" t="s">
        <v>708</v>
      </c>
      <c r="H159" s="512"/>
    </row>
    <row r="160" spans="1:8" ht="12.75" hidden="1">
      <c r="A160" s="77" t="s">
        <v>206</v>
      </c>
      <c r="B160" s="13" t="s">
        <v>204</v>
      </c>
      <c r="C160" s="515" t="s">
        <v>155</v>
      </c>
      <c r="D160" s="511"/>
      <c r="E160" s="18"/>
      <c r="F160" s="31" t="s">
        <v>708</v>
      </c>
      <c r="H160" s="15" t="s">
        <v>165</v>
      </c>
    </row>
    <row r="161" spans="1:8" ht="12.75">
      <c r="A161" s="11" t="s">
        <v>363</v>
      </c>
      <c r="B161" s="13" t="s">
        <v>358</v>
      </c>
      <c r="C161" s="512"/>
      <c r="D161" s="511"/>
      <c r="E161" s="102" t="s">
        <v>707</v>
      </c>
      <c r="F161" s="31" t="s">
        <v>708</v>
      </c>
      <c r="H161" s="8" t="s">
        <v>198</v>
      </c>
    </row>
    <row r="162" spans="1:8" ht="12.75" hidden="1">
      <c r="A162" s="11" t="s">
        <v>256</v>
      </c>
      <c r="B162" s="13" t="s">
        <v>256</v>
      </c>
      <c r="C162" s="15" t="s">
        <v>238</v>
      </c>
      <c r="D162" s="511"/>
      <c r="E162" s="18"/>
      <c r="F162" s="31" t="s">
        <v>708</v>
      </c>
      <c r="H162" s="8" t="s">
        <v>196</v>
      </c>
    </row>
    <row r="163" spans="1:8" ht="12.75">
      <c r="A163" s="11" t="s">
        <v>64</v>
      </c>
      <c r="B163" s="13" t="s">
        <v>64</v>
      </c>
      <c r="C163" s="15" t="s">
        <v>155</v>
      </c>
      <c r="D163" s="511"/>
      <c r="E163" s="102" t="s">
        <v>707</v>
      </c>
      <c r="F163" s="31" t="s">
        <v>708</v>
      </c>
      <c r="H163" s="8" t="s">
        <v>13</v>
      </c>
    </row>
    <row r="164" spans="1:8" ht="12.75" hidden="1">
      <c r="A164" s="11" t="s">
        <v>168</v>
      </c>
      <c r="B164" s="13" t="s">
        <v>168</v>
      </c>
      <c r="C164" s="515" t="s">
        <v>491</v>
      </c>
      <c r="D164" s="511"/>
      <c r="E164" s="18"/>
      <c r="H164" s="8" t="s">
        <v>140</v>
      </c>
    </row>
    <row r="165" spans="1:8" ht="12.75" hidden="1">
      <c r="A165" s="11" t="s">
        <v>132</v>
      </c>
      <c r="B165" s="13" t="s">
        <v>132</v>
      </c>
      <c r="C165" s="512"/>
      <c r="D165" s="512"/>
      <c r="E165" s="18"/>
      <c r="H165" s="8" t="s">
        <v>113</v>
      </c>
    </row>
    <row r="166" spans="1:8" ht="12.75" hidden="1">
      <c r="A166" s="11" t="s">
        <v>510</v>
      </c>
      <c r="B166" s="514" t="s">
        <v>511</v>
      </c>
      <c r="C166" s="515" t="s">
        <v>128</v>
      </c>
      <c r="D166" s="514" t="s">
        <v>513</v>
      </c>
      <c r="E166" s="514"/>
      <c r="H166" s="514" t="s">
        <v>79</v>
      </c>
    </row>
    <row r="167" spans="1:8" ht="12.75" hidden="1">
      <c r="A167" s="11" t="s">
        <v>517</v>
      </c>
      <c r="B167" s="511"/>
      <c r="C167" s="511"/>
      <c r="D167" s="511"/>
      <c r="E167" s="511"/>
      <c r="H167" s="511"/>
    </row>
    <row r="168" spans="1:8" ht="12.75" hidden="1">
      <c r="A168" s="11" t="s">
        <v>518</v>
      </c>
      <c r="B168" s="512"/>
      <c r="C168" s="512"/>
      <c r="D168" s="511"/>
      <c r="E168" s="512"/>
      <c r="H168" s="511"/>
    </row>
    <row r="169" spans="1:8" ht="12.75" hidden="1">
      <c r="A169" s="7" t="s">
        <v>519</v>
      </c>
      <c r="B169" s="514" t="s">
        <v>520</v>
      </c>
      <c r="C169" s="515" t="s">
        <v>207</v>
      </c>
      <c r="D169" s="511"/>
      <c r="E169" s="514"/>
      <c r="H169" s="511"/>
    </row>
    <row r="170" spans="1:8" ht="12.75" hidden="1">
      <c r="A170" s="7" t="s">
        <v>521</v>
      </c>
      <c r="B170" s="512"/>
      <c r="C170" s="512"/>
      <c r="D170" s="511"/>
      <c r="E170" s="512"/>
      <c r="H170" s="511"/>
    </row>
    <row r="171" spans="1:8" ht="12.75" hidden="1">
      <c r="A171" s="11" t="s">
        <v>522</v>
      </c>
      <c r="B171" s="13" t="s">
        <v>523</v>
      </c>
      <c r="C171" s="15" t="s">
        <v>374</v>
      </c>
      <c r="D171" s="511"/>
      <c r="E171" s="18"/>
      <c r="H171" s="511"/>
    </row>
    <row r="172" spans="1:8" ht="12.75" hidden="1">
      <c r="A172" s="11" t="s">
        <v>524</v>
      </c>
      <c r="B172" s="13" t="s">
        <v>525</v>
      </c>
      <c r="C172" s="515" t="s">
        <v>238</v>
      </c>
      <c r="D172" s="511"/>
      <c r="E172" s="18"/>
      <c r="H172" s="511"/>
    </row>
    <row r="173" spans="1:8" ht="12.75" hidden="1">
      <c r="A173" s="11" t="s">
        <v>526</v>
      </c>
      <c r="B173" s="13" t="s">
        <v>527</v>
      </c>
      <c r="C173" s="512"/>
      <c r="D173" s="511"/>
      <c r="E173" s="18"/>
      <c r="H173" s="511"/>
    </row>
    <row r="174" spans="1:8" ht="12.75" hidden="1">
      <c r="A174" s="11" t="s">
        <v>528</v>
      </c>
      <c r="B174" s="13" t="s">
        <v>529</v>
      </c>
      <c r="C174" s="15" t="s">
        <v>155</v>
      </c>
      <c r="D174" s="511"/>
      <c r="E174" s="18"/>
      <c r="H174" s="511"/>
    </row>
    <row r="175" spans="1:8" ht="12.75" hidden="1">
      <c r="A175" s="11" t="s">
        <v>530</v>
      </c>
      <c r="B175" s="13" t="s">
        <v>263</v>
      </c>
      <c r="C175" s="15" t="s">
        <v>374</v>
      </c>
      <c r="D175" s="511"/>
      <c r="E175" s="18"/>
      <c r="H175" s="511"/>
    </row>
    <row r="176" spans="1:8" ht="12.75" hidden="1">
      <c r="A176" s="11" t="s">
        <v>531</v>
      </c>
      <c r="B176" s="514" t="s">
        <v>532</v>
      </c>
      <c r="C176" s="515" t="s">
        <v>207</v>
      </c>
      <c r="D176" s="511"/>
      <c r="E176" s="18"/>
      <c r="H176" s="511"/>
    </row>
    <row r="177" spans="1:8" ht="12.75" hidden="1">
      <c r="A177" s="11" t="s">
        <v>533</v>
      </c>
      <c r="B177" s="512"/>
      <c r="C177" s="512"/>
      <c r="D177" s="511"/>
      <c r="E177" s="18"/>
      <c r="H177" s="511"/>
    </row>
    <row r="178" spans="1:8" ht="12.75" hidden="1">
      <c r="A178" s="11" t="s">
        <v>534</v>
      </c>
      <c r="B178" s="13" t="s">
        <v>535</v>
      </c>
      <c r="C178" s="15" t="s">
        <v>374</v>
      </c>
      <c r="D178" s="511"/>
      <c r="E178" s="18"/>
      <c r="H178" s="511"/>
    </row>
    <row r="179" spans="1:8" ht="12.75" hidden="1">
      <c r="A179" s="11" t="s">
        <v>83</v>
      </c>
      <c r="B179" s="13" t="s">
        <v>536</v>
      </c>
      <c r="C179" s="15" t="s">
        <v>155</v>
      </c>
      <c r="D179" s="511"/>
      <c r="E179" s="18"/>
      <c r="H179" s="512"/>
    </row>
    <row r="180" spans="1:8" ht="12.75" hidden="1">
      <c r="A180" s="11" t="s">
        <v>537</v>
      </c>
      <c r="B180" s="514" t="s">
        <v>538</v>
      </c>
      <c r="C180" s="515" t="s">
        <v>207</v>
      </c>
      <c r="D180" s="511"/>
      <c r="E180" s="18"/>
      <c r="H180" s="13"/>
    </row>
    <row r="181" spans="1:8" ht="12.75" hidden="1">
      <c r="A181" s="7" t="s">
        <v>539</v>
      </c>
      <c r="B181" s="512"/>
      <c r="C181" s="512"/>
      <c r="D181" s="511"/>
      <c r="E181" s="18"/>
      <c r="H181" s="13"/>
    </row>
    <row r="182" spans="1:8" ht="12.75" hidden="1">
      <c r="A182" s="11" t="s">
        <v>540</v>
      </c>
      <c r="B182" s="13" t="s">
        <v>541</v>
      </c>
      <c r="C182" s="15" t="s">
        <v>374</v>
      </c>
      <c r="D182" s="511"/>
      <c r="E182" s="18"/>
      <c r="H182" s="13"/>
    </row>
    <row r="183" spans="1:8" ht="12.75" hidden="1">
      <c r="A183" s="11" t="s">
        <v>542</v>
      </c>
      <c r="B183" s="13" t="s">
        <v>543</v>
      </c>
      <c r="C183" s="15" t="s">
        <v>155</v>
      </c>
      <c r="D183" s="511"/>
      <c r="E183" s="18"/>
      <c r="H183" s="13"/>
    </row>
    <row r="184" spans="1:8" ht="12.75" hidden="1">
      <c r="A184" s="11" t="s">
        <v>544</v>
      </c>
      <c r="B184" s="13" t="s">
        <v>545</v>
      </c>
      <c r="C184" s="15" t="s">
        <v>374</v>
      </c>
      <c r="D184" s="511"/>
      <c r="E184" s="18"/>
      <c r="H184" s="13"/>
    </row>
    <row r="185" spans="1:8" ht="12.75" hidden="1">
      <c r="A185" s="11" t="s">
        <v>547</v>
      </c>
      <c r="B185" s="514" t="s">
        <v>547</v>
      </c>
      <c r="C185" s="515" t="s">
        <v>155</v>
      </c>
      <c r="D185" s="511"/>
      <c r="E185" s="18"/>
      <c r="H185" s="13"/>
    </row>
    <row r="186" spans="1:8" ht="12.75" hidden="1">
      <c r="A186" s="11" t="s">
        <v>548</v>
      </c>
      <c r="B186" s="512"/>
      <c r="C186" s="512"/>
      <c r="D186" s="511"/>
      <c r="E186" s="18"/>
      <c r="H186" s="13"/>
    </row>
    <row r="187" spans="1:8" ht="12.75" hidden="1">
      <c r="A187" s="11" t="s">
        <v>549</v>
      </c>
      <c r="B187" s="13" t="s">
        <v>549</v>
      </c>
      <c r="C187" s="13" t="s">
        <v>207</v>
      </c>
      <c r="D187" s="511"/>
      <c r="E187" s="18"/>
      <c r="H187" s="13"/>
    </row>
    <row r="188" spans="1:8" ht="12.75" hidden="1">
      <c r="A188" s="11" t="s">
        <v>551</v>
      </c>
      <c r="B188" s="13" t="s">
        <v>551</v>
      </c>
      <c r="C188" s="15" t="s">
        <v>374</v>
      </c>
      <c r="D188" s="511"/>
      <c r="E188" s="18"/>
      <c r="H188" s="13"/>
    </row>
    <row r="189" spans="1:8" ht="12.75" hidden="1">
      <c r="A189" s="11" t="s">
        <v>110</v>
      </c>
      <c r="B189" s="514" t="s">
        <v>552</v>
      </c>
      <c r="C189" s="515" t="s">
        <v>553</v>
      </c>
      <c r="D189" s="511"/>
      <c r="E189" s="18"/>
      <c r="H189" s="13"/>
    </row>
    <row r="190" spans="1:8" ht="12.75" hidden="1">
      <c r="A190" s="11" t="s">
        <v>129</v>
      </c>
      <c r="B190" s="511"/>
      <c r="C190" s="511"/>
      <c r="D190" s="511"/>
      <c r="E190" s="18"/>
      <c r="H190" s="13"/>
    </row>
    <row r="191" spans="1:8" ht="12.75" hidden="1">
      <c r="A191" s="11" t="s">
        <v>135</v>
      </c>
      <c r="B191" s="512"/>
      <c r="C191" s="512"/>
      <c r="D191" s="511"/>
      <c r="E191" s="18"/>
      <c r="H191" s="13"/>
    </row>
    <row r="192" spans="1:8" ht="12.75" hidden="1">
      <c r="A192" s="11" t="s">
        <v>554</v>
      </c>
      <c r="B192" s="13" t="s">
        <v>555</v>
      </c>
      <c r="C192" s="15" t="s">
        <v>155</v>
      </c>
      <c r="D192" s="511"/>
      <c r="E192" s="18"/>
      <c r="H192" s="13"/>
    </row>
    <row r="193" spans="1:8" ht="12.75" hidden="1">
      <c r="A193" s="11" t="s">
        <v>556</v>
      </c>
      <c r="B193" s="13" t="s">
        <v>557</v>
      </c>
      <c r="C193" s="15" t="s">
        <v>374</v>
      </c>
      <c r="D193" s="511"/>
      <c r="E193" s="18"/>
      <c r="H193" s="13"/>
    </row>
    <row r="194" spans="1:8" ht="12.75" hidden="1">
      <c r="A194" s="11" t="s">
        <v>558</v>
      </c>
      <c r="B194" s="13" t="s">
        <v>558</v>
      </c>
      <c r="C194" s="15" t="s">
        <v>155</v>
      </c>
      <c r="D194" s="511"/>
      <c r="E194" s="18"/>
      <c r="H194" s="13"/>
    </row>
    <row r="195" spans="1:8" ht="12.75" hidden="1">
      <c r="A195" s="11" t="s">
        <v>559</v>
      </c>
      <c r="B195" s="13" t="s">
        <v>559</v>
      </c>
      <c r="C195" s="15" t="s">
        <v>374</v>
      </c>
      <c r="D195" s="511"/>
      <c r="E195" s="18"/>
      <c r="H195" s="13"/>
    </row>
    <row r="196" spans="1:8" ht="12.75" hidden="1">
      <c r="A196" s="11" t="s">
        <v>137</v>
      </c>
      <c r="B196" s="13" t="s">
        <v>154</v>
      </c>
      <c r="C196" s="15" t="s">
        <v>155</v>
      </c>
      <c r="D196" s="511"/>
      <c r="E196" s="18"/>
      <c r="H196" s="13"/>
    </row>
    <row r="197" spans="1:8" ht="12.75" hidden="1">
      <c r="A197" s="11" t="s">
        <v>560</v>
      </c>
      <c r="B197" s="13" t="s">
        <v>561</v>
      </c>
      <c r="C197" s="15" t="s">
        <v>374</v>
      </c>
      <c r="D197" s="511"/>
      <c r="E197" s="18"/>
      <c r="H197" s="13"/>
    </row>
    <row r="198" spans="1:8" ht="12.75" hidden="1">
      <c r="A198" s="11" t="s">
        <v>562</v>
      </c>
      <c r="B198" s="514" t="s">
        <v>563</v>
      </c>
      <c r="C198" s="514" t="s">
        <v>207</v>
      </c>
      <c r="D198" s="511"/>
      <c r="E198" s="18"/>
      <c r="H198" s="13"/>
    </row>
    <row r="199" spans="1:8" ht="12.75" hidden="1">
      <c r="A199" s="11" t="s">
        <v>564</v>
      </c>
      <c r="B199" s="512"/>
      <c r="C199" s="512"/>
      <c r="D199" s="511"/>
      <c r="E199" s="18"/>
      <c r="H199" s="13"/>
    </row>
    <row r="200" spans="1:8" ht="12.75" hidden="1">
      <c r="A200" s="11" t="s">
        <v>149</v>
      </c>
      <c r="B200" s="13" t="s">
        <v>149</v>
      </c>
      <c r="C200" s="15" t="s">
        <v>374</v>
      </c>
      <c r="D200" s="511"/>
      <c r="E200" s="18"/>
      <c r="H200" s="13"/>
    </row>
    <row r="201" spans="1:8" ht="12.75" hidden="1">
      <c r="A201" s="11" t="s">
        <v>565</v>
      </c>
      <c r="B201" s="13" t="s">
        <v>566</v>
      </c>
      <c r="C201" s="15" t="s">
        <v>155</v>
      </c>
      <c r="D201" s="511"/>
      <c r="E201" s="18"/>
      <c r="H201" s="13"/>
    </row>
    <row r="202" spans="1:8" ht="12.75" hidden="1">
      <c r="A202" s="7" t="s">
        <v>568</v>
      </c>
      <c r="B202" s="13" t="s">
        <v>569</v>
      </c>
      <c r="C202" s="13" t="s">
        <v>207</v>
      </c>
      <c r="D202" s="511"/>
      <c r="E202" s="18"/>
      <c r="H202" s="13"/>
    </row>
    <row r="203" spans="1:8" ht="12.75" hidden="1">
      <c r="A203" s="11" t="s">
        <v>156</v>
      </c>
      <c r="B203" s="13" t="s">
        <v>570</v>
      </c>
      <c r="C203" s="15" t="s">
        <v>374</v>
      </c>
      <c r="D203" s="511"/>
      <c r="E203" s="18"/>
      <c r="H203" s="13"/>
    </row>
    <row r="204" spans="1:8" ht="12.75" hidden="1">
      <c r="A204" s="11" t="s">
        <v>161</v>
      </c>
      <c r="B204" s="13" t="s">
        <v>571</v>
      </c>
      <c r="C204" s="15" t="s">
        <v>553</v>
      </c>
      <c r="D204" s="511"/>
      <c r="E204" s="18"/>
      <c r="H204" s="13"/>
    </row>
    <row r="205" spans="1:8" ht="12.75" hidden="1">
      <c r="A205" s="11" t="s">
        <v>572</v>
      </c>
      <c r="B205" s="13" t="s">
        <v>573</v>
      </c>
      <c r="C205" s="13" t="s">
        <v>207</v>
      </c>
      <c r="D205" s="511"/>
      <c r="E205" s="18"/>
      <c r="H205" s="13"/>
    </row>
    <row r="206" spans="1:8" ht="12.75" hidden="1">
      <c r="A206" s="11" t="s">
        <v>574</v>
      </c>
      <c r="B206" s="13" t="s">
        <v>575</v>
      </c>
      <c r="C206" s="15" t="s">
        <v>374</v>
      </c>
      <c r="D206" s="511"/>
      <c r="E206" s="18"/>
      <c r="H206" s="13"/>
    </row>
    <row r="207" spans="1:8" ht="12.75" hidden="1">
      <c r="A207" s="11" t="s">
        <v>166</v>
      </c>
      <c r="B207" s="13" t="s">
        <v>576</v>
      </c>
      <c r="C207" s="15" t="s">
        <v>155</v>
      </c>
      <c r="D207" s="511"/>
      <c r="E207" s="18"/>
      <c r="H207" s="13"/>
    </row>
    <row r="208" spans="1:8" ht="12.75" hidden="1">
      <c r="A208" s="11" t="s">
        <v>577</v>
      </c>
      <c r="B208" s="13" t="s">
        <v>578</v>
      </c>
      <c r="C208" s="15" t="s">
        <v>374</v>
      </c>
      <c r="D208" s="511"/>
      <c r="E208" s="18"/>
      <c r="H208" s="13"/>
    </row>
    <row r="209" spans="1:8" ht="12.75" hidden="1">
      <c r="A209" s="11" t="s">
        <v>170</v>
      </c>
      <c r="B209" s="13" t="s">
        <v>579</v>
      </c>
      <c r="C209" s="15" t="s">
        <v>491</v>
      </c>
      <c r="D209" s="511"/>
      <c r="E209" s="18"/>
      <c r="H209" s="13"/>
    </row>
    <row r="210" spans="1:8" ht="12.75" hidden="1">
      <c r="A210" s="7" t="s">
        <v>580</v>
      </c>
      <c r="B210" s="514" t="s">
        <v>581</v>
      </c>
      <c r="C210" s="515" t="s">
        <v>207</v>
      </c>
      <c r="D210" s="511"/>
      <c r="E210" s="18"/>
      <c r="H210" s="13"/>
    </row>
    <row r="211" spans="1:8" ht="12.75" hidden="1">
      <c r="A211" s="11" t="s">
        <v>582</v>
      </c>
      <c r="B211" s="511"/>
      <c r="C211" s="511"/>
      <c r="D211" s="511"/>
      <c r="E211" s="18"/>
      <c r="H211" s="13"/>
    </row>
    <row r="212" spans="1:8" ht="12.75" hidden="1">
      <c r="A212" s="11" t="s">
        <v>584</v>
      </c>
      <c r="B212" s="512"/>
      <c r="C212" s="512"/>
      <c r="D212" s="511"/>
      <c r="E212" s="18"/>
      <c r="H212" s="13"/>
    </row>
    <row r="213" spans="1:8" ht="12.75" hidden="1">
      <c r="A213" s="7" t="s">
        <v>585</v>
      </c>
      <c r="B213" s="514" t="s">
        <v>586</v>
      </c>
      <c r="C213" s="514" t="s">
        <v>207</v>
      </c>
      <c r="D213" s="511"/>
      <c r="E213" s="18"/>
      <c r="H213" s="13"/>
    </row>
    <row r="214" spans="1:8" ht="12.75" hidden="1">
      <c r="A214" s="11" t="s">
        <v>587</v>
      </c>
      <c r="B214" s="512"/>
      <c r="C214" s="512"/>
      <c r="D214" s="511"/>
      <c r="E214" s="18"/>
      <c r="H214" s="13"/>
    </row>
    <row r="215" spans="1:8" ht="12.75" hidden="1">
      <c r="A215" s="11" t="s">
        <v>588</v>
      </c>
      <c r="B215" s="13" t="s">
        <v>589</v>
      </c>
      <c r="C215" s="15" t="s">
        <v>155</v>
      </c>
      <c r="D215" s="511"/>
      <c r="E215" s="18"/>
      <c r="H215" s="13"/>
    </row>
    <row r="216" spans="1:8" ht="12.75" hidden="1">
      <c r="A216" s="7" t="s">
        <v>590</v>
      </c>
      <c r="B216" s="13" t="s">
        <v>591</v>
      </c>
      <c r="C216" s="13" t="s">
        <v>207</v>
      </c>
      <c r="D216" s="511"/>
      <c r="E216" s="18"/>
      <c r="H216" s="13"/>
    </row>
    <row r="217" spans="1:8" ht="12.75" hidden="1">
      <c r="A217" s="11" t="s">
        <v>592</v>
      </c>
      <c r="B217" s="13" t="s">
        <v>593</v>
      </c>
      <c r="C217" s="15" t="s">
        <v>374</v>
      </c>
      <c r="D217" s="511"/>
      <c r="E217" s="18"/>
      <c r="H217" s="13"/>
    </row>
    <row r="218" spans="1:8" ht="12.75" hidden="1">
      <c r="A218" s="11" t="s">
        <v>594</v>
      </c>
      <c r="B218" s="13" t="s">
        <v>595</v>
      </c>
      <c r="C218" s="15" t="s">
        <v>155</v>
      </c>
      <c r="D218" s="511"/>
      <c r="E218" s="18"/>
      <c r="H218" s="13"/>
    </row>
    <row r="219" spans="1:8" ht="12.75" hidden="1">
      <c r="A219" s="7" t="s">
        <v>179</v>
      </c>
      <c r="B219" s="13" t="s">
        <v>596</v>
      </c>
      <c r="C219" s="15" t="s">
        <v>31</v>
      </c>
      <c r="D219" s="511"/>
      <c r="E219" s="18"/>
      <c r="H219" s="13"/>
    </row>
    <row r="220" spans="1:8" ht="12.75" hidden="1">
      <c r="A220" s="7" t="s">
        <v>189</v>
      </c>
      <c r="B220" s="13" t="s">
        <v>597</v>
      </c>
      <c r="C220" s="15" t="s">
        <v>598</v>
      </c>
      <c r="D220" s="511"/>
      <c r="E220" s="18"/>
      <c r="H220" s="13"/>
    </row>
    <row r="221" spans="1:8" ht="12.75" hidden="1">
      <c r="A221" s="7" t="s">
        <v>193</v>
      </c>
      <c r="B221" s="13" t="s">
        <v>193</v>
      </c>
      <c r="C221" s="15" t="s">
        <v>491</v>
      </c>
      <c r="D221" s="511"/>
      <c r="E221" s="18"/>
      <c r="H221" s="13"/>
    </row>
    <row r="222" spans="1:8" ht="12.75" hidden="1">
      <c r="A222" s="11" t="s">
        <v>197</v>
      </c>
      <c r="B222" s="13" t="s">
        <v>197</v>
      </c>
      <c r="C222" s="15" t="s">
        <v>374</v>
      </c>
      <c r="D222" s="511"/>
      <c r="E222" s="18"/>
      <c r="H222" s="13"/>
    </row>
    <row r="223" spans="1:8" ht="12.75" hidden="1">
      <c r="A223" s="11" t="s">
        <v>599</v>
      </c>
      <c r="B223" s="514" t="s">
        <v>600</v>
      </c>
      <c r="C223" s="515" t="s">
        <v>553</v>
      </c>
      <c r="D223" s="511"/>
      <c r="E223" s="18"/>
      <c r="H223" s="13"/>
    </row>
    <row r="224" spans="1:8" ht="12.75" hidden="1">
      <c r="A224" s="11" t="s">
        <v>601</v>
      </c>
      <c r="B224" s="512"/>
      <c r="C224" s="512"/>
      <c r="D224" s="511"/>
      <c r="E224" s="18"/>
      <c r="H224" s="13"/>
    </row>
    <row r="225" spans="1:8" ht="12.75" hidden="1">
      <c r="A225" s="11" t="s">
        <v>602</v>
      </c>
      <c r="B225" s="514" t="s">
        <v>603</v>
      </c>
      <c r="C225" s="515" t="s">
        <v>374</v>
      </c>
      <c r="D225" s="511"/>
      <c r="E225" s="18"/>
      <c r="H225" s="13"/>
    </row>
    <row r="226" spans="1:8" ht="12.75" hidden="1">
      <c r="A226" s="11" t="s">
        <v>604</v>
      </c>
      <c r="B226" s="512"/>
      <c r="C226" s="512"/>
      <c r="D226" s="511"/>
      <c r="E226" s="18"/>
      <c r="H226" s="13"/>
    </row>
    <row r="227" spans="1:8" ht="12.75" hidden="1">
      <c r="A227" s="11" t="s">
        <v>202</v>
      </c>
      <c r="B227" s="11" t="s">
        <v>202</v>
      </c>
      <c r="C227" s="15" t="s">
        <v>374</v>
      </c>
      <c r="D227" s="511"/>
      <c r="E227" s="18"/>
      <c r="H227" s="13"/>
    </row>
    <row r="228" spans="1:8" ht="12.75" hidden="1">
      <c r="A228" s="77" t="s">
        <v>605</v>
      </c>
      <c r="B228" s="514" t="s">
        <v>606</v>
      </c>
      <c r="C228" s="515" t="s">
        <v>155</v>
      </c>
      <c r="D228" s="511"/>
      <c r="E228" s="18"/>
      <c r="H228" s="13"/>
    </row>
    <row r="229" spans="1:8" ht="12.75" hidden="1">
      <c r="A229" s="11" t="s">
        <v>607</v>
      </c>
      <c r="B229" s="512"/>
      <c r="C229" s="512"/>
      <c r="D229" s="511"/>
      <c r="E229" s="18"/>
      <c r="H229" s="13"/>
    </row>
    <row r="230" spans="1:8" ht="12.75" hidden="1">
      <c r="A230" s="11" t="s">
        <v>608</v>
      </c>
      <c r="B230" s="13" t="s">
        <v>609</v>
      </c>
      <c r="C230" s="15" t="s">
        <v>374</v>
      </c>
      <c r="D230" s="511"/>
      <c r="E230" s="18"/>
      <c r="H230" s="13"/>
    </row>
    <row r="231" spans="1:8" ht="12.75" hidden="1">
      <c r="A231" s="11" t="s">
        <v>610</v>
      </c>
      <c r="B231" s="514" t="s">
        <v>611</v>
      </c>
      <c r="C231" s="515" t="s">
        <v>128</v>
      </c>
      <c r="D231" s="511"/>
      <c r="E231" s="18"/>
      <c r="H231" s="13"/>
    </row>
    <row r="232" spans="1:8" ht="12.75" hidden="1">
      <c r="A232" s="11" t="s">
        <v>612</v>
      </c>
      <c r="B232" s="512"/>
      <c r="C232" s="512"/>
      <c r="D232" s="511"/>
      <c r="E232" s="18"/>
      <c r="H232" s="13"/>
    </row>
    <row r="233" spans="1:8" ht="12.75" hidden="1">
      <c r="A233" s="11" t="s">
        <v>37</v>
      </c>
      <c r="B233" s="514" t="s">
        <v>614</v>
      </c>
      <c r="C233" s="515" t="s">
        <v>151</v>
      </c>
      <c r="D233" s="511"/>
      <c r="E233" s="18"/>
      <c r="H233" s="13"/>
    </row>
    <row r="234" spans="1:8" ht="12.75" hidden="1">
      <c r="A234" s="11" t="s">
        <v>38</v>
      </c>
      <c r="B234" s="511"/>
      <c r="C234" s="511"/>
      <c r="D234" s="511"/>
      <c r="E234" s="18"/>
      <c r="H234" s="13"/>
    </row>
    <row r="235" spans="1:8" ht="12.75" hidden="1">
      <c r="A235" s="11" t="s">
        <v>39</v>
      </c>
      <c r="B235" s="512"/>
      <c r="C235" s="512"/>
      <c r="D235" s="511"/>
      <c r="E235" s="18"/>
      <c r="H235" s="13"/>
    </row>
    <row r="236" spans="1:8" ht="12.75" hidden="1">
      <c r="A236" s="11" t="s">
        <v>36</v>
      </c>
      <c r="B236" s="13" t="s">
        <v>36</v>
      </c>
      <c r="C236" s="15" t="s">
        <v>103</v>
      </c>
      <c r="D236" s="511"/>
      <c r="E236" s="18"/>
      <c r="H236" s="13"/>
    </row>
    <row r="237" spans="1:8" ht="12.75" hidden="1">
      <c r="A237" s="11" t="s">
        <v>615</v>
      </c>
      <c r="B237" s="514" t="s">
        <v>616</v>
      </c>
      <c r="C237" s="515" t="s">
        <v>553</v>
      </c>
      <c r="D237" s="511"/>
      <c r="E237" s="18"/>
      <c r="H237" s="13"/>
    </row>
    <row r="238" spans="1:8" ht="12.75" hidden="1">
      <c r="A238" s="11" t="s">
        <v>617</v>
      </c>
      <c r="B238" s="511"/>
      <c r="C238" s="511"/>
      <c r="D238" s="511"/>
      <c r="E238" s="18"/>
      <c r="H238" s="13"/>
    </row>
    <row r="239" spans="1:8" ht="12.75" hidden="1">
      <c r="A239" s="11" t="s">
        <v>618</v>
      </c>
      <c r="B239" s="511"/>
      <c r="C239" s="511"/>
      <c r="D239" s="511"/>
      <c r="E239" s="18"/>
      <c r="H239" s="13"/>
    </row>
    <row r="240" spans="1:8" ht="12.75" hidden="1">
      <c r="A240" s="11" t="s">
        <v>619</v>
      </c>
      <c r="B240" s="512"/>
      <c r="C240" s="512"/>
      <c r="D240" s="512"/>
      <c r="E240" s="18"/>
      <c r="H240" s="13"/>
    </row>
    <row r="241" spans="1:8" ht="12.75" hidden="1">
      <c r="A241" s="11" t="s">
        <v>620</v>
      </c>
      <c r="B241" s="514" t="s">
        <v>621</v>
      </c>
      <c r="C241" s="515" t="s">
        <v>622</v>
      </c>
      <c r="D241" s="514" t="s">
        <v>623</v>
      </c>
      <c r="E241" s="18"/>
      <c r="H241" s="13"/>
    </row>
    <row r="242" spans="1:8" ht="12.75" hidden="1">
      <c r="A242" s="11" t="s">
        <v>624</v>
      </c>
      <c r="B242" s="511"/>
      <c r="C242" s="511"/>
      <c r="D242" s="511"/>
      <c r="E242" s="18"/>
      <c r="H242" s="13"/>
    </row>
    <row r="243" spans="1:8" ht="12.75" hidden="1">
      <c r="A243" s="11" t="s">
        <v>625</v>
      </c>
      <c r="B243" s="512"/>
      <c r="C243" s="511"/>
      <c r="D243" s="511"/>
      <c r="E243" s="18"/>
      <c r="H243" s="13"/>
    </row>
    <row r="244" spans="1:8" ht="12.75" hidden="1">
      <c r="A244" s="11" t="s">
        <v>626</v>
      </c>
      <c r="B244" s="514" t="s">
        <v>627</v>
      </c>
      <c r="C244" s="511"/>
      <c r="D244" s="511"/>
      <c r="E244" s="18"/>
      <c r="H244" s="13"/>
    </row>
    <row r="245" spans="1:8" ht="12.75" hidden="1">
      <c r="A245" s="11" t="s">
        <v>628</v>
      </c>
      <c r="B245" s="511"/>
      <c r="C245" s="511"/>
      <c r="D245" s="511"/>
      <c r="E245" s="18"/>
      <c r="H245" s="13"/>
    </row>
    <row r="246" spans="1:8" ht="12.75" hidden="1">
      <c r="A246" s="11" t="s">
        <v>629</v>
      </c>
      <c r="B246" s="512"/>
      <c r="C246" s="511"/>
      <c r="D246" s="511"/>
      <c r="E246" s="18"/>
      <c r="H246" s="13"/>
    </row>
    <row r="247" spans="1:8" ht="12.75" hidden="1">
      <c r="A247" s="11" t="s">
        <v>630</v>
      </c>
      <c r="B247" s="514" t="s">
        <v>631</v>
      </c>
      <c r="C247" s="511"/>
      <c r="D247" s="511"/>
      <c r="E247" s="18"/>
      <c r="H247" s="13"/>
    </row>
    <row r="248" spans="1:8" ht="12.75" hidden="1">
      <c r="A248" s="11" t="s">
        <v>632</v>
      </c>
      <c r="B248" s="511"/>
      <c r="C248" s="511"/>
      <c r="D248" s="511"/>
      <c r="E248" s="18"/>
      <c r="H248" s="13"/>
    </row>
    <row r="249" spans="1:8" ht="12.75" hidden="1">
      <c r="A249" s="11" t="s">
        <v>633</v>
      </c>
      <c r="B249" s="512"/>
      <c r="C249" s="512"/>
      <c r="D249" s="512"/>
      <c r="E249" s="18"/>
      <c r="H249" s="13"/>
    </row>
    <row r="250" spans="1:8" ht="12.75" hidden="1">
      <c r="A250" s="11" t="s">
        <v>634</v>
      </c>
      <c r="B250" s="13" t="s">
        <v>634</v>
      </c>
      <c r="C250" s="15" t="s">
        <v>493</v>
      </c>
      <c r="D250" s="514" t="s">
        <v>635</v>
      </c>
      <c r="E250" s="18"/>
      <c r="H250" s="13"/>
    </row>
    <row r="251" spans="1:8" ht="12.75" hidden="1">
      <c r="A251" s="11" t="s">
        <v>211</v>
      </c>
      <c r="B251" s="15" t="s">
        <v>211</v>
      </c>
      <c r="C251" s="515" t="s">
        <v>65</v>
      </c>
      <c r="D251" s="511"/>
      <c r="E251" s="18"/>
      <c r="H251" s="13"/>
    </row>
    <row r="252" spans="1:8" ht="12.75" hidden="1">
      <c r="A252" s="11" t="s">
        <v>637</v>
      </c>
      <c r="B252" s="15" t="s">
        <v>637</v>
      </c>
      <c r="C252" s="511"/>
      <c r="D252" s="511"/>
      <c r="E252" s="18"/>
      <c r="H252" s="13"/>
    </row>
    <row r="253" spans="1:8" ht="12.75" hidden="1">
      <c r="A253" s="11" t="s">
        <v>638</v>
      </c>
      <c r="B253" s="15" t="s">
        <v>638</v>
      </c>
      <c r="C253" s="511"/>
      <c r="D253" s="511"/>
      <c r="E253" s="18"/>
      <c r="H253" s="13"/>
    </row>
    <row r="254" spans="1:8" ht="12.75" hidden="1">
      <c r="A254" s="11" t="s">
        <v>69</v>
      </c>
      <c r="B254" s="15" t="s">
        <v>69</v>
      </c>
      <c r="C254" s="511"/>
      <c r="D254" s="511"/>
      <c r="E254" s="18"/>
      <c r="H254" s="13"/>
    </row>
    <row r="255" spans="1:8" ht="12.75" hidden="1">
      <c r="A255" s="11" t="s">
        <v>639</v>
      </c>
      <c r="B255" s="15" t="s">
        <v>639</v>
      </c>
      <c r="C255" s="512"/>
      <c r="D255" s="511"/>
      <c r="E255" s="18"/>
      <c r="H255" s="13"/>
    </row>
    <row r="256" spans="1:8" ht="12.75" hidden="1">
      <c r="A256" s="11" t="s">
        <v>287</v>
      </c>
      <c r="B256" s="8" t="s">
        <v>287</v>
      </c>
      <c r="C256" s="515" t="s">
        <v>155</v>
      </c>
      <c r="D256" s="511"/>
      <c r="E256" s="18"/>
      <c r="H256" s="13"/>
    </row>
    <row r="257" spans="1:8" ht="12.75" hidden="1">
      <c r="A257" s="11" t="s">
        <v>643</v>
      </c>
      <c r="B257" s="8" t="s">
        <v>643</v>
      </c>
      <c r="C257" s="511"/>
      <c r="D257" s="511"/>
      <c r="E257" s="18"/>
      <c r="H257" s="13"/>
    </row>
    <row r="258" spans="1:8" ht="12.75" hidden="1">
      <c r="A258" s="11" t="s">
        <v>425</v>
      </c>
      <c r="B258" s="8" t="s">
        <v>425</v>
      </c>
      <c r="C258" s="512"/>
      <c r="D258" s="512"/>
      <c r="E258" s="18"/>
      <c r="H258" s="13"/>
    </row>
    <row r="259" spans="1:8" ht="12.75" hidden="1">
      <c r="A259" s="11" t="s">
        <v>646</v>
      </c>
      <c r="B259" s="514" t="s">
        <v>647</v>
      </c>
      <c r="C259" s="515" t="s">
        <v>31</v>
      </c>
      <c r="D259" s="514" t="s">
        <v>649</v>
      </c>
      <c r="E259" s="18"/>
      <c r="H259" s="13"/>
    </row>
    <row r="260" spans="1:8" ht="12.75" hidden="1">
      <c r="A260" s="11" t="s">
        <v>651</v>
      </c>
      <c r="B260" s="512"/>
      <c r="C260" s="512"/>
      <c r="D260" s="511"/>
      <c r="E260" s="18"/>
      <c r="H260" s="13"/>
    </row>
    <row r="261" spans="1:8" ht="12.75" hidden="1">
      <c r="A261" s="11" t="s">
        <v>653</v>
      </c>
      <c r="B261" s="514" t="s">
        <v>654</v>
      </c>
      <c r="C261" s="515" t="s">
        <v>155</v>
      </c>
      <c r="D261" s="511"/>
      <c r="E261" s="18"/>
      <c r="H261" s="13"/>
    </row>
    <row r="262" spans="1:8" ht="12.75" hidden="1">
      <c r="A262" s="11" t="s">
        <v>658</v>
      </c>
      <c r="B262" s="512"/>
      <c r="C262" s="511"/>
      <c r="D262" s="511"/>
      <c r="E262" s="18"/>
      <c r="H262" s="13"/>
    </row>
    <row r="263" spans="1:8" ht="12.75" hidden="1">
      <c r="A263" s="11" t="s">
        <v>659</v>
      </c>
      <c r="B263" s="514" t="s">
        <v>660</v>
      </c>
      <c r="C263" s="511"/>
      <c r="D263" s="511"/>
      <c r="E263" s="18"/>
      <c r="H263" s="13"/>
    </row>
    <row r="264" spans="1:8" ht="12.75" hidden="1">
      <c r="A264" s="11" t="s">
        <v>661</v>
      </c>
      <c r="B264" s="512"/>
      <c r="C264" s="512"/>
      <c r="D264" s="512"/>
      <c r="E264" s="18"/>
      <c r="H264" s="13"/>
    </row>
    <row r="265" spans="1:8" ht="12.75" hidden="1">
      <c r="A265" s="11" t="s">
        <v>662</v>
      </c>
      <c r="B265" s="8" t="s">
        <v>662</v>
      </c>
      <c r="C265" s="515" t="s">
        <v>408</v>
      </c>
      <c r="D265" s="514" t="s">
        <v>663</v>
      </c>
      <c r="E265" s="18"/>
      <c r="H265" s="13"/>
    </row>
    <row r="266" spans="1:8" ht="12.75" hidden="1">
      <c r="A266" s="11" t="s">
        <v>664</v>
      </c>
      <c r="B266" s="8" t="s">
        <v>664</v>
      </c>
      <c r="C266" s="512"/>
      <c r="D266" s="512"/>
      <c r="E266" s="18"/>
      <c r="H266" s="13"/>
    </row>
    <row r="267" spans="1:8" ht="12.75" hidden="1">
      <c r="A267" s="7" t="s">
        <v>310</v>
      </c>
      <c r="B267" s="13" t="s">
        <v>309</v>
      </c>
      <c r="C267" s="514" t="s">
        <v>666</v>
      </c>
      <c r="D267" s="514" t="s">
        <v>311</v>
      </c>
      <c r="E267" s="18"/>
      <c r="H267" s="13"/>
    </row>
    <row r="268" spans="1:8" ht="12.75" hidden="1">
      <c r="A268" s="7" t="s">
        <v>314</v>
      </c>
      <c r="B268" s="13" t="s">
        <v>313</v>
      </c>
      <c r="C268" s="512"/>
      <c r="D268" s="511"/>
      <c r="E268" s="18"/>
      <c r="H268" s="13"/>
    </row>
    <row r="269" spans="1:8" ht="12.75" hidden="1">
      <c r="A269" s="7" t="s">
        <v>317</v>
      </c>
      <c r="B269" s="13" t="s">
        <v>316</v>
      </c>
      <c r="C269" s="13" t="s">
        <v>374</v>
      </c>
      <c r="D269" s="511"/>
      <c r="E269" s="18"/>
      <c r="H269" s="13"/>
    </row>
    <row r="270" spans="1:8" ht="12.75" hidden="1">
      <c r="A270" s="7" t="s">
        <v>323</v>
      </c>
      <c r="B270" s="514" t="s">
        <v>322</v>
      </c>
      <c r="C270" s="514" t="s">
        <v>668</v>
      </c>
      <c r="D270" s="511"/>
      <c r="E270" s="18"/>
      <c r="H270" s="13"/>
    </row>
    <row r="271" spans="1:8" ht="12.75" hidden="1">
      <c r="A271" s="7" t="s">
        <v>324</v>
      </c>
      <c r="B271" s="511"/>
      <c r="C271" s="511"/>
      <c r="D271" s="511"/>
      <c r="E271" s="18"/>
      <c r="H271" s="13"/>
    </row>
    <row r="272" spans="1:8" ht="12.75" hidden="1">
      <c r="A272" s="7" t="s">
        <v>326</v>
      </c>
      <c r="B272" s="511"/>
      <c r="C272" s="511"/>
      <c r="D272" s="511"/>
      <c r="E272" s="18"/>
      <c r="H272" s="13"/>
    </row>
    <row r="273" spans="1:8" ht="12.75" hidden="1">
      <c r="A273" s="7" t="s">
        <v>329</v>
      </c>
      <c r="B273" s="512"/>
      <c r="C273" s="512"/>
      <c r="D273" s="511"/>
      <c r="E273" s="18"/>
      <c r="H273" s="13"/>
    </row>
    <row r="274" spans="1:8" ht="12.75" hidden="1">
      <c r="A274" s="7" t="s">
        <v>335</v>
      </c>
      <c r="B274" s="514" t="s">
        <v>333</v>
      </c>
      <c r="C274" s="514" t="s">
        <v>666</v>
      </c>
      <c r="D274" s="511"/>
      <c r="E274" s="18"/>
      <c r="H274" s="13"/>
    </row>
    <row r="275" spans="1:8" ht="12.75" hidden="1">
      <c r="A275" s="7" t="s">
        <v>337</v>
      </c>
      <c r="B275" s="512"/>
      <c r="C275" s="512"/>
      <c r="D275" s="511"/>
      <c r="E275" s="18"/>
      <c r="H275" s="13"/>
    </row>
    <row r="276" spans="1:8" ht="12.75" hidden="1">
      <c r="A276" s="7" t="s">
        <v>341</v>
      </c>
      <c r="B276" s="514" t="s">
        <v>339</v>
      </c>
      <c r="C276" s="514" t="s">
        <v>374</v>
      </c>
      <c r="D276" s="511"/>
      <c r="E276" s="18"/>
      <c r="H276" s="13"/>
    </row>
    <row r="277" spans="1:8" ht="12.75" hidden="1">
      <c r="A277" s="7" t="s">
        <v>343</v>
      </c>
      <c r="B277" s="512"/>
      <c r="C277" s="512"/>
      <c r="D277" s="512"/>
      <c r="E277" s="18"/>
      <c r="H277" s="13"/>
    </row>
    <row r="278" spans="1:8" ht="12.75" hidden="1">
      <c r="A278" s="54" t="s">
        <v>467</v>
      </c>
      <c r="B278" s="61" t="s">
        <v>467</v>
      </c>
      <c r="C278" s="97" t="s">
        <v>553</v>
      </c>
      <c r="D278" s="514" t="s">
        <v>350</v>
      </c>
      <c r="E278" s="18"/>
      <c r="H278" s="13"/>
    </row>
    <row r="279" spans="1:8" ht="12.75" hidden="1">
      <c r="A279" s="54" t="s">
        <v>469</v>
      </c>
      <c r="B279" s="61" t="s">
        <v>469</v>
      </c>
      <c r="C279" s="97" t="s">
        <v>374</v>
      </c>
      <c r="D279" s="511"/>
      <c r="E279" s="18"/>
      <c r="H279" s="13"/>
    </row>
    <row r="280" spans="1:8" ht="12.75" hidden="1">
      <c r="A280" s="55" t="s">
        <v>349</v>
      </c>
      <c r="B280" s="61" t="s">
        <v>349</v>
      </c>
      <c r="C280" s="524" t="s">
        <v>207</v>
      </c>
      <c r="D280" s="511"/>
      <c r="E280" s="18"/>
      <c r="H280" s="13"/>
    </row>
    <row r="281" spans="1:8" ht="12.75" hidden="1">
      <c r="A281" s="55" t="s">
        <v>353</v>
      </c>
      <c r="B281" s="61" t="s">
        <v>353</v>
      </c>
      <c r="C281" s="512"/>
      <c r="D281" s="511"/>
      <c r="E281" s="18"/>
      <c r="H281" s="13"/>
    </row>
    <row r="282" spans="1:8" ht="12.75" hidden="1">
      <c r="A282" s="55" t="s">
        <v>472</v>
      </c>
      <c r="B282" s="62" t="s">
        <v>472</v>
      </c>
      <c r="C282" s="97" t="s">
        <v>374</v>
      </c>
      <c r="D282" s="511"/>
      <c r="E282" s="18"/>
      <c r="H282" s="13"/>
    </row>
    <row r="283" spans="1:8" ht="12.75" hidden="1">
      <c r="A283" s="55" t="s">
        <v>474</v>
      </c>
      <c r="B283" s="62" t="s">
        <v>474</v>
      </c>
      <c r="C283" s="97" t="s">
        <v>666</v>
      </c>
      <c r="D283" s="511"/>
      <c r="E283" s="18"/>
      <c r="H283" s="13"/>
    </row>
    <row r="284" spans="1:8" ht="12.75" hidden="1">
      <c r="A284" s="7" t="s">
        <v>11</v>
      </c>
      <c r="B284" s="4" t="s">
        <v>11</v>
      </c>
      <c r="C284" s="97" t="s">
        <v>374</v>
      </c>
      <c r="D284" s="511"/>
      <c r="E284" s="18"/>
      <c r="H284" s="13"/>
    </row>
    <row r="285" spans="1:8" ht="12.75" hidden="1">
      <c r="A285" s="7" t="s">
        <v>17</v>
      </c>
      <c r="B285" s="4" t="s">
        <v>17</v>
      </c>
      <c r="C285" s="97" t="s">
        <v>207</v>
      </c>
      <c r="D285" s="512"/>
      <c r="E285" s="18"/>
      <c r="H285" s="13"/>
    </row>
  </sheetData>
  <mergeCells count="146">
    <mergeCell ref="B237:B240"/>
    <mergeCell ref="B241:B243"/>
    <mergeCell ref="C225:C226"/>
    <mergeCell ref="C228:C229"/>
    <mergeCell ref="B231:B232"/>
    <mergeCell ref="C231:C232"/>
    <mergeCell ref="B233:B235"/>
    <mergeCell ref="C233:C235"/>
    <mergeCell ref="C237:C240"/>
    <mergeCell ref="D241:D249"/>
    <mergeCell ref="D250:D258"/>
    <mergeCell ref="D259:D264"/>
    <mergeCell ref="D265:D266"/>
    <mergeCell ref="B270:B273"/>
    <mergeCell ref="C270:C273"/>
    <mergeCell ref="B274:B275"/>
    <mergeCell ref="C274:C275"/>
    <mergeCell ref="B259:B260"/>
    <mergeCell ref="B261:B262"/>
    <mergeCell ref="B263:B264"/>
    <mergeCell ref="B276:B277"/>
    <mergeCell ref="C276:C277"/>
    <mergeCell ref="C280:C281"/>
    <mergeCell ref="D267:D277"/>
    <mergeCell ref="D278:D285"/>
    <mergeCell ref="C160:C161"/>
    <mergeCell ref="C164:C165"/>
    <mergeCell ref="B166:B168"/>
    <mergeCell ref="C166:C168"/>
    <mergeCell ref="B169:B170"/>
    <mergeCell ref="C172:C173"/>
    <mergeCell ref="C176:C177"/>
    <mergeCell ref="B176:B177"/>
    <mergeCell ref="B180:B181"/>
    <mergeCell ref="C180:C181"/>
    <mergeCell ref="C259:C260"/>
    <mergeCell ref="C261:C264"/>
    <mergeCell ref="C265:C266"/>
    <mergeCell ref="C267:C268"/>
    <mergeCell ref="C241:C249"/>
    <mergeCell ref="B244:B246"/>
    <mergeCell ref="B247:B249"/>
    <mergeCell ref="C251:C255"/>
    <mergeCell ref="C256:C258"/>
    <mergeCell ref="B185:B186"/>
    <mergeCell ref="C185:C186"/>
    <mergeCell ref="B189:B191"/>
    <mergeCell ref="C189:C191"/>
    <mergeCell ref="B142:B143"/>
    <mergeCell ref="B145:B146"/>
    <mergeCell ref="B104:B105"/>
    <mergeCell ref="C104:C105"/>
    <mergeCell ref="B110:B113"/>
    <mergeCell ref="B116:B118"/>
    <mergeCell ref="B123:B124"/>
    <mergeCell ref="B130:B131"/>
    <mergeCell ref="B152:B155"/>
    <mergeCell ref="C129:C131"/>
    <mergeCell ref="C132:C133"/>
    <mergeCell ref="C142:C143"/>
    <mergeCell ref="C145:C146"/>
    <mergeCell ref="C152:C155"/>
    <mergeCell ref="B223:B224"/>
    <mergeCell ref="B225:B226"/>
    <mergeCell ref="B228:B229"/>
    <mergeCell ref="B198:B199"/>
    <mergeCell ref="C198:C199"/>
    <mergeCell ref="B210:B212"/>
    <mergeCell ref="C210:C212"/>
    <mergeCell ref="B213:B214"/>
    <mergeCell ref="C213:C214"/>
    <mergeCell ref="C223:C224"/>
    <mergeCell ref="C99:C100"/>
    <mergeCell ref="H158:H159"/>
    <mergeCell ref="H166:H179"/>
    <mergeCell ref="H116:H121"/>
    <mergeCell ref="H122:H127"/>
    <mergeCell ref="H128:H134"/>
    <mergeCell ref="H135:H137"/>
    <mergeCell ref="H138:H140"/>
    <mergeCell ref="H141:H155"/>
    <mergeCell ref="H156:H157"/>
    <mergeCell ref="E166:E168"/>
    <mergeCell ref="C169:C170"/>
    <mergeCell ref="E169:E170"/>
    <mergeCell ref="D156:D165"/>
    <mergeCell ref="D166:D240"/>
    <mergeCell ref="D128:D155"/>
    <mergeCell ref="B3:B5"/>
    <mergeCell ref="B38:B39"/>
    <mergeCell ref="B44:B45"/>
    <mergeCell ref="B50:B52"/>
    <mergeCell ref="B56:B57"/>
    <mergeCell ref="B62:B63"/>
    <mergeCell ref="B68:B70"/>
    <mergeCell ref="D2:D127"/>
    <mergeCell ref="B74:B76"/>
    <mergeCell ref="B80:B81"/>
    <mergeCell ref="B86:B89"/>
    <mergeCell ref="B92:B94"/>
    <mergeCell ref="B99:B100"/>
    <mergeCell ref="B14:B16"/>
    <mergeCell ref="B8:B10"/>
    <mergeCell ref="B20:B22"/>
    <mergeCell ref="B26:B28"/>
    <mergeCell ref="B32:B34"/>
    <mergeCell ref="C38:C39"/>
    <mergeCell ref="C50:C52"/>
    <mergeCell ref="C86:C89"/>
    <mergeCell ref="C116:C118"/>
    <mergeCell ref="C92:C94"/>
    <mergeCell ref="C123:C124"/>
    <mergeCell ref="C106:C107"/>
    <mergeCell ref="C110:C113"/>
    <mergeCell ref="C68:C70"/>
    <mergeCell ref="H68:H73"/>
    <mergeCell ref="C74:C76"/>
    <mergeCell ref="H74:H79"/>
    <mergeCell ref="C80:C81"/>
    <mergeCell ref="C14:C16"/>
    <mergeCell ref="H14:H19"/>
    <mergeCell ref="H20:H25"/>
    <mergeCell ref="C26:C28"/>
    <mergeCell ref="C20:C22"/>
    <mergeCell ref="C32:C34"/>
    <mergeCell ref="C40:C41"/>
    <mergeCell ref="C44:C45"/>
    <mergeCell ref="H32:H37"/>
    <mergeCell ref="H38:H43"/>
    <mergeCell ref="H80:H85"/>
    <mergeCell ref="H86:H91"/>
    <mergeCell ref="H92:H97"/>
    <mergeCell ref="H98:H103"/>
    <mergeCell ref="H104:H109"/>
    <mergeCell ref="H110:H115"/>
    <mergeCell ref="H50:H55"/>
    <mergeCell ref="C56:C57"/>
    <mergeCell ref="H56:H61"/>
    <mergeCell ref="C62:C63"/>
    <mergeCell ref="H62:H67"/>
    <mergeCell ref="H2:H7"/>
    <mergeCell ref="C3:C5"/>
    <mergeCell ref="C8:C10"/>
    <mergeCell ref="H8:H13"/>
    <mergeCell ref="H26:H31"/>
    <mergeCell ref="H44:H49"/>
  </mergeCells>
  <dataValidations count="1">
    <dataValidation type="list" allowBlank="1" showErrorMessage="1" sqref="E2:E163" xr:uid="{00000000-0002-0000-0800-000000000000}">
      <formula1>"Indoor,Outdoor"</formula1>
    </dataValidation>
  </dataValidations>
  <printOptions horizontalCentered="1" gridLines="1"/>
  <pageMargins left="0.7" right="0.7" top="0.75" bottom="0.75" header="0" footer="0"/>
  <pageSetup fitToHeight="0" pageOrder="overThenDown" orientation="landscape" cellComments="atEnd"/>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outlinePr summaryBelow="0" summaryRight="0"/>
    <pageSetUpPr fitToPage="1"/>
  </sheetPr>
  <dimension ref="A1:I851"/>
  <sheetViews>
    <sheetView showGridLines="0" workbookViewId="0">
      <pane xSplit="5" ySplit="1" topLeftCell="F2" activePane="bottomRight" state="frozen"/>
      <selection pane="topRight" activeCell="F1" sqref="F1"/>
      <selection pane="bottomLeft" activeCell="A2" sqref="A2"/>
      <selection pane="bottomRight" activeCell="F2" sqref="F2"/>
    </sheetView>
  </sheetViews>
  <sheetFormatPr defaultColWidth="12.5703125" defaultRowHeight="15.75" customHeight="1"/>
  <cols>
    <col min="1" max="1" width="7.42578125" customWidth="1"/>
    <col min="2" max="2" width="25.85546875" customWidth="1"/>
    <col min="3" max="3" width="29.28515625" customWidth="1"/>
    <col min="4" max="4" width="8.85546875" customWidth="1"/>
    <col min="5" max="5" width="52.28515625" customWidth="1"/>
    <col min="6" max="6" width="16.5703125" customWidth="1"/>
    <col min="7" max="7" width="17.140625" customWidth="1"/>
    <col min="8" max="8" width="19.42578125" customWidth="1"/>
    <col min="9" max="9" width="21.7109375" customWidth="1"/>
  </cols>
  <sheetData>
    <row r="1" spans="1:9" ht="12.75">
      <c r="A1" s="89"/>
      <c r="B1" s="2" t="s">
        <v>2</v>
      </c>
      <c r="C1" s="3" t="s">
        <v>1</v>
      </c>
      <c r="D1" s="1" t="s">
        <v>0</v>
      </c>
      <c r="E1" s="3" t="s">
        <v>3</v>
      </c>
      <c r="F1" s="3" t="s">
        <v>14</v>
      </c>
      <c r="G1" s="2" t="s">
        <v>722</v>
      </c>
      <c r="H1" s="2" t="s">
        <v>7</v>
      </c>
      <c r="I1" s="104"/>
    </row>
    <row r="2" spans="1:9" ht="12.75">
      <c r="A2" s="6">
        <v>1</v>
      </c>
      <c r="B2" s="13" t="s">
        <v>725</v>
      </c>
      <c r="C2" s="13" t="s">
        <v>726</v>
      </c>
      <c r="D2" s="6">
        <v>2</v>
      </c>
      <c r="E2" s="50" t="s">
        <v>727</v>
      </c>
      <c r="F2" s="15" t="s">
        <v>31</v>
      </c>
      <c r="G2" s="13"/>
      <c r="H2" s="13"/>
      <c r="I2" s="106"/>
    </row>
    <row r="3" spans="1:9" ht="12.75">
      <c r="A3" s="6">
        <v>2</v>
      </c>
      <c r="B3" s="13" t="s">
        <v>725</v>
      </c>
      <c r="C3" s="13" t="s">
        <v>732</v>
      </c>
      <c r="D3" s="6">
        <v>2</v>
      </c>
      <c r="E3" s="50" t="s">
        <v>733</v>
      </c>
      <c r="F3" s="15" t="s">
        <v>31</v>
      </c>
      <c r="G3" s="13"/>
      <c r="H3" s="13"/>
      <c r="I3" s="106"/>
    </row>
    <row r="4" spans="1:9" ht="12.75">
      <c r="A4" s="6">
        <v>3</v>
      </c>
      <c r="B4" s="13" t="s">
        <v>725</v>
      </c>
      <c r="C4" s="13" t="s">
        <v>736</v>
      </c>
      <c r="D4" s="6">
        <v>2</v>
      </c>
      <c r="E4" s="50" t="s">
        <v>737</v>
      </c>
      <c r="F4" s="15" t="s">
        <v>31</v>
      </c>
      <c r="G4" s="13"/>
      <c r="H4" s="13"/>
      <c r="I4" s="106"/>
    </row>
    <row r="5" spans="1:9" ht="12.75">
      <c r="A5" s="6">
        <v>4</v>
      </c>
      <c r="B5" s="13" t="s">
        <v>725</v>
      </c>
      <c r="C5" s="13" t="s">
        <v>739</v>
      </c>
      <c r="D5" s="6">
        <v>2</v>
      </c>
      <c r="E5" s="50" t="s">
        <v>741</v>
      </c>
      <c r="F5" s="15" t="s">
        <v>31</v>
      </c>
      <c r="G5" s="13" t="s">
        <v>288</v>
      </c>
      <c r="H5" s="13" t="s">
        <v>742</v>
      </c>
      <c r="I5" s="106"/>
    </row>
    <row r="6" spans="1:9" ht="12.75">
      <c r="A6" s="6">
        <v>5</v>
      </c>
      <c r="B6" s="13" t="s">
        <v>725</v>
      </c>
      <c r="C6" s="13" t="s">
        <v>743</v>
      </c>
      <c r="D6" s="6">
        <v>2</v>
      </c>
      <c r="E6" s="50" t="s">
        <v>744</v>
      </c>
      <c r="F6" s="15" t="s">
        <v>31</v>
      </c>
      <c r="G6" s="13"/>
      <c r="H6" s="13"/>
      <c r="I6" s="106"/>
    </row>
    <row r="7" spans="1:9" ht="12.75">
      <c r="A7" s="6">
        <v>6</v>
      </c>
      <c r="B7" s="13" t="s">
        <v>725</v>
      </c>
      <c r="C7" s="13" t="s">
        <v>747</v>
      </c>
      <c r="D7" s="6">
        <v>2</v>
      </c>
      <c r="E7" s="50" t="s">
        <v>748</v>
      </c>
      <c r="F7" s="15" t="s">
        <v>31</v>
      </c>
      <c r="G7" s="13"/>
      <c r="H7" s="13"/>
      <c r="I7" s="106"/>
    </row>
    <row r="8" spans="1:9" ht="12.75">
      <c r="A8" s="6">
        <v>7</v>
      </c>
      <c r="B8" s="13" t="s">
        <v>725</v>
      </c>
      <c r="C8" s="13" t="s">
        <v>749</v>
      </c>
      <c r="D8" s="6">
        <v>2</v>
      </c>
      <c r="E8" s="50" t="s">
        <v>750</v>
      </c>
      <c r="F8" s="15" t="s">
        <v>31</v>
      </c>
      <c r="G8" s="13"/>
      <c r="H8" s="13"/>
      <c r="I8" s="106"/>
    </row>
    <row r="9" spans="1:9" ht="12.75">
      <c r="A9" s="6">
        <v>8</v>
      </c>
      <c r="B9" s="13" t="s">
        <v>725</v>
      </c>
      <c r="C9" s="13" t="s">
        <v>753</v>
      </c>
      <c r="D9" s="6">
        <v>2</v>
      </c>
      <c r="E9" s="50" t="s">
        <v>754</v>
      </c>
      <c r="F9" s="15" t="s">
        <v>31</v>
      </c>
      <c r="G9" s="13"/>
      <c r="H9" s="13"/>
      <c r="I9" s="106"/>
    </row>
    <row r="10" spans="1:9" ht="12.75">
      <c r="A10" s="6">
        <v>9</v>
      </c>
      <c r="B10" s="13" t="s">
        <v>755</v>
      </c>
      <c r="C10" s="13" t="s">
        <v>756</v>
      </c>
      <c r="D10" s="6">
        <v>2</v>
      </c>
      <c r="E10" s="50" t="s">
        <v>757</v>
      </c>
      <c r="F10" s="15" t="s">
        <v>31</v>
      </c>
      <c r="G10" s="13"/>
      <c r="H10" s="13"/>
      <c r="I10" s="106"/>
    </row>
    <row r="11" spans="1:9" ht="12.75">
      <c r="A11" s="6">
        <v>10</v>
      </c>
      <c r="B11" s="13" t="s">
        <v>755</v>
      </c>
      <c r="C11" s="13" t="s">
        <v>758</v>
      </c>
      <c r="D11" s="6">
        <v>2</v>
      </c>
      <c r="E11" s="50" t="s">
        <v>759</v>
      </c>
      <c r="F11" s="15" t="s">
        <v>31</v>
      </c>
      <c r="G11" s="13"/>
      <c r="H11" s="13"/>
      <c r="I11" s="106"/>
    </row>
    <row r="12" spans="1:9" ht="12.75">
      <c r="A12" s="6">
        <v>11</v>
      </c>
      <c r="B12" s="13" t="s">
        <v>755</v>
      </c>
      <c r="C12" s="13" t="s">
        <v>762</v>
      </c>
      <c r="D12" s="6">
        <v>2</v>
      </c>
      <c r="E12" s="50" t="s">
        <v>763</v>
      </c>
      <c r="F12" s="15" t="s">
        <v>31</v>
      </c>
      <c r="G12" s="13"/>
      <c r="H12" s="13"/>
      <c r="I12" s="106"/>
    </row>
    <row r="13" spans="1:9" ht="12.75">
      <c r="A13" s="6">
        <v>12</v>
      </c>
      <c r="B13" s="13" t="s">
        <v>755</v>
      </c>
      <c r="C13" s="13" t="s">
        <v>764</v>
      </c>
      <c r="D13" s="6">
        <v>2</v>
      </c>
      <c r="E13" s="50" t="s">
        <v>765</v>
      </c>
      <c r="F13" s="15" t="s">
        <v>31</v>
      </c>
      <c r="G13" s="13"/>
      <c r="H13" s="13"/>
      <c r="I13" s="106"/>
    </row>
    <row r="14" spans="1:9" ht="12.75">
      <c r="A14" s="6">
        <v>13</v>
      </c>
      <c r="B14" s="13" t="s">
        <v>755</v>
      </c>
      <c r="C14" s="13" t="s">
        <v>768</v>
      </c>
      <c r="D14" s="6">
        <v>2</v>
      </c>
      <c r="E14" s="50" t="s">
        <v>769</v>
      </c>
      <c r="F14" s="15" t="s">
        <v>31</v>
      </c>
      <c r="G14" s="13"/>
      <c r="H14" s="13"/>
      <c r="I14" s="106"/>
    </row>
    <row r="15" spans="1:9" ht="12.75">
      <c r="A15" s="6">
        <v>14</v>
      </c>
      <c r="B15" s="13" t="s">
        <v>755</v>
      </c>
      <c r="C15" s="13" t="s">
        <v>770</v>
      </c>
      <c r="D15" s="6">
        <v>2</v>
      </c>
      <c r="E15" s="50" t="s">
        <v>771</v>
      </c>
      <c r="F15" s="15" t="s">
        <v>31</v>
      </c>
      <c r="G15" s="13"/>
      <c r="H15" s="13"/>
      <c r="I15" s="106"/>
    </row>
    <row r="16" spans="1:9" ht="12.75">
      <c r="A16" s="6">
        <v>15</v>
      </c>
      <c r="B16" s="13" t="s">
        <v>755</v>
      </c>
      <c r="C16" s="13" t="s">
        <v>774</v>
      </c>
      <c r="D16" s="6">
        <v>2</v>
      </c>
      <c r="E16" s="50" t="s">
        <v>775</v>
      </c>
      <c r="F16" s="15" t="s">
        <v>31</v>
      </c>
      <c r="G16" s="13" t="s">
        <v>288</v>
      </c>
      <c r="H16" s="13" t="s">
        <v>742</v>
      </c>
      <c r="I16" s="106"/>
    </row>
    <row r="17" spans="1:9" ht="12.75">
      <c r="A17" s="6">
        <v>16</v>
      </c>
      <c r="B17" s="13" t="s">
        <v>755</v>
      </c>
      <c r="C17" s="13" t="s">
        <v>776</v>
      </c>
      <c r="D17" s="6">
        <v>2</v>
      </c>
      <c r="E17" s="50" t="s">
        <v>777</v>
      </c>
      <c r="F17" s="15" t="s">
        <v>31</v>
      </c>
      <c r="G17" s="13"/>
      <c r="H17" s="13"/>
      <c r="I17" s="106"/>
    </row>
    <row r="18" spans="1:9" ht="12.75">
      <c r="A18" s="6">
        <v>17</v>
      </c>
      <c r="B18" s="13" t="s">
        <v>755</v>
      </c>
      <c r="C18" s="13" t="s">
        <v>780</v>
      </c>
      <c r="D18" s="6">
        <v>2</v>
      </c>
      <c r="E18" s="50" t="s">
        <v>781</v>
      </c>
      <c r="F18" s="15" t="s">
        <v>31</v>
      </c>
      <c r="G18" s="13"/>
      <c r="H18" s="13"/>
      <c r="I18" s="106"/>
    </row>
    <row r="19" spans="1:9" ht="12.75">
      <c r="A19" s="6">
        <v>18</v>
      </c>
      <c r="B19" s="4" t="s">
        <v>782</v>
      </c>
      <c r="C19" s="4" t="s">
        <v>783</v>
      </c>
      <c r="D19" s="6">
        <v>1</v>
      </c>
      <c r="E19" s="7" t="s">
        <v>784</v>
      </c>
      <c r="F19" s="15" t="s">
        <v>31</v>
      </c>
      <c r="G19" s="13"/>
      <c r="H19" s="13"/>
      <c r="I19" s="106"/>
    </row>
    <row r="20" spans="1:9" ht="12.75">
      <c r="A20" s="6">
        <v>19</v>
      </c>
      <c r="B20" s="4" t="s">
        <v>782</v>
      </c>
      <c r="C20" s="4" t="s">
        <v>787</v>
      </c>
      <c r="D20" s="6">
        <v>1</v>
      </c>
      <c r="E20" s="7" t="s">
        <v>788</v>
      </c>
      <c r="F20" s="15" t="s">
        <v>31</v>
      </c>
      <c r="G20" s="13" t="s">
        <v>288</v>
      </c>
      <c r="H20" s="13" t="s">
        <v>742</v>
      </c>
      <c r="I20" s="106"/>
    </row>
    <row r="21" spans="1:9" ht="12.75">
      <c r="A21" s="6">
        <v>20</v>
      </c>
      <c r="B21" s="4" t="s">
        <v>782</v>
      </c>
      <c r="C21" s="4" t="s">
        <v>787</v>
      </c>
      <c r="D21" s="6">
        <v>1</v>
      </c>
      <c r="E21" s="7" t="s">
        <v>789</v>
      </c>
      <c r="F21" s="15" t="s">
        <v>31</v>
      </c>
      <c r="G21" s="13" t="s">
        <v>288</v>
      </c>
      <c r="H21" s="13" t="s">
        <v>742</v>
      </c>
      <c r="I21" s="106"/>
    </row>
    <row r="22" spans="1:9" ht="12.75">
      <c r="A22" s="6">
        <v>21</v>
      </c>
      <c r="B22" s="4" t="s">
        <v>792</v>
      </c>
      <c r="C22" s="4" t="s">
        <v>793</v>
      </c>
      <c r="D22" s="6">
        <v>2</v>
      </c>
      <c r="E22" s="7" t="s">
        <v>794</v>
      </c>
      <c r="F22" s="15" t="s">
        <v>31</v>
      </c>
      <c r="G22" s="13"/>
      <c r="H22" s="13"/>
      <c r="I22" s="106"/>
    </row>
    <row r="23" spans="1:9" ht="12.75">
      <c r="A23" s="6">
        <v>22</v>
      </c>
      <c r="B23" s="4" t="s">
        <v>792</v>
      </c>
      <c r="C23" s="4" t="s">
        <v>725</v>
      </c>
      <c r="D23" s="6">
        <v>2</v>
      </c>
      <c r="E23" s="7" t="s">
        <v>797</v>
      </c>
      <c r="F23" s="15" t="s">
        <v>31</v>
      </c>
      <c r="G23" s="13"/>
      <c r="H23" s="13"/>
      <c r="I23" s="106"/>
    </row>
    <row r="24" spans="1:9" ht="12.75">
      <c r="A24" s="6">
        <v>23</v>
      </c>
      <c r="B24" s="4" t="s">
        <v>792</v>
      </c>
      <c r="C24" s="4" t="s">
        <v>798</v>
      </c>
      <c r="D24" s="6">
        <v>2</v>
      </c>
      <c r="E24" s="7" t="s">
        <v>799</v>
      </c>
      <c r="F24" s="15" t="s">
        <v>31</v>
      </c>
      <c r="G24" s="13"/>
      <c r="H24" s="13"/>
      <c r="I24" s="106"/>
    </row>
    <row r="25" spans="1:9" ht="12.75">
      <c r="A25" s="6">
        <v>24</v>
      </c>
      <c r="B25" s="4" t="s">
        <v>792</v>
      </c>
      <c r="C25" s="4" t="s">
        <v>798</v>
      </c>
      <c r="D25" s="6">
        <v>2</v>
      </c>
      <c r="E25" s="7" t="s">
        <v>800</v>
      </c>
      <c r="F25" s="15" t="s">
        <v>31</v>
      </c>
      <c r="G25" s="13"/>
      <c r="H25" s="13"/>
      <c r="I25" s="106"/>
    </row>
    <row r="26" spans="1:9" ht="12.75">
      <c r="A26" s="6">
        <v>25</v>
      </c>
      <c r="B26" s="4" t="s">
        <v>792</v>
      </c>
      <c r="C26" s="4" t="s">
        <v>803</v>
      </c>
      <c r="D26" s="6">
        <v>2</v>
      </c>
      <c r="E26" s="7" t="s">
        <v>804</v>
      </c>
      <c r="F26" s="15" t="s">
        <v>31</v>
      </c>
      <c r="G26" s="13"/>
      <c r="H26" s="13"/>
      <c r="I26" s="106"/>
    </row>
    <row r="27" spans="1:9" ht="12.75">
      <c r="A27" s="6">
        <v>26</v>
      </c>
      <c r="B27" s="4" t="s">
        <v>792</v>
      </c>
      <c r="C27" s="4" t="s">
        <v>783</v>
      </c>
      <c r="D27" s="6">
        <v>2</v>
      </c>
      <c r="E27" s="7" t="s">
        <v>784</v>
      </c>
      <c r="F27" s="15" t="s">
        <v>31</v>
      </c>
      <c r="G27" s="13"/>
      <c r="H27" s="13"/>
      <c r="I27" s="106"/>
    </row>
    <row r="28" spans="1:9" ht="12.75">
      <c r="A28" s="6">
        <v>27</v>
      </c>
      <c r="B28" s="4" t="s">
        <v>792</v>
      </c>
      <c r="C28" s="4" t="s">
        <v>807</v>
      </c>
      <c r="D28" s="6">
        <v>2</v>
      </c>
      <c r="E28" s="7" t="s">
        <v>808</v>
      </c>
      <c r="F28" s="15" t="s">
        <v>31</v>
      </c>
      <c r="G28" s="13"/>
      <c r="H28" s="13"/>
      <c r="I28" s="106"/>
    </row>
    <row r="29" spans="1:9" ht="12.75">
      <c r="A29" s="6">
        <v>28</v>
      </c>
      <c r="B29" s="4" t="s">
        <v>792</v>
      </c>
      <c r="C29" s="4" t="s">
        <v>811</v>
      </c>
      <c r="D29" s="6">
        <v>2</v>
      </c>
      <c r="E29" s="7" t="s">
        <v>812</v>
      </c>
      <c r="F29" s="15" t="s">
        <v>31</v>
      </c>
      <c r="G29" s="13"/>
      <c r="H29" s="13"/>
      <c r="I29" s="106"/>
    </row>
    <row r="30" spans="1:9" ht="12.75">
      <c r="A30" s="6">
        <v>29</v>
      </c>
      <c r="B30" s="4" t="s">
        <v>792</v>
      </c>
      <c r="C30" s="4" t="s">
        <v>813</v>
      </c>
      <c r="D30" s="6">
        <v>2</v>
      </c>
      <c r="E30" s="7" t="s">
        <v>814</v>
      </c>
      <c r="F30" s="15" t="s">
        <v>31</v>
      </c>
      <c r="G30" s="13"/>
      <c r="H30" s="13"/>
      <c r="I30" s="106"/>
    </row>
    <row r="31" spans="1:9" ht="12.75">
      <c r="A31" s="6">
        <v>30</v>
      </c>
      <c r="B31" s="4" t="s">
        <v>792</v>
      </c>
      <c r="C31" s="4" t="s">
        <v>817</v>
      </c>
      <c r="D31" s="6">
        <v>2</v>
      </c>
      <c r="E31" s="7" t="s">
        <v>818</v>
      </c>
      <c r="F31" s="15" t="s">
        <v>31</v>
      </c>
      <c r="G31" s="13"/>
      <c r="H31" s="13"/>
      <c r="I31" s="106"/>
    </row>
    <row r="32" spans="1:9" ht="12.75">
      <c r="A32" s="6">
        <v>31</v>
      </c>
      <c r="B32" s="4" t="s">
        <v>792</v>
      </c>
      <c r="C32" s="4" t="s">
        <v>820</v>
      </c>
      <c r="D32" s="6">
        <v>2</v>
      </c>
      <c r="E32" s="7" t="s">
        <v>822</v>
      </c>
      <c r="F32" s="15" t="s">
        <v>31</v>
      </c>
      <c r="G32" s="13"/>
      <c r="H32" s="13"/>
      <c r="I32" s="106"/>
    </row>
    <row r="33" spans="1:9" ht="12.75">
      <c r="A33" s="6">
        <v>32</v>
      </c>
      <c r="B33" s="4" t="s">
        <v>792</v>
      </c>
      <c r="C33" s="4" t="s">
        <v>823</v>
      </c>
      <c r="D33" s="6">
        <v>2</v>
      </c>
      <c r="E33" s="7" t="s">
        <v>824</v>
      </c>
      <c r="F33" s="15" t="s">
        <v>31</v>
      </c>
      <c r="G33" s="13"/>
      <c r="H33" s="13"/>
      <c r="I33" s="106"/>
    </row>
    <row r="34" spans="1:9" ht="12.75">
      <c r="A34" s="6">
        <v>33</v>
      </c>
      <c r="B34" s="4" t="s">
        <v>792</v>
      </c>
      <c r="C34" s="4" t="s">
        <v>825</v>
      </c>
      <c r="D34" s="6">
        <v>2</v>
      </c>
      <c r="E34" s="7" t="s">
        <v>826</v>
      </c>
      <c r="F34" s="15" t="s">
        <v>31</v>
      </c>
      <c r="G34" s="13"/>
      <c r="H34" s="13"/>
      <c r="I34" s="106"/>
    </row>
    <row r="35" spans="1:9" ht="12.75">
      <c r="A35" s="6">
        <v>34</v>
      </c>
      <c r="B35" s="4" t="s">
        <v>792</v>
      </c>
      <c r="C35" s="4" t="s">
        <v>829</v>
      </c>
      <c r="D35" s="6">
        <v>2</v>
      </c>
      <c r="E35" s="7" t="s">
        <v>830</v>
      </c>
      <c r="F35" s="15" t="s">
        <v>31</v>
      </c>
      <c r="G35" s="13" t="s">
        <v>831</v>
      </c>
      <c r="H35" s="13" t="s">
        <v>362</v>
      </c>
      <c r="I35" s="106"/>
    </row>
    <row r="36" spans="1:9" ht="12.75">
      <c r="A36" s="6">
        <v>35</v>
      </c>
      <c r="B36" s="4" t="s">
        <v>792</v>
      </c>
      <c r="C36" s="4" t="s">
        <v>832</v>
      </c>
      <c r="D36" s="6">
        <v>2</v>
      </c>
      <c r="E36" s="7" t="s">
        <v>833</v>
      </c>
      <c r="F36" s="15" t="s">
        <v>31</v>
      </c>
      <c r="G36" s="13"/>
      <c r="H36" s="13"/>
      <c r="I36" s="106"/>
    </row>
    <row r="37" spans="1:9" ht="12.75">
      <c r="A37" s="6">
        <v>36</v>
      </c>
      <c r="B37" s="4" t="s">
        <v>792</v>
      </c>
      <c r="C37" s="4" t="s">
        <v>836</v>
      </c>
      <c r="D37" s="6">
        <v>2</v>
      </c>
      <c r="E37" s="7" t="s">
        <v>837</v>
      </c>
      <c r="F37" s="15" t="s">
        <v>31</v>
      </c>
      <c r="G37" s="13"/>
      <c r="H37" s="13"/>
      <c r="I37" s="106"/>
    </row>
    <row r="38" spans="1:9" ht="12.75">
      <c r="A38" s="6">
        <v>37</v>
      </c>
      <c r="B38" s="4" t="s">
        <v>792</v>
      </c>
      <c r="C38" s="4" t="s">
        <v>838</v>
      </c>
      <c r="D38" s="6">
        <v>2</v>
      </c>
      <c r="E38" s="7" t="s">
        <v>839</v>
      </c>
      <c r="F38" s="15" t="s">
        <v>31</v>
      </c>
      <c r="G38" s="13"/>
      <c r="H38" s="13"/>
      <c r="I38" s="106"/>
    </row>
    <row r="39" spans="1:9" ht="12.75">
      <c r="A39" s="6">
        <v>38</v>
      </c>
      <c r="B39" s="4" t="s">
        <v>792</v>
      </c>
      <c r="C39" s="4" t="s">
        <v>842</v>
      </c>
      <c r="D39" s="6">
        <v>2</v>
      </c>
      <c r="E39" s="7" t="s">
        <v>843</v>
      </c>
      <c r="F39" s="15" t="s">
        <v>31</v>
      </c>
      <c r="G39" s="13"/>
      <c r="H39" s="13"/>
      <c r="I39" s="106"/>
    </row>
    <row r="40" spans="1:9" ht="12.75">
      <c r="A40" s="6">
        <v>39</v>
      </c>
      <c r="B40" s="4" t="s">
        <v>792</v>
      </c>
      <c r="C40" s="4" t="s">
        <v>844</v>
      </c>
      <c r="D40" s="6">
        <v>2</v>
      </c>
      <c r="E40" s="7" t="s">
        <v>845</v>
      </c>
      <c r="F40" s="15" t="s">
        <v>31</v>
      </c>
      <c r="G40" s="13"/>
      <c r="H40" s="13"/>
      <c r="I40" s="106"/>
    </row>
    <row r="41" spans="1:9" ht="12.75">
      <c r="A41" s="6">
        <v>40</v>
      </c>
      <c r="B41" s="4" t="s">
        <v>792</v>
      </c>
      <c r="C41" s="4" t="s">
        <v>848</v>
      </c>
      <c r="D41" s="6">
        <v>2</v>
      </c>
      <c r="E41" s="7" t="s">
        <v>849</v>
      </c>
      <c r="F41" s="15" t="s">
        <v>31</v>
      </c>
      <c r="G41" s="13"/>
      <c r="H41" s="13"/>
      <c r="I41" s="106"/>
    </row>
    <row r="42" spans="1:9" ht="12.75">
      <c r="A42" s="6">
        <v>41</v>
      </c>
      <c r="B42" s="4" t="s">
        <v>792</v>
      </c>
      <c r="C42" s="4" t="s">
        <v>850</v>
      </c>
      <c r="D42" s="6">
        <v>2</v>
      </c>
      <c r="E42" s="7" t="s">
        <v>851</v>
      </c>
      <c r="F42" s="15" t="s">
        <v>31</v>
      </c>
      <c r="G42" s="13"/>
      <c r="H42" s="13"/>
      <c r="I42" s="106"/>
    </row>
    <row r="43" spans="1:9" ht="12.75">
      <c r="A43" s="6">
        <v>42</v>
      </c>
      <c r="B43" s="4" t="s">
        <v>792</v>
      </c>
      <c r="C43" s="4" t="s">
        <v>854</v>
      </c>
      <c r="D43" s="6">
        <v>2</v>
      </c>
      <c r="E43" s="7" t="s">
        <v>855</v>
      </c>
      <c r="F43" s="15" t="s">
        <v>31</v>
      </c>
      <c r="G43" s="13"/>
      <c r="H43" s="13"/>
      <c r="I43" s="106"/>
    </row>
    <row r="44" spans="1:9" ht="12.75">
      <c r="A44" s="6">
        <v>43</v>
      </c>
      <c r="B44" s="4" t="s">
        <v>792</v>
      </c>
      <c r="C44" s="4" t="s">
        <v>856</v>
      </c>
      <c r="D44" s="6">
        <v>2</v>
      </c>
      <c r="E44" s="7" t="s">
        <v>857</v>
      </c>
      <c r="F44" s="15" t="s">
        <v>31</v>
      </c>
      <c r="G44" s="13"/>
      <c r="H44" s="13"/>
      <c r="I44" s="106"/>
    </row>
    <row r="45" spans="1:9" ht="12.75">
      <c r="A45" s="6">
        <v>44</v>
      </c>
      <c r="B45" s="4" t="s">
        <v>792</v>
      </c>
      <c r="C45" s="4" t="s">
        <v>858</v>
      </c>
      <c r="D45" s="6">
        <v>2</v>
      </c>
      <c r="E45" s="7" t="s">
        <v>859</v>
      </c>
      <c r="F45" s="15" t="s">
        <v>31</v>
      </c>
      <c r="G45" s="13" t="s">
        <v>831</v>
      </c>
      <c r="H45" s="13" t="s">
        <v>362</v>
      </c>
      <c r="I45" s="106"/>
    </row>
    <row r="46" spans="1:9" ht="12.75">
      <c r="A46" s="6">
        <v>45</v>
      </c>
      <c r="B46" s="4" t="s">
        <v>792</v>
      </c>
      <c r="C46" s="4" t="s">
        <v>858</v>
      </c>
      <c r="D46" s="6">
        <v>2</v>
      </c>
      <c r="E46" s="7" t="s">
        <v>860</v>
      </c>
      <c r="F46" s="15" t="s">
        <v>31</v>
      </c>
      <c r="G46" s="13"/>
      <c r="H46" s="13"/>
      <c r="I46" s="106"/>
    </row>
    <row r="47" spans="1:9" ht="12.75">
      <c r="A47" s="6">
        <v>46</v>
      </c>
      <c r="B47" s="4" t="s">
        <v>792</v>
      </c>
      <c r="C47" s="4" t="s">
        <v>858</v>
      </c>
      <c r="D47" s="6">
        <v>2</v>
      </c>
      <c r="E47" s="7" t="s">
        <v>863</v>
      </c>
      <c r="F47" s="15" t="s">
        <v>31</v>
      </c>
      <c r="G47" s="13"/>
      <c r="H47" s="13"/>
      <c r="I47" s="106"/>
    </row>
    <row r="48" spans="1:9" ht="12.75">
      <c r="A48" s="6">
        <v>47</v>
      </c>
      <c r="B48" s="4" t="s">
        <v>792</v>
      </c>
      <c r="C48" s="4" t="s">
        <v>858</v>
      </c>
      <c r="D48" s="6">
        <v>2</v>
      </c>
      <c r="E48" s="7" t="s">
        <v>864</v>
      </c>
      <c r="F48" s="15" t="s">
        <v>31</v>
      </c>
      <c r="G48" s="13"/>
      <c r="H48" s="13"/>
      <c r="I48" s="106"/>
    </row>
    <row r="49" spans="1:9" ht="12.75">
      <c r="A49" s="6">
        <v>48</v>
      </c>
      <c r="B49" s="4" t="s">
        <v>792</v>
      </c>
      <c r="C49" s="4" t="s">
        <v>858</v>
      </c>
      <c r="D49" s="6">
        <v>2</v>
      </c>
      <c r="E49" s="7" t="s">
        <v>865</v>
      </c>
      <c r="F49" s="15" t="s">
        <v>31</v>
      </c>
      <c r="G49" s="13"/>
      <c r="H49" s="13"/>
      <c r="I49" s="106"/>
    </row>
    <row r="50" spans="1:9" ht="12.75">
      <c r="A50" s="6">
        <v>49</v>
      </c>
      <c r="B50" s="4" t="s">
        <v>792</v>
      </c>
      <c r="C50" s="4" t="s">
        <v>868</v>
      </c>
      <c r="D50" s="6">
        <v>2</v>
      </c>
      <c r="E50" s="7" t="s">
        <v>869</v>
      </c>
      <c r="F50" s="15" t="s">
        <v>31</v>
      </c>
      <c r="G50" s="13"/>
      <c r="H50" s="13"/>
      <c r="I50" s="106"/>
    </row>
    <row r="51" spans="1:9" ht="12.75">
      <c r="A51" s="6">
        <v>50</v>
      </c>
      <c r="B51" s="4" t="s">
        <v>792</v>
      </c>
      <c r="C51" s="4" t="s">
        <v>872</v>
      </c>
      <c r="D51" s="6">
        <v>2</v>
      </c>
      <c r="E51" s="7" t="s">
        <v>873</v>
      </c>
      <c r="F51" s="15" t="s">
        <v>31</v>
      </c>
      <c r="G51" s="13"/>
      <c r="H51" s="13"/>
      <c r="I51" s="106"/>
    </row>
    <row r="52" spans="1:9" ht="12.75">
      <c r="A52" s="6">
        <v>51</v>
      </c>
      <c r="B52" s="4" t="s">
        <v>792</v>
      </c>
      <c r="C52" s="4" t="s">
        <v>874</v>
      </c>
      <c r="D52" s="6">
        <v>2</v>
      </c>
      <c r="E52" s="7" t="s">
        <v>877</v>
      </c>
      <c r="F52" s="15" t="s">
        <v>31</v>
      </c>
      <c r="G52" s="13"/>
      <c r="H52" s="13"/>
      <c r="I52" s="106"/>
    </row>
    <row r="53" spans="1:9" ht="12.75">
      <c r="A53" s="6">
        <v>52</v>
      </c>
      <c r="B53" s="4" t="s">
        <v>792</v>
      </c>
      <c r="C53" s="4" t="s">
        <v>878</v>
      </c>
      <c r="D53" s="6">
        <v>2</v>
      </c>
      <c r="E53" s="7" t="s">
        <v>879</v>
      </c>
      <c r="F53" s="15" t="s">
        <v>31</v>
      </c>
      <c r="G53" s="13"/>
      <c r="H53" s="13"/>
      <c r="I53" s="106"/>
    </row>
    <row r="54" spans="1:9" ht="12.75">
      <c r="A54" s="6">
        <v>53</v>
      </c>
      <c r="B54" s="4" t="s">
        <v>792</v>
      </c>
      <c r="C54" s="4" t="s">
        <v>880</v>
      </c>
      <c r="D54" s="6">
        <v>2</v>
      </c>
      <c r="E54" s="7" t="s">
        <v>881</v>
      </c>
      <c r="F54" s="15" t="s">
        <v>31</v>
      </c>
      <c r="G54" s="13"/>
      <c r="H54" s="13"/>
      <c r="I54" s="106"/>
    </row>
    <row r="55" spans="1:9" ht="12.75">
      <c r="A55" s="6">
        <v>54</v>
      </c>
      <c r="B55" s="4" t="s">
        <v>792</v>
      </c>
      <c r="C55" s="4" t="s">
        <v>884</v>
      </c>
      <c r="D55" s="6">
        <v>2</v>
      </c>
      <c r="E55" s="7" t="s">
        <v>885</v>
      </c>
      <c r="F55" s="15" t="s">
        <v>31</v>
      </c>
      <c r="G55" s="13"/>
      <c r="H55" s="13"/>
      <c r="I55" s="106"/>
    </row>
    <row r="56" spans="1:9" ht="12.75">
      <c r="A56" s="6">
        <v>55</v>
      </c>
      <c r="B56" s="4" t="s">
        <v>792</v>
      </c>
      <c r="C56" s="4" t="s">
        <v>886</v>
      </c>
      <c r="D56" s="6">
        <v>2</v>
      </c>
      <c r="E56" s="7" t="s">
        <v>887</v>
      </c>
      <c r="F56" s="15" t="s">
        <v>31</v>
      </c>
      <c r="G56" s="13"/>
      <c r="H56" s="13"/>
      <c r="I56" s="106"/>
    </row>
    <row r="57" spans="1:9" ht="12.75">
      <c r="A57" s="6">
        <v>56</v>
      </c>
      <c r="B57" s="4" t="s">
        <v>792</v>
      </c>
      <c r="C57" s="4" t="s">
        <v>888</v>
      </c>
      <c r="D57" s="6">
        <v>2</v>
      </c>
      <c r="E57" s="7" t="s">
        <v>891</v>
      </c>
      <c r="F57" s="15" t="s">
        <v>31</v>
      </c>
      <c r="G57" s="13"/>
      <c r="H57" s="13"/>
      <c r="I57" s="106"/>
    </row>
    <row r="58" spans="1:9" ht="12.75">
      <c r="A58" s="6">
        <v>57</v>
      </c>
      <c r="B58" s="4" t="s">
        <v>792</v>
      </c>
      <c r="C58" s="4" t="s">
        <v>892</v>
      </c>
      <c r="D58" s="6">
        <v>2</v>
      </c>
      <c r="E58" s="7" t="s">
        <v>893</v>
      </c>
      <c r="F58" s="15" t="s">
        <v>31</v>
      </c>
      <c r="G58" s="13"/>
      <c r="H58" s="13"/>
      <c r="I58" s="106"/>
    </row>
    <row r="59" spans="1:9" ht="12.75">
      <c r="A59" s="6">
        <v>58</v>
      </c>
      <c r="B59" s="4" t="s">
        <v>792</v>
      </c>
      <c r="C59" s="4" t="s">
        <v>894</v>
      </c>
      <c r="D59" s="6">
        <v>2</v>
      </c>
      <c r="E59" s="7" t="s">
        <v>895</v>
      </c>
      <c r="F59" s="15" t="s">
        <v>31</v>
      </c>
      <c r="G59" s="13"/>
      <c r="H59" s="13"/>
      <c r="I59" s="106"/>
    </row>
    <row r="60" spans="1:9" ht="12.75">
      <c r="A60" s="6">
        <v>59</v>
      </c>
      <c r="B60" s="4" t="s">
        <v>792</v>
      </c>
      <c r="C60" s="4" t="s">
        <v>898</v>
      </c>
      <c r="D60" s="6">
        <v>2</v>
      </c>
      <c r="E60" s="7" t="s">
        <v>899</v>
      </c>
      <c r="F60" s="15" t="s">
        <v>31</v>
      </c>
      <c r="G60" s="13"/>
      <c r="H60" s="13"/>
      <c r="I60" s="106"/>
    </row>
    <row r="61" spans="1:9" ht="12.75">
      <c r="A61" s="6">
        <v>60</v>
      </c>
      <c r="B61" s="4" t="s">
        <v>792</v>
      </c>
      <c r="C61" s="4" t="s">
        <v>900</v>
      </c>
      <c r="D61" s="6">
        <v>2</v>
      </c>
      <c r="E61" s="7" t="s">
        <v>901</v>
      </c>
      <c r="F61" s="15" t="s">
        <v>31</v>
      </c>
      <c r="G61" s="13"/>
      <c r="H61" s="13"/>
      <c r="I61" s="106"/>
    </row>
    <row r="62" spans="1:9" ht="12.75">
      <c r="A62" s="6">
        <v>61</v>
      </c>
      <c r="B62" s="4" t="s">
        <v>792</v>
      </c>
      <c r="C62" s="4" t="s">
        <v>900</v>
      </c>
      <c r="D62" s="6">
        <v>2</v>
      </c>
      <c r="E62" s="7" t="s">
        <v>902</v>
      </c>
      <c r="F62" s="15" t="s">
        <v>31</v>
      </c>
      <c r="G62" s="13"/>
      <c r="H62" s="13"/>
      <c r="I62" s="106"/>
    </row>
    <row r="63" spans="1:9" ht="12.75">
      <c r="A63" s="6">
        <v>62</v>
      </c>
      <c r="B63" s="4" t="s">
        <v>792</v>
      </c>
      <c r="C63" s="4" t="s">
        <v>903</v>
      </c>
      <c r="D63" s="6">
        <v>2</v>
      </c>
      <c r="E63" s="7" t="s">
        <v>904</v>
      </c>
      <c r="F63" s="15" t="s">
        <v>31</v>
      </c>
      <c r="G63" s="13" t="s">
        <v>831</v>
      </c>
      <c r="H63" s="13" t="s">
        <v>362</v>
      </c>
      <c r="I63" s="106"/>
    </row>
    <row r="64" spans="1:9" ht="12.75">
      <c r="A64" s="6">
        <v>63</v>
      </c>
      <c r="B64" s="4" t="s">
        <v>792</v>
      </c>
      <c r="C64" s="4" t="s">
        <v>907</v>
      </c>
      <c r="D64" s="6">
        <v>2</v>
      </c>
      <c r="E64" s="7" t="s">
        <v>908</v>
      </c>
      <c r="F64" s="15" t="s">
        <v>31</v>
      </c>
      <c r="G64" s="13"/>
      <c r="H64" s="13"/>
      <c r="I64" s="106"/>
    </row>
    <row r="65" spans="1:9" ht="12.75">
      <c r="A65" s="6">
        <v>64</v>
      </c>
      <c r="B65" s="4" t="s">
        <v>792</v>
      </c>
      <c r="C65" s="4" t="s">
        <v>909</v>
      </c>
      <c r="D65" s="6">
        <v>2</v>
      </c>
      <c r="E65" s="7" t="s">
        <v>910</v>
      </c>
      <c r="F65" s="15" t="s">
        <v>31</v>
      </c>
      <c r="G65" s="13"/>
      <c r="H65" s="13"/>
      <c r="I65" s="106"/>
    </row>
    <row r="66" spans="1:9" ht="12.75">
      <c r="A66" s="6">
        <v>65</v>
      </c>
      <c r="B66" s="4" t="s">
        <v>792</v>
      </c>
      <c r="C66" s="4" t="s">
        <v>749</v>
      </c>
      <c r="D66" s="6">
        <v>2</v>
      </c>
      <c r="E66" s="7" t="s">
        <v>912</v>
      </c>
      <c r="F66" s="15" t="s">
        <v>31</v>
      </c>
      <c r="G66" s="13" t="s">
        <v>288</v>
      </c>
      <c r="H66" s="13" t="s">
        <v>742</v>
      </c>
      <c r="I66" s="106"/>
    </row>
    <row r="67" spans="1:9" ht="12.75">
      <c r="A67" s="6">
        <v>66</v>
      </c>
      <c r="B67" s="4" t="s">
        <v>792</v>
      </c>
      <c r="C67" s="4" t="s">
        <v>749</v>
      </c>
      <c r="D67" s="6">
        <v>2</v>
      </c>
      <c r="E67" s="7" t="s">
        <v>914</v>
      </c>
      <c r="F67" s="15" t="s">
        <v>31</v>
      </c>
      <c r="G67" s="13" t="s">
        <v>409</v>
      </c>
      <c r="H67" s="13" t="s">
        <v>742</v>
      </c>
      <c r="I67" s="106"/>
    </row>
    <row r="68" spans="1:9" ht="12.75">
      <c r="A68" s="6">
        <v>67</v>
      </c>
      <c r="B68" s="4" t="s">
        <v>792</v>
      </c>
      <c r="C68" s="4" t="s">
        <v>753</v>
      </c>
      <c r="D68" s="6">
        <v>2</v>
      </c>
      <c r="E68" s="7" t="s">
        <v>754</v>
      </c>
      <c r="F68" s="15" t="s">
        <v>31</v>
      </c>
      <c r="G68" s="13"/>
      <c r="H68" s="13"/>
      <c r="I68" s="106"/>
    </row>
    <row r="69" spans="1:9" ht="12.75">
      <c r="A69" s="6">
        <v>68</v>
      </c>
      <c r="B69" s="4" t="s">
        <v>792</v>
      </c>
      <c r="C69" s="4" t="s">
        <v>917</v>
      </c>
      <c r="D69" s="6">
        <v>2</v>
      </c>
      <c r="E69" s="7" t="s">
        <v>918</v>
      </c>
      <c r="F69" s="15" t="s">
        <v>31</v>
      </c>
      <c r="G69" s="13"/>
      <c r="H69" s="13"/>
      <c r="I69" s="106"/>
    </row>
    <row r="70" spans="1:9" ht="12.75">
      <c r="A70" s="6">
        <v>69</v>
      </c>
      <c r="B70" s="4" t="s">
        <v>792</v>
      </c>
      <c r="C70" s="4" t="s">
        <v>921</v>
      </c>
      <c r="D70" s="6">
        <v>2</v>
      </c>
      <c r="E70" s="7" t="s">
        <v>922</v>
      </c>
      <c r="F70" s="15" t="s">
        <v>31</v>
      </c>
      <c r="G70" s="13"/>
      <c r="H70" s="13"/>
      <c r="I70" s="106"/>
    </row>
    <row r="71" spans="1:9" ht="12.75">
      <c r="A71" s="6">
        <v>70</v>
      </c>
      <c r="B71" s="4" t="s">
        <v>792</v>
      </c>
      <c r="C71" s="4" t="s">
        <v>923</v>
      </c>
      <c r="D71" s="6">
        <v>2</v>
      </c>
      <c r="E71" s="7" t="s">
        <v>924</v>
      </c>
      <c r="F71" s="15" t="s">
        <v>31</v>
      </c>
      <c r="G71" s="13"/>
      <c r="H71" s="13"/>
      <c r="I71" s="106"/>
    </row>
    <row r="72" spans="1:9" ht="12.75">
      <c r="A72" s="6">
        <v>71</v>
      </c>
      <c r="B72" s="4" t="s">
        <v>792</v>
      </c>
      <c r="C72" s="4" t="s">
        <v>925</v>
      </c>
      <c r="D72" s="6">
        <v>2</v>
      </c>
      <c r="E72" s="7" t="s">
        <v>926</v>
      </c>
      <c r="F72" s="15" t="s">
        <v>31</v>
      </c>
      <c r="G72" s="13"/>
      <c r="H72" s="13"/>
      <c r="I72" s="106"/>
    </row>
    <row r="73" spans="1:9" ht="12.75">
      <c r="A73" s="6">
        <v>72</v>
      </c>
      <c r="B73" s="4" t="s">
        <v>792</v>
      </c>
      <c r="C73" s="4" t="s">
        <v>928</v>
      </c>
      <c r="D73" s="6">
        <v>2</v>
      </c>
      <c r="E73" s="7" t="s">
        <v>930</v>
      </c>
      <c r="F73" s="15" t="s">
        <v>31</v>
      </c>
      <c r="G73" s="13"/>
      <c r="H73" s="13"/>
      <c r="I73" s="106"/>
    </row>
    <row r="74" spans="1:9" ht="12.75">
      <c r="A74" s="6">
        <v>73</v>
      </c>
      <c r="B74" s="4" t="s">
        <v>792</v>
      </c>
      <c r="C74" s="4" t="s">
        <v>931</v>
      </c>
      <c r="D74" s="6">
        <v>2</v>
      </c>
      <c r="E74" s="7" t="s">
        <v>932</v>
      </c>
      <c r="F74" s="15" t="s">
        <v>31</v>
      </c>
      <c r="G74" s="13"/>
      <c r="H74" s="13"/>
      <c r="I74" s="106"/>
    </row>
    <row r="75" spans="1:9" ht="12.75">
      <c r="A75" s="6">
        <v>74</v>
      </c>
      <c r="B75" s="4" t="s">
        <v>792</v>
      </c>
      <c r="C75" s="4" t="s">
        <v>933</v>
      </c>
      <c r="D75" s="6">
        <v>2</v>
      </c>
      <c r="E75" s="7" t="s">
        <v>934</v>
      </c>
      <c r="F75" s="15" t="s">
        <v>31</v>
      </c>
      <c r="G75" s="13" t="s">
        <v>831</v>
      </c>
      <c r="H75" s="13" t="s">
        <v>362</v>
      </c>
      <c r="I75" s="106"/>
    </row>
    <row r="76" spans="1:9" ht="12.75">
      <c r="A76" s="6">
        <v>75</v>
      </c>
      <c r="B76" s="4" t="s">
        <v>792</v>
      </c>
      <c r="C76" s="4" t="s">
        <v>933</v>
      </c>
      <c r="D76" s="6">
        <v>2</v>
      </c>
      <c r="E76" s="7" t="s">
        <v>937</v>
      </c>
      <c r="F76" s="15" t="s">
        <v>31</v>
      </c>
      <c r="G76" s="13"/>
      <c r="H76" s="13"/>
      <c r="I76" s="106"/>
    </row>
    <row r="77" spans="1:9" ht="12.75">
      <c r="A77" s="6">
        <v>76</v>
      </c>
      <c r="B77" s="4" t="s">
        <v>792</v>
      </c>
      <c r="C77" s="4" t="s">
        <v>933</v>
      </c>
      <c r="D77" s="6">
        <v>2</v>
      </c>
      <c r="E77" s="7" t="s">
        <v>938</v>
      </c>
      <c r="F77" s="15" t="s">
        <v>31</v>
      </c>
      <c r="G77" s="13"/>
      <c r="H77" s="13"/>
      <c r="I77" s="106"/>
    </row>
    <row r="78" spans="1:9" ht="12.75">
      <c r="A78" s="6">
        <v>77</v>
      </c>
      <c r="B78" s="4" t="s">
        <v>792</v>
      </c>
      <c r="C78" s="4" t="s">
        <v>933</v>
      </c>
      <c r="D78" s="6">
        <v>2</v>
      </c>
      <c r="E78" s="7" t="s">
        <v>941</v>
      </c>
      <c r="F78" s="15" t="s">
        <v>31</v>
      </c>
      <c r="G78" s="13"/>
      <c r="H78" s="13"/>
      <c r="I78" s="106"/>
    </row>
    <row r="79" spans="1:9" ht="12.75">
      <c r="A79" s="6">
        <v>78</v>
      </c>
      <c r="B79" s="4" t="s">
        <v>792</v>
      </c>
      <c r="C79" s="4" t="s">
        <v>933</v>
      </c>
      <c r="D79" s="6">
        <v>2</v>
      </c>
      <c r="E79" s="7" t="s">
        <v>944</v>
      </c>
      <c r="F79" s="15" t="s">
        <v>31</v>
      </c>
      <c r="G79" s="13"/>
      <c r="H79" s="13"/>
      <c r="I79" s="106"/>
    </row>
    <row r="80" spans="1:9" ht="12.75">
      <c r="A80" s="6">
        <v>79</v>
      </c>
      <c r="B80" s="4" t="s">
        <v>792</v>
      </c>
      <c r="C80" s="4" t="s">
        <v>945</v>
      </c>
      <c r="D80" s="6">
        <v>2</v>
      </c>
      <c r="E80" s="7" t="s">
        <v>947</v>
      </c>
      <c r="F80" s="15" t="s">
        <v>31</v>
      </c>
      <c r="G80" s="13"/>
      <c r="H80" s="13"/>
      <c r="I80" s="106"/>
    </row>
    <row r="81" spans="1:9" ht="12.75">
      <c r="A81" s="6">
        <v>80</v>
      </c>
      <c r="B81" s="4" t="s">
        <v>792</v>
      </c>
      <c r="C81" s="4" t="s">
        <v>949</v>
      </c>
      <c r="D81" s="6">
        <v>2</v>
      </c>
      <c r="E81" s="7" t="s">
        <v>950</v>
      </c>
      <c r="F81" s="15" t="s">
        <v>31</v>
      </c>
      <c r="G81" s="13"/>
      <c r="H81" s="13"/>
      <c r="I81" s="106"/>
    </row>
    <row r="82" spans="1:9" ht="12.75">
      <c r="A82" s="6">
        <v>81</v>
      </c>
      <c r="B82" s="4" t="s">
        <v>792</v>
      </c>
      <c r="C82" s="4" t="s">
        <v>953</v>
      </c>
      <c r="D82" s="6">
        <v>2</v>
      </c>
      <c r="E82" s="7" t="s">
        <v>954</v>
      </c>
      <c r="F82" s="15" t="s">
        <v>31</v>
      </c>
      <c r="G82" s="13"/>
      <c r="H82" s="13"/>
      <c r="I82" s="106"/>
    </row>
    <row r="83" spans="1:9" ht="12.75">
      <c r="A83" s="6">
        <v>82</v>
      </c>
      <c r="B83" s="4" t="s">
        <v>792</v>
      </c>
      <c r="C83" s="4" t="s">
        <v>953</v>
      </c>
      <c r="D83" s="6">
        <v>2</v>
      </c>
      <c r="E83" s="7" t="s">
        <v>955</v>
      </c>
      <c r="F83" s="15" t="s">
        <v>31</v>
      </c>
      <c r="G83" s="13"/>
      <c r="H83" s="13"/>
      <c r="I83" s="106"/>
    </row>
    <row r="84" spans="1:9" ht="12.75">
      <c r="A84" s="6">
        <v>83</v>
      </c>
      <c r="B84" s="4" t="s">
        <v>792</v>
      </c>
      <c r="C84" s="4" t="s">
        <v>953</v>
      </c>
      <c r="D84" s="6">
        <v>2</v>
      </c>
      <c r="E84" s="7" t="s">
        <v>958</v>
      </c>
      <c r="F84" s="15" t="s">
        <v>31</v>
      </c>
      <c r="G84" s="13"/>
      <c r="H84" s="13"/>
      <c r="I84" s="106"/>
    </row>
    <row r="85" spans="1:9" ht="12.75">
      <c r="A85" s="6">
        <v>84</v>
      </c>
      <c r="B85" s="4" t="s">
        <v>792</v>
      </c>
      <c r="C85" s="4" t="s">
        <v>953</v>
      </c>
      <c r="D85" s="6">
        <v>2</v>
      </c>
      <c r="E85" s="7" t="s">
        <v>959</v>
      </c>
      <c r="F85" s="15" t="s">
        <v>31</v>
      </c>
      <c r="G85" s="13" t="s">
        <v>831</v>
      </c>
      <c r="H85" s="13" t="s">
        <v>960</v>
      </c>
      <c r="I85" s="106"/>
    </row>
    <row r="86" spans="1:9" ht="12.75">
      <c r="A86" s="6">
        <v>85</v>
      </c>
      <c r="B86" s="4" t="s">
        <v>792</v>
      </c>
      <c r="C86" s="4" t="s">
        <v>953</v>
      </c>
      <c r="D86" s="6">
        <v>2</v>
      </c>
      <c r="E86" s="7" t="s">
        <v>963</v>
      </c>
      <c r="F86" s="15" t="s">
        <v>31</v>
      </c>
      <c r="G86" s="13" t="s">
        <v>288</v>
      </c>
      <c r="H86" s="13" t="s">
        <v>742</v>
      </c>
      <c r="I86" s="106"/>
    </row>
    <row r="87" spans="1:9" ht="12.75">
      <c r="A87" s="6">
        <v>86</v>
      </c>
      <c r="B87" s="4" t="s">
        <v>792</v>
      </c>
      <c r="C87" s="4" t="s">
        <v>953</v>
      </c>
      <c r="D87" s="6">
        <v>2</v>
      </c>
      <c r="E87" s="7" t="s">
        <v>964</v>
      </c>
      <c r="F87" s="15" t="s">
        <v>31</v>
      </c>
      <c r="G87" s="13" t="s">
        <v>409</v>
      </c>
      <c r="H87" s="13" t="s">
        <v>742</v>
      </c>
      <c r="I87" s="106"/>
    </row>
    <row r="88" spans="1:9" ht="12.75">
      <c r="A88" s="6">
        <v>87</v>
      </c>
      <c r="B88" s="4" t="s">
        <v>792</v>
      </c>
      <c r="C88" s="4" t="s">
        <v>953</v>
      </c>
      <c r="D88" s="6">
        <v>2</v>
      </c>
      <c r="E88" s="7" t="s">
        <v>967</v>
      </c>
      <c r="F88" s="15" t="s">
        <v>31</v>
      </c>
      <c r="G88" s="13"/>
      <c r="H88" s="13"/>
      <c r="I88" s="106"/>
    </row>
    <row r="89" spans="1:9" ht="12.75">
      <c r="A89" s="6">
        <v>88</v>
      </c>
      <c r="B89" s="4" t="s">
        <v>792</v>
      </c>
      <c r="C89" s="4" t="s">
        <v>953</v>
      </c>
      <c r="D89" s="6">
        <v>2</v>
      </c>
      <c r="E89" s="7" t="s">
        <v>955</v>
      </c>
      <c r="F89" s="15" t="s">
        <v>31</v>
      </c>
      <c r="G89" s="13"/>
      <c r="H89" s="13"/>
      <c r="I89" s="106"/>
    </row>
    <row r="90" spans="1:9" ht="12.75">
      <c r="A90" s="6">
        <v>89</v>
      </c>
      <c r="B90" s="4" t="s">
        <v>792</v>
      </c>
      <c r="C90" s="4" t="s">
        <v>953</v>
      </c>
      <c r="D90" s="6">
        <v>2</v>
      </c>
      <c r="E90" s="7" t="s">
        <v>970</v>
      </c>
      <c r="F90" s="15" t="s">
        <v>31</v>
      </c>
      <c r="G90" s="13"/>
      <c r="H90" s="13"/>
      <c r="I90" s="106"/>
    </row>
    <row r="91" spans="1:9" ht="12.75">
      <c r="A91" s="6">
        <v>90</v>
      </c>
      <c r="B91" s="4" t="s">
        <v>792</v>
      </c>
      <c r="C91" s="4" t="s">
        <v>953</v>
      </c>
      <c r="D91" s="6">
        <v>2</v>
      </c>
      <c r="E91" s="7" t="s">
        <v>971</v>
      </c>
      <c r="F91" s="15" t="s">
        <v>31</v>
      </c>
      <c r="G91" s="13"/>
      <c r="H91" s="13"/>
      <c r="I91" s="106"/>
    </row>
    <row r="92" spans="1:9" ht="12.75">
      <c r="A92" s="6">
        <v>91</v>
      </c>
      <c r="B92" s="4" t="s">
        <v>792</v>
      </c>
      <c r="C92" s="4" t="s">
        <v>953</v>
      </c>
      <c r="D92" s="6">
        <v>2</v>
      </c>
      <c r="E92" s="7" t="s">
        <v>974</v>
      </c>
      <c r="F92" s="15" t="s">
        <v>31</v>
      </c>
      <c r="G92" s="13"/>
      <c r="H92" s="13"/>
      <c r="I92" s="106"/>
    </row>
    <row r="93" spans="1:9" ht="12.75">
      <c r="A93" s="6">
        <v>92</v>
      </c>
      <c r="B93" s="4" t="s">
        <v>792</v>
      </c>
      <c r="C93" s="4" t="s">
        <v>953</v>
      </c>
      <c r="D93" s="6">
        <v>2</v>
      </c>
      <c r="E93" s="7" t="s">
        <v>977</v>
      </c>
      <c r="F93" s="15" t="s">
        <v>31</v>
      </c>
      <c r="G93" s="13"/>
      <c r="H93" s="13"/>
      <c r="I93" s="106"/>
    </row>
    <row r="94" spans="1:9" ht="12.75">
      <c r="A94" s="6">
        <v>93</v>
      </c>
      <c r="B94" s="4" t="s">
        <v>792</v>
      </c>
      <c r="C94" s="4" t="s">
        <v>953</v>
      </c>
      <c r="D94" s="6">
        <v>2</v>
      </c>
      <c r="E94" s="7" t="s">
        <v>978</v>
      </c>
      <c r="F94" s="15" t="s">
        <v>31</v>
      </c>
      <c r="G94" s="13"/>
      <c r="H94" s="13"/>
      <c r="I94" s="106"/>
    </row>
    <row r="95" spans="1:9" ht="12.75">
      <c r="A95" s="6">
        <v>94</v>
      </c>
      <c r="B95" s="4" t="s">
        <v>792</v>
      </c>
      <c r="C95" s="4" t="s">
        <v>953</v>
      </c>
      <c r="D95" s="6">
        <v>2</v>
      </c>
      <c r="E95" s="7" t="s">
        <v>981</v>
      </c>
      <c r="F95" s="15" t="s">
        <v>31</v>
      </c>
      <c r="G95" s="13"/>
      <c r="H95" s="13"/>
      <c r="I95" s="106"/>
    </row>
    <row r="96" spans="1:9" ht="12.75">
      <c r="A96" s="6">
        <v>95</v>
      </c>
      <c r="B96" s="4" t="s">
        <v>792</v>
      </c>
      <c r="C96" s="4" t="s">
        <v>953</v>
      </c>
      <c r="D96" s="6">
        <v>2</v>
      </c>
      <c r="E96" s="7" t="s">
        <v>982</v>
      </c>
      <c r="F96" s="15" t="s">
        <v>31</v>
      </c>
      <c r="G96" s="13"/>
      <c r="H96" s="13"/>
      <c r="I96" s="106"/>
    </row>
    <row r="97" spans="1:9" ht="12.75">
      <c r="A97" s="6">
        <v>96</v>
      </c>
      <c r="B97" s="4" t="s">
        <v>792</v>
      </c>
      <c r="C97" s="4" t="s">
        <v>953</v>
      </c>
      <c r="D97" s="6">
        <v>2</v>
      </c>
      <c r="E97" s="7" t="s">
        <v>983</v>
      </c>
      <c r="F97" s="15" t="s">
        <v>31</v>
      </c>
      <c r="G97" s="13"/>
      <c r="H97" s="13"/>
      <c r="I97" s="106"/>
    </row>
    <row r="98" spans="1:9" ht="12.75">
      <c r="A98" s="6">
        <v>97</v>
      </c>
      <c r="B98" s="4" t="s">
        <v>792</v>
      </c>
      <c r="C98" s="4" t="s">
        <v>984</v>
      </c>
      <c r="D98" s="6">
        <v>2</v>
      </c>
      <c r="E98" s="7" t="s">
        <v>985</v>
      </c>
      <c r="F98" s="15" t="s">
        <v>31</v>
      </c>
      <c r="G98" s="13"/>
      <c r="H98" s="13"/>
      <c r="I98" s="106"/>
    </row>
    <row r="99" spans="1:9" ht="12.75">
      <c r="A99" s="6">
        <v>98</v>
      </c>
      <c r="B99" s="4" t="s">
        <v>988</v>
      </c>
      <c r="C99" s="4" t="s">
        <v>989</v>
      </c>
      <c r="D99" s="6">
        <v>2</v>
      </c>
      <c r="E99" s="7" t="s">
        <v>990</v>
      </c>
      <c r="F99" s="15" t="s">
        <v>31</v>
      </c>
      <c r="G99" s="13"/>
      <c r="H99" s="13"/>
      <c r="I99" s="106"/>
    </row>
    <row r="100" spans="1:9" ht="12.75">
      <c r="A100" s="6">
        <v>99</v>
      </c>
      <c r="B100" s="4" t="s">
        <v>988</v>
      </c>
      <c r="C100" s="4" t="s">
        <v>991</v>
      </c>
      <c r="D100" s="6">
        <v>2</v>
      </c>
      <c r="E100" s="7" t="s">
        <v>992</v>
      </c>
      <c r="F100" s="15" t="s">
        <v>31</v>
      </c>
      <c r="G100" s="13"/>
      <c r="H100" s="13"/>
      <c r="I100" s="106"/>
    </row>
    <row r="101" spans="1:9" ht="12.75">
      <c r="A101" s="6">
        <v>100</v>
      </c>
      <c r="B101" s="4" t="s">
        <v>988</v>
      </c>
      <c r="C101" s="4" t="s">
        <v>994</v>
      </c>
      <c r="D101" s="6">
        <v>2</v>
      </c>
      <c r="E101" s="7" t="s">
        <v>996</v>
      </c>
      <c r="F101" s="15" t="s">
        <v>31</v>
      </c>
      <c r="G101" s="13"/>
      <c r="H101" s="13"/>
      <c r="I101" s="106"/>
    </row>
    <row r="102" spans="1:9" ht="12.75">
      <c r="A102" s="6">
        <v>101</v>
      </c>
      <c r="B102" s="4" t="s">
        <v>988</v>
      </c>
      <c r="C102" s="4" t="s">
        <v>997</v>
      </c>
      <c r="D102" s="6">
        <v>2</v>
      </c>
      <c r="E102" s="7" t="s">
        <v>998</v>
      </c>
      <c r="F102" s="15" t="s">
        <v>31</v>
      </c>
      <c r="G102" s="13"/>
      <c r="H102" s="13"/>
      <c r="I102" s="106"/>
    </row>
    <row r="103" spans="1:9" ht="12.75">
      <c r="A103" s="6">
        <v>102</v>
      </c>
      <c r="B103" s="4" t="s">
        <v>988</v>
      </c>
      <c r="C103" s="4" t="s">
        <v>999</v>
      </c>
      <c r="D103" s="6">
        <v>2</v>
      </c>
      <c r="E103" s="7" t="s">
        <v>1000</v>
      </c>
      <c r="F103" s="15" t="s">
        <v>31</v>
      </c>
      <c r="G103" s="13"/>
      <c r="H103" s="13"/>
      <c r="I103" s="106"/>
    </row>
    <row r="104" spans="1:9" ht="12.75">
      <c r="A104" s="6">
        <v>103</v>
      </c>
      <c r="B104" s="4" t="s">
        <v>988</v>
      </c>
      <c r="C104" s="4" t="s">
        <v>1001</v>
      </c>
      <c r="D104" s="6">
        <v>2</v>
      </c>
      <c r="E104" s="7" t="s">
        <v>1002</v>
      </c>
      <c r="F104" s="15" t="s">
        <v>31</v>
      </c>
      <c r="G104" s="13"/>
      <c r="H104" s="13"/>
      <c r="I104" s="106"/>
    </row>
    <row r="105" spans="1:9" ht="12.75">
      <c r="A105" s="6">
        <v>104</v>
      </c>
      <c r="B105" s="4" t="s">
        <v>988</v>
      </c>
      <c r="C105" s="4" t="s">
        <v>1001</v>
      </c>
      <c r="D105" s="6">
        <v>2</v>
      </c>
      <c r="E105" s="7" t="s">
        <v>1005</v>
      </c>
      <c r="F105" s="15" t="s">
        <v>31</v>
      </c>
      <c r="G105" s="13"/>
      <c r="H105" s="13"/>
      <c r="I105" s="106"/>
    </row>
    <row r="106" spans="1:9" ht="12.75">
      <c r="A106" s="6">
        <v>105</v>
      </c>
      <c r="B106" s="4" t="s">
        <v>988</v>
      </c>
      <c r="C106" s="4" t="s">
        <v>1006</v>
      </c>
      <c r="D106" s="6">
        <v>2</v>
      </c>
      <c r="E106" s="7" t="s">
        <v>1007</v>
      </c>
      <c r="F106" s="15" t="s">
        <v>31</v>
      </c>
      <c r="G106" s="13"/>
      <c r="H106" s="13"/>
      <c r="I106" s="106"/>
    </row>
    <row r="107" spans="1:9" ht="12.75">
      <c r="A107" s="6">
        <v>106</v>
      </c>
      <c r="B107" s="4" t="s">
        <v>988</v>
      </c>
      <c r="C107" s="4" t="s">
        <v>1008</v>
      </c>
      <c r="D107" s="6">
        <v>2</v>
      </c>
      <c r="E107" s="7" t="s">
        <v>1009</v>
      </c>
      <c r="F107" s="15" t="s">
        <v>31</v>
      </c>
      <c r="G107" s="13"/>
      <c r="H107" s="13"/>
      <c r="I107" s="106"/>
    </row>
    <row r="108" spans="1:9" ht="12.75">
      <c r="A108" s="6">
        <v>107</v>
      </c>
      <c r="B108" s="4" t="s">
        <v>988</v>
      </c>
      <c r="C108" s="4" t="s">
        <v>1010</v>
      </c>
      <c r="D108" s="6">
        <v>2</v>
      </c>
      <c r="E108" s="7" t="s">
        <v>1012</v>
      </c>
      <c r="F108" s="15" t="s">
        <v>31</v>
      </c>
      <c r="G108" s="13"/>
      <c r="H108" s="13"/>
      <c r="I108" s="106"/>
    </row>
    <row r="109" spans="1:9" ht="12.75">
      <c r="A109" s="6">
        <v>108</v>
      </c>
      <c r="B109" s="4" t="s">
        <v>988</v>
      </c>
      <c r="C109" s="4" t="s">
        <v>1014</v>
      </c>
      <c r="D109" s="6">
        <v>2</v>
      </c>
      <c r="E109" s="7" t="s">
        <v>1015</v>
      </c>
      <c r="F109" s="15" t="s">
        <v>31</v>
      </c>
      <c r="G109" s="13"/>
      <c r="H109" s="13"/>
      <c r="I109" s="106"/>
    </row>
    <row r="110" spans="1:9" ht="12.75">
      <c r="A110" s="6">
        <v>109</v>
      </c>
      <c r="B110" s="4" t="s">
        <v>988</v>
      </c>
      <c r="C110" s="4" t="s">
        <v>1016</v>
      </c>
      <c r="D110" s="6">
        <v>2</v>
      </c>
      <c r="E110" s="7" t="s">
        <v>1017</v>
      </c>
      <c r="F110" s="15" t="s">
        <v>31</v>
      </c>
      <c r="G110" s="13"/>
      <c r="H110" s="13"/>
      <c r="I110" s="106"/>
    </row>
    <row r="111" spans="1:9" ht="12.75">
      <c r="A111" s="6">
        <v>110</v>
      </c>
      <c r="B111" s="4" t="s">
        <v>988</v>
      </c>
      <c r="C111" s="4" t="s">
        <v>1018</v>
      </c>
      <c r="D111" s="6">
        <v>2</v>
      </c>
      <c r="E111" s="7" t="s">
        <v>1019</v>
      </c>
      <c r="F111" s="15" t="s">
        <v>31</v>
      </c>
      <c r="G111" s="13"/>
      <c r="H111" s="13"/>
      <c r="I111" s="106"/>
    </row>
    <row r="112" spans="1:9" ht="12.75">
      <c r="A112" s="6">
        <v>111</v>
      </c>
      <c r="B112" s="4" t="s">
        <v>988</v>
      </c>
      <c r="C112" s="4" t="s">
        <v>1018</v>
      </c>
      <c r="D112" s="6">
        <v>2</v>
      </c>
      <c r="E112" s="7" t="s">
        <v>1022</v>
      </c>
      <c r="F112" s="15" t="s">
        <v>31</v>
      </c>
      <c r="G112" s="13"/>
      <c r="H112" s="13"/>
      <c r="I112" s="106"/>
    </row>
    <row r="113" spans="1:9" ht="12.75">
      <c r="A113" s="6">
        <v>112</v>
      </c>
      <c r="B113" s="4" t="s">
        <v>988</v>
      </c>
      <c r="C113" s="4" t="s">
        <v>1018</v>
      </c>
      <c r="D113" s="6">
        <v>2</v>
      </c>
      <c r="E113" s="7" t="s">
        <v>1023</v>
      </c>
      <c r="F113" s="15" t="s">
        <v>31</v>
      </c>
      <c r="G113" s="13"/>
      <c r="H113" s="13"/>
      <c r="I113" s="106"/>
    </row>
    <row r="114" spans="1:9" ht="12.75">
      <c r="A114" s="6">
        <v>113</v>
      </c>
      <c r="B114" s="4" t="s">
        <v>988</v>
      </c>
      <c r="C114" s="4" t="s">
        <v>1018</v>
      </c>
      <c r="D114" s="6">
        <v>2</v>
      </c>
      <c r="E114" s="7" t="s">
        <v>1024</v>
      </c>
      <c r="F114" s="15" t="s">
        <v>31</v>
      </c>
      <c r="G114" s="13"/>
      <c r="H114" s="13"/>
      <c r="I114" s="106"/>
    </row>
    <row r="115" spans="1:9" ht="12.75">
      <c r="A115" s="6">
        <v>114</v>
      </c>
      <c r="B115" s="13" t="s">
        <v>988</v>
      </c>
      <c r="C115" s="4" t="s">
        <v>1027</v>
      </c>
      <c r="D115" s="6">
        <v>2</v>
      </c>
      <c r="E115" s="7" t="s">
        <v>1028</v>
      </c>
      <c r="F115" s="15" t="s">
        <v>31</v>
      </c>
      <c r="G115" s="13"/>
      <c r="H115" s="13"/>
      <c r="I115" s="106"/>
    </row>
    <row r="116" spans="1:9" ht="12.75">
      <c r="A116" s="6">
        <v>115</v>
      </c>
      <c r="B116" s="13" t="s">
        <v>988</v>
      </c>
      <c r="C116" s="4" t="s">
        <v>1029</v>
      </c>
      <c r="D116" s="6">
        <v>2</v>
      </c>
      <c r="E116" s="7" t="s">
        <v>1030</v>
      </c>
      <c r="F116" s="15" t="s">
        <v>31</v>
      </c>
      <c r="G116" s="13"/>
      <c r="H116" s="13"/>
      <c r="I116" s="106"/>
    </row>
    <row r="117" spans="1:9" ht="12.75">
      <c r="A117" s="6">
        <v>117</v>
      </c>
      <c r="B117" s="13" t="s">
        <v>1031</v>
      </c>
      <c r="C117" s="4" t="s">
        <v>1032</v>
      </c>
      <c r="D117" s="6">
        <v>1</v>
      </c>
      <c r="E117" s="7" t="s">
        <v>1033</v>
      </c>
      <c r="F117" s="15" t="s">
        <v>31</v>
      </c>
      <c r="G117" s="13"/>
      <c r="H117" s="13"/>
      <c r="I117" s="106"/>
    </row>
    <row r="118" spans="1:9" ht="16.5" customHeight="1">
      <c r="A118" s="6">
        <v>118</v>
      </c>
      <c r="B118" s="13" t="s">
        <v>1031</v>
      </c>
      <c r="C118" s="4" t="s">
        <v>1034</v>
      </c>
      <c r="D118" s="6">
        <v>1</v>
      </c>
      <c r="E118" s="7" t="s">
        <v>1035</v>
      </c>
      <c r="F118" s="15" t="s">
        <v>31</v>
      </c>
      <c r="G118" s="13"/>
      <c r="H118" s="13"/>
      <c r="I118" s="106"/>
    </row>
    <row r="119" spans="1:9" ht="12.75">
      <c r="A119" s="6">
        <v>119</v>
      </c>
      <c r="B119" s="13" t="s">
        <v>1031</v>
      </c>
      <c r="C119" s="4" t="s">
        <v>1038</v>
      </c>
      <c r="D119" s="6">
        <v>1</v>
      </c>
      <c r="E119" s="7" t="s">
        <v>1039</v>
      </c>
      <c r="F119" s="15" t="s">
        <v>31</v>
      </c>
      <c r="G119" s="13"/>
      <c r="H119" s="13"/>
      <c r="I119" s="106"/>
    </row>
    <row r="120" spans="1:9" ht="12.75">
      <c r="A120" s="6">
        <v>120</v>
      </c>
      <c r="B120" s="4" t="s">
        <v>1031</v>
      </c>
      <c r="C120" s="4" t="s">
        <v>817</v>
      </c>
      <c r="D120" s="6">
        <v>1</v>
      </c>
      <c r="E120" s="7" t="s">
        <v>818</v>
      </c>
      <c r="F120" s="15" t="s">
        <v>31</v>
      </c>
      <c r="G120" s="13"/>
      <c r="H120" s="13"/>
      <c r="I120" s="106"/>
    </row>
    <row r="121" spans="1:9" ht="12.75">
      <c r="A121" s="6">
        <v>121</v>
      </c>
      <c r="B121" s="4" t="s">
        <v>1031</v>
      </c>
      <c r="C121" s="4" t="s">
        <v>817</v>
      </c>
      <c r="D121" s="6">
        <v>1</v>
      </c>
      <c r="E121" s="7" t="s">
        <v>818</v>
      </c>
      <c r="F121" s="15" t="s">
        <v>31</v>
      </c>
      <c r="G121" s="13"/>
      <c r="H121" s="13"/>
      <c r="I121" s="106"/>
    </row>
    <row r="122" spans="1:9" ht="12.75">
      <c r="A122" s="6">
        <v>122</v>
      </c>
      <c r="B122" s="4" t="s">
        <v>1031</v>
      </c>
      <c r="C122" s="4" t="s">
        <v>1040</v>
      </c>
      <c r="D122" s="6">
        <v>1</v>
      </c>
      <c r="E122" s="7" t="s">
        <v>1041</v>
      </c>
      <c r="F122" s="15" t="s">
        <v>31</v>
      </c>
      <c r="G122" s="13"/>
      <c r="H122" s="13"/>
      <c r="I122" s="106"/>
    </row>
    <row r="123" spans="1:9" ht="12.75">
      <c r="A123" s="6">
        <v>123</v>
      </c>
      <c r="B123" s="4" t="s">
        <v>1031</v>
      </c>
      <c r="C123" s="4" t="s">
        <v>1044</v>
      </c>
      <c r="D123" s="6">
        <v>1</v>
      </c>
      <c r="E123" s="7" t="s">
        <v>1045</v>
      </c>
      <c r="F123" s="15" t="s">
        <v>31</v>
      </c>
      <c r="G123" s="13"/>
      <c r="H123" s="13"/>
      <c r="I123" s="106"/>
    </row>
    <row r="124" spans="1:9" ht="12.75">
      <c r="A124" s="6">
        <v>124</v>
      </c>
      <c r="B124" s="4" t="s">
        <v>1031</v>
      </c>
      <c r="C124" s="4" t="s">
        <v>1046</v>
      </c>
      <c r="D124" s="6">
        <v>1</v>
      </c>
      <c r="E124" s="7" t="s">
        <v>1047</v>
      </c>
      <c r="F124" s="15" t="s">
        <v>31</v>
      </c>
      <c r="G124" s="13"/>
      <c r="H124" s="13"/>
      <c r="I124" s="106"/>
    </row>
    <row r="125" spans="1:9" ht="12.75">
      <c r="A125" s="6">
        <v>125</v>
      </c>
      <c r="B125" s="4" t="s">
        <v>1031</v>
      </c>
      <c r="C125" s="4" t="s">
        <v>1048</v>
      </c>
      <c r="D125" s="6">
        <v>1</v>
      </c>
      <c r="E125" s="7" t="s">
        <v>1049</v>
      </c>
      <c r="F125" s="15" t="s">
        <v>31</v>
      </c>
      <c r="G125" s="13"/>
      <c r="H125" s="13"/>
      <c r="I125" s="106"/>
    </row>
    <row r="126" spans="1:9" ht="12.75">
      <c r="A126" s="6">
        <v>126</v>
      </c>
      <c r="B126" s="4" t="s">
        <v>1031</v>
      </c>
      <c r="C126" s="4" t="s">
        <v>1050</v>
      </c>
      <c r="D126" s="6">
        <v>1</v>
      </c>
      <c r="E126" s="7" t="s">
        <v>1051</v>
      </c>
      <c r="F126" s="15" t="s">
        <v>31</v>
      </c>
      <c r="G126" s="13"/>
      <c r="H126" s="13"/>
      <c r="I126" s="106"/>
    </row>
    <row r="127" spans="1:9" ht="12.75">
      <c r="A127" s="6">
        <v>127</v>
      </c>
      <c r="B127" s="4" t="s">
        <v>1054</v>
      </c>
      <c r="C127" s="4" t="s">
        <v>989</v>
      </c>
      <c r="D127" s="6">
        <v>1</v>
      </c>
      <c r="E127" s="7" t="s">
        <v>1055</v>
      </c>
      <c r="F127" s="15" t="s">
        <v>31</v>
      </c>
      <c r="G127" s="13"/>
      <c r="H127" s="13"/>
      <c r="I127" s="106"/>
    </row>
    <row r="128" spans="1:9" ht="25.5">
      <c r="A128" s="6">
        <v>128</v>
      </c>
      <c r="B128" s="4" t="s">
        <v>1054</v>
      </c>
      <c r="C128" s="4" t="s">
        <v>1056</v>
      </c>
      <c r="D128" s="6">
        <v>1</v>
      </c>
      <c r="E128" s="54" t="s">
        <v>1057</v>
      </c>
      <c r="F128" s="15" t="s">
        <v>31</v>
      </c>
      <c r="G128" s="13"/>
      <c r="H128" s="13"/>
      <c r="I128" s="106"/>
    </row>
    <row r="129" spans="1:9" ht="12.75">
      <c r="A129" s="6">
        <v>129</v>
      </c>
      <c r="B129" s="4" t="s">
        <v>1054</v>
      </c>
      <c r="C129" s="4" t="s">
        <v>756</v>
      </c>
      <c r="D129" s="6">
        <v>1</v>
      </c>
      <c r="E129" s="55" t="s">
        <v>757</v>
      </c>
      <c r="F129" s="15" t="s">
        <v>31</v>
      </c>
      <c r="G129" s="13"/>
      <c r="H129" s="13"/>
      <c r="I129" s="106"/>
    </row>
    <row r="130" spans="1:9" ht="31.5" customHeight="1">
      <c r="A130" s="6">
        <v>130</v>
      </c>
      <c r="B130" s="13" t="s">
        <v>1054</v>
      </c>
      <c r="C130" s="13" t="s">
        <v>1060</v>
      </c>
      <c r="D130" s="6">
        <v>1</v>
      </c>
      <c r="E130" s="55" t="s">
        <v>1061</v>
      </c>
      <c r="F130" s="15" t="s">
        <v>31</v>
      </c>
      <c r="G130" s="13"/>
      <c r="H130" s="13"/>
      <c r="I130" s="106"/>
    </row>
    <row r="131" spans="1:9" ht="12.75">
      <c r="A131" s="6">
        <v>131</v>
      </c>
      <c r="B131" s="4" t="s">
        <v>1054</v>
      </c>
      <c r="C131" s="4" t="s">
        <v>1062</v>
      </c>
      <c r="D131" s="6">
        <v>1</v>
      </c>
      <c r="E131" s="7" t="s">
        <v>1063</v>
      </c>
      <c r="F131" s="15" t="s">
        <v>31</v>
      </c>
      <c r="G131" s="13"/>
      <c r="H131" s="13"/>
      <c r="I131" s="106"/>
    </row>
    <row r="132" spans="1:9" ht="12.75">
      <c r="A132" s="6">
        <v>132</v>
      </c>
      <c r="B132" s="4" t="s">
        <v>1054</v>
      </c>
      <c r="C132" s="4" t="s">
        <v>1065</v>
      </c>
      <c r="D132" s="6">
        <v>1</v>
      </c>
      <c r="E132" s="7" t="s">
        <v>1067</v>
      </c>
      <c r="F132" s="15" t="s">
        <v>31</v>
      </c>
      <c r="G132" s="13" t="s">
        <v>288</v>
      </c>
      <c r="H132" s="13" t="s">
        <v>742</v>
      </c>
      <c r="I132" s="106"/>
    </row>
    <row r="133" spans="1:9" ht="12.75">
      <c r="A133" s="6">
        <v>134</v>
      </c>
      <c r="B133" s="4" t="s">
        <v>1054</v>
      </c>
      <c r="C133" s="4" t="s">
        <v>1068</v>
      </c>
      <c r="D133" s="6">
        <v>1</v>
      </c>
      <c r="E133" s="20" t="s">
        <v>1069</v>
      </c>
      <c r="F133" s="15" t="s">
        <v>31</v>
      </c>
      <c r="G133" s="13"/>
      <c r="H133" s="13"/>
      <c r="I133" s="106"/>
    </row>
    <row r="134" spans="1:9" ht="17.25" customHeight="1">
      <c r="A134" s="6">
        <v>135</v>
      </c>
      <c r="B134" s="4" t="s">
        <v>1054</v>
      </c>
      <c r="C134" s="4" t="s">
        <v>1070</v>
      </c>
      <c r="D134" s="6">
        <v>1</v>
      </c>
      <c r="E134" s="20" t="s">
        <v>1071</v>
      </c>
      <c r="F134" s="15" t="s">
        <v>31</v>
      </c>
      <c r="G134" s="13"/>
      <c r="H134" s="13"/>
      <c r="I134" s="106"/>
    </row>
    <row r="135" spans="1:9" ht="12.75">
      <c r="A135" s="6">
        <v>136</v>
      </c>
      <c r="B135" s="13" t="s">
        <v>1054</v>
      </c>
      <c r="C135" s="13" t="s">
        <v>1072</v>
      </c>
      <c r="D135" s="6">
        <v>1</v>
      </c>
      <c r="E135" s="20" t="s">
        <v>1074</v>
      </c>
      <c r="F135" s="15" t="s">
        <v>31</v>
      </c>
      <c r="G135" s="13"/>
      <c r="H135" s="13"/>
      <c r="I135" s="106"/>
    </row>
    <row r="136" spans="1:9" ht="12.75">
      <c r="A136" s="6">
        <v>137</v>
      </c>
      <c r="B136" s="4" t="s">
        <v>1054</v>
      </c>
      <c r="C136" s="4" t="s">
        <v>1076</v>
      </c>
      <c r="D136" s="6">
        <v>1</v>
      </c>
      <c r="E136" s="20" t="s">
        <v>1077</v>
      </c>
      <c r="F136" s="15" t="s">
        <v>31</v>
      </c>
      <c r="G136" s="13"/>
      <c r="H136" s="13"/>
      <c r="I136" s="106"/>
    </row>
    <row r="137" spans="1:9" ht="12.75">
      <c r="A137" s="6">
        <v>138</v>
      </c>
      <c r="B137" s="4" t="s">
        <v>1054</v>
      </c>
      <c r="C137" s="4" t="s">
        <v>1078</v>
      </c>
      <c r="D137" s="6">
        <v>1</v>
      </c>
      <c r="E137" s="20" t="s">
        <v>1079</v>
      </c>
      <c r="F137" s="15" t="s">
        <v>31</v>
      </c>
      <c r="G137" s="13"/>
      <c r="H137" s="13"/>
      <c r="I137" s="106"/>
    </row>
    <row r="138" spans="1:9" ht="12.75">
      <c r="A138" s="6">
        <v>139</v>
      </c>
      <c r="B138" s="4" t="s">
        <v>1054</v>
      </c>
      <c r="C138" s="4" t="s">
        <v>1080</v>
      </c>
      <c r="D138" s="6">
        <v>1</v>
      </c>
      <c r="E138" s="20" t="s">
        <v>1081</v>
      </c>
      <c r="F138" s="15" t="s">
        <v>31</v>
      </c>
      <c r="G138" s="13"/>
      <c r="H138" s="13"/>
      <c r="I138" s="106"/>
    </row>
    <row r="139" spans="1:9" ht="12.75">
      <c r="A139" s="6">
        <v>140</v>
      </c>
      <c r="B139" s="4" t="s">
        <v>1054</v>
      </c>
      <c r="C139" s="4" t="s">
        <v>1083</v>
      </c>
      <c r="D139" s="6">
        <v>1</v>
      </c>
      <c r="E139" s="20" t="s">
        <v>1085</v>
      </c>
      <c r="F139" s="15" t="s">
        <v>31</v>
      </c>
      <c r="G139" s="13"/>
      <c r="H139" s="13"/>
      <c r="I139" s="106"/>
    </row>
    <row r="140" spans="1:9" ht="12.75">
      <c r="A140" s="6">
        <v>141</v>
      </c>
      <c r="B140" s="4" t="s">
        <v>1054</v>
      </c>
      <c r="C140" s="4" t="s">
        <v>898</v>
      </c>
      <c r="D140" s="6">
        <v>1</v>
      </c>
      <c r="E140" s="20" t="s">
        <v>899</v>
      </c>
      <c r="F140" s="15" t="s">
        <v>31</v>
      </c>
      <c r="G140" s="13"/>
      <c r="H140" s="13"/>
      <c r="I140" s="106"/>
    </row>
    <row r="141" spans="1:9" ht="12.75">
      <c r="A141" s="6">
        <v>142</v>
      </c>
      <c r="B141" s="4" t="s">
        <v>1054</v>
      </c>
      <c r="C141" s="4" t="s">
        <v>1088</v>
      </c>
      <c r="D141" s="6">
        <v>1</v>
      </c>
      <c r="E141" s="20" t="s">
        <v>1089</v>
      </c>
      <c r="F141" s="15" t="s">
        <v>31</v>
      </c>
      <c r="G141" s="13"/>
      <c r="H141" s="13"/>
      <c r="I141" s="106"/>
    </row>
    <row r="142" spans="1:9" ht="12.75">
      <c r="A142" s="6">
        <v>143</v>
      </c>
      <c r="B142" s="4" t="s">
        <v>1091</v>
      </c>
      <c r="C142" s="4" t="s">
        <v>1092</v>
      </c>
      <c r="D142" s="6">
        <v>1</v>
      </c>
      <c r="E142" s="20" t="s">
        <v>1094</v>
      </c>
      <c r="F142" s="15" t="s">
        <v>31</v>
      </c>
      <c r="G142" s="13"/>
      <c r="H142" s="13"/>
      <c r="I142" s="106"/>
    </row>
    <row r="143" spans="1:9" ht="12.75">
      <c r="A143" s="6">
        <v>144</v>
      </c>
      <c r="B143" s="4" t="s">
        <v>1091</v>
      </c>
      <c r="C143" s="4" t="s">
        <v>1095</v>
      </c>
      <c r="D143" s="6">
        <v>1</v>
      </c>
      <c r="E143" s="20" t="s">
        <v>1096</v>
      </c>
      <c r="F143" s="15" t="s">
        <v>31</v>
      </c>
      <c r="G143" s="13"/>
      <c r="H143" s="13"/>
      <c r="I143" s="106"/>
    </row>
    <row r="144" spans="1:9" ht="12.75">
      <c r="A144" s="6">
        <v>145</v>
      </c>
      <c r="B144" s="4" t="s">
        <v>1091</v>
      </c>
      <c r="C144" s="4" t="s">
        <v>1097</v>
      </c>
      <c r="D144" s="6">
        <v>1</v>
      </c>
      <c r="E144" s="20" t="s">
        <v>1098</v>
      </c>
      <c r="F144" s="15" t="s">
        <v>31</v>
      </c>
      <c r="G144" s="13"/>
      <c r="H144" s="13"/>
      <c r="I144" s="106"/>
    </row>
    <row r="145" spans="1:9" ht="21" customHeight="1">
      <c r="A145" s="6">
        <v>146</v>
      </c>
      <c r="B145" s="4" t="s">
        <v>1091</v>
      </c>
      <c r="C145" s="4" t="s">
        <v>1099</v>
      </c>
      <c r="D145" s="6">
        <v>1</v>
      </c>
      <c r="E145" s="20" t="s">
        <v>1100</v>
      </c>
      <c r="F145" s="15" t="s">
        <v>31</v>
      </c>
      <c r="G145" s="13"/>
      <c r="H145" s="13"/>
      <c r="I145" s="106"/>
    </row>
    <row r="146" spans="1:9" ht="12.75">
      <c r="A146" s="6">
        <v>147</v>
      </c>
      <c r="B146" s="4" t="s">
        <v>1091</v>
      </c>
      <c r="C146" s="4" t="s">
        <v>1101</v>
      </c>
      <c r="D146" s="6">
        <v>1</v>
      </c>
      <c r="E146" s="20" t="s">
        <v>1102</v>
      </c>
      <c r="F146" s="15" t="s">
        <v>31</v>
      </c>
      <c r="G146" s="13"/>
      <c r="H146" s="13"/>
      <c r="I146" s="106"/>
    </row>
    <row r="147" spans="1:9" ht="12.75">
      <c r="A147" s="6">
        <v>148</v>
      </c>
      <c r="B147" s="4" t="s">
        <v>1091</v>
      </c>
      <c r="C147" s="4" t="s">
        <v>1103</v>
      </c>
      <c r="D147" s="6">
        <v>1</v>
      </c>
      <c r="E147" s="20" t="s">
        <v>1105</v>
      </c>
      <c r="F147" s="15" t="s">
        <v>31</v>
      </c>
      <c r="G147" s="13"/>
      <c r="H147" s="13"/>
      <c r="I147" s="106"/>
    </row>
    <row r="148" spans="1:9" ht="19.5" customHeight="1">
      <c r="A148" s="6">
        <v>149</v>
      </c>
      <c r="B148" s="4" t="s">
        <v>1091</v>
      </c>
      <c r="C148" s="4" t="s">
        <v>1107</v>
      </c>
      <c r="D148" s="6">
        <v>1</v>
      </c>
      <c r="E148" s="70" t="s">
        <v>1108</v>
      </c>
      <c r="F148" s="15" t="s">
        <v>31</v>
      </c>
      <c r="G148" s="13"/>
      <c r="H148" s="13"/>
      <c r="I148" s="106"/>
    </row>
    <row r="149" spans="1:9" ht="12.75">
      <c r="A149" s="6">
        <v>150</v>
      </c>
      <c r="B149" s="4" t="s">
        <v>1091</v>
      </c>
      <c r="C149" s="4" t="s">
        <v>1109</v>
      </c>
      <c r="D149" s="6">
        <v>1</v>
      </c>
      <c r="E149" s="70" t="s">
        <v>1110</v>
      </c>
      <c r="F149" s="15" t="s">
        <v>31</v>
      </c>
      <c r="G149" s="13"/>
      <c r="H149" s="13"/>
      <c r="I149" s="106"/>
    </row>
    <row r="150" spans="1:9" ht="12.75">
      <c r="A150" s="6">
        <v>151</v>
      </c>
      <c r="B150" s="4" t="s">
        <v>1091</v>
      </c>
      <c r="C150" s="4" t="s">
        <v>1111</v>
      </c>
      <c r="D150" s="6">
        <v>1</v>
      </c>
      <c r="E150" s="70" t="s">
        <v>1112</v>
      </c>
      <c r="F150" s="15" t="s">
        <v>31</v>
      </c>
      <c r="G150" s="13"/>
      <c r="H150" s="13"/>
      <c r="I150" s="106"/>
    </row>
    <row r="151" spans="1:9" ht="12.75">
      <c r="A151" s="6">
        <v>152</v>
      </c>
      <c r="B151" s="4" t="s">
        <v>1091</v>
      </c>
      <c r="C151" s="4" t="s">
        <v>1115</v>
      </c>
      <c r="D151" s="6">
        <v>1</v>
      </c>
      <c r="E151" s="75" t="s">
        <v>1116</v>
      </c>
      <c r="F151" s="15" t="s">
        <v>31</v>
      </c>
      <c r="G151" s="13"/>
      <c r="H151" s="13"/>
      <c r="I151" s="106"/>
    </row>
    <row r="152" spans="1:9" ht="12.75">
      <c r="A152" s="6">
        <v>153</v>
      </c>
      <c r="B152" s="4" t="s">
        <v>1091</v>
      </c>
      <c r="C152" s="4" t="s">
        <v>1115</v>
      </c>
      <c r="D152" s="6">
        <v>1</v>
      </c>
      <c r="E152" s="70" t="s">
        <v>1116</v>
      </c>
      <c r="F152" s="15" t="s">
        <v>31</v>
      </c>
      <c r="G152" s="13"/>
      <c r="H152" s="13"/>
      <c r="I152" s="106"/>
    </row>
    <row r="153" spans="1:9" ht="12.75">
      <c r="A153" s="6">
        <v>154</v>
      </c>
      <c r="B153" s="4" t="s">
        <v>1091</v>
      </c>
      <c r="C153" s="4" t="s">
        <v>1117</v>
      </c>
      <c r="D153" s="6">
        <v>1</v>
      </c>
      <c r="E153" s="70" t="s">
        <v>1118</v>
      </c>
      <c r="F153" s="15" t="s">
        <v>31</v>
      </c>
      <c r="G153" s="13" t="s">
        <v>288</v>
      </c>
      <c r="H153" s="13" t="s">
        <v>742</v>
      </c>
      <c r="I153" s="106"/>
    </row>
    <row r="154" spans="1:9" ht="12.75">
      <c r="A154" s="6">
        <v>155</v>
      </c>
      <c r="B154" s="13" t="s">
        <v>1091</v>
      </c>
      <c r="C154" s="13" t="s">
        <v>1119</v>
      </c>
      <c r="D154" s="6">
        <v>1</v>
      </c>
      <c r="E154" s="20" t="s">
        <v>1120</v>
      </c>
      <c r="F154" s="15" t="s">
        <v>31</v>
      </c>
      <c r="G154" s="13"/>
      <c r="H154" s="13"/>
      <c r="I154" s="106"/>
    </row>
    <row r="155" spans="1:9" ht="12.75">
      <c r="A155" s="6">
        <v>156</v>
      </c>
      <c r="B155" s="16" t="s">
        <v>1091</v>
      </c>
      <c r="C155" s="16" t="s">
        <v>1121</v>
      </c>
      <c r="D155" s="6">
        <v>1</v>
      </c>
      <c r="E155" s="20" t="s">
        <v>1122</v>
      </c>
      <c r="F155" s="15" t="s">
        <v>31</v>
      </c>
      <c r="G155" s="13"/>
      <c r="H155" s="13"/>
      <c r="I155" s="106"/>
    </row>
    <row r="156" spans="1:9" ht="12.75">
      <c r="A156" s="6">
        <v>157</v>
      </c>
      <c r="B156" s="13" t="s">
        <v>1091</v>
      </c>
      <c r="C156" s="13" t="s">
        <v>1123</v>
      </c>
      <c r="D156" s="6">
        <v>1</v>
      </c>
      <c r="E156" s="20" t="s">
        <v>1124</v>
      </c>
      <c r="F156" s="15" t="s">
        <v>31</v>
      </c>
      <c r="G156" s="13"/>
      <c r="H156" s="13"/>
      <c r="I156" s="106"/>
    </row>
    <row r="157" spans="1:9" ht="12.75">
      <c r="A157" s="6">
        <v>158</v>
      </c>
      <c r="B157" s="4" t="s">
        <v>1091</v>
      </c>
      <c r="C157" s="4" t="s">
        <v>1127</v>
      </c>
      <c r="D157" s="6">
        <v>1</v>
      </c>
      <c r="E157" s="20" t="s">
        <v>1128</v>
      </c>
      <c r="F157" s="15" t="s">
        <v>31</v>
      </c>
      <c r="G157" s="13"/>
      <c r="H157" s="13"/>
      <c r="I157" s="106"/>
    </row>
    <row r="158" spans="1:9" ht="12.75">
      <c r="A158" s="6">
        <v>159</v>
      </c>
      <c r="B158" s="4" t="s">
        <v>1091</v>
      </c>
      <c r="C158" s="4" t="s">
        <v>1129</v>
      </c>
      <c r="D158" s="6">
        <v>1</v>
      </c>
      <c r="E158" s="20" t="s">
        <v>1130</v>
      </c>
      <c r="F158" s="15" t="s">
        <v>31</v>
      </c>
      <c r="G158" s="13"/>
      <c r="H158" s="13"/>
      <c r="I158" s="106"/>
    </row>
    <row r="159" spans="1:9" ht="12.75">
      <c r="A159" s="6">
        <v>160</v>
      </c>
      <c r="B159" s="4" t="s">
        <v>1131</v>
      </c>
      <c r="C159" s="4" t="s">
        <v>1132</v>
      </c>
      <c r="D159" s="6">
        <v>2</v>
      </c>
      <c r="E159" s="20" t="s">
        <v>1133</v>
      </c>
      <c r="F159" s="15" t="s">
        <v>31</v>
      </c>
      <c r="G159" s="13"/>
      <c r="H159" s="13"/>
      <c r="I159" s="106"/>
    </row>
    <row r="160" spans="1:9" ht="21" customHeight="1">
      <c r="A160" s="6">
        <v>161</v>
      </c>
      <c r="B160" s="4" t="s">
        <v>1131</v>
      </c>
      <c r="C160" s="4" t="s">
        <v>1134</v>
      </c>
      <c r="D160" s="6">
        <v>2</v>
      </c>
      <c r="E160" s="20" t="s">
        <v>1135</v>
      </c>
      <c r="F160" s="15" t="s">
        <v>31</v>
      </c>
      <c r="G160" s="13"/>
      <c r="H160" s="13"/>
      <c r="I160" s="106"/>
    </row>
    <row r="161" spans="1:9" ht="16.5" customHeight="1">
      <c r="A161" s="6">
        <v>162</v>
      </c>
      <c r="B161" s="4" t="s">
        <v>1131</v>
      </c>
      <c r="C161" s="4" t="s">
        <v>1137</v>
      </c>
      <c r="D161" s="6">
        <v>2</v>
      </c>
      <c r="E161" s="20" t="s">
        <v>1139</v>
      </c>
      <c r="F161" s="15" t="s">
        <v>31</v>
      </c>
      <c r="G161" s="13"/>
      <c r="H161" s="13"/>
      <c r="I161" s="106"/>
    </row>
    <row r="162" spans="1:9" ht="12.75">
      <c r="A162" s="6">
        <v>163</v>
      </c>
      <c r="B162" s="4" t="s">
        <v>1131</v>
      </c>
      <c r="C162" s="4" t="s">
        <v>1140</v>
      </c>
      <c r="D162" s="6">
        <v>2</v>
      </c>
      <c r="E162" s="20" t="s">
        <v>1141</v>
      </c>
      <c r="F162" s="15" t="s">
        <v>31</v>
      </c>
      <c r="G162" s="13"/>
      <c r="H162" s="13"/>
      <c r="I162" s="106"/>
    </row>
    <row r="163" spans="1:9" ht="12.75">
      <c r="A163" s="6">
        <v>164</v>
      </c>
      <c r="B163" s="4" t="s">
        <v>1131</v>
      </c>
      <c r="C163" s="4" t="s">
        <v>1142</v>
      </c>
      <c r="D163" s="6">
        <v>2</v>
      </c>
      <c r="E163" s="54" t="s">
        <v>1143</v>
      </c>
      <c r="F163" s="15" t="s">
        <v>31</v>
      </c>
      <c r="G163" s="13"/>
      <c r="H163" s="13"/>
      <c r="I163" s="106"/>
    </row>
    <row r="164" spans="1:9" ht="12.75">
      <c r="A164" s="6">
        <v>165</v>
      </c>
      <c r="B164" s="4" t="s">
        <v>1131</v>
      </c>
      <c r="C164" s="4" t="s">
        <v>1142</v>
      </c>
      <c r="D164" s="6">
        <v>2</v>
      </c>
      <c r="E164" s="55" t="s">
        <v>1144</v>
      </c>
      <c r="F164" s="15" t="s">
        <v>31</v>
      </c>
      <c r="G164" s="13"/>
      <c r="H164" s="13"/>
      <c r="I164" s="106"/>
    </row>
    <row r="165" spans="1:9" ht="12.75">
      <c r="A165" s="6">
        <v>166</v>
      </c>
      <c r="B165" s="4" t="s">
        <v>1131</v>
      </c>
      <c r="C165" s="4" t="s">
        <v>1146</v>
      </c>
      <c r="D165" s="6">
        <v>2</v>
      </c>
      <c r="E165" s="55" t="s">
        <v>1148</v>
      </c>
      <c r="F165" s="15" t="s">
        <v>31</v>
      </c>
      <c r="G165" s="13"/>
      <c r="H165" s="13"/>
      <c r="I165" s="106"/>
    </row>
    <row r="166" spans="1:9" ht="12.75">
      <c r="A166" s="6">
        <v>167</v>
      </c>
      <c r="B166" s="4" t="s">
        <v>1131</v>
      </c>
      <c r="C166" s="4" t="s">
        <v>1149</v>
      </c>
      <c r="D166" s="6">
        <v>2</v>
      </c>
      <c r="E166" s="55" t="s">
        <v>1150</v>
      </c>
      <c r="F166" s="15" t="s">
        <v>31</v>
      </c>
      <c r="G166" s="13"/>
      <c r="H166" s="13"/>
      <c r="I166" s="106"/>
    </row>
    <row r="167" spans="1:9" ht="12.75">
      <c r="A167" s="6">
        <v>168</v>
      </c>
      <c r="B167" s="4" t="s">
        <v>1131</v>
      </c>
      <c r="C167" s="4" t="s">
        <v>1151</v>
      </c>
      <c r="D167" s="6">
        <v>2</v>
      </c>
      <c r="E167" s="70" t="s">
        <v>1152</v>
      </c>
      <c r="F167" s="15" t="s">
        <v>31</v>
      </c>
      <c r="G167" s="13"/>
      <c r="H167" s="13"/>
      <c r="I167" s="106"/>
    </row>
    <row r="168" spans="1:9" ht="12.75">
      <c r="A168" s="6">
        <v>169</v>
      </c>
      <c r="B168" s="4" t="s">
        <v>1131</v>
      </c>
      <c r="C168" s="4" t="s">
        <v>1153</v>
      </c>
      <c r="D168" s="6">
        <v>2</v>
      </c>
      <c r="E168" s="70" t="s">
        <v>1154</v>
      </c>
      <c r="F168" s="15" t="s">
        <v>31</v>
      </c>
      <c r="G168" s="13"/>
      <c r="H168" s="13"/>
      <c r="I168" s="106"/>
    </row>
    <row r="169" spans="1:9" ht="12.75">
      <c r="A169" s="6">
        <v>170</v>
      </c>
      <c r="B169" s="4" t="s">
        <v>1131</v>
      </c>
      <c r="C169" s="4" t="s">
        <v>907</v>
      </c>
      <c r="D169" s="6">
        <v>2</v>
      </c>
      <c r="E169" s="70" t="s">
        <v>908</v>
      </c>
      <c r="F169" s="15" t="s">
        <v>31</v>
      </c>
      <c r="G169" s="13"/>
      <c r="H169" s="13"/>
      <c r="I169" s="106"/>
    </row>
    <row r="170" spans="1:9" ht="12.75">
      <c r="A170" s="6">
        <v>171</v>
      </c>
      <c r="B170" s="4" t="s">
        <v>1131</v>
      </c>
      <c r="C170" s="4" t="s">
        <v>1157</v>
      </c>
      <c r="D170" s="6">
        <v>2</v>
      </c>
      <c r="E170" s="70" t="s">
        <v>1158</v>
      </c>
      <c r="F170" s="15" t="s">
        <v>31</v>
      </c>
      <c r="G170" s="13"/>
      <c r="H170" s="13"/>
      <c r="I170" s="106"/>
    </row>
    <row r="171" spans="1:9" ht="12.75">
      <c r="A171" s="6">
        <v>172</v>
      </c>
      <c r="B171" s="4" t="s">
        <v>1131</v>
      </c>
      <c r="C171" s="4" t="s">
        <v>1159</v>
      </c>
      <c r="D171" s="6">
        <v>2</v>
      </c>
      <c r="E171" s="70" t="s">
        <v>1160</v>
      </c>
      <c r="F171" s="15" t="s">
        <v>31</v>
      </c>
      <c r="G171" s="13"/>
      <c r="H171" s="13"/>
      <c r="I171" s="106"/>
    </row>
    <row r="172" spans="1:9" ht="12.75">
      <c r="A172" s="6">
        <v>173</v>
      </c>
      <c r="B172" s="4" t="s">
        <v>1131</v>
      </c>
      <c r="C172" s="4" t="s">
        <v>1161</v>
      </c>
      <c r="D172" s="6">
        <v>2</v>
      </c>
      <c r="E172" s="70" t="s">
        <v>1162</v>
      </c>
      <c r="F172" s="15" t="s">
        <v>31</v>
      </c>
      <c r="G172" s="13"/>
      <c r="H172" s="13"/>
      <c r="I172" s="106"/>
    </row>
    <row r="173" spans="1:9" ht="12.75">
      <c r="A173" s="6">
        <v>174</v>
      </c>
      <c r="B173" s="4" t="s">
        <v>1163</v>
      </c>
      <c r="C173" s="4" t="s">
        <v>1164</v>
      </c>
      <c r="D173" s="6">
        <v>2</v>
      </c>
      <c r="E173" s="70" t="s">
        <v>1166</v>
      </c>
      <c r="F173" s="15" t="s">
        <v>31</v>
      </c>
      <c r="G173" s="13"/>
      <c r="H173" s="13"/>
      <c r="I173" s="106"/>
    </row>
    <row r="174" spans="1:9" ht="12.75">
      <c r="A174" s="6">
        <v>175</v>
      </c>
      <c r="B174" s="4" t="s">
        <v>1163</v>
      </c>
      <c r="C174" s="4" t="s">
        <v>1168</v>
      </c>
      <c r="D174" s="6">
        <v>2</v>
      </c>
      <c r="E174" s="70" t="s">
        <v>1169</v>
      </c>
      <c r="F174" s="15" t="s">
        <v>31</v>
      </c>
      <c r="G174" s="13"/>
      <c r="H174" s="13"/>
      <c r="I174" s="106"/>
    </row>
    <row r="175" spans="1:9" ht="12.75">
      <c r="A175" s="6">
        <v>176</v>
      </c>
      <c r="B175" s="4" t="s">
        <v>1163</v>
      </c>
      <c r="C175" s="4" t="s">
        <v>1170</v>
      </c>
      <c r="D175" s="6">
        <v>2</v>
      </c>
      <c r="E175" s="70" t="s">
        <v>1171</v>
      </c>
      <c r="F175" s="15" t="s">
        <v>31</v>
      </c>
      <c r="G175" s="13"/>
      <c r="H175" s="13"/>
      <c r="I175" s="106"/>
    </row>
    <row r="176" spans="1:9" ht="12.75">
      <c r="A176" s="6">
        <v>177</v>
      </c>
      <c r="B176" s="4" t="s">
        <v>1163</v>
      </c>
      <c r="C176" s="4" t="s">
        <v>1170</v>
      </c>
      <c r="D176" s="6">
        <v>2</v>
      </c>
      <c r="E176" s="70" t="s">
        <v>1172</v>
      </c>
      <c r="F176" s="15" t="s">
        <v>31</v>
      </c>
      <c r="G176" s="13"/>
      <c r="H176" s="13"/>
      <c r="I176" s="106"/>
    </row>
    <row r="177" spans="1:9" ht="12.75">
      <c r="A177" s="6">
        <v>178</v>
      </c>
      <c r="B177" s="4" t="s">
        <v>1163</v>
      </c>
      <c r="C177" s="4" t="s">
        <v>1170</v>
      </c>
      <c r="D177" s="6">
        <v>2</v>
      </c>
      <c r="E177" s="70" t="s">
        <v>1174</v>
      </c>
      <c r="F177" s="15" t="s">
        <v>31</v>
      </c>
      <c r="G177" s="13"/>
      <c r="H177" s="13"/>
      <c r="I177" s="106"/>
    </row>
    <row r="178" spans="1:9" ht="12.75">
      <c r="A178" s="6">
        <v>179</v>
      </c>
      <c r="B178" s="4" t="s">
        <v>1163</v>
      </c>
      <c r="C178" s="4" t="s">
        <v>1176</v>
      </c>
      <c r="D178" s="6">
        <v>2</v>
      </c>
      <c r="E178" s="70" t="s">
        <v>1177</v>
      </c>
      <c r="F178" s="15" t="s">
        <v>31</v>
      </c>
      <c r="G178" s="13"/>
      <c r="H178" s="13"/>
      <c r="I178" s="106"/>
    </row>
    <row r="179" spans="1:9" ht="12.75">
      <c r="A179" s="6">
        <v>180</v>
      </c>
      <c r="B179" s="4" t="s">
        <v>1163</v>
      </c>
      <c r="C179" s="4" t="s">
        <v>1178</v>
      </c>
      <c r="D179" s="6">
        <v>2</v>
      </c>
      <c r="E179" s="70" t="s">
        <v>1179</v>
      </c>
      <c r="F179" s="15" t="s">
        <v>31</v>
      </c>
      <c r="G179" s="13"/>
      <c r="H179" s="13"/>
      <c r="I179" s="106"/>
    </row>
    <row r="180" spans="1:9" ht="12.75">
      <c r="A180" s="6">
        <v>181</v>
      </c>
      <c r="B180" s="4" t="s">
        <v>1163</v>
      </c>
      <c r="C180" s="4" t="s">
        <v>1180</v>
      </c>
      <c r="D180" s="6">
        <v>2</v>
      </c>
      <c r="E180" s="117" t="s">
        <v>1181</v>
      </c>
      <c r="F180" s="15" t="s">
        <v>31</v>
      </c>
      <c r="G180" s="13"/>
      <c r="H180" s="13"/>
      <c r="I180" s="106"/>
    </row>
    <row r="181" spans="1:9" ht="12.75">
      <c r="A181" s="6">
        <v>182</v>
      </c>
      <c r="B181" s="4" t="s">
        <v>1184</v>
      </c>
      <c r="C181" s="4" t="s">
        <v>1185</v>
      </c>
      <c r="D181" s="6">
        <v>2</v>
      </c>
      <c r="E181" s="70" t="s">
        <v>1186</v>
      </c>
      <c r="F181" s="15" t="s">
        <v>31</v>
      </c>
      <c r="G181" s="13"/>
      <c r="H181" s="13"/>
      <c r="I181" s="106"/>
    </row>
    <row r="182" spans="1:9" ht="12.75">
      <c r="A182" s="6">
        <v>183</v>
      </c>
      <c r="B182" s="4" t="s">
        <v>1184</v>
      </c>
      <c r="C182" s="4" t="s">
        <v>1187</v>
      </c>
      <c r="D182" s="6">
        <v>2</v>
      </c>
      <c r="E182" s="70" t="s">
        <v>1188</v>
      </c>
      <c r="F182" s="15" t="s">
        <v>31</v>
      </c>
      <c r="G182" s="13"/>
      <c r="H182" s="13"/>
      <c r="I182" s="106"/>
    </row>
    <row r="183" spans="1:9" ht="12.75">
      <c r="A183" s="6">
        <v>184</v>
      </c>
      <c r="B183" s="4" t="s">
        <v>1184</v>
      </c>
      <c r="C183" s="4" t="s">
        <v>1189</v>
      </c>
      <c r="D183" s="6">
        <v>2</v>
      </c>
      <c r="E183" s="70" t="s">
        <v>1190</v>
      </c>
      <c r="F183" s="15" t="s">
        <v>31</v>
      </c>
      <c r="G183" s="13"/>
      <c r="H183" s="13"/>
      <c r="I183" s="106"/>
    </row>
    <row r="184" spans="1:9" ht="12.75">
      <c r="A184" s="6">
        <v>185</v>
      </c>
      <c r="B184" s="4" t="s">
        <v>1184</v>
      </c>
      <c r="C184" s="4" t="s">
        <v>1192</v>
      </c>
      <c r="D184" s="6">
        <v>2</v>
      </c>
      <c r="E184" s="70" t="s">
        <v>1194</v>
      </c>
      <c r="F184" s="15" t="s">
        <v>31</v>
      </c>
      <c r="G184" s="13"/>
      <c r="H184" s="13"/>
      <c r="I184" s="106"/>
    </row>
    <row r="185" spans="1:9" ht="12.75">
      <c r="A185" s="6">
        <v>186</v>
      </c>
      <c r="B185" s="4" t="s">
        <v>1184</v>
      </c>
      <c r="C185" s="4" t="s">
        <v>1195</v>
      </c>
      <c r="D185" s="6">
        <v>2</v>
      </c>
      <c r="E185" s="70" t="s">
        <v>1196</v>
      </c>
      <c r="F185" s="15" t="s">
        <v>31</v>
      </c>
      <c r="G185" s="13"/>
      <c r="H185" s="13"/>
      <c r="I185" s="106"/>
    </row>
    <row r="186" spans="1:9" ht="12.75">
      <c r="A186" s="6">
        <v>187</v>
      </c>
      <c r="B186" s="4" t="s">
        <v>1184</v>
      </c>
      <c r="C186" s="4" t="s">
        <v>1197</v>
      </c>
      <c r="D186" s="6">
        <v>2</v>
      </c>
      <c r="E186" s="70" t="s">
        <v>1198</v>
      </c>
      <c r="F186" s="15" t="s">
        <v>31</v>
      </c>
      <c r="G186" s="13"/>
      <c r="H186" s="13"/>
      <c r="I186" s="106"/>
    </row>
    <row r="187" spans="1:9" ht="12.75">
      <c r="A187" s="6">
        <v>189</v>
      </c>
      <c r="B187" s="4" t="s">
        <v>1184</v>
      </c>
      <c r="C187" s="4" t="s">
        <v>1199</v>
      </c>
      <c r="D187" s="6">
        <v>2</v>
      </c>
      <c r="E187" s="50" t="s">
        <v>1200</v>
      </c>
      <c r="F187" s="15" t="s">
        <v>31</v>
      </c>
      <c r="G187" s="13"/>
      <c r="H187" s="13"/>
      <c r="I187" s="106"/>
    </row>
    <row r="188" spans="1:9" ht="12.75">
      <c r="A188" s="6">
        <v>190</v>
      </c>
      <c r="B188" s="4" t="s">
        <v>1184</v>
      </c>
      <c r="C188" s="4" t="s">
        <v>1203</v>
      </c>
      <c r="D188" s="6">
        <v>2</v>
      </c>
      <c r="E188" s="118" t="s">
        <v>1204</v>
      </c>
      <c r="F188" s="15" t="s">
        <v>31</v>
      </c>
      <c r="G188" s="13"/>
      <c r="H188" s="13"/>
      <c r="I188" s="106"/>
    </row>
    <row r="189" spans="1:9" ht="12.75">
      <c r="A189" s="6">
        <v>191</v>
      </c>
      <c r="B189" s="4" t="s">
        <v>1184</v>
      </c>
      <c r="C189" s="4" t="s">
        <v>1207</v>
      </c>
      <c r="D189" s="6">
        <v>2</v>
      </c>
      <c r="E189" s="70" t="s">
        <v>1208</v>
      </c>
      <c r="F189" s="15" t="s">
        <v>31</v>
      </c>
      <c r="G189" s="13"/>
      <c r="H189" s="13"/>
      <c r="I189" s="106"/>
    </row>
    <row r="190" spans="1:9" ht="12.75">
      <c r="A190" s="6">
        <v>192</v>
      </c>
      <c r="B190" s="4" t="s">
        <v>1184</v>
      </c>
      <c r="C190" s="4" t="s">
        <v>1209</v>
      </c>
      <c r="D190" s="6">
        <v>2</v>
      </c>
      <c r="E190" s="70" t="s">
        <v>1210</v>
      </c>
      <c r="F190" s="15" t="s">
        <v>31</v>
      </c>
      <c r="G190" s="13"/>
      <c r="H190" s="13"/>
      <c r="I190" s="106"/>
    </row>
    <row r="191" spans="1:9" ht="12.75">
      <c r="A191" s="6">
        <v>193</v>
      </c>
      <c r="B191" s="4" t="s">
        <v>1184</v>
      </c>
      <c r="C191" s="4" t="s">
        <v>1213</v>
      </c>
      <c r="D191" s="6">
        <v>2</v>
      </c>
      <c r="E191" s="70" t="s">
        <v>1214</v>
      </c>
      <c r="F191" s="15" t="s">
        <v>31</v>
      </c>
      <c r="G191" s="13"/>
      <c r="H191" s="13"/>
      <c r="I191" s="106"/>
    </row>
    <row r="192" spans="1:9" ht="12.75">
      <c r="A192" s="6">
        <v>194</v>
      </c>
      <c r="B192" s="4" t="s">
        <v>1184</v>
      </c>
      <c r="C192" s="4" t="s">
        <v>1215</v>
      </c>
      <c r="D192" s="6">
        <v>2</v>
      </c>
      <c r="E192" s="70" t="s">
        <v>1216</v>
      </c>
      <c r="F192" s="15" t="s">
        <v>31</v>
      </c>
      <c r="G192" s="13" t="s">
        <v>288</v>
      </c>
      <c r="H192" s="13" t="s">
        <v>742</v>
      </c>
      <c r="I192" s="106"/>
    </row>
    <row r="193" spans="1:9" ht="12.75">
      <c r="A193" s="6">
        <v>195</v>
      </c>
      <c r="B193" s="4" t="s">
        <v>1184</v>
      </c>
      <c r="C193" s="4" t="s">
        <v>1215</v>
      </c>
      <c r="D193" s="6">
        <v>2</v>
      </c>
      <c r="E193" s="70" t="s">
        <v>1217</v>
      </c>
      <c r="F193" s="15" t="s">
        <v>31</v>
      </c>
      <c r="G193" s="13" t="s">
        <v>288</v>
      </c>
      <c r="H193" s="13" t="s">
        <v>742</v>
      </c>
      <c r="I193" s="106"/>
    </row>
    <row r="194" spans="1:9" ht="12.75">
      <c r="A194" s="6"/>
      <c r="B194" s="16" t="s">
        <v>381</v>
      </c>
      <c r="C194" s="16" t="s">
        <v>1218</v>
      </c>
      <c r="D194" s="48">
        <v>2</v>
      </c>
      <c r="E194" s="102" t="s">
        <v>467</v>
      </c>
      <c r="F194" s="16" t="s">
        <v>553</v>
      </c>
      <c r="G194" s="13" t="s">
        <v>288</v>
      </c>
      <c r="H194" s="13" t="s">
        <v>350</v>
      </c>
      <c r="I194" s="106"/>
    </row>
    <row r="195" spans="1:9" ht="12.75">
      <c r="A195" s="6">
        <v>196</v>
      </c>
      <c r="B195" s="4" t="s">
        <v>1184</v>
      </c>
      <c r="C195" s="4" t="s">
        <v>1221</v>
      </c>
      <c r="D195" s="6">
        <v>2</v>
      </c>
      <c r="E195" s="70" t="s">
        <v>1222</v>
      </c>
      <c r="F195" s="15" t="s">
        <v>31</v>
      </c>
      <c r="G195" s="13"/>
      <c r="H195" s="13"/>
      <c r="I195" s="106"/>
    </row>
    <row r="196" spans="1:9" ht="12.75">
      <c r="A196" s="6">
        <v>197</v>
      </c>
      <c r="B196" s="4" t="s">
        <v>1184</v>
      </c>
      <c r="C196" s="4" t="s">
        <v>1223</v>
      </c>
      <c r="D196" s="6">
        <v>2</v>
      </c>
      <c r="E196" s="70" t="s">
        <v>1224</v>
      </c>
      <c r="F196" s="15" t="s">
        <v>31</v>
      </c>
      <c r="G196" s="13"/>
      <c r="H196" s="13"/>
      <c r="I196" s="106"/>
    </row>
    <row r="197" spans="1:9" ht="12.75">
      <c r="A197" s="6">
        <v>198</v>
      </c>
      <c r="B197" s="4" t="s">
        <v>1225</v>
      </c>
      <c r="C197" s="4" t="s">
        <v>1226</v>
      </c>
      <c r="D197" s="6">
        <v>1</v>
      </c>
      <c r="E197" s="70" t="s">
        <v>1228</v>
      </c>
      <c r="F197" s="15" t="s">
        <v>31</v>
      </c>
      <c r="G197" s="13"/>
      <c r="H197" s="13"/>
      <c r="I197" s="106"/>
    </row>
    <row r="198" spans="1:9" ht="12.75">
      <c r="A198" s="6">
        <v>199</v>
      </c>
      <c r="B198" s="4" t="s">
        <v>1225</v>
      </c>
      <c r="C198" s="4" t="s">
        <v>1046</v>
      </c>
      <c r="D198" s="6">
        <v>1</v>
      </c>
      <c r="E198" s="70" t="s">
        <v>1047</v>
      </c>
      <c r="F198" s="15" t="s">
        <v>31</v>
      </c>
      <c r="G198" s="13"/>
      <c r="H198" s="13"/>
      <c r="I198" s="106"/>
    </row>
    <row r="199" spans="1:9" ht="12.75">
      <c r="A199" s="6">
        <v>200</v>
      </c>
      <c r="B199" s="4" t="s">
        <v>1225</v>
      </c>
      <c r="C199" s="4" t="s">
        <v>1230</v>
      </c>
      <c r="D199" s="6">
        <v>1</v>
      </c>
      <c r="E199" s="70" t="s">
        <v>1231</v>
      </c>
      <c r="F199" s="15" t="s">
        <v>31</v>
      </c>
      <c r="G199" s="13"/>
      <c r="H199" s="13"/>
      <c r="I199" s="106"/>
    </row>
    <row r="200" spans="1:9" ht="12.75">
      <c r="A200" s="6">
        <v>201</v>
      </c>
      <c r="B200" s="4" t="s">
        <v>1225</v>
      </c>
      <c r="C200" s="4" t="s">
        <v>1232</v>
      </c>
      <c r="D200" s="6">
        <v>1</v>
      </c>
      <c r="E200" s="70" t="s">
        <v>1233</v>
      </c>
      <c r="F200" s="15" t="s">
        <v>31</v>
      </c>
      <c r="G200" s="13"/>
      <c r="H200" s="13"/>
      <c r="I200" s="106"/>
    </row>
    <row r="201" spans="1:9" ht="12.75">
      <c r="A201" s="6">
        <v>202</v>
      </c>
      <c r="B201" s="4" t="s">
        <v>1225</v>
      </c>
      <c r="C201" s="4" t="s">
        <v>1076</v>
      </c>
      <c r="D201" s="6">
        <v>1</v>
      </c>
      <c r="E201" s="70" t="s">
        <v>1077</v>
      </c>
      <c r="F201" s="15" t="s">
        <v>31</v>
      </c>
      <c r="G201" s="13"/>
      <c r="H201" s="13"/>
      <c r="I201" s="106"/>
    </row>
    <row r="202" spans="1:9" ht="12.75">
      <c r="A202" s="6">
        <v>203</v>
      </c>
      <c r="B202" s="4" t="s">
        <v>1225</v>
      </c>
      <c r="C202" s="4" t="s">
        <v>1236</v>
      </c>
      <c r="D202" s="6">
        <v>1</v>
      </c>
      <c r="E202" s="70" t="s">
        <v>1237</v>
      </c>
      <c r="F202" s="15" t="s">
        <v>31</v>
      </c>
      <c r="G202" s="13"/>
      <c r="H202" s="13"/>
      <c r="I202" s="106"/>
    </row>
    <row r="203" spans="1:9" ht="12.75">
      <c r="A203" s="6">
        <v>204</v>
      </c>
      <c r="B203" s="4" t="s">
        <v>1225</v>
      </c>
      <c r="C203" s="4" t="s">
        <v>868</v>
      </c>
      <c r="D203" s="6">
        <v>1</v>
      </c>
      <c r="E203" s="70" t="s">
        <v>869</v>
      </c>
      <c r="F203" s="15" t="s">
        <v>31</v>
      </c>
      <c r="G203" s="13"/>
      <c r="H203" s="13"/>
      <c r="I203" s="106"/>
    </row>
    <row r="204" spans="1:9" ht="12.75">
      <c r="A204" s="6">
        <v>205</v>
      </c>
      <c r="B204" s="4" t="s">
        <v>1225</v>
      </c>
      <c r="C204" s="4" t="s">
        <v>1080</v>
      </c>
      <c r="D204" s="6">
        <v>1</v>
      </c>
      <c r="E204" s="70" t="s">
        <v>1081</v>
      </c>
      <c r="F204" s="15" t="s">
        <v>31</v>
      </c>
      <c r="G204" s="13"/>
      <c r="H204" s="13"/>
      <c r="I204" s="106"/>
    </row>
    <row r="205" spans="1:9" ht="12.75">
      <c r="A205" s="6">
        <v>206</v>
      </c>
      <c r="B205" s="4" t="s">
        <v>1225</v>
      </c>
      <c r="C205" s="4" t="s">
        <v>1239</v>
      </c>
      <c r="D205" s="6">
        <v>1</v>
      </c>
      <c r="E205" s="70" t="s">
        <v>1241</v>
      </c>
      <c r="F205" s="15" t="s">
        <v>31</v>
      </c>
      <c r="G205" s="13" t="s">
        <v>288</v>
      </c>
      <c r="H205" s="13" t="s">
        <v>742</v>
      </c>
      <c r="I205" s="106"/>
    </row>
    <row r="206" spans="1:9" ht="12.75">
      <c r="A206" s="6"/>
      <c r="B206" s="16" t="s">
        <v>113</v>
      </c>
      <c r="C206" s="16" t="s">
        <v>191</v>
      </c>
      <c r="D206" s="48">
        <v>1</v>
      </c>
      <c r="E206" s="102" t="s">
        <v>571</v>
      </c>
      <c r="F206" s="16" t="s">
        <v>553</v>
      </c>
      <c r="G206" s="13" t="s">
        <v>288</v>
      </c>
      <c r="H206" s="13" t="s">
        <v>1242</v>
      </c>
      <c r="I206" s="106"/>
    </row>
    <row r="207" spans="1:9" ht="12.75">
      <c r="A207" s="6">
        <v>207</v>
      </c>
      <c r="B207" s="4" t="s">
        <v>1225</v>
      </c>
      <c r="C207" s="4" t="s">
        <v>1243</v>
      </c>
      <c r="D207" s="6">
        <v>1</v>
      </c>
      <c r="E207" s="70" t="s">
        <v>1244</v>
      </c>
      <c r="F207" s="15" t="s">
        <v>31</v>
      </c>
      <c r="G207" s="13"/>
      <c r="H207" s="13"/>
      <c r="I207" s="106"/>
    </row>
    <row r="208" spans="1:9" ht="12.75">
      <c r="A208" s="6">
        <v>208</v>
      </c>
      <c r="B208" s="4" t="s">
        <v>1225</v>
      </c>
      <c r="C208" s="4" t="s">
        <v>917</v>
      </c>
      <c r="D208" s="6">
        <v>1</v>
      </c>
      <c r="E208" s="70" t="s">
        <v>918</v>
      </c>
      <c r="F208" s="15" t="s">
        <v>31</v>
      </c>
      <c r="G208" s="13"/>
      <c r="H208" s="13"/>
      <c r="I208" s="106"/>
    </row>
    <row r="209" spans="1:9" ht="12.75">
      <c r="A209" s="6">
        <v>209</v>
      </c>
      <c r="B209" s="4" t="s">
        <v>1246</v>
      </c>
      <c r="C209" s="4" t="s">
        <v>1247</v>
      </c>
      <c r="D209" s="6">
        <v>2</v>
      </c>
      <c r="E209" s="70" t="s">
        <v>1249</v>
      </c>
      <c r="F209" s="15" t="s">
        <v>31</v>
      </c>
      <c r="G209" s="13"/>
      <c r="H209" s="13"/>
      <c r="I209" s="106"/>
    </row>
    <row r="210" spans="1:9" ht="12.75">
      <c r="A210" s="6">
        <v>210</v>
      </c>
      <c r="B210" s="4" t="s">
        <v>1246</v>
      </c>
      <c r="C210" s="4" t="s">
        <v>1250</v>
      </c>
      <c r="D210" s="6">
        <v>2</v>
      </c>
      <c r="E210" s="70" t="s">
        <v>1251</v>
      </c>
      <c r="F210" s="15" t="s">
        <v>31</v>
      </c>
      <c r="G210" s="13"/>
      <c r="H210" s="13"/>
      <c r="I210" s="106"/>
    </row>
    <row r="211" spans="1:9" ht="12.75">
      <c r="A211" s="6">
        <v>211</v>
      </c>
      <c r="B211" s="4" t="s">
        <v>1246</v>
      </c>
      <c r="C211" s="4" t="s">
        <v>1252</v>
      </c>
      <c r="D211" s="6">
        <v>2</v>
      </c>
      <c r="E211" s="70" t="s">
        <v>1253</v>
      </c>
      <c r="F211" s="15" t="s">
        <v>31</v>
      </c>
      <c r="G211" s="13"/>
      <c r="H211" s="13"/>
      <c r="I211" s="106"/>
    </row>
    <row r="212" spans="1:9" ht="12.75">
      <c r="A212" s="6">
        <v>212</v>
      </c>
      <c r="B212" s="4" t="s">
        <v>1246</v>
      </c>
      <c r="C212" s="4" t="s">
        <v>1254</v>
      </c>
      <c r="D212" s="6">
        <v>2</v>
      </c>
      <c r="E212" s="70" t="s">
        <v>1255</v>
      </c>
      <c r="F212" s="15" t="s">
        <v>31</v>
      </c>
      <c r="G212" s="13"/>
      <c r="H212" s="13"/>
      <c r="I212" s="106"/>
    </row>
    <row r="213" spans="1:9" ht="12.75">
      <c r="A213" s="6">
        <v>213</v>
      </c>
      <c r="B213" s="4" t="s">
        <v>1246</v>
      </c>
      <c r="C213" s="4" t="s">
        <v>1258</v>
      </c>
      <c r="D213" s="6">
        <v>2</v>
      </c>
      <c r="E213" s="70" t="s">
        <v>1259</v>
      </c>
      <c r="F213" s="15" t="s">
        <v>31</v>
      </c>
      <c r="G213" s="13"/>
      <c r="H213" s="13"/>
      <c r="I213" s="106"/>
    </row>
    <row r="214" spans="1:9" ht="12.75">
      <c r="A214" s="6">
        <v>214</v>
      </c>
      <c r="B214" s="4" t="s">
        <v>1246</v>
      </c>
      <c r="C214" s="4" t="s">
        <v>1260</v>
      </c>
      <c r="D214" s="6">
        <v>2</v>
      </c>
      <c r="E214" s="70" t="s">
        <v>1261</v>
      </c>
      <c r="F214" s="15" t="s">
        <v>31</v>
      </c>
      <c r="G214" s="13"/>
      <c r="H214" s="13"/>
      <c r="I214" s="106"/>
    </row>
    <row r="215" spans="1:9" ht="12.75">
      <c r="A215" s="6">
        <v>215</v>
      </c>
      <c r="B215" s="4" t="s">
        <v>1246</v>
      </c>
      <c r="C215" s="4" t="s">
        <v>1262</v>
      </c>
      <c r="D215" s="6">
        <v>2</v>
      </c>
      <c r="E215" s="70" t="s">
        <v>1263</v>
      </c>
      <c r="F215" s="15" t="s">
        <v>31</v>
      </c>
      <c r="G215" s="13"/>
      <c r="H215" s="13"/>
      <c r="I215" s="106"/>
    </row>
    <row r="216" spans="1:9" ht="12.75">
      <c r="A216" s="6">
        <v>216</v>
      </c>
      <c r="B216" s="4" t="s">
        <v>1246</v>
      </c>
      <c r="C216" s="4" t="s">
        <v>1142</v>
      </c>
      <c r="D216" s="6">
        <v>2</v>
      </c>
      <c r="E216" s="70" t="s">
        <v>849</v>
      </c>
      <c r="F216" s="15" t="s">
        <v>31</v>
      </c>
      <c r="G216" s="13"/>
      <c r="H216" s="13"/>
      <c r="I216" s="106"/>
    </row>
    <row r="217" spans="1:9" ht="12.75">
      <c r="A217" s="6">
        <v>217</v>
      </c>
      <c r="B217" s="4" t="s">
        <v>1246</v>
      </c>
      <c r="C217" s="4" t="s">
        <v>1266</v>
      </c>
      <c r="D217" s="6">
        <v>2</v>
      </c>
      <c r="E217" s="70" t="s">
        <v>1267</v>
      </c>
      <c r="F217" s="15" t="s">
        <v>31</v>
      </c>
      <c r="G217" s="13"/>
      <c r="H217" s="13"/>
      <c r="I217" s="106"/>
    </row>
    <row r="218" spans="1:9" ht="12.75">
      <c r="A218" s="6">
        <v>218</v>
      </c>
      <c r="B218" s="4" t="s">
        <v>1246</v>
      </c>
      <c r="C218" s="4" t="s">
        <v>868</v>
      </c>
      <c r="D218" s="6">
        <v>2</v>
      </c>
      <c r="E218" s="70" t="s">
        <v>869</v>
      </c>
      <c r="F218" s="15" t="s">
        <v>31</v>
      </c>
      <c r="G218" s="13"/>
      <c r="H218" s="13"/>
      <c r="I218" s="106"/>
    </row>
    <row r="219" spans="1:9" ht="12.75">
      <c r="A219" s="6">
        <v>219</v>
      </c>
      <c r="B219" s="4" t="s">
        <v>1246</v>
      </c>
      <c r="C219" s="4" t="s">
        <v>1268</v>
      </c>
      <c r="D219" s="6">
        <v>2</v>
      </c>
      <c r="E219" s="70" t="s">
        <v>1269</v>
      </c>
      <c r="F219" s="15" t="s">
        <v>31</v>
      </c>
      <c r="G219" s="13"/>
      <c r="H219" s="13"/>
      <c r="I219" s="106"/>
    </row>
    <row r="220" spans="1:9" ht="12.75">
      <c r="A220" s="6">
        <v>220</v>
      </c>
      <c r="B220" s="4" t="s">
        <v>1246</v>
      </c>
      <c r="C220" s="4" t="s">
        <v>1170</v>
      </c>
      <c r="D220" s="6">
        <v>2</v>
      </c>
      <c r="E220" s="70" t="s">
        <v>1270</v>
      </c>
      <c r="F220" s="15" t="s">
        <v>31</v>
      </c>
      <c r="G220" s="13" t="s">
        <v>288</v>
      </c>
      <c r="H220" s="13" t="s">
        <v>742</v>
      </c>
      <c r="I220" s="106"/>
    </row>
    <row r="221" spans="1:9" ht="12.75">
      <c r="A221" s="6">
        <v>221</v>
      </c>
      <c r="B221" s="4" t="s">
        <v>1246</v>
      </c>
      <c r="C221" s="4" t="s">
        <v>1170</v>
      </c>
      <c r="D221" s="6">
        <v>2</v>
      </c>
      <c r="E221" s="70" t="s">
        <v>1273</v>
      </c>
      <c r="F221" s="15" t="s">
        <v>31</v>
      </c>
      <c r="G221" s="13"/>
      <c r="H221" s="13"/>
      <c r="I221" s="106"/>
    </row>
    <row r="222" spans="1:9" ht="12.75">
      <c r="A222" s="6">
        <v>222</v>
      </c>
      <c r="B222" s="4" t="s">
        <v>1246</v>
      </c>
      <c r="C222" s="4" t="s">
        <v>1274</v>
      </c>
      <c r="D222" s="6">
        <v>2</v>
      </c>
      <c r="E222" s="70" t="s">
        <v>1275</v>
      </c>
      <c r="F222" s="15" t="s">
        <v>31</v>
      </c>
      <c r="G222" s="13"/>
      <c r="H222" s="13"/>
      <c r="I222" s="106"/>
    </row>
    <row r="223" spans="1:9" ht="12.75">
      <c r="A223" s="6">
        <v>223</v>
      </c>
      <c r="B223" s="4" t="s">
        <v>1246</v>
      </c>
      <c r="C223" s="4" t="s">
        <v>1276</v>
      </c>
      <c r="D223" s="6">
        <v>2</v>
      </c>
      <c r="E223" s="70" t="s">
        <v>1277</v>
      </c>
      <c r="F223" s="15" t="s">
        <v>31</v>
      </c>
      <c r="G223" s="13"/>
      <c r="H223" s="13"/>
      <c r="I223" s="106"/>
    </row>
    <row r="224" spans="1:9" ht="15" customHeight="1">
      <c r="A224" s="6">
        <v>224</v>
      </c>
      <c r="B224" s="4" t="s">
        <v>1246</v>
      </c>
      <c r="C224" s="4" t="s">
        <v>1278</v>
      </c>
      <c r="D224" s="6">
        <v>2</v>
      </c>
      <c r="E224" s="70" t="s">
        <v>1279</v>
      </c>
      <c r="F224" s="15" t="s">
        <v>31</v>
      </c>
      <c r="G224" s="13"/>
      <c r="H224" s="13"/>
      <c r="I224" s="106"/>
    </row>
    <row r="225" spans="1:9" ht="12.75">
      <c r="A225" s="6">
        <v>225</v>
      </c>
      <c r="B225" s="4" t="s">
        <v>1246</v>
      </c>
      <c r="C225" s="4" t="s">
        <v>907</v>
      </c>
      <c r="D225" s="6">
        <v>2</v>
      </c>
      <c r="E225" s="70" t="s">
        <v>908</v>
      </c>
      <c r="F225" s="15" t="s">
        <v>31</v>
      </c>
      <c r="G225" s="13"/>
      <c r="H225" s="13"/>
      <c r="I225" s="106"/>
    </row>
    <row r="226" spans="1:9" ht="12.75">
      <c r="A226" s="6">
        <v>226</v>
      </c>
      <c r="B226" s="4" t="s">
        <v>1246</v>
      </c>
      <c r="C226" s="4" t="s">
        <v>1282</v>
      </c>
      <c r="D226" s="6">
        <v>2</v>
      </c>
      <c r="E226" s="70" t="s">
        <v>1283</v>
      </c>
      <c r="F226" s="15" t="s">
        <v>31</v>
      </c>
      <c r="G226" s="13"/>
      <c r="H226" s="13"/>
      <c r="I226" s="106"/>
    </row>
    <row r="227" spans="1:9" ht="12.75">
      <c r="A227" s="6">
        <v>227</v>
      </c>
      <c r="B227" s="13" t="s">
        <v>1246</v>
      </c>
      <c r="C227" s="13" t="s">
        <v>1121</v>
      </c>
      <c r="D227" s="6">
        <v>2</v>
      </c>
      <c r="E227" s="70" t="s">
        <v>1284</v>
      </c>
      <c r="F227" s="15" t="s">
        <v>31</v>
      </c>
      <c r="G227" s="13"/>
      <c r="H227" s="13"/>
      <c r="I227" s="106"/>
    </row>
    <row r="228" spans="1:9" ht="12.75">
      <c r="A228" s="6">
        <v>228</v>
      </c>
      <c r="B228" s="4" t="s">
        <v>1246</v>
      </c>
      <c r="C228" s="4" t="s">
        <v>1121</v>
      </c>
      <c r="D228" s="6">
        <v>2</v>
      </c>
      <c r="E228" s="70" t="s">
        <v>1286</v>
      </c>
      <c r="F228" s="15" t="s">
        <v>31</v>
      </c>
      <c r="G228" s="13"/>
      <c r="H228" s="13"/>
      <c r="I228" s="106"/>
    </row>
    <row r="229" spans="1:9" ht="12.75">
      <c r="A229" s="6">
        <v>229</v>
      </c>
      <c r="B229" s="4" t="s">
        <v>1246</v>
      </c>
      <c r="C229" s="4" t="s">
        <v>1121</v>
      </c>
      <c r="D229" s="6">
        <v>2</v>
      </c>
      <c r="E229" s="70" t="s">
        <v>1288</v>
      </c>
      <c r="F229" s="15" t="s">
        <v>31</v>
      </c>
      <c r="G229" s="13"/>
      <c r="H229" s="13"/>
      <c r="I229" s="106"/>
    </row>
    <row r="230" spans="1:9" ht="12.75">
      <c r="A230" s="6">
        <v>230</v>
      </c>
      <c r="B230" s="4" t="s">
        <v>1246</v>
      </c>
      <c r="C230" s="4" t="s">
        <v>1289</v>
      </c>
      <c r="D230" s="6">
        <v>2</v>
      </c>
      <c r="E230" s="70" t="s">
        <v>1290</v>
      </c>
      <c r="F230" s="15" t="s">
        <v>31</v>
      </c>
      <c r="G230" s="13"/>
      <c r="H230" s="13"/>
      <c r="I230" s="106"/>
    </row>
    <row r="231" spans="1:9" ht="12.75">
      <c r="A231" s="6">
        <v>231</v>
      </c>
      <c r="B231" s="4" t="s">
        <v>1246</v>
      </c>
      <c r="C231" s="4" t="s">
        <v>1291</v>
      </c>
      <c r="D231" s="6">
        <v>2</v>
      </c>
      <c r="E231" s="117" t="s">
        <v>1292</v>
      </c>
      <c r="F231" s="15" t="s">
        <v>31</v>
      </c>
      <c r="G231" s="13"/>
      <c r="H231" s="13"/>
      <c r="I231" s="106"/>
    </row>
    <row r="232" spans="1:9" ht="12.75">
      <c r="A232" s="6">
        <v>232</v>
      </c>
      <c r="B232" s="4" t="s">
        <v>1295</v>
      </c>
      <c r="C232" s="4" t="s">
        <v>1296</v>
      </c>
      <c r="D232" s="6">
        <v>1</v>
      </c>
      <c r="E232" s="117" t="s">
        <v>1297</v>
      </c>
      <c r="F232" s="15" t="s">
        <v>31</v>
      </c>
      <c r="G232" s="13"/>
      <c r="H232" s="13"/>
      <c r="I232" s="106"/>
    </row>
    <row r="233" spans="1:9" ht="12.75">
      <c r="A233" s="6">
        <v>233</v>
      </c>
      <c r="B233" s="4" t="s">
        <v>1295</v>
      </c>
      <c r="C233" s="4" t="s">
        <v>1298</v>
      </c>
      <c r="D233" s="6">
        <v>1</v>
      </c>
      <c r="E233" s="117" t="s">
        <v>1299</v>
      </c>
      <c r="F233" s="15" t="s">
        <v>31</v>
      </c>
      <c r="G233" s="13" t="s">
        <v>288</v>
      </c>
      <c r="H233" s="13" t="s">
        <v>742</v>
      </c>
      <c r="I233" s="106"/>
    </row>
    <row r="234" spans="1:9" ht="12.75">
      <c r="A234" s="6">
        <v>234</v>
      </c>
      <c r="B234" s="4" t="s">
        <v>1302</v>
      </c>
      <c r="C234" s="4" t="s">
        <v>1303</v>
      </c>
      <c r="D234" s="6">
        <v>2</v>
      </c>
      <c r="E234" s="117" t="s">
        <v>1304</v>
      </c>
      <c r="F234" s="15" t="s">
        <v>31</v>
      </c>
      <c r="G234" s="13"/>
      <c r="H234" s="13"/>
      <c r="I234" s="106"/>
    </row>
    <row r="235" spans="1:9" ht="12.75">
      <c r="A235" s="6">
        <v>235</v>
      </c>
      <c r="B235" s="4" t="s">
        <v>1302</v>
      </c>
      <c r="C235" s="4" t="s">
        <v>1305</v>
      </c>
      <c r="D235" s="6">
        <v>2</v>
      </c>
      <c r="E235" s="117" t="s">
        <v>1306</v>
      </c>
      <c r="F235" s="15" t="s">
        <v>31</v>
      </c>
      <c r="G235" s="13"/>
      <c r="H235" s="13"/>
      <c r="I235" s="106"/>
    </row>
    <row r="236" spans="1:9" ht="12.75">
      <c r="A236" s="6">
        <v>236</v>
      </c>
      <c r="B236" s="4" t="s">
        <v>1302</v>
      </c>
      <c r="C236" s="4" t="s">
        <v>1307</v>
      </c>
      <c r="D236" s="6">
        <v>2</v>
      </c>
      <c r="E236" s="117" t="s">
        <v>1308</v>
      </c>
      <c r="F236" s="15" t="s">
        <v>31</v>
      </c>
      <c r="G236" s="13"/>
      <c r="H236" s="13"/>
      <c r="I236" s="106"/>
    </row>
    <row r="237" spans="1:9" ht="12.75">
      <c r="A237" s="6">
        <v>237</v>
      </c>
      <c r="B237" s="4" t="s">
        <v>1302</v>
      </c>
      <c r="C237" s="4" t="s">
        <v>1309</v>
      </c>
      <c r="D237" s="6">
        <v>2</v>
      </c>
      <c r="E237" s="117" t="s">
        <v>1310</v>
      </c>
      <c r="F237" s="15" t="s">
        <v>31</v>
      </c>
      <c r="G237" s="13"/>
      <c r="H237" s="13"/>
      <c r="I237" s="106"/>
    </row>
    <row r="238" spans="1:9" ht="12.75">
      <c r="A238" s="6">
        <v>238</v>
      </c>
      <c r="B238" s="4" t="s">
        <v>1302</v>
      </c>
      <c r="C238" s="4" t="s">
        <v>1313</v>
      </c>
      <c r="D238" s="6">
        <v>2</v>
      </c>
      <c r="E238" s="117" t="s">
        <v>1314</v>
      </c>
      <c r="F238" s="15" t="s">
        <v>31</v>
      </c>
      <c r="G238" s="13"/>
      <c r="H238" s="13"/>
      <c r="I238" s="106"/>
    </row>
    <row r="239" spans="1:9" ht="12.75">
      <c r="A239" s="6">
        <v>239</v>
      </c>
      <c r="B239" s="4" t="s">
        <v>1302</v>
      </c>
      <c r="C239" s="4" t="s">
        <v>1315</v>
      </c>
      <c r="D239" s="6">
        <v>2</v>
      </c>
      <c r="E239" s="117" t="s">
        <v>1316</v>
      </c>
      <c r="F239" s="15" t="s">
        <v>31</v>
      </c>
      <c r="G239" s="13"/>
      <c r="H239" s="13"/>
      <c r="I239" s="106"/>
    </row>
    <row r="240" spans="1:9" ht="12.75">
      <c r="A240" s="6">
        <v>240</v>
      </c>
      <c r="B240" s="4" t="s">
        <v>1302</v>
      </c>
      <c r="C240" s="4" t="s">
        <v>1317</v>
      </c>
      <c r="D240" s="6">
        <v>2</v>
      </c>
      <c r="E240" s="7" t="s">
        <v>1318</v>
      </c>
      <c r="F240" s="15" t="s">
        <v>31</v>
      </c>
      <c r="G240" s="13"/>
      <c r="H240" s="13"/>
      <c r="I240" s="106"/>
    </row>
    <row r="241" spans="1:9" ht="12.75">
      <c r="A241" s="6">
        <v>241</v>
      </c>
      <c r="B241" s="4" t="s">
        <v>1302</v>
      </c>
      <c r="C241" s="4" t="s">
        <v>1319</v>
      </c>
      <c r="D241" s="6">
        <v>2</v>
      </c>
      <c r="E241" s="7" t="s">
        <v>1320</v>
      </c>
      <c r="F241" s="15" t="s">
        <v>31</v>
      </c>
      <c r="G241" s="13"/>
      <c r="H241" s="13"/>
      <c r="I241" s="106"/>
    </row>
    <row r="242" spans="1:9" ht="12.75">
      <c r="A242" s="6">
        <v>242</v>
      </c>
      <c r="B242" s="4" t="s">
        <v>1302</v>
      </c>
      <c r="C242" s="4" t="s">
        <v>1321</v>
      </c>
      <c r="D242" s="6">
        <v>2</v>
      </c>
      <c r="E242" s="7" t="s">
        <v>1322</v>
      </c>
      <c r="F242" s="15" t="s">
        <v>31</v>
      </c>
      <c r="G242" s="13"/>
      <c r="H242" s="13"/>
      <c r="I242" s="106"/>
    </row>
    <row r="243" spans="1:9" ht="12.75">
      <c r="A243" s="6">
        <v>243</v>
      </c>
      <c r="B243" s="4" t="s">
        <v>1302</v>
      </c>
      <c r="C243" s="4" t="s">
        <v>1325</v>
      </c>
      <c r="D243" s="6">
        <v>2</v>
      </c>
      <c r="E243" s="7" t="s">
        <v>1326</v>
      </c>
      <c r="F243" s="15" t="s">
        <v>31</v>
      </c>
      <c r="G243" s="13"/>
      <c r="H243" s="13"/>
      <c r="I243" s="106"/>
    </row>
    <row r="244" spans="1:9" ht="12.75">
      <c r="A244" s="6">
        <v>244</v>
      </c>
      <c r="B244" s="4" t="s">
        <v>1302</v>
      </c>
      <c r="C244" s="4" t="s">
        <v>774</v>
      </c>
      <c r="D244" s="6">
        <v>2</v>
      </c>
      <c r="E244" s="7" t="s">
        <v>1327</v>
      </c>
      <c r="F244" s="15" t="s">
        <v>31</v>
      </c>
      <c r="G244" s="13" t="s">
        <v>288</v>
      </c>
      <c r="H244" s="13" t="s">
        <v>649</v>
      </c>
      <c r="I244" s="106"/>
    </row>
    <row r="245" spans="1:9" ht="12.75">
      <c r="A245" s="6">
        <v>245</v>
      </c>
      <c r="B245" s="4" t="s">
        <v>907</v>
      </c>
      <c r="C245" s="4" t="s">
        <v>1065</v>
      </c>
      <c r="D245" s="6">
        <v>1</v>
      </c>
      <c r="E245" s="7" t="s">
        <v>1328</v>
      </c>
      <c r="F245" s="15" t="s">
        <v>31</v>
      </c>
      <c r="G245" s="13" t="s">
        <v>288</v>
      </c>
      <c r="H245" s="13" t="s">
        <v>742</v>
      </c>
      <c r="I245" s="106"/>
    </row>
    <row r="246" spans="1:9" ht="12.75">
      <c r="A246" s="6"/>
      <c r="B246" s="4" t="s">
        <v>907</v>
      </c>
      <c r="C246" s="4" t="s">
        <v>1065</v>
      </c>
      <c r="D246" s="6">
        <v>1</v>
      </c>
      <c r="E246" s="7" t="s">
        <v>1329</v>
      </c>
      <c r="F246" s="15" t="s">
        <v>31</v>
      </c>
      <c r="G246" s="13" t="s">
        <v>288</v>
      </c>
      <c r="H246" s="13" t="s">
        <v>742</v>
      </c>
      <c r="I246" s="106"/>
    </row>
    <row r="247" spans="1:9" ht="12.75">
      <c r="A247" s="6">
        <v>246</v>
      </c>
      <c r="B247" s="4" t="s">
        <v>907</v>
      </c>
      <c r="C247" s="4" t="s">
        <v>1332</v>
      </c>
      <c r="D247" s="6">
        <v>1</v>
      </c>
      <c r="E247" s="7" t="s">
        <v>1333</v>
      </c>
      <c r="F247" s="15" t="s">
        <v>31</v>
      </c>
      <c r="G247" s="13"/>
      <c r="H247" s="13"/>
      <c r="I247" s="106"/>
    </row>
    <row r="248" spans="1:9" ht="12.75">
      <c r="A248" s="6">
        <v>247</v>
      </c>
      <c r="B248" s="4" t="s">
        <v>176</v>
      </c>
      <c r="C248" s="4" t="s">
        <v>1334</v>
      </c>
      <c r="D248" s="6">
        <v>1</v>
      </c>
      <c r="E248" s="7" t="s">
        <v>1335</v>
      </c>
      <c r="F248" s="15" t="s">
        <v>31</v>
      </c>
      <c r="G248" s="13"/>
      <c r="H248" s="13"/>
      <c r="I248" s="106"/>
    </row>
    <row r="249" spans="1:9" ht="12.75">
      <c r="A249" s="6">
        <v>248</v>
      </c>
      <c r="B249" s="4" t="s">
        <v>176</v>
      </c>
      <c r="C249" s="4" t="s">
        <v>725</v>
      </c>
      <c r="D249" s="6">
        <v>1</v>
      </c>
      <c r="E249" s="7" t="s">
        <v>797</v>
      </c>
      <c r="F249" s="15" t="s">
        <v>31</v>
      </c>
      <c r="G249" s="13"/>
      <c r="H249" s="13"/>
      <c r="I249" s="106"/>
    </row>
    <row r="250" spans="1:9" ht="12.75">
      <c r="A250" s="6">
        <v>249</v>
      </c>
      <c r="B250" s="4" t="s">
        <v>176</v>
      </c>
      <c r="C250" s="4" t="s">
        <v>1336</v>
      </c>
      <c r="D250" s="6">
        <v>1</v>
      </c>
      <c r="E250" s="7" t="s">
        <v>1337</v>
      </c>
      <c r="F250" s="15" t="s">
        <v>31</v>
      </c>
      <c r="G250" s="13"/>
      <c r="H250" s="13"/>
      <c r="I250" s="106"/>
    </row>
    <row r="251" spans="1:9" ht="12.75">
      <c r="A251" s="6">
        <v>250</v>
      </c>
      <c r="B251" s="4" t="s">
        <v>176</v>
      </c>
      <c r="C251" s="4" t="s">
        <v>1336</v>
      </c>
      <c r="D251" s="6">
        <v>1</v>
      </c>
      <c r="E251" s="7" t="s">
        <v>1337</v>
      </c>
      <c r="F251" s="15" t="s">
        <v>31</v>
      </c>
      <c r="G251" s="13"/>
      <c r="H251" s="13"/>
      <c r="I251" s="106"/>
    </row>
    <row r="252" spans="1:9" ht="12.75">
      <c r="A252" s="6">
        <v>251</v>
      </c>
      <c r="B252" s="4" t="s">
        <v>176</v>
      </c>
      <c r="C252" s="4" t="s">
        <v>1340</v>
      </c>
      <c r="D252" s="6">
        <v>1</v>
      </c>
      <c r="E252" s="7" t="s">
        <v>1341</v>
      </c>
      <c r="F252" s="15" t="s">
        <v>31</v>
      </c>
      <c r="G252" s="13"/>
      <c r="H252" s="13"/>
      <c r="I252" s="106"/>
    </row>
    <row r="253" spans="1:9" ht="12.75">
      <c r="A253" s="6">
        <v>252</v>
      </c>
      <c r="B253" s="4" t="s">
        <v>176</v>
      </c>
      <c r="C253" s="4" t="s">
        <v>1109</v>
      </c>
      <c r="D253" s="6">
        <v>1</v>
      </c>
      <c r="E253" s="7" t="s">
        <v>1110</v>
      </c>
      <c r="F253" s="15" t="s">
        <v>31</v>
      </c>
      <c r="G253" s="13"/>
      <c r="H253" s="13"/>
      <c r="I253" s="106"/>
    </row>
    <row r="254" spans="1:9" ht="12.75">
      <c r="A254" s="6">
        <v>253</v>
      </c>
      <c r="B254" s="4" t="s">
        <v>176</v>
      </c>
      <c r="C254" s="4" t="s">
        <v>868</v>
      </c>
      <c r="D254" s="6">
        <v>1</v>
      </c>
      <c r="E254" s="7" t="s">
        <v>869</v>
      </c>
      <c r="F254" s="15" t="s">
        <v>31</v>
      </c>
      <c r="G254" s="13"/>
      <c r="H254" s="13"/>
      <c r="I254" s="106"/>
    </row>
    <row r="255" spans="1:9" ht="12.75">
      <c r="A255" s="6">
        <v>254</v>
      </c>
      <c r="B255" s="4" t="s">
        <v>176</v>
      </c>
      <c r="C255" s="4" t="s">
        <v>1344</v>
      </c>
      <c r="D255" s="6">
        <v>1</v>
      </c>
      <c r="E255" s="7" t="s">
        <v>1081</v>
      </c>
      <c r="F255" s="15" t="s">
        <v>31</v>
      </c>
      <c r="G255" s="13"/>
      <c r="H255" s="13"/>
      <c r="I255" s="106"/>
    </row>
    <row r="256" spans="1:9" ht="12.75">
      <c r="A256" s="6">
        <v>255</v>
      </c>
      <c r="B256" s="4" t="s">
        <v>176</v>
      </c>
      <c r="C256" s="4" t="s">
        <v>900</v>
      </c>
      <c r="D256" s="6">
        <v>1</v>
      </c>
      <c r="E256" s="7" t="s">
        <v>901</v>
      </c>
      <c r="F256" s="15" t="s">
        <v>31</v>
      </c>
      <c r="G256" s="13"/>
      <c r="H256" s="13"/>
      <c r="I256" s="106"/>
    </row>
    <row r="257" spans="1:9" ht="12.75">
      <c r="A257" s="6">
        <v>256</v>
      </c>
      <c r="B257" s="4" t="s">
        <v>176</v>
      </c>
      <c r="C257" s="4" t="s">
        <v>1345</v>
      </c>
      <c r="D257" s="6">
        <v>1</v>
      </c>
      <c r="E257" s="7" t="s">
        <v>1346</v>
      </c>
      <c r="F257" s="15" t="s">
        <v>31</v>
      </c>
      <c r="G257" s="13" t="s">
        <v>288</v>
      </c>
      <c r="H257" s="13" t="s">
        <v>742</v>
      </c>
      <c r="I257" s="106"/>
    </row>
    <row r="258" spans="1:9" ht="12.75">
      <c r="A258" s="6">
        <v>257</v>
      </c>
      <c r="B258" s="4" t="s">
        <v>1349</v>
      </c>
      <c r="C258" s="4" t="s">
        <v>1350</v>
      </c>
      <c r="D258" s="6">
        <v>2</v>
      </c>
      <c r="E258" s="7" t="s">
        <v>1351</v>
      </c>
      <c r="F258" s="15" t="s">
        <v>31</v>
      </c>
      <c r="G258" s="13"/>
      <c r="H258" s="13"/>
      <c r="I258" s="106"/>
    </row>
    <row r="259" spans="1:9" ht="12.75">
      <c r="A259" s="6">
        <v>258</v>
      </c>
      <c r="B259" s="4" t="s">
        <v>1349</v>
      </c>
      <c r="C259" s="4" t="s">
        <v>1354</v>
      </c>
      <c r="D259" s="6">
        <v>2</v>
      </c>
      <c r="E259" s="7" t="s">
        <v>1355</v>
      </c>
      <c r="F259" s="15" t="s">
        <v>31</v>
      </c>
      <c r="G259" s="13"/>
      <c r="H259" s="13"/>
      <c r="I259" s="106"/>
    </row>
    <row r="260" spans="1:9" ht="12.75">
      <c r="A260" s="6">
        <v>259</v>
      </c>
      <c r="B260" s="4" t="s">
        <v>1349</v>
      </c>
      <c r="C260" s="4" t="s">
        <v>1356</v>
      </c>
      <c r="D260" s="6">
        <v>2</v>
      </c>
      <c r="E260" s="7" t="s">
        <v>1357</v>
      </c>
      <c r="F260" s="15" t="s">
        <v>31</v>
      </c>
      <c r="G260" s="13"/>
      <c r="H260" s="13"/>
      <c r="I260" s="106"/>
    </row>
    <row r="261" spans="1:9" ht="12.75">
      <c r="A261" s="6">
        <v>260</v>
      </c>
      <c r="B261" s="4" t="s">
        <v>1349</v>
      </c>
      <c r="C261" s="4" t="s">
        <v>1358</v>
      </c>
      <c r="D261" s="6">
        <v>2</v>
      </c>
      <c r="E261" s="7" t="s">
        <v>1360</v>
      </c>
      <c r="F261" s="15" t="s">
        <v>31</v>
      </c>
      <c r="G261" s="13"/>
      <c r="H261" s="13"/>
      <c r="I261" s="106"/>
    </row>
    <row r="262" spans="1:9" ht="12.75">
      <c r="A262" s="6">
        <v>261</v>
      </c>
      <c r="B262" s="4" t="s">
        <v>1349</v>
      </c>
      <c r="C262" s="4" t="s">
        <v>1080</v>
      </c>
      <c r="D262" s="6">
        <v>2</v>
      </c>
      <c r="E262" s="7" t="s">
        <v>1081</v>
      </c>
      <c r="F262" s="15" t="s">
        <v>31</v>
      </c>
      <c r="G262" s="13"/>
      <c r="H262" s="13"/>
      <c r="I262" s="106"/>
    </row>
    <row r="263" spans="1:9" ht="12.75">
      <c r="A263" s="6">
        <v>262</v>
      </c>
      <c r="B263" s="4" t="s">
        <v>1349</v>
      </c>
      <c r="C263" s="4" t="s">
        <v>1362</v>
      </c>
      <c r="D263" s="6">
        <v>2</v>
      </c>
      <c r="E263" s="7" t="s">
        <v>1363</v>
      </c>
      <c r="F263" s="15" t="s">
        <v>31</v>
      </c>
      <c r="G263" s="13"/>
      <c r="H263" s="13"/>
      <c r="I263" s="106"/>
    </row>
    <row r="264" spans="1:9" ht="12.75">
      <c r="A264" s="6">
        <v>264</v>
      </c>
      <c r="B264" s="4" t="s">
        <v>1349</v>
      </c>
      <c r="C264" s="4" t="s">
        <v>774</v>
      </c>
      <c r="D264" s="6">
        <v>2</v>
      </c>
      <c r="E264" s="7" t="s">
        <v>1364</v>
      </c>
      <c r="F264" s="15" t="s">
        <v>31</v>
      </c>
      <c r="G264" s="13" t="s">
        <v>288</v>
      </c>
      <c r="H264" s="13" t="s">
        <v>742</v>
      </c>
      <c r="I264" s="106"/>
    </row>
    <row r="265" spans="1:9" ht="12.75">
      <c r="A265" s="6">
        <v>265</v>
      </c>
      <c r="B265" s="4" t="s">
        <v>1349</v>
      </c>
      <c r="C265" s="4" t="s">
        <v>907</v>
      </c>
      <c r="D265" s="6">
        <v>2</v>
      </c>
      <c r="E265" s="7" t="s">
        <v>908</v>
      </c>
      <c r="F265" s="15" t="s">
        <v>31</v>
      </c>
      <c r="G265" s="13"/>
      <c r="H265" s="13"/>
      <c r="I265" s="106"/>
    </row>
    <row r="266" spans="1:9" ht="12.75">
      <c r="A266" s="6">
        <v>266</v>
      </c>
      <c r="B266" s="4" t="s">
        <v>1349</v>
      </c>
      <c r="C266" s="4" t="s">
        <v>1367</v>
      </c>
      <c r="D266" s="6">
        <v>2</v>
      </c>
      <c r="E266" s="7" t="s">
        <v>1368</v>
      </c>
      <c r="F266" s="15" t="s">
        <v>31</v>
      </c>
      <c r="G266" s="13"/>
      <c r="H266" s="13"/>
      <c r="I266" s="106"/>
    </row>
    <row r="267" spans="1:9" ht="12.75">
      <c r="A267" s="6">
        <v>267</v>
      </c>
      <c r="B267" s="4" t="s">
        <v>1349</v>
      </c>
      <c r="C267" s="4" t="s">
        <v>1369</v>
      </c>
      <c r="D267" s="6">
        <v>2</v>
      </c>
      <c r="E267" s="7" t="s">
        <v>1370</v>
      </c>
      <c r="F267" s="15" t="s">
        <v>31</v>
      </c>
      <c r="G267" s="13"/>
      <c r="H267" s="13"/>
      <c r="I267" s="106"/>
    </row>
    <row r="268" spans="1:9" ht="12.75">
      <c r="A268" s="6">
        <v>268</v>
      </c>
      <c r="B268" s="4" t="s">
        <v>1349</v>
      </c>
      <c r="C268" s="4" t="s">
        <v>1371</v>
      </c>
      <c r="D268" s="6">
        <v>2</v>
      </c>
      <c r="E268" s="7" t="s">
        <v>1372</v>
      </c>
      <c r="F268" s="15" t="s">
        <v>31</v>
      </c>
      <c r="G268" s="13"/>
      <c r="H268" s="13"/>
      <c r="I268" s="106"/>
    </row>
    <row r="269" spans="1:9" ht="12.75">
      <c r="A269" s="6">
        <v>269</v>
      </c>
      <c r="B269" s="4" t="s">
        <v>1375</v>
      </c>
      <c r="C269" s="4" t="s">
        <v>1376</v>
      </c>
      <c r="D269" s="6">
        <v>1</v>
      </c>
      <c r="E269" s="7" t="s">
        <v>1377</v>
      </c>
      <c r="F269" s="15" t="s">
        <v>31</v>
      </c>
      <c r="G269" s="13"/>
      <c r="H269" s="13"/>
      <c r="I269" s="106"/>
    </row>
    <row r="270" spans="1:9" ht="12.75">
      <c r="A270" s="6">
        <v>270</v>
      </c>
      <c r="B270" s="4" t="s">
        <v>1375</v>
      </c>
      <c r="C270" s="4" t="s">
        <v>1378</v>
      </c>
      <c r="D270" s="6">
        <v>1</v>
      </c>
      <c r="E270" s="7" t="s">
        <v>1379</v>
      </c>
      <c r="F270" s="15" t="s">
        <v>31</v>
      </c>
      <c r="G270" s="13"/>
      <c r="H270" s="13"/>
      <c r="I270" s="106"/>
    </row>
    <row r="271" spans="1:9" ht="12.75">
      <c r="A271" s="6">
        <v>271</v>
      </c>
      <c r="B271" s="4" t="s">
        <v>1375</v>
      </c>
      <c r="C271" s="4" t="s">
        <v>1313</v>
      </c>
      <c r="D271" s="6">
        <v>1</v>
      </c>
      <c r="E271" s="7" t="s">
        <v>1314</v>
      </c>
      <c r="F271" s="15" t="s">
        <v>31</v>
      </c>
      <c r="G271" s="13"/>
      <c r="H271" s="13"/>
      <c r="I271" s="106"/>
    </row>
    <row r="272" spans="1:9" ht="12.75">
      <c r="A272" s="6">
        <v>273</v>
      </c>
      <c r="B272" s="4" t="s">
        <v>1375</v>
      </c>
      <c r="C272" s="4" t="s">
        <v>1380</v>
      </c>
      <c r="D272" s="6">
        <v>1</v>
      </c>
      <c r="E272" s="7" t="s">
        <v>1381</v>
      </c>
      <c r="F272" s="15" t="s">
        <v>31</v>
      </c>
      <c r="G272" s="13" t="s">
        <v>288</v>
      </c>
      <c r="H272" s="13" t="s">
        <v>742</v>
      </c>
      <c r="I272" s="106"/>
    </row>
    <row r="273" spans="1:9" ht="12.75">
      <c r="A273" s="6"/>
      <c r="B273" s="16" t="s">
        <v>196</v>
      </c>
      <c r="C273" s="16" t="s">
        <v>23</v>
      </c>
      <c r="D273" s="48">
        <v>1</v>
      </c>
      <c r="E273" s="102" t="s">
        <v>600</v>
      </c>
      <c r="F273" s="16" t="s">
        <v>553</v>
      </c>
      <c r="G273" s="13" t="s">
        <v>288</v>
      </c>
      <c r="H273" s="13" t="s">
        <v>1242</v>
      </c>
      <c r="I273" s="106"/>
    </row>
    <row r="274" spans="1:9" ht="12.75">
      <c r="A274" s="6">
        <v>274</v>
      </c>
      <c r="B274" s="4" t="s">
        <v>1375</v>
      </c>
      <c r="C274" s="4" t="s">
        <v>1384</v>
      </c>
      <c r="D274" s="6">
        <v>1</v>
      </c>
      <c r="E274" s="7" t="s">
        <v>1385</v>
      </c>
      <c r="F274" s="15" t="s">
        <v>31</v>
      </c>
      <c r="G274" s="13"/>
      <c r="H274" s="13"/>
      <c r="I274" s="106"/>
    </row>
    <row r="275" spans="1:9" ht="12.75">
      <c r="A275" s="6">
        <v>275</v>
      </c>
      <c r="B275" s="4" t="s">
        <v>1375</v>
      </c>
      <c r="C275" s="4" t="s">
        <v>1386</v>
      </c>
      <c r="D275" s="6">
        <v>1</v>
      </c>
      <c r="E275" s="7" t="s">
        <v>1387</v>
      </c>
      <c r="F275" s="15" t="s">
        <v>31</v>
      </c>
      <c r="G275" s="13"/>
      <c r="H275" s="13"/>
      <c r="I275" s="106"/>
    </row>
    <row r="276" spans="1:9" ht="12.75">
      <c r="A276" s="6">
        <v>276</v>
      </c>
      <c r="B276" s="4" t="s">
        <v>1375</v>
      </c>
      <c r="C276" s="4" t="s">
        <v>1388</v>
      </c>
      <c r="D276" s="6">
        <v>1</v>
      </c>
      <c r="E276" s="7" t="s">
        <v>1389</v>
      </c>
      <c r="F276" s="15" t="s">
        <v>31</v>
      </c>
      <c r="G276" s="13"/>
      <c r="H276" s="13"/>
      <c r="I276" s="106"/>
    </row>
    <row r="277" spans="1:9" ht="12.75">
      <c r="A277" s="6">
        <v>277</v>
      </c>
      <c r="B277" s="61" t="s">
        <v>1375</v>
      </c>
      <c r="C277" s="61" t="s">
        <v>917</v>
      </c>
      <c r="D277" s="6">
        <v>1</v>
      </c>
      <c r="E277" s="54" t="s">
        <v>918</v>
      </c>
      <c r="F277" s="15" t="s">
        <v>31</v>
      </c>
      <c r="G277" s="13"/>
      <c r="H277" s="13"/>
      <c r="I277" s="106"/>
    </row>
    <row r="278" spans="1:9" ht="12.75">
      <c r="A278" s="6">
        <v>278</v>
      </c>
      <c r="B278" s="61" t="s">
        <v>1375</v>
      </c>
      <c r="C278" s="61" t="s">
        <v>1121</v>
      </c>
      <c r="D278" s="6">
        <v>1</v>
      </c>
      <c r="E278" s="54" t="s">
        <v>1122</v>
      </c>
      <c r="F278" s="15" t="s">
        <v>31</v>
      </c>
      <c r="G278" s="13"/>
      <c r="H278" s="13"/>
      <c r="I278" s="106"/>
    </row>
    <row r="279" spans="1:9" ht="12.75">
      <c r="A279" s="6">
        <v>279</v>
      </c>
      <c r="B279" s="61" t="s">
        <v>1375</v>
      </c>
      <c r="C279" s="61" t="s">
        <v>1392</v>
      </c>
      <c r="D279" s="6">
        <v>1</v>
      </c>
      <c r="E279" s="55" t="s">
        <v>1393</v>
      </c>
      <c r="F279" s="15" t="s">
        <v>31</v>
      </c>
      <c r="G279" s="13"/>
      <c r="H279" s="13"/>
      <c r="I279" s="106"/>
    </row>
    <row r="280" spans="1:9" ht="12.75">
      <c r="A280" s="6">
        <v>280</v>
      </c>
      <c r="B280" s="61" t="s">
        <v>1375</v>
      </c>
      <c r="C280" s="61" t="s">
        <v>1394</v>
      </c>
      <c r="D280" s="6">
        <v>1</v>
      </c>
      <c r="E280" s="55" t="s">
        <v>1395</v>
      </c>
      <c r="F280" s="15" t="s">
        <v>31</v>
      </c>
      <c r="G280" s="13"/>
      <c r="H280" s="13"/>
      <c r="I280" s="106"/>
    </row>
    <row r="281" spans="1:9" ht="12.75">
      <c r="A281" s="6">
        <v>281</v>
      </c>
      <c r="B281" s="4" t="s">
        <v>1396</v>
      </c>
      <c r="C281" s="61" t="s">
        <v>1398</v>
      </c>
      <c r="D281" s="61">
        <v>2</v>
      </c>
      <c r="E281" s="55" t="s">
        <v>1400</v>
      </c>
      <c r="F281" s="15" t="s">
        <v>31</v>
      </c>
      <c r="G281" s="13"/>
      <c r="H281" s="13"/>
      <c r="I281" s="106"/>
    </row>
    <row r="282" spans="1:9" ht="12.75">
      <c r="A282" s="6">
        <v>282</v>
      </c>
      <c r="B282" s="4" t="s">
        <v>1396</v>
      </c>
      <c r="C282" s="61" t="s">
        <v>1401</v>
      </c>
      <c r="D282" s="61">
        <v>2</v>
      </c>
      <c r="E282" s="55" t="s">
        <v>1402</v>
      </c>
      <c r="F282" s="15" t="s">
        <v>31</v>
      </c>
      <c r="G282" s="13" t="s">
        <v>288</v>
      </c>
      <c r="H282" s="13" t="s">
        <v>742</v>
      </c>
      <c r="I282" s="106"/>
    </row>
    <row r="283" spans="1:9" ht="12.75">
      <c r="A283" s="6">
        <v>283</v>
      </c>
      <c r="B283" s="4" t="s">
        <v>1396</v>
      </c>
      <c r="C283" s="61" t="s">
        <v>1401</v>
      </c>
      <c r="D283" s="61">
        <v>2</v>
      </c>
      <c r="E283" s="7" t="s">
        <v>1403</v>
      </c>
      <c r="F283" s="15" t="s">
        <v>31</v>
      </c>
      <c r="G283" s="13"/>
      <c r="H283" s="13"/>
      <c r="I283" s="106"/>
    </row>
    <row r="284" spans="1:9" ht="12.75">
      <c r="A284" s="6">
        <v>284</v>
      </c>
      <c r="B284" s="4" t="s">
        <v>1396</v>
      </c>
      <c r="C284" s="61" t="s">
        <v>1404</v>
      </c>
      <c r="D284" s="61">
        <v>2</v>
      </c>
      <c r="E284" s="7" t="s">
        <v>1405</v>
      </c>
      <c r="F284" s="15" t="s">
        <v>31</v>
      </c>
      <c r="G284" s="13"/>
      <c r="H284" s="13"/>
      <c r="I284" s="106"/>
    </row>
    <row r="285" spans="1:9" ht="12.75">
      <c r="A285" s="6">
        <v>285</v>
      </c>
      <c r="B285" s="4" t="s">
        <v>1396</v>
      </c>
      <c r="C285" s="61" t="s">
        <v>1407</v>
      </c>
      <c r="D285" s="61">
        <v>2</v>
      </c>
      <c r="E285" s="7" t="s">
        <v>1408</v>
      </c>
      <c r="F285" s="15" t="s">
        <v>31</v>
      </c>
      <c r="G285" s="13"/>
      <c r="H285" s="13"/>
      <c r="I285" s="106"/>
    </row>
    <row r="286" spans="1:9" ht="12.75">
      <c r="A286" s="6">
        <v>286</v>
      </c>
      <c r="B286" s="4" t="s">
        <v>1396</v>
      </c>
      <c r="C286" s="61" t="s">
        <v>1409</v>
      </c>
      <c r="D286" s="61">
        <v>2</v>
      </c>
      <c r="E286" s="7" t="s">
        <v>1410</v>
      </c>
      <c r="F286" s="15" t="s">
        <v>31</v>
      </c>
      <c r="G286" s="13"/>
      <c r="H286" s="13"/>
      <c r="I286" s="106"/>
    </row>
    <row r="287" spans="1:9" ht="12.75">
      <c r="A287" s="6">
        <v>287</v>
      </c>
      <c r="B287" s="16" t="s">
        <v>1396</v>
      </c>
      <c r="C287" s="16" t="s">
        <v>1411</v>
      </c>
      <c r="D287" s="61">
        <v>2</v>
      </c>
      <c r="E287" s="102" t="s">
        <v>1412</v>
      </c>
      <c r="F287" s="15" t="s">
        <v>31</v>
      </c>
      <c r="G287" s="13"/>
      <c r="H287" s="13"/>
    </row>
    <row r="288" spans="1:9" ht="12.75">
      <c r="A288" s="6">
        <v>288</v>
      </c>
      <c r="B288" s="16" t="s">
        <v>1396</v>
      </c>
      <c r="C288" s="16" t="s">
        <v>1414</v>
      </c>
      <c r="D288" s="61">
        <v>2</v>
      </c>
      <c r="E288" s="102" t="s">
        <v>1415</v>
      </c>
      <c r="F288" s="15" t="s">
        <v>31</v>
      </c>
      <c r="G288" s="13"/>
      <c r="H288" s="13"/>
    </row>
    <row r="289" spans="1:8" ht="12.75">
      <c r="A289" s="6">
        <v>289</v>
      </c>
      <c r="B289" s="16" t="s">
        <v>1396</v>
      </c>
      <c r="C289" s="16" t="s">
        <v>1416</v>
      </c>
      <c r="D289" s="61">
        <v>2</v>
      </c>
      <c r="E289" s="102" t="s">
        <v>1417</v>
      </c>
      <c r="F289" s="15" t="s">
        <v>31</v>
      </c>
      <c r="G289" s="13"/>
      <c r="H289" s="13"/>
    </row>
    <row r="290" spans="1:8" ht="12.75">
      <c r="A290" s="6">
        <v>290</v>
      </c>
      <c r="B290" s="16" t="s">
        <v>1396</v>
      </c>
      <c r="C290" s="16" t="s">
        <v>1419</v>
      </c>
      <c r="D290" s="61">
        <v>2</v>
      </c>
      <c r="E290" s="102" t="s">
        <v>1421</v>
      </c>
      <c r="F290" s="15" t="s">
        <v>31</v>
      </c>
      <c r="G290" s="13"/>
      <c r="H290" s="13"/>
    </row>
    <row r="291" spans="1:8" ht="12.75">
      <c r="A291" s="6">
        <v>291</v>
      </c>
      <c r="B291" s="16" t="s">
        <v>1396</v>
      </c>
      <c r="C291" s="16" t="s">
        <v>1422</v>
      </c>
      <c r="D291" s="61">
        <v>2</v>
      </c>
      <c r="E291" s="102" t="s">
        <v>1423</v>
      </c>
      <c r="F291" s="15" t="s">
        <v>31</v>
      </c>
      <c r="G291" s="13"/>
      <c r="H291" s="13"/>
    </row>
    <row r="292" spans="1:8" ht="12.75">
      <c r="A292" s="6">
        <v>292</v>
      </c>
      <c r="B292" s="16" t="s">
        <v>1396</v>
      </c>
      <c r="C292" s="16" t="s">
        <v>1424</v>
      </c>
      <c r="D292" s="61">
        <v>2</v>
      </c>
      <c r="E292" s="102" t="s">
        <v>1425</v>
      </c>
      <c r="F292" s="15" t="s">
        <v>31</v>
      </c>
      <c r="G292" s="13"/>
      <c r="H292" s="13"/>
    </row>
    <row r="293" spans="1:8" ht="12.75">
      <c r="A293" s="6">
        <v>293</v>
      </c>
      <c r="B293" s="16" t="s">
        <v>1396</v>
      </c>
      <c r="C293" s="16" t="s">
        <v>1426</v>
      </c>
      <c r="D293" s="61">
        <v>2</v>
      </c>
      <c r="E293" s="102" t="s">
        <v>1427</v>
      </c>
      <c r="F293" s="15" t="s">
        <v>31</v>
      </c>
      <c r="G293" s="13"/>
      <c r="H293" s="13"/>
    </row>
    <row r="294" spans="1:8" ht="12.75">
      <c r="A294" s="6">
        <v>294</v>
      </c>
      <c r="B294" s="16" t="s">
        <v>1396</v>
      </c>
      <c r="C294" s="16" t="s">
        <v>1050</v>
      </c>
      <c r="D294" s="61">
        <v>2</v>
      </c>
      <c r="E294" s="102" t="s">
        <v>1051</v>
      </c>
      <c r="F294" s="15" t="s">
        <v>31</v>
      </c>
      <c r="G294" s="13"/>
      <c r="H294" s="13"/>
    </row>
    <row r="295" spans="1:8" ht="12.75">
      <c r="A295" s="6">
        <v>295</v>
      </c>
      <c r="B295" s="16" t="s">
        <v>1396</v>
      </c>
      <c r="C295" s="16" t="s">
        <v>1429</v>
      </c>
      <c r="D295" s="61">
        <v>2</v>
      </c>
      <c r="E295" s="102" t="s">
        <v>1430</v>
      </c>
      <c r="F295" s="15" t="s">
        <v>31</v>
      </c>
      <c r="G295" s="13"/>
      <c r="H295" s="13"/>
    </row>
    <row r="296" spans="1:8" ht="12.75">
      <c r="A296" s="6">
        <v>296</v>
      </c>
      <c r="B296" s="16" t="s">
        <v>1431</v>
      </c>
      <c r="C296" s="16" t="s">
        <v>1432</v>
      </c>
      <c r="D296" s="61">
        <v>2</v>
      </c>
      <c r="E296" s="102" t="s">
        <v>1433</v>
      </c>
      <c r="F296" s="15" t="s">
        <v>31</v>
      </c>
      <c r="G296" s="13"/>
      <c r="H296" s="13"/>
    </row>
    <row r="297" spans="1:8" ht="12.75">
      <c r="A297" s="6">
        <v>297</v>
      </c>
      <c r="B297" s="16" t="s">
        <v>1431</v>
      </c>
      <c r="C297" s="16" t="s">
        <v>774</v>
      </c>
      <c r="D297" s="61">
        <v>2</v>
      </c>
      <c r="E297" s="102" t="s">
        <v>1434</v>
      </c>
      <c r="F297" s="15" t="s">
        <v>31</v>
      </c>
      <c r="G297" s="13" t="s">
        <v>288</v>
      </c>
      <c r="H297" s="13" t="s">
        <v>742</v>
      </c>
    </row>
    <row r="298" spans="1:8" ht="12.75">
      <c r="A298" s="6">
        <v>299</v>
      </c>
      <c r="B298" s="16" t="s">
        <v>1431</v>
      </c>
      <c r="C298" s="16" t="s">
        <v>1435</v>
      </c>
      <c r="D298" s="61">
        <v>2</v>
      </c>
      <c r="E298" s="102" t="s">
        <v>1436</v>
      </c>
      <c r="F298" s="15" t="s">
        <v>31</v>
      </c>
      <c r="G298" s="13"/>
      <c r="H298" s="13"/>
    </row>
    <row r="299" spans="1:8" ht="12.75">
      <c r="A299" s="6">
        <v>300</v>
      </c>
      <c r="B299" s="16" t="s">
        <v>268</v>
      </c>
      <c r="C299" s="16" t="s">
        <v>40</v>
      </c>
      <c r="D299" s="48">
        <v>2</v>
      </c>
      <c r="E299" s="102" t="s">
        <v>1437</v>
      </c>
      <c r="F299" s="16" t="s">
        <v>553</v>
      </c>
      <c r="G299" s="13"/>
      <c r="H299" s="13"/>
    </row>
    <row r="300" spans="1:8" ht="12.75">
      <c r="A300" s="6">
        <v>301</v>
      </c>
      <c r="B300" s="16" t="s">
        <v>216</v>
      </c>
      <c r="C300" s="16" t="s">
        <v>172</v>
      </c>
      <c r="D300" s="48">
        <v>2</v>
      </c>
      <c r="E300" s="102" t="s">
        <v>1438</v>
      </c>
      <c r="F300" s="16" t="s">
        <v>553</v>
      </c>
      <c r="G300" s="13" t="s">
        <v>288</v>
      </c>
      <c r="H300" s="13" t="s">
        <v>1242</v>
      </c>
    </row>
    <row r="301" spans="1:8" ht="12.75">
      <c r="A301" s="6">
        <v>302</v>
      </c>
      <c r="B301" s="16" t="s">
        <v>81</v>
      </c>
      <c r="C301" s="16" t="s">
        <v>191</v>
      </c>
      <c r="D301" s="48">
        <v>1</v>
      </c>
      <c r="E301" s="102" t="s">
        <v>1439</v>
      </c>
      <c r="F301" s="16" t="s">
        <v>553</v>
      </c>
      <c r="G301" s="13"/>
      <c r="H301" s="13"/>
    </row>
    <row r="302" spans="1:8" ht="12.75">
      <c r="A302" s="6">
        <v>303</v>
      </c>
      <c r="B302" s="16" t="s">
        <v>167</v>
      </c>
      <c r="C302" s="16" t="s">
        <v>140</v>
      </c>
      <c r="D302" s="48">
        <v>2</v>
      </c>
      <c r="E302" s="102" t="s">
        <v>1440</v>
      </c>
      <c r="F302" s="16" t="s">
        <v>553</v>
      </c>
      <c r="G302" s="13"/>
      <c r="H302" s="13"/>
    </row>
    <row r="303" spans="1:8" ht="12.75">
      <c r="A303" s="6">
        <v>304</v>
      </c>
      <c r="B303" s="16" t="s">
        <v>198</v>
      </c>
      <c r="C303" s="16" t="s">
        <v>327</v>
      </c>
      <c r="D303" s="48">
        <v>2</v>
      </c>
      <c r="E303" s="102" t="s">
        <v>1441</v>
      </c>
      <c r="F303" s="16" t="s">
        <v>553</v>
      </c>
      <c r="G303" s="13"/>
      <c r="H303" s="13"/>
    </row>
    <row r="304" spans="1:8" ht="12.75">
      <c r="A304" s="6">
        <v>307</v>
      </c>
      <c r="B304" s="16" t="s">
        <v>67</v>
      </c>
      <c r="C304" s="16" t="s">
        <v>191</v>
      </c>
      <c r="D304" s="48">
        <v>1</v>
      </c>
      <c r="E304" s="102" t="s">
        <v>552</v>
      </c>
      <c r="F304" s="16" t="s">
        <v>553</v>
      </c>
      <c r="G304" s="13" t="s">
        <v>288</v>
      </c>
      <c r="H304" s="13" t="s">
        <v>1242</v>
      </c>
    </row>
    <row r="305" spans="1:8" ht="12.75">
      <c r="A305" s="6">
        <v>308</v>
      </c>
      <c r="B305" s="16" t="s">
        <v>176</v>
      </c>
      <c r="C305" s="16" t="s">
        <v>82</v>
      </c>
      <c r="D305" s="48">
        <v>1</v>
      </c>
      <c r="E305" s="102" t="s">
        <v>1444</v>
      </c>
      <c r="F305" s="16" t="s">
        <v>553</v>
      </c>
      <c r="G305" s="13"/>
      <c r="H305" s="13"/>
    </row>
    <row r="306" spans="1:8" ht="12.75">
      <c r="A306" s="64"/>
      <c r="B306" s="64"/>
      <c r="C306" s="64"/>
      <c r="D306" s="65"/>
      <c r="E306" s="64"/>
      <c r="F306" s="64"/>
    </row>
    <row r="307" spans="1:8" ht="12.75">
      <c r="A307" s="64"/>
      <c r="B307" s="64"/>
      <c r="C307" s="64"/>
      <c r="D307" s="65"/>
      <c r="E307" s="64"/>
      <c r="F307" s="64"/>
    </row>
    <row r="308" spans="1:8" ht="12.75">
      <c r="A308" s="64"/>
      <c r="B308" s="64"/>
      <c r="C308" s="64"/>
      <c r="D308" s="65"/>
      <c r="E308" s="64"/>
      <c r="F308" s="64"/>
    </row>
    <row r="309" spans="1:8" ht="12.75">
      <c r="A309" s="64"/>
      <c r="B309" s="64"/>
      <c r="C309" s="64"/>
      <c r="D309" s="65"/>
      <c r="E309" s="64"/>
      <c r="F309" s="64"/>
    </row>
    <row r="310" spans="1:8" ht="12.75">
      <c r="A310" s="64"/>
      <c r="B310" s="64"/>
      <c r="C310" s="64"/>
      <c r="D310" s="65"/>
      <c r="E310" s="64"/>
      <c r="F310" s="64"/>
    </row>
    <row r="311" spans="1:8" ht="12.75">
      <c r="A311" s="64"/>
      <c r="B311" s="64"/>
      <c r="C311" s="64"/>
      <c r="D311" s="65"/>
      <c r="E311" s="64"/>
      <c r="F311" s="64"/>
    </row>
    <row r="312" spans="1:8" ht="12.75">
      <c r="A312" s="64"/>
      <c r="B312" s="64"/>
      <c r="C312" s="64"/>
      <c r="D312" s="65"/>
      <c r="E312" s="64"/>
      <c r="F312" s="64"/>
    </row>
    <row r="313" spans="1:8" ht="12.75">
      <c r="A313" s="64"/>
      <c r="B313" s="64"/>
      <c r="C313" s="64"/>
      <c r="D313" s="65"/>
      <c r="E313" s="64"/>
      <c r="F313" s="64"/>
    </row>
    <row r="314" spans="1:8" ht="12.75">
      <c r="A314" s="64"/>
      <c r="B314" s="64"/>
      <c r="C314" s="64"/>
      <c r="D314" s="65"/>
      <c r="E314" s="64"/>
      <c r="F314" s="64"/>
    </row>
    <row r="315" spans="1:8" ht="12.75">
      <c r="A315" s="64"/>
      <c r="B315" s="64"/>
      <c r="C315" s="64"/>
      <c r="D315" s="65"/>
      <c r="E315" s="64"/>
      <c r="F315" s="64"/>
    </row>
    <row r="316" spans="1:8" ht="12.75">
      <c r="A316" s="64"/>
      <c r="B316" s="64"/>
      <c r="C316" s="64"/>
      <c r="D316" s="65"/>
      <c r="E316" s="64"/>
      <c r="F316" s="64"/>
    </row>
    <row r="317" spans="1:8" ht="12.75">
      <c r="A317" s="64"/>
      <c r="B317" s="64"/>
      <c r="C317" s="64"/>
      <c r="D317" s="65"/>
      <c r="E317" s="64"/>
      <c r="F317" s="64"/>
    </row>
    <row r="318" spans="1:8" ht="12.75">
      <c r="A318" s="64"/>
      <c r="B318" s="64"/>
      <c r="C318" s="64"/>
      <c r="D318" s="65"/>
      <c r="E318" s="64"/>
      <c r="F318" s="64"/>
    </row>
    <row r="319" spans="1:8" ht="12.75">
      <c r="A319" s="64"/>
      <c r="B319" s="64"/>
      <c r="C319" s="64"/>
      <c r="D319" s="65"/>
      <c r="E319" s="64"/>
      <c r="F319" s="64"/>
    </row>
    <row r="320" spans="1:8" ht="12.75">
      <c r="A320" s="64"/>
      <c r="B320" s="64"/>
      <c r="C320" s="64"/>
      <c r="D320" s="65"/>
      <c r="E320" s="64"/>
      <c r="F320" s="64"/>
    </row>
    <row r="321" spans="1:6" ht="12.75">
      <c r="A321" s="64"/>
      <c r="B321" s="64"/>
      <c r="C321" s="64"/>
      <c r="D321" s="65"/>
      <c r="E321" s="64"/>
      <c r="F321" s="64"/>
    </row>
    <row r="322" spans="1:6" ht="12.75">
      <c r="A322" s="64"/>
      <c r="B322" s="64"/>
      <c r="C322" s="64"/>
      <c r="D322" s="65"/>
      <c r="E322" s="64"/>
      <c r="F322" s="64"/>
    </row>
    <row r="323" spans="1:6" ht="12.75">
      <c r="A323" s="64"/>
      <c r="B323" s="64"/>
      <c r="C323" s="64"/>
      <c r="D323" s="65"/>
      <c r="E323" s="64"/>
      <c r="F323" s="64"/>
    </row>
    <row r="324" spans="1:6" ht="12.75">
      <c r="A324" s="64"/>
      <c r="B324" s="64"/>
      <c r="C324" s="64"/>
      <c r="D324" s="65"/>
      <c r="E324" s="64"/>
      <c r="F324" s="64"/>
    </row>
    <row r="325" spans="1:6" ht="12.75">
      <c r="A325" s="64"/>
      <c r="B325" s="64"/>
      <c r="C325" s="64"/>
      <c r="D325" s="65"/>
      <c r="E325" s="64"/>
      <c r="F325" s="64"/>
    </row>
    <row r="326" spans="1:6" ht="12.75">
      <c r="A326" s="64"/>
      <c r="B326" s="64"/>
      <c r="C326" s="64"/>
      <c r="D326" s="65"/>
      <c r="E326" s="64"/>
      <c r="F326" s="64"/>
    </row>
    <row r="327" spans="1:6" ht="12.75">
      <c r="A327" s="64"/>
      <c r="B327" s="64"/>
      <c r="C327" s="64"/>
      <c r="D327" s="65"/>
      <c r="E327" s="64"/>
      <c r="F327" s="64"/>
    </row>
    <row r="328" spans="1:6" ht="12.75">
      <c r="A328" s="64"/>
      <c r="B328" s="64"/>
      <c r="C328" s="64"/>
      <c r="D328" s="65"/>
      <c r="E328" s="64"/>
      <c r="F328" s="64"/>
    </row>
    <row r="329" spans="1:6" ht="12.75">
      <c r="A329" s="64"/>
      <c r="B329" s="64"/>
      <c r="C329" s="64"/>
      <c r="D329" s="65"/>
      <c r="E329" s="64"/>
      <c r="F329" s="64"/>
    </row>
    <row r="330" spans="1:6" ht="12.75">
      <c r="A330" s="64"/>
      <c r="B330" s="64"/>
      <c r="C330" s="64"/>
      <c r="D330" s="65"/>
      <c r="E330" s="64"/>
      <c r="F330" s="64"/>
    </row>
    <row r="331" spans="1:6" ht="12.75">
      <c r="A331" s="64"/>
      <c r="B331" s="64"/>
      <c r="C331" s="64"/>
      <c r="D331" s="65"/>
      <c r="E331" s="64"/>
      <c r="F331" s="64"/>
    </row>
    <row r="332" spans="1:6" ht="12.75">
      <c r="A332" s="64"/>
      <c r="B332" s="64"/>
      <c r="C332" s="64"/>
      <c r="D332" s="65"/>
      <c r="E332" s="64"/>
      <c r="F332" s="64"/>
    </row>
    <row r="333" spans="1:6" ht="12.75">
      <c r="A333" s="64"/>
      <c r="B333" s="64"/>
      <c r="C333" s="64"/>
      <c r="D333" s="65"/>
      <c r="E333" s="64"/>
      <c r="F333" s="64"/>
    </row>
    <row r="334" spans="1:6" ht="12.75">
      <c r="A334" s="64"/>
      <c r="B334" s="64"/>
      <c r="C334" s="64"/>
      <c r="D334" s="65"/>
      <c r="E334" s="64"/>
      <c r="F334" s="64"/>
    </row>
    <row r="335" spans="1:6" ht="12.75">
      <c r="A335" s="64"/>
      <c r="B335" s="64"/>
      <c r="C335" s="64"/>
      <c r="D335" s="65"/>
      <c r="E335" s="64"/>
      <c r="F335" s="64"/>
    </row>
    <row r="336" spans="1:6" ht="12.75">
      <c r="A336" s="64"/>
      <c r="B336" s="64"/>
      <c r="C336" s="64"/>
      <c r="D336" s="65"/>
      <c r="E336" s="64"/>
      <c r="F336" s="64"/>
    </row>
    <row r="337" spans="1:6" ht="12.75">
      <c r="A337" s="64"/>
      <c r="B337" s="64"/>
      <c r="C337" s="64"/>
      <c r="D337" s="65"/>
      <c r="E337" s="64"/>
      <c r="F337" s="64"/>
    </row>
    <row r="338" spans="1:6" ht="12.75">
      <c r="A338" s="64"/>
      <c r="B338" s="64"/>
      <c r="C338" s="64"/>
      <c r="D338" s="65"/>
      <c r="E338" s="64"/>
      <c r="F338" s="64"/>
    </row>
    <row r="339" spans="1:6" ht="12.75">
      <c r="A339" s="64"/>
      <c r="B339" s="64"/>
      <c r="C339" s="64"/>
      <c r="D339" s="65"/>
      <c r="E339" s="64"/>
      <c r="F339" s="64"/>
    </row>
    <row r="340" spans="1:6" ht="12.75">
      <c r="A340" s="64"/>
      <c r="B340" s="64"/>
      <c r="C340" s="64"/>
      <c r="D340" s="65"/>
      <c r="E340" s="64"/>
      <c r="F340" s="64"/>
    </row>
    <row r="341" spans="1:6" ht="12.75">
      <c r="A341" s="64"/>
      <c r="B341" s="64"/>
      <c r="C341" s="64"/>
      <c r="D341" s="65"/>
      <c r="E341" s="64"/>
      <c r="F341" s="64"/>
    </row>
    <row r="342" spans="1:6" ht="12.75">
      <c r="A342" s="64"/>
      <c r="B342" s="64"/>
      <c r="C342" s="64"/>
      <c r="D342" s="65"/>
      <c r="E342" s="64"/>
      <c r="F342" s="64"/>
    </row>
    <row r="343" spans="1:6" ht="12.75">
      <c r="A343" s="64"/>
      <c r="B343" s="64"/>
      <c r="C343" s="64"/>
      <c r="D343" s="65"/>
      <c r="E343" s="64"/>
      <c r="F343" s="64"/>
    </row>
    <row r="344" spans="1:6" ht="12.75">
      <c r="A344" s="64"/>
      <c r="B344" s="64"/>
      <c r="C344" s="64"/>
      <c r="D344" s="65"/>
      <c r="E344" s="64"/>
      <c r="F344" s="64"/>
    </row>
    <row r="345" spans="1:6" ht="12.75">
      <c r="A345" s="64"/>
      <c r="B345" s="64"/>
      <c r="C345" s="64"/>
      <c r="D345" s="65"/>
      <c r="E345" s="64"/>
      <c r="F345" s="64"/>
    </row>
    <row r="346" spans="1:6" ht="12.75">
      <c r="A346" s="64"/>
      <c r="B346" s="64"/>
      <c r="C346" s="64"/>
      <c r="D346" s="65"/>
      <c r="E346" s="64"/>
      <c r="F346" s="64"/>
    </row>
    <row r="347" spans="1:6" ht="12.75">
      <c r="A347" s="64"/>
      <c r="B347" s="64"/>
      <c r="C347" s="64"/>
      <c r="D347" s="65"/>
      <c r="E347" s="64"/>
      <c r="F347" s="64"/>
    </row>
    <row r="348" spans="1:6" ht="12.75">
      <c r="A348" s="64"/>
      <c r="B348" s="64"/>
      <c r="C348" s="64"/>
      <c r="D348" s="65"/>
      <c r="E348" s="64"/>
      <c r="F348" s="64"/>
    </row>
    <row r="349" spans="1:6" ht="12.75">
      <c r="A349" s="64"/>
      <c r="B349" s="64"/>
      <c r="C349" s="64"/>
      <c r="D349" s="65"/>
      <c r="E349" s="64"/>
      <c r="F349" s="64"/>
    </row>
    <row r="350" spans="1:6" ht="12.75">
      <c r="A350" s="64"/>
      <c r="B350" s="64"/>
      <c r="C350" s="64"/>
      <c r="D350" s="65"/>
      <c r="E350" s="64"/>
      <c r="F350" s="64"/>
    </row>
    <row r="351" spans="1:6" ht="12.75">
      <c r="A351" s="64"/>
      <c r="B351" s="64"/>
      <c r="C351" s="64"/>
      <c r="D351" s="65"/>
      <c r="E351" s="64"/>
      <c r="F351" s="64"/>
    </row>
    <row r="352" spans="1:6" ht="12.75">
      <c r="A352" s="64"/>
      <c r="B352" s="64"/>
      <c r="C352" s="64"/>
      <c r="D352" s="65"/>
      <c r="E352" s="64"/>
      <c r="F352" s="64"/>
    </row>
    <row r="353" spans="1:6" ht="12.75">
      <c r="A353" s="64"/>
      <c r="B353" s="64"/>
      <c r="C353" s="64"/>
      <c r="D353" s="65"/>
      <c r="E353" s="64"/>
      <c r="F353" s="64"/>
    </row>
    <row r="354" spans="1:6" ht="12.75">
      <c r="A354" s="64"/>
      <c r="B354" s="64"/>
      <c r="C354" s="64"/>
      <c r="D354" s="65"/>
      <c r="E354" s="64"/>
      <c r="F354" s="64"/>
    </row>
    <row r="355" spans="1:6" ht="12.75">
      <c r="A355" s="64"/>
      <c r="B355" s="64"/>
      <c r="C355" s="64"/>
      <c r="D355" s="65"/>
      <c r="E355" s="64"/>
      <c r="F355" s="64"/>
    </row>
    <row r="356" spans="1:6" ht="12.75">
      <c r="A356" s="64"/>
      <c r="B356" s="64"/>
      <c r="C356" s="64"/>
      <c r="D356" s="65"/>
      <c r="E356" s="64"/>
      <c r="F356" s="64"/>
    </row>
    <row r="357" spans="1:6" ht="12.75">
      <c r="A357" s="64"/>
      <c r="B357" s="64"/>
      <c r="C357" s="64"/>
      <c r="D357" s="65"/>
      <c r="E357" s="64"/>
      <c r="F357" s="64"/>
    </row>
    <row r="358" spans="1:6" ht="12.75">
      <c r="A358" s="64"/>
      <c r="B358" s="64"/>
      <c r="C358" s="64"/>
      <c r="D358" s="65"/>
      <c r="E358" s="64"/>
      <c r="F358" s="64"/>
    </row>
    <row r="359" spans="1:6" ht="12.75">
      <c r="A359" s="64"/>
      <c r="B359" s="64"/>
      <c r="C359" s="64"/>
      <c r="D359" s="65"/>
      <c r="E359" s="64"/>
      <c r="F359" s="64"/>
    </row>
    <row r="360" spans="1:6" ht="12.75">
      <c r="A360" s="64"/>
      <c r="B360" s="64"/>
      <c r="C360" s="64"/>
      <c r="D360" s="65"/>
      <c r="E360" s="64"/>
      <c r="F360" s="64"/>
    </row>
    <row r="361" spans="1:6" ht="12.75">
      <c r="A361" s="64"/>
      <c r="B361" s="64"/>
      <c r="C361" s="64"/>
      <c r="D361" s="65"/>
      <c r="E361" s="64"/>
      <c r="F361" s="64"/>
    </row>
    <row r="362" spans="1:6" ht="12.75">
      <c r="A362" s="64"/>
      <c r="B362" s="64"/>
      <c r="C362" s="64"/>
      <c r="D362" s="65"/>
      <c r="E362" s="64"/>
      <c r="F362" s="64"/>
    </row>
    <row r="363" spans="1:6" ht="12.75">
      <c r="A363" s="64"/>
      <c r="B363" s="64"/>
      <c r="C363" s="64"/>
      <c r="D363" s="65"/>
      <c r="E363" s="64"/>
      <c r="F363" s="64"/>
    </row>
    <row r="364" spans="1:6" ht="12.75">
      <c r="A364" s="64"/>
      <c r="B364" s="64"/>
      <c r="C364" s="64"/>
      <c r="D364" s="65"/>
      <c r="E364" s="64"/>
      <c r="F364" s="64"/>
    </row>
    <row r="365" spans="1:6" ht="12.75">
      <c r="A365" s="64"/>
      <c r="B365" s="64"/>
      <c r="C365" s="64"/>
      <c r="D365" s="65"/>
      <c r="E365" s="64"/>
      <c r="F365" s="64"/>
    </row>
    <row r="366" spans="1:6" ht="12.75">
      <c r="A366" s="64"/>
      <c r="B366" s="64"/>
      <c r="C366" s="64"/>
      <c r="D366" s="65"/>
      <c r="E366" s="64"/>
      <c r="F366" s="64"/>
    </row>
    <row r="367" spans="1:6" ht="12.75">
      <c r="A367" s="64"/>
      <c r="B367" s="64"/>
      <c r="C367" s="64"/>
      <c r="D367" s="65"/>
      <c r="E367" s="64"/>
      <c r="F367" s="64"/>
    </row>
    <row r="368" spans="1:6" ht="12.75">
      <c r="A368" s="64"/>
      <c r="B368" s="64"/>
      <c r="C368" s="64"/>
      <c r="D368" s="65"/>
      <c r="E368" s="64"/>
      <c r="F368" s="64"/>
    </row>
    <row r="369" spans="1:6" ht="12.75">
      <c r="A369" s="64"/>
      <c r="B369" s="64"/>
      <c r="C369" s="64"/>
      <c r="D369" s="65"/>
      <c r="E369" s="64"/>
      <c r="F369" s="64"/>
    </row>
    <row r="370" spans="1:6" ht="12.75">
      <c r="A370" s="64"/>
      <c r="B370" s="64"/>
      <c r="C370" s="64"/>
      <c r="D370" s="65"/>
      <c r="E370" s="64"/>
      <c r="F370" s="64"/>
    </row>
    <row r="371" spans="1:6" ht="12.75">
      <c r="A371" s="64"/>
      <c r="B371" s="64"/>
      <c r="C371" s="64"/>
      <c r="D371" s="65"/>
      <c r="E371" s="64"/>
      <c r="F371" s="64"/>
    </row>
    <row r="372" spans="1:6" ht="12.75">
      <c r="A372" s="64"/>
      <c r="B372" s="64"/>
      <c r="C372" s="64"/>
      <c r="D372" s="65"/>
      <c r="E372" s="64"/>
      <c r="F372" s="64"/>
    </row>
    <row r="373" spans="1:6" ht="12.75">
      <c r="A373" s="64"/>
      <c r="B373" s="64"/>
      <c r="C373" s="64"/>
      <c r="D373" s="65"/>
      <c r="E373" s="64"/>
      <c r="F373" s="64"/>
    </row>
    <row r="374" spans="1:6" ht="12.75">
      <c r="A374" s="64"/>
      <c r="B374" s="64"/>
      <c r="C374" s="64"/>
      <c r="D374" s="65"/>
      <c r="E374" s="64"/>
      <c r="F374" s="64"/>
    </row>
    <row r="375" spans="1:6" ht="12.75">
      <c r="A375" s="64"/>
      <c r="B375" s="64"/>
      <c r="C375" s="64"/>
      <c r="D375" s="65"/>
      <c r="E375" s="64"/>
      <c r="F375" s="64"/>
    </row>
    <row r="376" spans="1:6" ht="12.75">
      <c r="A376" s="64"/>
      <c r="B376" s="64"/>
      <c r="C376" s="64"/>
      <c r="D376" s="65"/>
      <c r="E376" s="64"/>
      <c r="F376" s="64"/>
    </row>
    <row r="377" spans="1:6" ht="12.75">
      <c r="A377" s="64"/>
      <c r="B377" s="64"/>
      <c r="C377" s="64"/>
      <c r="D377" s="65"/>
      <c r="E377" s="64"/>
      <c r="F377" s="64"/>
    </row>
    <row r="378" spans="1:6" ht="12.75">
      <c r="A378" s="64"/>
      <c r="B378" s="64"/>
      <c r="C378" s="64"/>
      <c r="D378" s="65"/>
      <c r="E378" s="64"/>
      <c r="F378" s="64"/>
    </row>
    <row r="379" spans="1:6" ht="12.75">
      <c r="A379" s="64"/>
      <c r="B379" s="64"/>
      <c r="C379" s="64"/>
      <c r="D379" s="65"/>
      <c r="E379" s="64"/>
      <c r="F379" s="64"/>
    </row>
    <row r="380" spans="1:6" ht="12.75">
      <c r="A380" s="64"/>
      <c r="B380" s="64"/>
      <c r="C380" s="64"/>
      <c r="D380" s="65"/>
      <c r="E380" s="64"/>
      <c r="F380" s="64"/>
    </row>
    <row r="381" spans="1:6" ht="12.75">
      <c r="A381" s="64"/>
      <c r="B381" s="64"/>
      <c r="C381" s="64"/>
      <c r="D381" s="65"/>
      <c r="E381" s="64"/>
      <c r="F381" s="64"/>
    </row>
    <row r="382" spans="1:6" ht="12.75">
      <c r="A382" s="64"/>
      <c r="B382" s="64"/>
      <c r="C382" s="64"/>
      <c r="D382" s="65"/>
      <c r="E382" s="64"/>
      <c r="F382" s="64"/>
    </row>
    <row r="383" spans="1:6" ht="12.75">
      <c r="A383" s="64"/>
      <c r="B383" s="64"/>
      <c r="C383" s="64"/>
      <c r="D383" s="65"/>
      <c r="E383" s="64"/>
      <c r="F383" s="64"/>
    </row>
    <row r="384" spans="1:6" ht="12.75">
      <c r="A384" s="64"/>
      <c r="B384" s="64"/>
      <c r="C384" s="64"/>
      <c r="D384" s="65"/>
      <c r="E384" s="64"/>
      <c r="F384" s="64"/>
    </row>
    <row r="385" spans="1:6" ht="12.75">
      <c r="A385" s="64"/>
      <c r="B385" s="64"/>
      <c r="C385" s="64"/>
      <c r="D385" s="65"/>
      <c r="E385" s="64"/>
      <c r="F385" s="64"/>
    </row>
    <row r="386" spans="1:6" ht="12.75">
      <c r="A386" s="64"/>
      <c r="B386" s="64"/>
      <c r="C386" s="64"/>
      <c r="D386" s="65"/>
      <c r="E386" s="64"/>
      <c r="F386" s="64"/>
    </row>
    <row r="387" spans="1:6" ht="12.75">
      <c r="A387" s="64"/>
      <c r="B387" s="64"/>
      <c r="C387" s="64"/>
      <c r="D387" s="65"/>
      <c r="E387" s="64"/>
      <c r="F387" s="64"/>
    </row>
    <row r="388" spans="1:6" ht="12.75">
      <c r="A388" s="64"/>
      <c r="B388" s="64"/>
      <c r="C388" s="64"/>
      <c r="D388" s="65"/>
      <c r="E388" s="64"/>
      <c r="F388" s="64"/>
    </row>
    <row r="389" spans="1:6" ht="12.75">
      <c r="A389" s="64"/>
      <c r="B389" s="64"/>
      <c r="C389" s="64"/>
      <c r="D389" s="65"/>
      <c r="E389" s="64"/>
      <c r="F389" s="64"/>
    </row>
    <row r="390" spans="1:6" ht="12.75">
      <c r="A390" s="64"/>
      <c r="B390" s="64"/>
      <c r="C390" s="64"/>
      <c r="D390" s="65"/>
      <c r="E390" s="64"/>
      <c r="F390" s="64"/>
    </row>
    <row r="391" spans="1:6" ht="12.75">
      <c r="A391" s="64"/>
      <c r="B391" s="64"/>
      <c r="C391" s="64"/>
      <c r="D391" s="65"/>
      <c r="E391" s="64"/>
      <c r="F391" s="64"/>
    </row>
    <row r="392" spans="1:6" ht="12.75">
      <c r="A392" s="64"/>
      <c r="B392" s="64"/>
      <c r="C392" s="64"/>
      <c r="D392" s="65"/>
      <c r="E392" s="64"/>
      <c r="F392" s="64"/>
    </row>
    <row r="393" spans="1:6" ht="12.75">
      <c r="A393" s="64"/>
      <c r="B393" s="64"/>
      <c r="C393" s="64"/>
      <c r="D393" s="65"/>
      <c r="E393" s="64"/>
      <c r="F393" s="64"/>
    </row>
    <row r="394" spans="1:6" ht="12.75">
      <c r="A394" s="64"/>
      <c r="B394" s="64"/>
      <c r="C394" s="64"/>
      <c r="D394" s="65"/>
      <c r="E394" s="64"/>
      <c r="F394" s="64"/>
    </row>
    <row r="395" spans="1:6" ht="12.75">
      <c r="A395" s="64"/>
      <c r="B395" s="64"/>
      <c r="C395" s="64"/>
      <c r="D395" s="65"/>
      <c r="E395" s="64"/>
      <c r="F395" s="64"/>
    </row>
    <row r="396" spans="1:6" ht="12.75">
      <c r="A396" s="64"/>
      <c r="B396" s="64"/>
      <c r="C396" s="64"/>
      <c r="D396" s="65"/>
      <c r="E396" s="64"/>
      <c r="F396" s="64"/>
    </row>
    <row r="397" spans="1:6" ht="12.75">
      <c r="A397" s="64"/>
      <c r="B397" s="64"/>
      <c r="C397" s="64"/>
      <c r="D397" s="65"/>
      <c r="E397" s="64"/>
      <c r="F397" s="64"/>
    </row>
    <row r="398" spans="1:6" ht="12.75">
      <c r="A398" s="64"/>
      <c r="B398" s="64"/>
      <c r="C398" s="64"/>
      <c r="D398" s="65"/>
      <c r="E398" s="64"/>
      <c r="F398" s="64"/>
    </row>
    <row r="399" spans="1:6" ht="12.75">
      <c r="A399" s="64"/>
      <c r="B399" s="64"/>
      <c r="C399" s="64"/>
      <c r="D399" s="65"/>
      <c r="E399" s="64"/>
      <c r="F399" s="64"/>
    </row>
    <row r="400" spans="1:6" ht="12.75">
      <c r="A400" s="64"/>
      <c r="B400" s="64"/>
      <c r="C400" s="64"/>
      <c r="D400" s="65"/>
      <c r="E400" s="64"/>
      <c r="F400" s="64"/>
    </row>
    <row r="401" spans="1:6" ht="12.75">
      <c r="A401" s="64"/>
      <c r="B401" s="64"/>
      <c r="C401" s="64"/>
      <c r="D401" s="65"/>
      <c r="E401" s="64"/>
      <c r="F401" s="64"/>
    </row>
    <row r="402" spans="1:6" ht="12.75">
      <c r="A402" s="64"/>
      <c r="B402" s="64"/>
      <c r="C402" s="64"/>
      <c r="D402" s="65"/>
      <c r="E402" s="64"/>
      <c r="F402" s="64"/>
    </row>
    <row r="403" spans="1:6" ht="12.75">
      <c r="A403" s="64"/>
      <c r="B403" s="64"/>
      <c r="C403" s="64"/>
      <c r="D403" s="65"/>
      <c r="E403" s="64"/>
      <c r="F403" s="64"/>
    </row>
    <row r="404" spans="1:6" ht="12.75">
      <c r="A404" s="64"/>
      <c r="B404" s="64"/>
      <c r="C404" s="64"/>
      <c r="D404" s="65"/>
      <c r="E404" s="64"/>
      <c r="F404" s="64"/>
    </row>
    <row r="405" spans="1:6" ht="12.75">
      <c r="A405" s="64"/>
      <c r="B405" s="64"/>
      <c r="C405" s="64"/>
      <c r="D405" s="65"/>
      <c r="E405" s="64"/>
      <c r="F405" s="64"/>
    </row>
    <row r="406" spans="1:6" ht="12.75">
      <c r="A406" s="64"/>
      <c r="B406" s="64"/>
      <c r="C406" s="64"/>
      <c r="D406" s="65"/>
      <c r="E406" s="64"/>
      <c r="F406" s="64"/>
    </row>
    <row r="407" spans="1:6" ht="12.75">
      <c r="A407" s="64"/>
      <c r="B407" s="64"/>
      <c r="C407" s="64"/>
      <c r="D407" s="65"/>
      <c r="E407" s="64"/>
      <c r="F407" s="64"/>
    </row>
    <row r="408" spans="1:6" ht="12.75">
      <c r="A408" s="64"/>
      <c r="B408" s="64"/>
      <c r="C408" s="64"/>
      <c r="D408" s="65"/>
      <c r="E408" s="64"/>
      <c r="F408" s="64"/>
    </row>
    <row r="409" spans="1:6" ht="12.75">
      <c r="A409" s="64"/>
      <c r="B409" s="64"/>
      <c r="C409" s="64"/>
      <c r="D409" s="65"/>
      <c r="E409" s="64"/>
      <c r="F409" s="64"/>
    </row>
    <row r="410" spans="1:6" ht="12.75">
      <c r="A410" s="64"/>
      <c r="B410" s="64"/>
      <c r="C410" s="64"/>
      <c r="D410" s="65"/>
      <c r="E410" s="64"/>
      <c r="F410" s="64"/>
    </row>
    <row r="411" spans="1:6" ht="12.75">
      <c r="A411" s="64"/>
      <c r="B411" s="64"/>
      <c r="C411" s="64"/>
      <c r="D411" s="65"/>
      <c r="E411" s="64"/>
      <c r="F411" s="64"/>
    </row>
    <row r="412" spans="1:6" ht="12.75">
      <c r="A412" s="64"/>
      <c r="B412" s="64"/>
      <c r="C412" s="64"/>
      <c r="D412" s="65"/>
      <c r="E412" s="64"/>
      <c r="F412" s="64"/>
    </row>
    <row r="413" spans="1:6" ht="12.75">
      <c r="A413" s="64"/>
      <c r="B413" s="64"/>
      <c r="C413" s="64"/>
      <c r="D413" s="65"/>
      <c r="E413" s="64"/>
      <c r="F413" s="64"/>
    </row>
    <row r="414" spans="1:6" ht="12.75">
      <c r="A414" s="64"/>
      <c r="B414" s="64"/>
      <c r="C414" s="64"/>
      <c r="D414" s="65"/>
      <c r="E414" s="64"/>
      <c r="F414" s="64"/>
    </row>
    <row r="415" spans="1:6" ht="12.75">
      <c r="A415" s="64"/>
      <c r="B415" s="64"/>
      <c r="C415" s="64"/>
      <c r="D415" s="65"/>
      <c r="E415" s="64"/>
      <c r="F415" s="64"/>
    </row>
    <row r="416" spans="1:6" ht="12.75">
      <c r="A416" s="64"/>
      <c r="B416" s="64"/>
      <c r="C416" s="64"/>
      <c r="D416" s="65"/>
      <c r="E416" s="64"/>
      <c r="F416" s="64"/>
    </row>
    <row r="417" spans="1:6" ht="12.75">
      <c r="A417" s="64"/>
      <c r="B417" s="64"/>
      <c r="C417" s="64"/>
      <c r="D417" s="65"/>
      <c r="E417" s="64"/>
      <c r="F417" s="64"/>
    </row>
    <row r="418" spans="1:6" ht="12.75">
      <c r="A418" s="64"/>
      <c r="B418" s="64"/>
      <c r="C418" s="64"/>
      <c r="D418" s="65"/>
      <c r="E418" s="64"/>
      <c r="F418" s="64"/>
    </row>
    <row r="419" spans="1:6" ht="12.75">
      <c r="A419" s="64"/>
      <c r="B419" s="64"/>
      <c r="C419" s="64"/>
      <c r="D419" s="65"/>
      <c r="E419" s="64"/>
      <c r="F419" s="64"/>
    </row>
    <row r="420" spans="1:6" ht="12.75">
      <c r="A420" s="64"/>
      <c r="B420" s="64"/>
      <c r="C420" s="64"/>
      <c r="D420" s="65"/>
      <c r="E420" s="64"/>
      <c r="F420" s="64"/>
    </row>
    <row r="421" spans="1:6" ht="12.75">
      <c r="A421" s="64"/>
      <c r="B421" s="64"/>
      <c r="C421" s="64"/>
      <c r="D421" s="65"/>
      <c r="E421" s="64"/>
      <c r="F421" s="64"/>
    </row>
    <row r="422" spans="1:6" ht="12.75">
      <c r="A422" s="64"/>
      <c r="B422" s="64"/>
      <c r="C422" s="64"/>
      <c r="D422" s="65"/>
      <c r="E422" s="64"/>
      <c r="F422" s="64"/>
    </row>
    <row r="423" spans="1:6" ht="12.75">
      <c r="A423" s="64"/>
      <c r="B423" s="64"/>
      <c r="C423" s="64"/>
      <c r="D423" s="65"/>
      <c r="E423" s="64"/>
      <c r="F423" s="64"/>
    </row>
    <row r="424" spans="1:6" ht="12.75">
      <c r="A424" s="64"/>
      <c r="B424" s="64"/>
      <c r="C424" s="64"/>
      <c r="D424" s="65"/>
      <c r="E424" s="64"/>
      <c r="F424" s="64"/>
    </row>
    <row r="425" spans="1:6" ht="12.75">
      <c r="A425" s="64"/>
      <c r="B425" s="64"/>
      <c r="C425" s="64"/>
      <c r="D425" s="65"/>
      <c r="E425" s="64"/>
      <c r="F425" s="64"/>
    </row>
    <row r="426" spans="1:6" ht="12.75">
      <c r="A426" s="64"/>
      <c r="B426" s="64"/>
      <c r="C426" s="64"/>
      <c r="D426" s="65"/>
      <c r="E426" s="64"/>
      <c r="F426" s="64"/>
    </row>
    <row r="427" spans="1:6" ht="12.75">
      <c r="A427" s="64"/>
      <c r="B427" s="64"/>
      <c r="C427" s="64"/>
      <c r="D427" s="65"/>
      <c r="E427" s="64"/>
      <c r="F427" s="64"/>
    </row>
    <row r="428" spans="1:6" ht="12.75">
      <c r="A428" s="64"/>
      <c r="B428" s="64"/>
      <c r="C428" s="64"/>
      <c r="D428" s="65"/>
      <c r="E428" s="64"/>
      <c r="F428" s="64"/>
    </row>
    <row r="429" spans="1:6" ht="12.75">
      <c r="A429" s="64"/>
      <c r="B429" s="64"/>
      <c r="C429" s="64"/>
      <c r="D429" s="65"/>
      <c r="E429" s="64"/>
      <c r="F429" s="64"/>
    </row>
    <row r="430" spans="1:6" ht="12.75">
      <c r="A430" s="64"/>
      <c r="B430" s="64"/>
      <c r="C430" s="64"/>
      <c r="D430" s="65"/>
      <c r="E430" s="64"/>
      <c r="F430" s="64"/>
    </row>
    <row r="431" spans="1:6" ht="12.75">
      <c r="A431" s="64"/>
      <c r="B431" s="64"/>
      <c r="C431" s="64"/>
      <c r="D431" s="65"/>
      <c r="E431" s="64"/>
      <c r="F431" s="64"/>
    </row>
    <row r="432" spans="1:6" ht="12.75">
      <c r="A432" s="64"/>
      <c r="B432" s="64"/>
      <c r="C432" s="64"/>
      <c r="D432" s="65"/>
      <c r="E432" s="64"/>
      <c r="F432" s="64"/>
    </row>
    <row r="433" spans="1:6" ht="12.75">
      <c r="A433" s="64"/>
      <c r="B433" s="64"/>
      <c r="C433" s="64"/>
      <c r="D433" s="65"/>
      <c r="E433" s="64"/>
      <c r="F433" s="64"/>
    </row>
    <row r="434" spans="1:6" ht="12.75">
      <c r="A434" s="64"/>
      <c r="B434" s="64"/>
      <c r="C434" s="64"/>
      <c r="D434" s="65"/>
      <c r="E434" s="64"/>
      <c r="F434" s="64"/>
    </row>
    <row r="435" spans="1:6" ht="12.75">
      <c r="A435" s="64"/>
      <c r="B435" s="64"/>
      <c r="C435" s="64"/>
      <c r="D435" s="65"/>
      <c r="E435" s="64"/>
      <c r="F435" s="64"/>
    </row>
    <row r="436" spans="1:6" ht="12.75">
      <c r="A436" s="64"/>
      <c r="B436" s="64"/>
      <c r="C436" s="64"/>
      <c r="D436" s="65"/>
      <c r="E436" s="64"/>
      <c r="F436" s="64"/>
    </row>
    <row r="437" spans="1:6" ht="12.75">
      <c r="A437" s="64"/>
      <c r="B437" s="64"/>
      <c r="C437" s="64"/>
      <c r="D437" s="65"/>
      <c r="E437" s="64"/>
      <c r="F437" s="64"/>
    </row>
    <row r="438" spans="1:6" ht="12.75">
      <c r="A438" s="64"/>
      <c r="B438" s="64"/>
      <c r="C438" s="64"/>
      <c r="D438" s="65"/>
      <c r="E438" s="64"/>
      <c r="F438" s="64"/>
    </row>
    <row r="439" spans="1:6" ht="12.75">
      <c r="A439" s="64"/>
      <c r="B439" s="64"/>
      <c r="C439" s="64"/>
      <c r="D439" s="65"/>
      <c r="E439" s="64"/>
      <c r="F439" s="64"/>
    </row>
    <row r="440" spans="1:6" ht="12.75">
      <c r="A440" s="64"/>
      <c r="B440" s="64"/>
      <c r="C440" s="64"/>
      <c r="D440" s="65"/>
      <c r="E440" s="64"/>
      <c r="F440" s="64"/>
    </row>
    <row r="441" spans="1:6" ht="12.75">
      <c r="A441" s="64"/>
      <c r="B441" s="64"/>
      <c r="C441" s="64"/>
      <c r="D441" s="65"/>
      <c r="E441" s="64"/>
      <c r="F441" s="64"/>
    </row>
    <row r="442" spans="1:6" ht="12.75">
      <c r="A442" s="64"/>
      <c r="B442" s="64"/>
      <c r="C442" s="64"/>
      <c r="D442" s="65"/>
      <c r="E442" s="64"/>
      <c r="F442" s="64"/>
    </row>
    <row r="443" spans="1:6" ht="12.75">
      <c r="A443" s="64"/>
      <c r="B443" s="64"/>
      <c r="C443" s="64"/>
      <c r="D443" s="65"/>
      <c r="E443" s="64"/>
      <c r="F443" s="64"/>
    </row>
    <row r="444" spans="1:6" ht="12.75">
      <c r="A444" s="64"/>
      <c r="B444" s="64"/>
      <c r="C444" s="64"/>
      <c r="D444" s="65"/>
      <c r="E444" s="64"/>
      <c r="F444" s="64"/>
    </row>
    <row r="445" spans="1:6" ht="12.75">
      <c r="A445" s="64"/>
      <c r="B445" s="64"/>
      <c r="C445" s="64"/>
      <c r="D445" s="65"/>
      <c r="E445" s="64"/>
      <c r="F445" s="64"/>
    </row>
    <row r="446" spans="1:6" ht="12.75">
      <c r="A446" s="64"/>
      <c r="B446" s="64"/>
      <c r="C446" s="64"/>
      <c r="D446" s="65"/>
      <c r="E446" s="64"/>
      <c r="F446" s="64"/>
    </row>
    <row r="447" spans="1:6" ht="12.75">
      <c r="A447" s="64"/>
      <c r="B447" s="64"/>
      <c r="C447" s="64"/>
      <c r="D447" s="65"/>
      <c r="E447" s="64"/>
      <c r="F447" s="64"/>
    </row>
    <row r="448" spans="1:6" ht="12.75">
      <c r="A448" s="64"/>
      <c r="B448" s="64"/>
      <c r="C448" s="64"/>
      <c r="D448" s="65"/>
      <c r="E448" s="64"/>
      <c r="F448" s="64"/>
    </row>
    <row r="449" spans="1:6" ht="12.75">
      <c r="A449" s="64"/>
      <c r="B449" s="64"/>
      <c r="C449" s="64"/>
      <c r="D449" s="65"/>
      <c r="E449" s="64"/>
      <c r="F449" s="64"/>
    </row>
    <row r="450" spans="1:6" ht="12.75">
      <c r="A450" s="64"/>
      <c r="B450" s="64"/>
      <c r="C450" s="64"/>
      <c r="D450" s="65"/>
      <c r="E450" s="64"/>
      <c r="F450" s="64"/>
    </row>
    <row r="451" spans="1:6" ht="12.75">
      <c r="A451" s="64"/>
      <c r="B451" s="64"/>
      <c r="C451" s="64"/>
      <c r="D451" s="65"/>
      <c r="E451" s="64"/>
      <c r="F451" s="64"/>
    </row>
    <row r="452" spans="1:6" ht="12.75">
      <c r="A452" s="64"/>
      <c r="B452" s="64"/>
      <c r="C452" s="64"/>
      <c r="D452" s="65"/>
      <c r="E452" s="64"/>
      <c r="F452" s="64"/>
    </row>
    <row r="453" spans="1:6" ht="12.75">
      <c r="A453" s="64"/>
      <c r="B453" s="64"/>
      <c r="C453" s="64"/>
      <c r="D453" s="65"/>
      <c r="E453" s="64"/>
      <c r="F453" s="64"/>
    </row>
    <row r="454" spans="1:6" ht="12.75">
      <c r="A454" s="64"/>
      <c r="B454" s="64"/>
      <c r="C454" s="64"/>
      <c r="D454" s="65"/>
      <c r="E454" s="64"/>
      <c r="F454" s="64"/>
    </row>
    <row r="455" spans="1:6" ht="12.75">
      <c r="A455" s="64"/>
      <c r="B455" s="64"/>
      <c r="C455" s="64"/>
      <c r="D455" s="65"/>
      <c r="E455" s="64"/>
      <c r="F455" s="64"/>
    </row>
    <row r="456" spans="1:6" ht="12.75">
      <c r="A456" s="64"/>
      <c r="B456" s="64"/>
      <c r="C456" s="64"/>
      <c r="D456" s="65"/>
      <c r="E456" s="64"/>
      <c r="F456" s="64"/>
    </row>
    <row r="457" spans="1:6" ht="12.75">
      <c r="A457" s="64"/>
      <c r="B457" s="64"/>
      <c r="C457" s="64"/>
      <c r="D457" s="65"/>
      <c r="E457" s="64"/>
      <c r="F457" s="64"/>
    </row>
    <row r="458" spans="1:6" ht="12.75">
      <c r="A458" s="64"/>
      <c r="B458" s="64"/>
      <c r="C458" s="64"/>
      <c r="D458" s="65"/>
      <c r="E458" s="64"/>
      <c r="F458" s="64"/>
    </row>
    <row r="459" spans="1:6" ht="12.75">
      <c r="A459" s="64"/>
      <c r="B459" s="64"/>
      <c r="C459" s="64"/>
      <c r="D459" s="65"/>
      <c r="E459" s="64"/>
      <c r="F459" s="64"/>
    </row>
    <row r="460" spans="1:6" ht="12.75">
      <c r="A460" s="64"/>
      <c r="B460" s="64"/>
      <c r="C460" s="64"/>
      <c r="D460" s="65"/>
      <c r="E460" s="64"/>
      <c r="F460" s="64"/>
    </row>
    <row r="461" spans="1:6" ht="12.75">
      <c r="A461" s="64"/>
      <c r="B461" s="64"/>
      <c r="C461" s="64"/>
      <c r="D461" s="65"/>
      <c r="E461" s="64"/>
      <c r="F461" s="64"/>
    </row>
    <row r="462" spans="1:6" ht="12.75">
      <c r="A462" s="64"/>
      <c r="B462" s="64"/>
      <c r="C462" s="64"/>
      <c r="D462" s="65"/>
      <c r="E462" s="64"/>
      <c r="F462" s="64"/>
    </row>
    <row r="463" spans="1:6" ht="12.75">
      <c r="A463" s="64"/>
      <c r="B463" s="64"/>
      <c r="C463" s="64"/>
      <c r="D463" s="65"/>
      <c r="E463" s="64"/>
      <c r="F463" s="64"/>
    </row>
    <row r="464" spans="1:6" ht="12.75">
      <c r="A464" s="64"/>
      <c r="B464" s="64"/>
      <c r="C464" s="64"/>
      <c r="D464" s="65"/>
      <c r="E464" s="64"/>
      <c r="F464" s="64"/>
    </row>
    <row r="465" spans="1:6" ht="12.75">
      <c r="A465" s="64"/>
      <c r="B465" s="64"/>
      <c r="C465" s="64"/>
      <c r="D465" s="65"/>
      <c r="E465" s="64"/>
      <c r="F465" s="64"/>
    </row>
    <row r="466" spans="1:6" ht="12.75">
      <c r="A466" s="64"/>
      <c r="B466" s="64"/>
      <c r="C466" s="64"/>
      <c r="D466" s="65"/>
      <c r="E466" s="64"/>
      <c r="F466" s="64"/>
    </row>
    <row r="467" spans="1:6" ht="12.75">
      <c r="A467" s="64"/>
      <c r="B467" s="64"/>
      <c r="C467" s="64"/>
      <c r="D467" s="65"/>
      <c r="E467" s="64"/>
      <c r="F467" s="64"/>
    </row>
    <row r="468" spans="1:6" ht="12.75">
      <c r="A468" s="64"/>
      <c r="B468" s="64"/>
      <c r="C468" s="64"/>
      <c r="D468" s="65"/>
      <c r="E468" s="64"/>
      <c r="F468" s="64"/>
    </row>
    <row r="469" spans="1:6" ht="12.75">
      <c r="A469" s="64"/>
      <c r="B469" s="64"/>
      <c r="C469" s="64"/>
      <c r="D469" s="65"/>
      <c r="E469" s="64"/>
      <c r="F469" s="64"/>
    </row>
    <row r="470" spans="1:6" ht="12.75">
      <c r="A470" s="64"/>
      <c r="B470" s="64"/>
      <c r="C470" s="64"/>
      <c r="D470" s="65"/>
      <c r="E470" s="64"/>
      <c r="F470" s="64"/>
    </row>
    <row r="471" spans="1:6" ht="12.75">
      <c r="A471" s="64"/>
      <c r="B471" s="64"/>
      <c r="C471" s="64"/>
      <c r="D471" s="65"/>
      <c r="E471" s="64"/>
      <c r="F471" s="64"/>
    </row>
    <row r="472" spans="1:6" ht="12.75">
      <c r="A472" s="64"/>
      <c r="B472" s="64"/>
      <c r="C472" s="64"/>
      <c r="D472" s="65"/>
      <c r="E472" s="64"/>
      <c r="F472" s="64"/>
    </row>
    <row r="473" spans="1:6" ht="12.75">
      <c r="A473" s="64"/>
      <c r="B473" s="64"/>
      <c r="C473" s="64"/>
      <c r="D473" s="65"/>
      <c r="E473" s="64"/>
      <c r="F473" s="64"/>
    </row>
    <row r="474" spans="1:6" ht="12.75">
      <c r="A474" s="64"/>
      <c r="B474" s="64"/>
      <c r="C474" s="64"/>
      <c r="D474" s="65"/>
      <c r="E474" s="64"/>
      <c r="F474" s="64"/>
    </row>
    <row r="475" spans="1:6" ht="12.75">
      <c r="A475" s="64"/>
      <c r="B475" s="64"/>
      <c r="C475" s="64"/>
      <c r="D475" s="65"/>
      <c r="E475" s="64"/>
      <c r="F475" s="64"/>
    </row>
    <row r="476" spans="1:6" ht="12.75">
      <c r="A476" s="64"/>
      <c r="B476" s="64"/>
      <c r="C476" s="64"/>
      <c r="D476" s="65"/>
      <c r="E476" s="64"/>
      <c r="F476" s="64"/>
    </row>
    <row r="477" spans="1:6" ht="12.75">
      <c r="A477" s="64"/>
      <c r="B477" s="64"/>
      <c r="C477" s="64"/>
      <c r="D477" s="65"/>
      <c r="E477" s="64"/>
      <c r="F477" s="64"/>
    </row>
    <row r="478" spans="1:6" ht="12.75">
      <c r="A478" s="64"/>
      <c r="B478" s="64"/>
      <c r="C478" s="64"/>
      <c r="D478" s="65"/>
      <c r="E478" s="64"/>
      <c r="F478" s="64"/>
    </row>
    <row r="479" spans="1:6" ht="12.75">
      <c r="A479" s="64"/>
      <c r="B479" s="64"/>
      <c r="C479" s="64"/>
      <c r="D479" s="65"/>
      <c r="E479" s="64"/>
      <c r="F479" s="64"/>
    </row>
    <row r="480" spans="1:6" ht="12.75">
      <c r="A480" s="64"/>
      <c r="B480" s="64"/>
      <c r="C480" s="64"/>
      <c r="D480" s="65"/>
      <c r="E480" s="64"/>
      <c r="F480" s="64"/>
    </row>
    <row r="481" spans="1:6" ht="12.75">
      <c r="A481" s="64"/>
      <c r="B481" s="64"/>
      <c r="C481" s="64"/>
      <c r="D481" s="65"/>
      <c r="E481" s="64"/>
      <c r="F481" s="64"/>
    </row>
    <row r="482" spans="1:6" ht="12.75">
      <c r="A482" s="64"/>
      <c r="B482" s="64"/>
      <c r="C482" s="64"/>
      <c r="D482" s="65"/>
      <c r="E482" s="64"/>
      <c r="F482" s="64"/>
    </row>
    <row r="483" spans="1:6" ht="12.75">
      <c r="A483" s="64"/>
      <c r="B483" s="64"/>
      <c r="C483" s="64"/>
      <c r="D483" s="65"/>
      <c r="E483" s="64"/>
      <c r="F483" s="64"/>
    </row>
    <row r="484" spans="1:6" ht="12.75">
      <c r="A484" s="64"/>
      <c r="B484" s="64"/>
      <c r="C484" s="64"/>
      <c r="D484" s="65"/>
      <c r="E484" s="64"/>
      <c r="F484" s="64"/>
    </row>
    <row r="485" spans="1:6" ht="12.75">
      <c r="A485" s="64"/>
      <c r="B485" s="64"/>
      <c r="C485" s="64"/>
      <c r="D485" s="65"/>
      <c r="E485" s="64"/>
      <c r="F485" s="64"/>
    </row>
    <row r="486" spans="1:6" ht="12.75">
      <c r="A486" s="64"/>
      <c r="B486" s="64"/>
      <c r="C486" s="64"/>
      <c r="D486" s="65"/>
      <c r="E486" s="64"/>
      <c r="F486" s="64"/>
    </row>
    <row r="487" spans="1:6" ht="12.75">
      <c r="A487" s="64"/>
      <c r="B487" s="64"/>
      <c r="C487" s="64"/>
      <c r="D487" s="65"/>
      <c r="E487" s="64"/>
      <c r="F487" s="64"/>
    </row>
    <row r="488" spans="1:6" ht="12.75">
      <c r="A488" s="64"/>
      <c r="B488" s="64"/>
      <c r="C488" s="64"/>
      <c r="D488" s="65"/>
      <c r="E488" s="64"/>
      <c r="F488" s="64"/>
    </row>
    <row r="489" spans="1:6" ht="12.75">
      <c r="A489" s="64"/>
      <c r="B489" s="64"/>
      <c r="C489" s="64"/>
      <c r="D489" s="65"/>
      <c r="E489" s="64"/>
      <c r="F489" s="64"/>
    </row>
    <row r="490" spans="1:6" ht="12.75">
      <c r="A490" s="64"/>
      <c r="B490" s="64"/>
      <c r="C490" s="64"/>
      <c r="D490" s="65"/>
      <c r="E490" s="64"/>
      <c r="F490" s="64"/>
    </row>
    <row r="491" spans="1:6" ht="12.75">
      <c r="A491" s="64"/>
      <c r="B491" s="64"/>
      <c r="C491" s="64"/>
      <c r="D491" s="65"/>
      <c r="E491" s="64"/>
      <c r="F491" s="64"/>
    </row>
    <row r="492" spans="1:6" ht="12.75">
      <c r="A492" s="64"/>
      <c r="B492" s="64"/>
      <c r="C492" s="64"/>
      <c r="D492" s="65"/>
      <c r="E492" s="64"/>
      <c r="F492" s="64"/>
    </row>
    <row r="493" spans="1:6" ht="12.75">
      <c r="A493" s="64"/>
      <c r="B493" s="64"/>
      <c r="C493" s="64"/>
      <c r="D493" s="65"/>
      <c r="E493" s="64"/>
      <c r="F493" s="64"/>
    </row>
    <row r="494" spans="1:6" ht="12.75">
      <c r="A494" s="64"/>
      <c r="B494" s="64"/>
      <c r="C494" s="64"/>
      <c r="D494" s="65"/>
      <c r="E494" s="64"/>
      <c r="F494" s="64"/>
    </row>
    <row r="495" spans="1:6" ht="12.75">
      <c r="A495" s="64"/>
      <c r="B495" s="64"/>
      <c r="C495" s="64"/>
      <c r="D495" s="65"/>
      <c r="E495" s="64"/>
      <c r="F495" s="64"/>
    </row>
    <row r="496" spans="1:6" ht="12.75">
      <c r="A496" s="64"/>
      <c r="B496" s="64"/>
      <c r="C496" s="64"/>
      <c r="D496" s="65"/>
      <c r="E496" s="64"/>
      <c r="F496" s="64"/>
    </row>
    <row r="497" spans="1:6" ht="12.75">
      <c r="A497" s="64"/>
      <c r="B497" s="64"/>
      <c r="C497" s="64"/>
      <c r="D497" s="65"/>
      <c r="E497" s="64"/>
      <c r="F497" s="64"/>
    </row>
    <row r="498" spans="1:6" ht="12.75">
      <c r="A498" s="64"/>
      <c r="B498" s="64"/>
      <c r="C498" s="64"/>
      <c r="D498" s="65"/>
      <c r="E498" s="64"/>
      <c r="F498" s="64"/>
    </row>
    <row r="499" spans="1:6" ht="12.75">
      <c r="A499" s="64"/>
      <c r="B499" s="64"/>
      <c r="C499" s="64"/>
      <c r="D499" s="65"/>
      <c r="E499" s="64"/>
      <c r="F499" s="64"/>
    </row>
    <row r="500" spans="1:6" ht="12.75">
      <c r="A500" s="64"/>
      <c r="B500" s="64"/>
      <c r="C500" s="64"/>
      <c r="D500" s="65"/>
      <c r="E500" s="64"/>
      <c r="F500" s="64"/>
    </row>
    <row r="501" spans="1:6" ht="12.75">
      <c r="A501" s="64"/>
      <c r="B501" s="64"/>
      <c r="C501" s="64"/>
      <c r="D501" s="65"/>
      <c r="E501" s="64"/>
      <c r="F501" s="64"/>
    </row>
    <row r="502" spans="1:6" ht="12.75">
      <c r="A502" s="64"/>
      <c r="B502" s="64"/>
      <c r="C502" s="64"/>
      <c r="D502" s="65"/>
      <c r="E502" s="64"/>
      <c r="F502" s="64"/>
    </row>
    <row r="503" spans="1:6" ht="12.75">
      <c r="A503" s="64"/>
      <c r="B503" s="64"/>
      <c r="C503" s="64"/>
      <c r="D503" s="65"/>
      <c r="E503" s="64"/>
      <c r="F503" s="64"/>
    </row>
    <row r="504" spans="1:6" ht="12.75">
      <c r="A504" s="64"/>
      <c r="B504" s="64"/>
      <c r="C504" s="64"/>
      <c r="D504" s="65"/>
      <c r="E504" s="64"/>
      <c r="F504" s="64"/>
    </row>
    <row r="505" spans="1:6" ht="12.75">
      <c r="A505" s="64"/>
      <c r="B505" s="64"/>
      <c r="C505" s="64"/>
      <c r="D505" s="65"/>
      <c r="E505" s="64"/>
      <c r="F505" s="64"/>
    </row>
    <row r="506" spans="1:6" ht="12.75">
      <c r="A506" s="64"/>
      <c r="B506" s="64"/>
      <c r="C506" s="64"/>
      <c r="D506" s="65"/>
      <c r="E506" s="64"/>
      <c r="F506" s="64"/>
    </row>
    <row r="507" spans="1:6" ht="12.75">
      <c r="A507" s="64"/>
      <c r="B507" s="64"/>
      <c r="C507" s="64"/>
      <c r="D507" s="65"/>
      <c r="E507" s="64"/>
      <c r="F507" s="64"/>
    </row>
    <row r="508" spans="1:6" ht="12.75">
      <c r="A508" s="64"/>
      <c r="B508" s="64"/>
      <c r="C508" s="64"/>
      <c r="D508" s="65"/>
      <c r="E508" s="64"/>
      <c r="F508" s="64"/>
    </row>
    <row r="509" spans="1:6" ht="12.75">
      <c r="A509" s="64"/>
      <c r="B509" s="64"/>
      <c r="C509" s="64"/>
      <c r="D509" s="65"/>
      <c r="E509" s="64"/>
      <c r="F509" s="64"/>
    </row>
    <row r="510" spans="1:6" ht="12.75">
      <c r="A510" s="64"/>
      <c r="B510" s="64"/>
      <c r="C510" s="64"/>
      <c r="D510" s="65"/>
      <c r="E510" s="64"/>
      <c r="F510" s="64"/>
    </row>
    <row r="511" spans="1:6" ht="12.75">
      <c r="A511" s="64"/>
      <c r="B511" s="64"/>
      <c r="C511" s="64"/>
      <c r="D511" s="65"/>
      <c r="E511" s="64"/>
      <c r="F511" s="64"/>
    </row>
    <row r="512" spans="1:6" ht="12.75">
      <c r="A512" s="64"/>
      <c r="B512" s="64"/>
      <c r="C512" s="64"/>
      <c r="D512" s="65"/>
      <c r="E512" s="64"/>
      <c r="F512" s="64"/>
    </row>
    <row r="513" spans="1:6" ht="12.75">
      <c r="A513" s="64"/>
      <c r="B513" s="64"/>
      <c r="C513" s="64"/>
      <c r="D513" s="65"/>
      <c r="E513" s="64"/>
      <c r="F513" s="64"/>
    </row>
    <row r="514" spans="1:6" ht="12.75">
      <c r="A514" s="64"/>
      <c r="B514" s="64"/>
      <c r="C514" s="64"/>
      <c r="D514" s="65"/>
      <c r="E514" s="64"/>
      <c r="F514" s="64"/>
    </row>
    <row r="515" spans="1:6" ht="12.75">
      <c r="A515" s="64"/>
      <c r="B515" s="64"/>
      <c r="C515" s="64"/>
      <c r="D515" s="65"/>
      <c r="E515" s="64"/>
      <c r="F515" s="64"/>
    </row>
    <row r="516" spans="1:6" ht="12.75">
      <c r="A516" s="64"/>
      <c r="B516" s="64"/>
      <c r="C516" s="64"/>
      <c r="D516" s="65"/>
      <c r="E516" s="64"/>
      <c r="F516" s="64"/>
    </row>
    <row r="517" spans="1:6" ht="12.75">
      <c r="A517" s="64"/>
      <c r="B517" s="64"/>
      <c r="C517" s="64"/>
      <c r="D517" s="65"/>
      <c r="E517" s="64"/>
      <c r="F517" s="64"/>
    </row>
    <row r="518" spans="1:6" ht="12.75">
      <c r="A518" s="64"/>
      <c r="B518" s="64"/>
      <c r="C518" s="64"/>
      <c r="D518" s="65"/>
      <c r="E518" s="64"/>
      <c r="F518" s="64"/>
    </row>
    <row r="519" spans="1:6" ht="12.75">
      <c r="A519" s="64"/>
      <c r="B519" s="64"/>
      <c r="C519" s="64"/>
      <c r="D519" s="65"/>
      <c r="E519" s="64"/>
      <c r="F519" s="64"/>
    </row>
    <row r="520" spans="1:6" ht="12.75">
      <c r="A520" s="64"/>
      <c r="B520" s="64"/>
      <c r="C520" s="64"/>
      <c r="D520" s="65"/>
      <c r="E520" s="64"/>
      <c r="F520" s="64"/>
    </row>
    <row r="521" spans="1:6" ht="12.75">
      <c r="A521" s="64"/>
      <c r="B521" s="64"/>
      <c r="C521" s="64"/>
      <c r="D521" s="65"/>
      <c r="E521" s="64"/>
      <c r="F521" s="64"/>
    </row>
    <row r="522" spans="1:6" ht="12.75">
      <c r="A522" s="64"/>
      <c r="B522" s="64"/>
      <c r="C522" s="64"/>
      <c r="D522" s="65"/>
      <c r="E522" s="64"/>
      <c r="F522" s="64"/>
    </row>
    <row r="523" spans="1:6" ht="12.75">
      <c r="A523" s="64"/>
      <c r="B523" s="64"/>
      <c r="C523" s="64"/>
      <c r="D523" s="65"/>
      <c r="E523" s="64"/>
      <c r="F523" s="64"/>
    </row>
    <row r="524" spans="1:6" ht="12.75">
      <c r="A524" s="64"/>
      <c r="B524" s="64"/>
      <c r="C524" s="64"/>
      <c r="D524" s="65"/>
      <c r="E524" s="64"/>
      <c r="F524" s="64"/>
    </row>
    <row r="525" spans="1:6" ht="12.75">
      <c r="A525" s="64"/>
      <c r="B525" s="64"/>
      <c r="C525" s="64"/>
      <c r="D525" s="65"/>
      <c r="E525" s="64"/>
      <c r="F525" s="64"/>
    </row>
    <row r="526" spans="1:6" ht="12.75">
      <c r="A526" s="64"/>
      <c r="B526" s="64"/>
      <c r="C526" s="64"/>
      <c r="D526" s="65"/>
      <c r="E526" s="64"/>
      <c r="F526" s="64"/>
    </row>
    <row r="527" spans="1:6" ht="12.75">
      <c r="A527" s="64"/>
      <c r="B527" s="64"/>
      <c r="C527" s="64"/>
      <c r="D527" s="65"/>
      <c r="E527" s="64"/>
      <c r="F527" s="64"/>
    </row>
    <row r="528" spans="1:6" ht="12.75">
      <c r="A528" s="64"/>
      <c r="B528" s="64"/>
      <c r="C528" s="64"/>
      <c r="D528" s="65"/>
      <c r="E528" s="64"/>
      <c r="F528" s="64"/>
    </row>
    <row r="529" spans="1:6" ht="12.75">
      <c r="A529" s="64"/>
      <c r="B529" s="64"/>
      <c r="C529" s="64"/>
      <c r="D529" s="65"/>
      <c r="E529" s="64"/>
      <c r="F529" s="64"/>
    </row>
    <row r="530" spans="1:6" ht="12.75">
      <c r="A530" s="64"/>
      <c r="B530" s="64"/>
      <c r="C530" s="64"/>
      <c r="D530" s="65"/>
      <c r="E530" s="64"/>
      <c r="F530" s="64"/>
    </row>
    <row r="531" spans="1:6" ht="12.75">
      <c r="A531" s="64"/>
      <c r="B531" s="64"/>
      <c r="C531" s="64"/>
      <c r="D531" s="65"/>
      <c r="E531" s="64"/>
      <c r="F531" s="64"/>
    </row>
    <row r="532" spans="1:6" ht="12.75">
      <c r="A532" s="64"/>
      <c r="B532" s="64"/>
      <c r="C532" s="64"/>
      <c r="D532" s="65"/>
      <c r="E532" s="64"/>
      <c r="F532" s="64"/>
    </row>
    <row r="533" spans="1:6" ht="12.75">
      <c r="A533" s="64"/>
      <c r="B533" s="64"/>
      <c r="C533" s="64"/>
      <c r="D533" s="65"/>
      <c r="E533" s="64"/>
      <c r="F533" s="64"/>
    </row>
    <row r="534" spans="1:6" ht="12.75">
      <c r="A534" s="64"/>
      <c r="B534" s="64"/>
      <c r="C534" s="64"/>
      <c r="D534" s="65"/>
      <c r="E534" s="64"/>
      <c r="F534" s="64"/>
    </row>
    <row r="535" spans="1:6" ht="12.75">
      <c r="A535" s="64"/>
      <c r="B535" s="64"/>
      <c r="C535" s="64"/>
      <c r="D535" s="65"/>
      <c r="E535" s="64"/>
      <c r="F535" s="64"/>
    </row>
    <row r="536" spans="1:6" ht="12.75">
      <c r="A536" s="64"/>
      <c r="B536" s="64"/>
      <c r="C536" s="64"/>
      <c r="D536" s="65"/>
      <c r="E536" s="64"/>
      <c r="F536" s="64"/>
    </row>
    <row r="537" spans="1:6" ht="12.75">
      <c r="A537" s="64"/>
      <c r="B537" s="64"/>
      <c r="C537" s="64"/>
      <c r="D537" s="65"/>
      <c r="E537" s="64"/>
      <c r="F537" s="64"/>
    </row>
    <row r="538" spans="1:6" ht="12.75">
      <c r="A538" s="64"/>
      <c r="B538" s="64"/>
      <c r="C538" s="64"/>
      <c r="D538" s="65"/>
      <c r="E538" s="64"/>
      <c r="F538" s="64"/>
    </row>
    <row r="539" spans="1:6" ht="12.75">
      <c r="A539" s="64"/>
      <c r="B539" s="64"/>
      <c r="C539" s="64"/>
      <c r="D539" s="65"/>
      <c r="E539" s="64"/>
      <c r="F539" s="64"/>
    </row>
    <row r="540" spans="1:6" ht="12.75">
      <c r="A540" s="64"/>
      <c r="B540" s="64"/>
      <c r="C540" s="64"/>
      <c r="D540" s="65"/>
      <c r="E540" s="64"/>
      <c r="F540" s="64"/>
    </row>
    <row r="541" spans="1:6" ht="12.75">
      <c r="A541" s="64"/>
      <c r="B541" s="64"/>
      <c r="C541" s="64"/>
      <c r="D541" s="65"/>
      <c r="E541" s="64"/>
      <c r="F541" s="64"/>
    </row>
    <row r="542" spans="1:6" ht="12.75">
      <c r="A542" s="64"/>
      <c r="B542" s="64"/>
      <c r="C542" s="64"/>
      <c r="D542" s="65"/>
      <c r="E542" s="64"/>
      <c r="F542" s="64"/>
    </row>
    <row r="543" spans="1:6" ht="12.75">
      <c r="A543" s="64"/>
      <c r="B543" s="64"/>
      <c r="C543" s="64"/>
      <c r="D543" s="65"/>
      <c r="E543" s="64"/>
      <c r="F543" s="64"/>
    </row>
    <row r="544" spans="1:6" ht="12.75">
      <c r="A544" s="64"/>
      <c r="B544" s="64"/>
      <c r="C544" s="64"/>
      <c r="D544" s="65"/>
      <c r="E544" s="64"/>
      <c r="F544" s="64"/>
    </row>
    <row r="545" spans="1:6" ht="12.75">
      <c r="A545" s="64"/>
      <c r="B545" s="64"/>
      <c r="C545" s="64"/>
      <c r="D545" s="65"/>
      <c r="E545" s="64"/>
      <c r="F545" s="64"/>
    </row>
    <row r="546" spans="1:6" ht="12.75">
      <c r="A546" s="64"/>
      <c r="B546" s="64"/>
      <c r="C546" s="64"/>
      <c r="D546" s="65"/>
      <c r="E546" s="64"/>
      <c r="F546" s="64"/>
    </row>
    <row r="547" spans="1:6" ht="12.75">
      <c r="A547" s="64"/>
      <c r="B547" s="64"/>
      <c r="C547" s="64"/>
      <c r="D547" s="65"/>
      <c r="E547" s="64"/>
      <c r="F547" s="64"/>
    </row>
    <row r="548" spans="1:6" ht="12.75">
      <c r="A548" s="64"/>
      <c r="B548" s="64"/>
      <c r="C548" s="64"/>
      <c r="D548" s="65"/>
      <c r="E548" s="64"/>
      <c r="F548" s="64"/>
    </row>
    <row r="549" spans="1:6" ht="12.75">
      <c r="A549" s="64"/>
      <c r="B549" s="64"/>
      <c r="C549" s="64"/>
      <c r="D549" s="65"/>
      <c r="E549" s="64"/>
      <c r="F549" s="64"/>
    </row>
    <row r="550" spans="1:6" ht="12.75">
      <c r="A550" s="64"/>
      <c r="B550" s="64"/>
      <c r="C550" s="64"/>
      <c r="D550" s="65"/>
      <c r="E550" s="64"/>
      <c r="F550" s="64"/>
    </row>
    <row r="551" spans="1:6" ht="12.75">
      <c r="A551" s="64"/>
      <c r="B551" s="64"/>
      <c r="C551" s="64"/>
      <c r="D551" s="65"/>
      <c r="E551" s="64"/>
      <c r="F551" s="64"/>
    </row>
    <row r="552" spans="1:6" ht="12.75">
      <c r="A552" s="64"/>
      <c r="B552" s="64"/>
      <c r="C552" s="64"/>
      <c r="D552" s="65"/>
      <c r="E552" s="64"/>
      <c r="F552" s="64"/>
    </row>
    <row r="553" spans="1:6" ht="12.75">
      <c r="A553" s="64"/>
      <c r="B553" s="64"/>
      <c r="C553" s="64"/>
      <c r="D553" s="65"/>
      <c r="E553" s="64"/>
      <c r="F553" s="64"/>
    </row>
    <row r="554" spans="1:6" ht="12.75">
      <c r="A554" s="64"/>
      <c r="B554" s="64"/>
      <c r="C554" s="64"/>
      <c r="D554" s="65"/>
      <c r="E554" s="64"/>
      <c r="F554" s="64"/>
    </row>
    <row r="555" spans="1:6" ht="12.75">
      <c r="A555" s="64"/>
      <c r="B555" s="64"/>
      <c r="C555" s="64"/>
      <c r="D555" s="65"/>
      <c r="E555" s="64"/>
      <c r="F555" s="64"/>
    </row>
    <row r="556" spans="1:6" ht="12.75">
      <c r="A556" s="64"/>
      <c r="B556" s="64"/>
      <c r="C556" s="64"/>
      <c r="D556" s="65"/>
      <c r="E556" s="64"/>
      <c r="F556" s="64"/>
    </row>
    <row r="557" spans="1:6" ht="12.75">
      <c r="A557" s="64"/>
      <c r="B557" s="64"/>
      <c r="C557" s="64"/>
      <c r="D557" s="65"/>
      <c r="E557" s="64"/>
      <c r="F557" s="64"/>
    </row>
    <row r="558" spans="1:6" ht="12.75">
      <c r="A558" s="64"/>
      <c r="B558" s="64"/>
      <c r="C558" s="64"/>
      <c r="D558" s="65"/>
      <c r="E558" s="64"/>
      <c r="F558" s="64"/>
    </row>
    <row r="559" spans="1:6" ht="12.75">
      <c r="A559" s="64"/>
      <c r="B559" s="64"/>
      <c r="C559" s="64"/>
      <c r="D559" s="65"/>
      <c r="E559" s="64"/>
      <c r="F559" s="64"/>
    </row>
    <row r="560" spans="1:6" ht="12.75">
      <c r="A560" s="64"/>
      <c r="B560" s="64"/>
      <c r="C560" s="64"/>
      <c r="D560" s="65"/>
      <c r="E560" s="64"/>
      <c r="F560" s="64"/>
    </row>
    <row r="561" spans="1:6" ht="12.75">
      <c r="A561" s="64"/>
      <c r="B561" s="64"/>
      <c r="C561" s="64"/>
      <c r="D561" s="65"/>
      <c r="E561" s="64"/>
      <c r="F561" s="64"/>
    </row>
    <row r="562" spans="1:6" ht="12.75">
      <c r="A562" s="64"/>
      <c r="B562" s="64"/>
      <c r="C562" s="64"/>
      <c r="D562" s="65"/>
      <c r="E562" s="64"/>
      <c r="F562" s="64"/>
    </row>
    <row r="563" spans="1:6" ht="12.75">
      <c r="A563" s="64"/>
      <c r="B563" s="64"/>
      <c r="C563" s="64"/>
      <c r="D563" s="65"/>
      <c r="E563" s="64"/>
      <c r="F563" s="64"/>
    </row>
    <row r="564" spans="1:6" ht="12.75">
      <c r="A564" s="64"/>
      <c r="B564" s="64"/>
      <c r="C564" s="64"/>
      <c r="D564" s="65"/>
      <c r="E564" s="64"/>
      <c r="F564" s="64"/>
    </row>
    <row r="565" spans="1:6" ht="12.75">
      <c r="A565" s="64"/>
      <c r="B565" s="64"/>
      <c r="C565" s="64"/>
      <c r="D565" s="65"/>
      <c r="E565" s="64"/>
      <c r="F565" s="64"/>
    </row>
    <row r="566" spans="1:6" ht="12.75">
      <c r="A566" s="64"/>
      <c r="B566" s="64"/>
      <c r="C566" s="64"/>
      <c r="D566" s="65"/>
      <c r="E566" s="64"/>
      <c r="F566" s="64"/>
    </row>
    <row r="567" spans="1:6" ht="12.75">
      <c r="A567" s="64"/>
      <c r="B567" s="64"/>
      <c r="C567" s="64"/>
      <c r="D567" s="65"/>
      <c r="E567" s="64"/>
      <c r="F567" s="64"/>
    </row>
    <row r="568" spans="1:6" ht="12.75">
      <c r="A568" s="64"/>
      <c r="B568" s="64"/>
      <c r="C568" s="64"/>
      <c r="D568" s="65"/>
      <c r="E568" s="64"/>
      <c r="F568" s="64"/>
    </row>
    <row r="569" spans="1:6" ht="12.75">
      <c r="A569" s="64"/>
      <c r="B569" s="64"/>
      <c r="C569" s="64"/>
      <c r="D569" s="65"/>
      <c r="E569" s="64"/>
      <c r="F569" s="64"/>
    </row>
    <row r="570" spans="1:6" ht="12.75">
      <c r="A570" s="64"/>
      <c r="B570" s="64"/>
      <c r="C570" s="64"/>
      <c r="D570" s="65"/>
      <c r="E570" s="64"/>
      <c r="F570" s="64"/>
    </row>
    <row r="571" spans="1:6" ht="12.75">
      <c r="A571" s="64"/>
      <c r="B571" s="64"/>
      <c r="C571" s="64"/>
      <c r="D571" s="65"/>
      <c r="E571" s="64"/>
      <c r="F571" s="64"/>
    </row>
    <row r="572" spans="1:6" ht="12.75">
      <c r="A572" s="64"/>
      <c r="B572" s="64"/>
      <c r="C572" s="64"/>
      <c r="D572" s="65"/>
      <c r="E572" s="64"/>
      <c r="F572" s="64"/>
    </row>
    <row r="573" spans="1:6" ht="12.75">
      <c r="A573" s="64"/>
      <c r="B573" s="64"/>
      <c r="C573" s="64"/>
      <c r="D573" s="65"/>
      <c r="E573" s="64"/>
      <c r="F573" s="64"/>
    </row>
    <row r="574" spans="1:6" ht="12.75">
      <c r="A574" s="64"/>
      <c r="B574" s="64"/>
      <c r="C574" s="64"/>
      <c r="D574" s="65"/>
      <c r="E574" s="64"/>
      <c r="F574" s="64"/>
    </row>
    <row r="575" spans="1:6" ht="12.75">
      <c r="A575" s="64"/>
      <c r="B575" s="64"/>
      <c r="C575" s="64"/>
      <c r="D575" s="65"/>
      <c r="E575" s="64"/>
      <c r="F575" s="64"/>
    </row>
    <row r="576" spans="1:6" ht="12.75">
      <c r="A576" s="64"/>
      <c r="B576" s="64"/>
      <c r="C576" s="64"/>
      <c r="D576" s="65"/>
      <c r="E576" s="64"/>
      <c r="F576" s="64"/>
    </row>
    <row r="577" spans="1:6" ht="12.75">
      <c r="A577" s="64"/>
      <c r="B577" s="64"/>
      <c r="C577" s="64"/>
      <c r="D577" s="65"/>
      <c r="E577" s="64"/>
      <c r="F577" s="64"/>
    </row>
    <row r="578" spans="1:6" ht="12.75">
      <c r="A578" s="64"/>
      <c r="B578" s="64"/>
      <c r="C578" s="64"/>
      <c r="D578" s="65"/>
      <c r="E578" s="64"/>
      <c r="F578" s="64"/>
    </row>
    <row r="579" spans="1:6" ht="12.75">
      <c r="A579" s="64"/>
      <c r="B579" s="64"/>
      <c r="C579" s="64"/>
      <c r="D579" s="65"/>
      <c r="E579" s="64"/>
      <c r="F579" s="64"/>
    </row>
    <row r="580" spans="1:6" ht="12.75">
      <c r="A580" s="64"/>
      <c r="B580" s="64"/>
      <c r="C580" s="64"/>
      <c r="D580" s="65"/>
      <c r="E580" s="64"/>
      <c r="F580" s="64"/>
    </row>
    <row r="581" spans="1:6" ht="12.75">
      <c r="A581" s="64"/>
      <c r="B581" s="64"/>
      <c r="C581" s="64"/>
      <c r="D581" s="65"/>
      <c r="E581" s="64"/>
      <c r="F581" s="64"/>
    </row>
    <row r="582" spans="1:6" ht="12.75">
      <c r="A582" s="64"/>
      <c r="B582" s="64"/>
      <c r="C582" s="64"/>
      <c r="D582" s="65"/>
      <c r="E582" s="64"/>
      <c r="F582" s="64"/>
    </row>
    <row r="583" spans="1:6" ht="12.75">
      <c r="A583" s="64"/>
      <c r="B583" s="64"/>
      <c r="C583" s="64"/>
      <c r="D583" s="65"/>
      <c r="E583" s="64"/>
      <c r="F583" s="64"/>
    </row>
    <row r="584" spans="1:6" ht="12.75">
      <c r="A584" s="64"/>
      <c r="B584" s="64"/>
      <c r="C584" s="64"/>
      <c r="D584" s="65"/>
      <c r="E584" s="64"/>
      <c r="F584" s="64"/>
    </row>
    <row r="585" spans="1:6" ht="12.75">
      <c r="A585" s="64"/>
      <c r="B585" s="64"/>
      <c r="C585" s="64"/>
      <c r="D585" s="65"/>
      <c r="E585" s="64"/>
      <c r="F585" s="64"/>
    </row>
    <row r="586" spans="1:6" ht="12.75">
      <c r="A586" s="64"/>
      <c r="B586" s="64"/>
      <c r="C586" s="64"/>
      <c r="D586" s="65"/>
      <c r="E586" s="64"/>
      <c r="F586" s="64"/>
    </row>
    <row r="587" spans="1:6" ht="12.75">
      <c r="A587" s="64"/>
      <c r="B587" s="64"/>
      <c r="C587" s="64"/>
      <c r="D587" s="65"/>
      <c r="E587" s="64"/>
      <c r="F587" s="64"/>
    </row>
    <row r="588" spans="1:6" ht="12.75">
      <c r="A588" s="64"/>
      <c r="B588" s="64"/>
      <c r="C588" s="64"/>
      <c r="D588" s="65"/>
      <c r="E588" s="64"/>
      <c r="F588" s="64"/>
    </row>
    <row r="589" spans="1:6" ht="12.75">
      <c r="A589" s="64"/>
      <c r="B589" s="64"/>
      <c r="C589" s="64"/>
      <c r="D589" s="65"/>
      <c r="E589" s="64"/>
      <c r="F589" s="64"/>
    </row>
    <row r="590" spans="1:6" ht="12.75">
      <c r="A590" s="64"/>
      <c r="B590" s="64"/>
      <c r="C590" s="64"/>
      <c r="D590" s="65"/>
      <c r="E590" s="64"/>
      <c r="F590" s="64"/>
    </row>
    <row r="591" spans="1:6" ht="12.75">
      <c r="A591" s="64"/>
      <c r="B591" s="64"/>
      <c r="C591" s="64"/>
      <c r="D591" s="65"/>
      <c r="E591" s="64"/>
      <c r="F591" s="64"/>
    </row>
    <row r="592" spans="1:6" ht="12.75">
      <c r="A592" s="64"/>
      <c r="B592" s="64"/>
      <c r="C592" s="64"/>
      <c r="D592" s="65"/>
      <c r="E592" s="64"/>
      <c r="F592" s="64"/>
    </row>
    <row r="593" spans="1:6" ht="12.75">
      <c r="A593" s="64"/>
      <c r="B593" s="64"/>
      <c r="C593" s="64"/>
      <c r="D593" s="65"/>
      <c r="E593" s="64"/>
      <c r="F593" s="64"/>
    </row>
    <row r="594" spans="1:6" ht="12.75">
      <c r="A594" s="64"/>
      <c r="B594" s="64"/>
      <c r="C594" s="64"/>
      <c r="D594" s="65"/>
      <c r="E594" s="64"/>
      <c r="F594" s="64"/>
    </row>
    <row r="595" spans="1:6" ht="12.75">
      <c r="A595" s="64"/>
      <c r="B595" s="64"/>
      <c r="C595" s="64"/>
      <c r="D595" s="65"/>
      <c r="E595" s="64"/>
      <c r="F595" s="64"/>
    </row>
    <row r="596" spans="1:6" ht="12.75">
      <c r="A596" s="64"/>
      <c r="B596" s="64"/>
      <c r="C596" s="64"/>
      <c r="D596" s="65"/>
      <c r="E596" s="64"/>
      <c r="F596" s="64"/>
    </row>
    <row r="597" spans="1:6" ht="12.75">
      <c r="A597" s="64"/>
      <c r="B597" s="64"/>
      <c r="C597" s="64"/>
      <c r="D597" s="65"/>
      <c r="E597" s="64"/>
      <c r="F597" s="64"/>
    </row>
    <row r="598" spans="1:6" ht="12.75">
      <c r="A598" s="64"/>
      <c r="B598" s="64"/>
      <c r="C598" s="64"/>
      <c r="D598" s="65"/>
      <c r="E598" s="64"/>
      <c r="F598" s="64"/>
    </row>
    <row r="599" spans="1:6" ht="12.75">
      <c r="A599" s="64"/>
      <c r="B599" s="64"/>
      <c r="C599" s="64"/>
      <c r="D599" s="65"/>
      <c r="E599" s="64"/>
      <c r="F599" s="64"/>
    </row>
    <row r="600" spans="1:6" ht="12.75">
      <c r="A600" s="64"/>
      <c r="B600" s="64"/>
      <c r="C600" s="64"/>
      <c r="D600" s="65"/>
      <c r="E600" s="64"/>
      <c r="F600" s="64"/>
    </row>
    <row r="601" spans="1:6" ht="12.75">
      <c r="A601" s="64"/>
      <c r="B601" s="64"/>
      <c r="C601" s="64"/>
      <c r="D601" s="65"/>
      <c r="E601" s="64"/>
      <c r="F601" s="64"/>
    </row>
    <row r="602" spans="1:6" ht="12.75">
      <c r="A602" s="64"/>
      <c r="B602" s="64"/>
      <c r="C602" s="64"/>
      <c r="D602" s="65"/>
      <c r="E602" s="64"/>
      <c r="F602" s="64"/>
    </row>
    <row r="603" spans="1:6" ht="12.75">
      <c r="A603" s="64"/>
      <c r="B603" s="64"/>
      <c r="C603" s="64"/>
      <c r="D603" s="65"/>
      <c r="E603" s="64"/>
      <c r="F603" s="64"/>
    </row>
    <row r="604" spans="1:6" ht="12.75">
      <c r="A604" s="64"/>
      <c r="B604" s="64"/>
      <c r="C604" s="64"/>
      <c r="D604" s="65"/>
      <c r="E604" s="64"/>
      <c r="F604" s="64"/>
    </row>
    <row r="605" spans="1:6" ht="12.75">
      <c r="A605" s="64"/>
      <c r="B605" s="64"/>
      <c r="C605" s="64"/>
      <c r="D605" s="65"/>
      <c r="E605" s="64"/>
      <c r="F605" s="64"/>
    </row>
    <row r="606" spans="1:6" ht="12.75">
      <c r="A606" s="64"/>
      <c r="B606" s="64"/>
      <c r="C606" s="64"/>
      <c r="D606" s="65"/>
      <c r="E606" s="64"/>
      <c r="F606" s="64"/>
    </row>
    <row r="607" spans="1:6" ht="12.75">
      <c r="A607" s="64"/>
      <c r="B607" s="64"/>
      <c r="C607" s="64"/>
      <c r="D607" s="65"/>
      <c r="E607" s="64"/>
      <c r="F607" s="64"/>
    </row>
    <row r="608" spans="1:6" ht="12.75">
      <c r="A608" s="64"/>
      <c r="B608" s="64"/>
      <c r="C608" s="64"/>
      <c r="D608" s="65"/>
      <c r="E608" s="64"/>
      <c r="F608" s="64"/>
    </row>
    <row r="609" spans="1:6" ht="12.75">
      <c r="A609" s="64"/>
      <c r="B609" s="64"/>
      <c r="C609" s="64"/>
      <c r="D609" s="65"/>
      <c r="E609" s="64"/>
      <c r="F609" s="64"/>
    </row>
    <row r="610" spans="1:6" ht="12.75">
      <c r="A610" s="64"/>
      <c r="B610" s="64"/>
      <c r="C610" s="64"/>
      <c r="D610" s="65"/>
      <c r="E610" s="64"/>
      <c r="F610" s="64"/>
    </row>
    <row r="611" spans="1:6" ht="12.75">
      <c r="A611" s="64"/>
      <c r="B611" s="64"/>
      <c r="C611" s="64"/>
      <c r="D611" s="65"/>
      <c r="E611" s="64"/>
      <c r="F611" s="64"/>
    </row>
    <row r="612" spans="1:6" ht="12.75">
      <c r="A612" s="64"/>
      <c r="B612" s="64"/>
      <c r="C612" s="64"/>
      <c r="D612" s="65"/>
      <c r="E612" s="64"/>
      <c r="F612" s="64"/>
    </row>
    <row r="613" spans="1:6" ht="12.75">
      <c r="A613" s="64"/>
      <c r="B613" s="64"/>
      <c r="C613" s="64"/>
      <c r="D613" s="65"/>
      <c r="E613" s="64"/>
      <c r="F613" s="64"/>
    </row>
    <row r="614" spans="1:6" ht="12.75">
      <c r="A614" s="64"/>
      <c r="B614" s="64"/>
      <c r="C614" s="64"/>
      <c r="D614" s="65"/>
      <c r="E614" s="64"/>
      <c r="F614" s="64"/>
    </row>
    <row r="615" spans="1:6" ht="12.75">
      <c r="A615" s="64"/>
      <c r="B615" s="64"/>
      <c r="C615" s="64"/>
      <c r="D615" s="65"/>
      <c r="E615" s="64"/>
      <c r="F615" s="64"/>
    </row>
    <row r="616" spans="1:6" ht="12.75">
      <c r="A616" s="64"/>
      <c r="B616" s="64"/>
      <c r="C616" s="64"/>
      <c r="D616" s="65"/>
      <c r="E616" s="64"/>
      <c r="F616" s="64"/>
    </row>
    <row r="617" spans="1:6" ht="12.75">
      <c r="A617" s="64"/>
      <c r="B617" s="64"/>
      <c r="C617" s="64"/>
      <c r="D617" s="65"/>
      <c r="E617" s="64"/>
      <c r="F617" s="64"/>
    </row>
    <row r="618" spans="1:6" ht="12.75">
      <c r="A618" s="64"/>
      <c r="B618" s="64"/>
      <c r="C618" s="64"/>
      <c r="D618" s="65"/>
      <c r="E618" s="64"/>
      <c r="F618" s="64"/>
    </row>
    <row r="619" spans="1:6" ht="12.75">
      <c r="A619" s="64"/>
      <c r="B619" s="64"/>
      <c r="C619" s="64"/>
      <c r="D619" s="65"/>
      <c r="E619" s="64"/>
      <c r="F619" s="64"/>
    </row>
    <row r="620" spans="1:6" ht="12.75">
      <c r="A620" s="64"/>
      <c r="B620" s="64"/>
      <c r="C620" s="64"/>
      <c r="D620" s="65"/>
      <c r="E620" s="64"/>
      <c r="F620" s="64"/>
    </row>
    <row r="621" spans="1:6" ht="12.75">
      <c r="A621" s="64"/>
      <c r="B621" s="64"/>
      <c r="C621" s="64"/>
      <c r="D621" s="65"/>
      <c r="E621" s="64"/>
      <c r="F621" s="64"/>
    </row>
    <row r="622" spans="1:6" ht="12.75">
      <c r="A622" s="64"/>
      <c r="B622" s="64"/>
      <c r="C622" s="64"/>
      <c r="D622" s="65"/>
      <c r="E622" s="64"/>
      <c r="F622" s="64"/>
    </row>
    <row r="623" spans="1:6" ht="12.75">
      <c r="A623" s="64"/>
      <c r="B623" s="64"/>
      <c r="C623" s="64"/>
      <c r="D623" s="65"/>
      <c r="E623" s="64"/>
      <c r="F623" s="64"/>
    </row>
    <row r="624" spans="1:6" ht="12.75">
      <c r="A624" s="64"/>
      <c r="B624" s="64"/>
      <c r="C624" s="64"/>
      <c r="D624" s="65"/>
      <c r="E624" s="64"/>
      <c r="F624" s="64"/>
    </row>
    <row r="625" spans="1:6" ht="12.75">
      <c r="A625" s="64"/>
      <c r="B625" s="64"/>
      <c r="C625" s="64"/>
      <c r="D625" s="65"/>
      <c r="E625" s="64"/>
      <c r="F625" s="64"/>
    </row>
    <row r="626" spans="1:6" ht="12.75">
      <c r="A626" s="64"/>
      <c r="B626" s="64"/>
      <c r="C626" s="64"/>
      <c r="D626" s="65"/>
      <c r="E626" s="64"/>
      <c r="F626" s="64"/>
    </row>
    <row r="627" spans="1:6" ht="12.75">
      <c r="A627" s="64"/>
      <c r="B627" s="64"/>
      <c r="C627" s="64"/>
      <c r="D627" s="65"/>
      <c r="E627" s="64"/>
      <c r="F627" s="64"/>
    </row>
    <row r="628" spans="1:6" ht="12.75">
      <c r="A628" s="64"/>
      <c r="B628" s="64"/>
      <c r="C628" s="64"/>
      <c r="D628" s="65"/>
      <c r="E628" s="64"/>
      <c r="F628" s="64"/>
    </row>
    <row r="629" spans="1:6" ht="12.75">
      <c r="A629" s="64"/>
      <c r="B629" s="64"/>
      <c r="C629" s="64"/>
      <c r="D629" s="65"/>
      <c r="E629" s="64"/>
      <c r="F629" s="64"/>
    </row>
    <row r="630" spans="1:6" ht="12.75">
      <c r="A630" s="64"/>
      <c r="B630" s="64"/>
      <c r="C630" s="64"/>
      <c r="D630" s="65"/>
      <c r="E630" s="64"/>
      <c r="F630" s="64"/>
    </row>
    <row r="631" spans="1:6" ht="12.75">
      <c r="A631" s="64"/>
      <c r="B631" s="64"/>
      <c r="C631" s="64"/>
      <c r="D631" s="65"/>
      <c r="E631" s="64"/>
      <c r="F631" s="64"/>
    </row>
    <row r="632" spans="1:6" ht="12.75">
      <c r="A632" s="64"/>
      <c r="B632" s="64"/>
      <c r="C632" s="64"/>
      <c r="D632" s="65"/>
      <c r="E632" s="64"/>
      <c r="F632" s="64"/>
    </row>
    <row r="633" spans="1:6" ht="12.75">
      <c r="A633" s="64"/>
      <c r="B633" s="64"/>
      <c r="C633" s="64"/>
      <c r="D633" s="65"/>
      <c r="E633" s="64"/>
      <c r="F633" s="64"/>
    </row>
    <row r="634" spans="1:6" ht="12.75">
      <c r="A634" s="64"/>
      <c r="B634" s="64"/>
      <c r="C634" s="64"/>
      <c r="D634" s="65"/>
      <c r="E634" s="64"/>
      <c r="F634" s="64"/>
    </row>
    <row r="635" spans="1:6" ht="12.75">
      <c r="A635" s="64"/>
      <c r="B635" s="64"/>
      <c r="C635" s="64"/>
      <c r="D635" s="65"/>
      <c r="E635" s="64"/>
      <c r="F635" s="64"/>
    </row>
    <row r="636" spans="1:6" ht="12.75">
      <c r="A636" s="64"/>
      <c r="B636" s="64"/>
      <c r="C636" s="64"/>
      <c r="D636" s="65"/>
      <c r="E636" s="64"/>
      <c r="F636" s="64"/>
    </row>
    <row r="637" spans="1:6" ht="12.75">
      <c r="A637" s="64"/>
      <c r="B637" s="64"/>
      <c r="C637" s="64"/>
      <c r="D637" s="65"/>
      <c r="E637" s="64"/>
      <c r="F637" s="64"/>
    </row>
    <row r="638" spans="1:6" ht="12.75">
      <c r="A638" s="64"/>
      <c r="B638" s="64"/>
      <c r="C638" s="64"/>
      <c r="D638" s="65"/>
      <c r="E638" s="64"/>
      <c r="F638" s="64"/>
    </row>
    <row r="639" spans="1:6" ht="12.75">
      <c r="A639" s="64"/>
      <c r="B639" s="64"/>
      <c r="C639" s="64"/>
      <c r="D639" s="65"/>
      <c r="E639" s="64"/>
      <c r="F639" s="64"/>
    </row>
    <row r="640" spans="1:6" ht="12.75">
      <c r="A640" s="64"/>
      <c r="B640" s="64"/>
      <c r="C640" s="64"/>
      <c r="D640" s="65"/>
      <c r="E640" s="64"/>
      <c r="F640" s="64"/>
    </row>
    <row r="641" spans="1:6" ht="12.75">
      <c r="A641" s="64"/>
      <c r="B641" s="64"/>
      <c r="C641" s="64"/>
      <c r="D641" s="65"/>
      <c r="E641" s="64"/>
      <c r="F641" s="64"/>
    </row>
    <row r="642" spans="1:6" ht="12.75">
      <c r="A642" s="64"/>
      <c r="B642" s="64"/>
      <c r="C642" s="64"/>
      <c r="D642" s="65"/>
      <c r="E642" s="64"/>
      <c r="F642" s="64"/>
    </row>
    <row r="643" spans="1:6" ht="12.75">
      <c r="A643" s="64"/>
      <c r="B643" s="64"/>
      <c r="C643" s="64"/>
      <c r="D643" s="65"/>
      <c r="E643" s="64"/>
      <c r="F643" s="64"/>
    </row>
    <row r="644" spans="1:6" ht="12.75">
      <c r="A644" s="64"/>
      <c r="B644" s="64"/>
      <c r="C644" s="64"/>
      <c r="D644" s="65"/>
      <c r="E644" s="64"/>
      <c r="F644" s="64"/>
    </row>
    <row r="645" spans="1:6" ht="12.75">
      <c r="A645" s="64"/>
      <c r="B645" s="64"/>
      <c r="C645" s="64"/>
      <c r="D645" s="65"/>
      <c r="E645" s="64"/>
      <c r="F645" s="64"/>
    </row>
    <row r="646" spans="1:6" ht="12.75">
      <c r="A646" s="64"/>
      <c r="B646" s="64"/>
      <c r="C646" s="64"/>
      <c r="D646" s="65"/>
      <c r="E646" s="64"/>
      <c r="F646" s="64"/>
    </row>
    <row r="647" spans="1:6" ht="12.75">
      <c r="A647" s="64"/>
      <c r="B647" s="64"/>
      <c r="C647" s="64"/>
      <c r="D647" s="65"/>
      <c r="E647" s="64"/>
      <c r="F647" s="64"/>
    </row>
    <row r="648" spans="1:6" ht="12.75">
      <c r="A648" s="64"/>
      <c r="B648" s="64"/>
      <c r="C648" s="64"/>
      <c r="D648" s="65"/>
      <c r="E648" s="64"/>
      <c r="F648" s="64"/>
    </row>
    <row r="649" spans="1:6" ht="12.75">
      <c r="A649" s="64"/>
      <c r="B649" s="64"/>
      <c r="C649" s="64"/>
      <c r="D649" s="65"/>
      <c r="E649" s="64"/>
      <c r="F649" s="64"/>
    </row>
    <row r="650" spans="1:6" ht="12.75">
      <c r="A650" s="64"/>
      <c r="B650" s="64"/>
      <c r="C650" s="64"/>
      <c r="D650" s="65"/>
      <c r="E650" s="64"/>
      <c r="F650" s="64"/>
    </row>
    <row r="651" spans="1:6" ht="12.75">
      <c r="A651" s="64"/>
      <c r="B651" s="64"/>
      <c r="C651" s="64"/>
      <c r="D651" s="65"/>
      <c r="E651" s="64"/>
      <c r="F651" s="64"/>
    </row>
    <row r="652" spans="1:6" ht="12.75">
      <c r="A652" s="64"/>
      <c r="B652" s="64"/>
      <c r="C652" s="64"/>
      <c r="D652" s="65"/>
      <c r="E652" s="64"/>
      <c r="F652" s="64"/>
    </row>
    <row r="653" spans="1:6" ht="12.75">
      <c r="A653" s="64"/>
      <c r="B653" s="64"/>
      <c r="C653" s="64"/>
      <c r="D653" s="65"/>
      <c r="E653" s="64"/>
      <c r="F653" s="64"/>
    </row>
    <row r="654" spans="1:6" ht="12.75">
      <c r="A654" s="64"/>
      <c r="B654" s="64"/>
      <c r="C654" s="64"/>
      <c r="D654" s="65"/>
      <c r="E654" s="64"/>
      <c r="F654" s="64"/>
    </row>
    <row r="655" spans="1:6" ht="12.75">
      <c r="A655" s="64"/>
      <c r="B655" s="64"/>
      <c r="C655" s="64"/>
      <c r="D655" s="65"/>
      <c r="E655" s="64"/>
      <c r="F655" s="64"/>
    </row>
    <row r="656" spans="1:6" ht="12.75">
      <c r="A656" s="64"/>
      <c r="B656" s="64"/>
      <c r="C656" s="64"/>
      <c r="D656" s="65"/>
      <c r="E656" s="64"/>
      <c r="F656" s="64"/>
    </row>
    <row r="657" spans="1:6" ht="12.75">
      <c r="A657" s="64"/>
      <c r="B657" s="64"/>
      <c r="C657" s="64"/>
      <c r="D657" s="65"/>
      <c r="E657" s="64"/>
      <c r="F657" s="64"/>
    </row>
    <row r="658" spans="1:6" ht="12.75">
      <c r="A658" s="64"/>
      <c r="B658" s="64"/>
      <c r="C658" s="64"/>
      <c r="D658" s="65"/>
      <c r="E658" s="64"/>
      <c r="F658" s="64"/>
    </row>
    <row r="659" spans="1:6" ht="12.75">
      <c r="A659" s="64"/>
      <c r="B659" s="64"/>
      <c r="C659" s="64"/>
      <c r="D659" s="65"/>
      <c r="E659" s="64"/>
      <c r="F659" s="64"/>
    </row>
    <row r="660" spans="1:6" ht="12.75">
      <c r="A660" s="64"/>
      <c r="B660" s="64"/>
      <c r="C660" s="64"/>
      <c r="D660" s="65"/>
      <c r="E660" s="64"/>
      <c r="F660" s="64"/>
    </row>
    <row r="661" spans="1:6" ht="12.75">
      <c r="A661" s="64"/>
      <c r="B661" s="64"/>
      <c r="C661" s="64"/>
      <c r="D661" s="65"/>
      <c r="E661" s="64"/>
      <c r="F661" s="64"/>
    </row>
    <row r="662" spans="1:6" ht="12.75">
      <c r="A662" s="64"/>
      <c r="B662" s="64"/>
      <c r="C662" s="64"/>
      <c r="D662" s="65"/>
      <c r="E662" s="64"/>
      <c r="F662" s="64"/>
    </row>
    <row r="663" spans="1:6" ht="12.75">
      <c r="A663" s="64"/>
      <c r="B663" s="64"/>
      <c r="C663" s="64"/>
      <c r="D663" s="65"/>
      <c r="E663" s="64"/>
      <c r="F663" s="64"/>
    </row>
    <row r="664" spans="1:6" ht="12.75">
      <c r="A664" s="64"/>
      <c r="B664" s="64"/>
      <c r="C664" s="64"/>
      <c r="D664" s="65"/>
      <c r="E664" s="64"/>
      <c r="F664" s="64"/>
    </row>
    <row r="665" spans="1:6" ht="12.75">
      <c r="A665" s="64"/>
      <c r="B665" s="64"/>
      <c r="C665" s="64"/>
      <c r="D665" s="65"/>
      <c r="E665" s="64"/>
      <c r="F665" s="64"/>
    </row>
    <row r="666" spans="1:6" ht="12.75">
      <c r="A666" s="64"/>
      <c r="B666" s="64"/>
      <c r="C666" s="64"/>
      <c r="D666" s="65"/>
      <c r="E666" s="64"/>
      <c r="F666" s="64"/>
    </row>
    <row r="667" spans="1:6" ht="12.75">
      <c r="A667" s="64"/>
      <c r="B667" s="64"/>
      <c r="C667" s="64"/>
      <c r="D667" s="65"/>
      <c r="E667" s="64"/>
      <c r="F667" s="64"/>
    </row>
    <row r="668" spans="1:6" ht="12.75">
      <c r="A668" s="64"/>
      <c r="B668" s="64"/>
      <c r="C668" s="64"/>
      <c r="D668" s="65"/>
      <c r="E668" s="64"/>
      <c r="F668" s="64"/>
    </row>
    <row r="669" spans="1:6" ht="12.75">
      <c r="A669" s="64"/>
      <c r="B669" s="64"/>
      <c r="C669" s="64"/>
      <c r="D669" s="65"/>
      <c r="E669" s="64"/>
      <c r="F669" s="64"/>
    </row>
    <row r="670" spans="1:6" ht="12.75">
      <c r="A670" s="64"/>
      <c r="B670" s="64"/>
      <c r="C670" s="64"/>
      <c r="D670" s="65"/>
      <c r="E670" s="64"/>
      <c r="F670" s="64"/>
    </row>
    <row r="671" spans="1:6" ht="12.75">
      <c r="A671" s="64"/>
      <c r="B671" s="64"/>
      <c r="C671" s="64"/>
      <c r="D671" s="65"/>
      <c r="E671" s="64"/>
      <c r="F671" s="64"/>
    </row>
    <row r="672" spans="1:6" ht="12.75">
      <c r="A672" s="64"/>
      <c r="B672" s="64"/>
      <c r="C672" s="64"/>
      <c r="D672" s="65"/>
      <c r="E672" s="64"/>
      <c r="F672" s="64"/>
    </row>
    <row r="673" spans="1:6" ht="12.75">
      <c r="A673" s="64"/>
      <c r="B673" s="64"/>
      <c r="C673" s="64"/>
      <c r="D673" s="65"/>
      <c r="E673" s="64"/>
      <c r="F673" s="64"/>
    </row>
    <row r="674" spans="1:6" ht="12.75">
      <c r="A674" s="64"/>
      <c r="B674" s="64"/>
      <c r="C674" s="64"/>
      <c r="D674" s="65"/>
      <c r="E674" s="64"/>
      <c r="F674" s="64"/>
    </row>
    <row r="675" spans="1:6" ht="12.75">
      <c r="A675" s="64"/>
      <c r="B675" s="64"/>
      <c r="C675" s="64"/>
      <c r="D675" s="65"/>
      <c r="E675" s="64"/>
      <c r="F675" s="64"/>
    </row>
    <row r="676" spans="1:6" ht="12.75">
      <c r="A676" s="64"/>
      <c r="B676" s="64"/>
      <c r="C676" s="64"/>
      <c r="D676" s="65"/>
      <c r="E676" s="64"/>
      <c r="F676" s="64"/>
    </row>
    <row r="677" spans="1:6" ht="12.75">
      <c r="A677" s="64"/>
      <c r="B677" s="64"/>
      <c r="C677" s="64"/>
      <c r="D677" s="65"/>
      <c r="E677" s="64"/>
      <c r="F677" s="64"/>
    </row>
    <row r="678" spans="1:6" ht="12.75">
      <c r="A678" s="64"/>
      <c r="B678" s="64"/>
      <c r="C678" s="64"/>
      <c r="D678" s="65"/>
      <c r="E678" s="64"/>
      <c r="F678" s="64"/>
    </row>
    <row r="679" spans="1:6" ht="12.75">
      <c r="A679" s="64"/>
      <c r="B679" s="64"/>
      <c r="C679" s="64"/>
      <c r="D679" s="65"/>
      <c r="E679" s="64"/>
      <c r="F679" s="64"/>
    </row>
    <row r="680" spans="1:6" ht="12.75">
      <c r="A680" s="64"/>
      <c r="B680" s="64"/>
      <c r="C680" s="64"/>
      <c r="D680" s="65"/>
      <c r="E680" s="64"/>
      <c r="F680" s="64"/>
    </row>
    <row r="681" spans="1:6" ht="12.75">
      <c r="A681" s="64"/>
      <c r="B681" s="64"/>
      <c r="C681" s="64"/>
      <c r="D681" s="65"/>
      <c r="E681" s="64"/>
      <c r="F681" s="64"/>
    </row>
    <row r="682" spans="1:6" ht="12.75">
      <c r="A682" s="64"/>
      <c r="B682" s="64"/>
      <c r="C682" s="64"/>
      <c r="D682" s="65"/>
      <c r="E682" s="64"/>
      <c r="F682" s="64"/>
    </row>
    <row r="683" spans="1:6" ht="12.75">
      <c r="A683" s="64"/>
      <c r="B683" s="64"/>
      <c r="C683" s="64"/>
      <c r="D683" s="65"/>
      <c r="E683" s="64"/>
      <c r="F683" s="64"/>
    </row>
    <row r="684" spans="1:6" ht="12.75">
      <c r="A684" s="64"/>
      <c r="B684" s="64"/>
      <c r="C684" s="64"/>
      <c r="D684" s="65"/>
      <c r="E684" s="64"/>
      <c r="F684" s="64"/>
    </row>
    <row r="685" spans="1:6" ht="12.75">
      <c r="A685" s="64"/>
      <c r="B685" s="64"/>
      <c r="C685" s="64"/>
      <c r="D685" s="65"/>
      <c r="E685" s="64"/>
      <c r="F685" s="64"/>
    </row>
    <row r="686" spans="1:6" ht="12.75">
      <c r="A686" s="64"/>
      <c r="B686" s="64"/>
      <c r="C686" s="64"/>
      <c r="D686" s="65"/>
      <c r="E686" s="64"/>
      <c r="F686" s="64"/>
    </row>
    <row r="687" spans="1:6" ht="12.75">
      <c r="A687" s="64"/>
      <c r="B687" s="64"/>
      <c r="C687" s="64"/>
      <c r="D687" s="65"/>
      <c r="E687" s="64"/>
      <c r="F687" s="64"/>
    </row>
    <row r="688" spans="1:6" ht="12.75">
      <c r="A688" s="64"/>
      <c r="B688" s="64"/>
      <c r="C688" s="64"/>
      <c r="D688" s="65"/>
      <c r="E688" s="64"/>
      <c r="F688" s="64"/>
    </row>
    <row r="689" spans="1:6" ht="12.75">
      <c r="A689" s="64"/>
      <c r="B689" s="64"/>
      <c r="C689" s="64"/>
      <c r="D689" s="65"/>
      <c r="E689" s="64"/>
      <c r="F689" s="64"/>
    </row>
    <row r="690" spans="1:6" ht="12.75">
      <c r="A690" s="64"/>
      <c r="B690" s="64"/>
      <c r="C690" s="64"/>
      <c r="D690" s="65"/>
      <c r="E690" s="64"/>
      <c r="F690" s="64"/>
    </row>
    <row r="691" spans="1:6" ht="12.75">
      <c r="A691" s="64"/>
      <c r="B691" s="64"/>
      <c r="C691" s="64"/>
      <c r="D691" s="65"/>
      <c r="E691" s="64"/>
      <c r="F691" s="64"/>
    </row>
    <row r="692" spans="1:6" ht="12.75">
      <c r="A692" s="64"/>
      <c r="B692" s="64"/>
      <c r="C692" s="64"/>
      <c r="D692" s="65"/>
      <c r="E692" s="64"/>
      <c r="F692" s="64"/>
    </row>
    <row r="693" spans="1:6" ht="12.75">
      <c r="A693" s="64"/>
      <c r="B693" s="64"/>
      <c r="C693" s="64"/>
      <c r="D693" s="65"/>
      <c r="E693" s="64"/>
      <c r="F693" s="64"/>
    </row>
    <row r="694" spans="1:6" ht="12.75">
      <c r="A694" s="64"/>
      <c r="B694" s="64"/>
      <c r="C694" s="64"/>
      <c r="D694" s="65"/>
      <c r="E694" s="64"/>
      <c r="F694" s="64"/>
    </row>
    <row r="695" spans="1:6" ht="12.75">
      <c r="A695" s="64"/>
      <c r="B695" s="64"/>
      <c r="C695" s="64"/>
      <c r="D695" s="65"/>
      <c r="E695" s="64"/>
      <c r="F695" s="64"/>
    </row>
    <row r="696" spans="1:6" ht="12.75">
      <c r="A696" s="64"/>
      <c r="B696" s="64"/>
      <c r="C696" s="64"/>
      <c r="D696" s="65"/>
      <c r="E696" s="64"/>
      <c r="F696" s="64"/>
    </row>
    <row r="697" spans="1:6" ht="12.75">
      <c r="A697" s="64"/>
      <c r="B697" s="64"/>
      <c r="C697" s="64"/>
      <c r="D697" s="65"/>
      <c r="E697" s="64"/>
      <c r="F697" s="64"/>
    </row>
    <row r="698" spans="1:6" ht="12.75">
      <c r="A698" s="64"/>
      <c r="B698" s="64"/>
      <c r="C698" s="64"/>
      <c r="D698" s="65"/>
      <c r="E698" s="64"/>
      <c r="F698" s="64"/>
    </row>
    <row r="699" spans="1:6" ht="12.75">
      <c r="A699" s="64"/>
      <c r="B699" s="64"/>
      <c r="C699" s="64"/>
      <c r="D699" s="65"/>
      <c r="E699" s="64"/>
      <c r="F699" s="64"/>
    </row>
    <row r="700" spans="1:6" ht="12.75">
      <c r="A700" s="64"/>
      <c r="B700" s="64"/>
      <c r="C700" s="64"/>
      <c r="D700" s="65"/>
      <c r="E700" s="64"/>
      <c r="F700" s="64"/>
    </row>
    <row r="701" spans="1:6" ht="12.75">
      <c r="A701" s="64"/>
      <c r="B701" s="64"/>
      <c r="C701" s="64"/>
      <c r="D701" s="65"/>
      <c r="E701" s="64"/>
      <c r="F701" s="64"/>
    </row>
    <row r="702" spans="1:6" ht="12.75">
      <c r="A702" s="64"/>
      <c r="B702" s="64"/>
      <c r="C702" s="64"/>
      <c r="D702" s="65"/>
      <c r="E702" s="64"/>
      <c r="F702" s="64"/>
    </row>
    <row r="703" spans="1:6" ht="12.75">
      <c r="A703" s="64"/>
      <c r="B703" s="64"/>
      <c r="C703" s="64"/>
      <c r="D703" s="65"/>
      <c r="E703" s="64"/>
      <c r="F703" s="64"/>
    </row>
    <row r="704" spans="1:6" ht="12.75">
      <c r="A704" s="64"/>
      <c r="B704" s="64"/>
      <c r="C704" s="64"/>
      <c r="D704" s="65"/>
      <c r="E704" s="64"/>
      <c r="F704" s="64"/>
    </row>
    <row r="705" spans="1:6" ht="12.75">
      <c r="A705" s="64"/>
      <c r="B705" s="64"/>
      <c r="C705" s="64"/>
      <c r="D705" s="65"/>
      <c r="E705" s="64"/>
      <c r="F705" s="64"/>
    </row>
    <row r="706" spans="1:6" ht="12.75">
      <c r="A706" s="64"/>
      <c r="B706" s="64"/>
      <c r="C706" s="64"/>
      <c r="D706" s="65"/>
      <c r="E706" s="64"/>
      <c r="F706" s="64"/>
    </row>
    <row r="707" spans="1:6" ht="12.75">
      <c r="A707" s="64"/>
      <c r="B707" s="64"/>
      <c r="C707" s="64"/>
      <c r="D707" s="65"/>
      <c r="E707" s="64"/>
      <c r="F707" s="64"/>
    </row>
    <row r="708" spans="1:6" ht="12.75">
      <c r="A708" s="64"/>
      <c r="B708" s="64"/>
      <c r="C708" s="64"/>
      <c r="D708" s="65"/>
      <c r="E708" s="64"/>
      <c r="F708" s="64"/>
    </row>
    <row r="709" spans="1:6" ht="12.75">
      <c r="A709" s="64"/>
      <c r="B709" s="64"/>
      <c r="C709" s="64"/>
      <c r="D709" s="65"/>
      <c r="E709" s="64"/>
      <c r="F709" s="64"/>
    </row>
    <row r="710" spans="1:6" ht="12.75">
      <c r="A710" s="64"/>
      <c r="B710" s="64"/>
      <c r="C710" s="64"/>
      <c r="D710" s="65"/>
      <c r="E710" s="64"/>
      <c r="F710" s="64"/>
    </row>
    <row r="711" spans="1:6" ht="12.75">
      <c r="A711" s="64"/>
      <c r="B711" s="64"/>
      <c r="C711" s="64"/>
      <c r="D711" s="65"/>
      <c r="E711" s="64"/>
      <c r="F711" s="64"/>
    </row>
    <row r="712" spans="1:6" ht="12.75">
      <c r="A712" s="64"/>
      <c r="B712" s="64"/>
      <c r="C712" s="64"/>
      <c r="D712" s="65"/>
      <c r="E712" s="64"/>
      <c r="F712" s="64"/>
    </row>
    <row r="713" spans="1:6" ht="12.75">
      <c r="A713" s="64"/>
      <c r="B713" s="64"/>
      <c r="C713" s="64"/>
      <c r="D713" s="65"/>
      <c r="E713" s="64"/>
      <c r="F713" s="64"/>
    </row>
    <row r="714" spans="1:6" ht="12.75">
      <c r="A714" s="64"/>
      <c r="B714" s="64"/>
      <c r="C714" s="64"/>
      <c r="D714" s="65"/>
      <c r="E714" s="64"/>
      <c r="F714" s="64"/>
    </row>
    <row r="715" spans="1:6" ht="12.75">
      <c r="A715" s="64"/>
      <c r="B715" s="64"/>
      <c r="C715" s="64"/>
      <c r="D715" s="65"/>
      <c r="E715" s="64"/>
      <c r="F715" s="64"/>
    </row>
    <row r="716" spans="1:6" ht="12.75">
      <c r="A716" s="64"/>
      <c r="B716" s="64"/>
      <c r="C716" s="64"/>
      <c r="D716" s="65"/>
      <c r="E716" s="64"/>
      <c r="F716" s="64"/>
    </row>
    <row r="717" spans="1:6" ht="12.75">
      <c r="A717" s="64"/>
      <c r="B717" s="64"/>
      <c r="C717" s="64"/>
      <c r="D717" s="65"/>
      <c r="E717" s="64"/>
      <c r="F717" s="64"/>
    </row>
    <row r="718" spans="1:6" ht="12.75">
      <c r="A718" s="64"/>
      <c r="B718" s="64"/>
      <c r="C718" s="64"/>
      <c r="D718" s="65"/>
      <c r="E718" s="64"/>
      <c r="F718" s="64"/>
    </row>
    <row r="719" spans="1:6" ht="12.75">
      <c r="A719" s="64"/>
      <c r="B719" s="64"/>
      <c r="C719" s="64"/>
      <c r="D719" s="65"/>
      <c r="E719" s="64"/>
      <c r="F719" s="64"/>
    </row>
    <row r="720" spans="1:6" ht="12.75">
      <c r="A720" s="64"/>
      <c r="B720" s="64"/>
      <c r="C720" s="64"/>
      <c r="D720" s="65"/>
      <c r="E720" s="64"/>
      <c r="F720" s="64"/>
    </row>
    <row r="721" spans="1:6" ht="12.75">
      <c r="A721" s="64"/>
      <c r="B721" s="64"/>
      <c r="C721" s="64"/>
      <c r="D721" s="65"/>
      <c r="E721" s="64"/>
      <c r="F721" s="64"/>
    </row>
    <row r="722" spans="1:6" ht="12.75">
      <c r="A722" s="64"/>
      <c r="B722" s="64"/>
      <c r="C722" s="64"/>
      <c r="D722" s="65"/>
      <c r="E722" s="64"/>
      <c r="F722" s="64"/>
    </row>
    <row r="723" spans="1:6" ht="12.75">
      <c r="A723" s="64"/>
      <c r="B723" s="64"/>
      <c r="C723" s="64"/>
      <c r="D723" s="65"/>
      <c r="E723" s="64"/>
      <c r="F723" s="64"/>
    </row>
    <row r="724" spans="1:6" ht="12.75">
      <c r="A724" s="64"/>
      <c r="B724" s="64"/>
      <c r="C724" s="64"/>
      <c r="D724" s="65"/>
      <c r="E724" s="64"/>
      <c r="F724" s="64"/>
    </row>
    <row r="725" spans="1:6" ht="12.75">
      <c r="A725" s="64"/>
      <c r="B725" s="64"/>
      <c r="C725" s="64"/>
      <c r="D725" s="65"/>
      <c r="E725" s="64"/>
      <c r="F725" s="64"/>
    </row>
    <row r="726" spans="1:6" ht="12.75">
      <c r="A726" s="64"/>
      <c r="B726" s="64"/>
      <c r="C726" s="64"/>
      <c r="D726" s="65"/>
      <c r="E726" s="64"/>
      <c r="F726" s="64"/>
    </row>
    <row r="727" spans="1:6" ht="12.75">
      <c r="A727" s="64"/>
      <c r="B727" s="64"/>
      <c r="C727" s="64"/>
      <c r="D727" s="65"/>
      <c r="E727" s="64"/>
      <c r="F727" s="64"/>
    </row>
    <row r="728" spans="1:6" ht="12.75">
      <c r="A728" s="64"/>
      <c r="B728" s="64"/>
      <c r="C728" s="64"/>
      <c r="D728" s="65"/>
      <c r="E728" s="64"/>
      <c r="F728" s="64"/>
    </row>
    <row r="729" spans="1:6" ht="12.75">
      <c r="A729" s="64"/>
      <c r="B729" s="64"/>
      <c r="C729" s="64"/>
      <c r="D729" s="65"/>
      <c r="E729" s="64"/>
      <c r="F729" s="64"/>
    </row>
    <row r="730" spans="1:6" ht="12.75">
      <c r="A730" s="64"/>
      <c r="B730" s="64"/>
      <c r="C730" s="64"/>
      <c r="D730" s="65"/>
      <c r="E730" s="64"/>
      <c r="F730" s="64"/>
    </row>
    <row r="731" spans="1:6" ht="12.75">
      <c r="A731" s="64"/>
      <c r="B731" s="64"/>
      <c r="C731" s="64"/>
      <c r="D731" s="65"/>
      <c r="E731" s="64"/>
      <c r="F731" s="64"/>
    </row>
    <row r="732" spans="1:6" ht="12.75">
      <c r="A732" s="64"/>
      <c r="B732" s="64"/>
      <c r="C732" s="64"/>
      <c r="D732" s="65"/>
      <c r="E732" s="64"/>
      <c r="F732" s="64"/>
    </row>
    <row r="733" spans="1:6" ht="12.75">
      <c r="A733" s="64"/>
      <c r="B733" s="64"/>
      <c r="C733" s="64"/>
      <c r="D733" s="65"/>
      <c r="E733" s="64"/>
      <c r="F733" s="64"/>
    </row>
    <row r="734" spans="1:6" ht="12.75">
      <c r="A734" s="64"/>
      <c r="B734" s="64"/>
      <c r="C734" s="64"/>
      <c r="D734" s="65"/>
      <c r="E734" s="64"/>
      <c r="F734" s="64"/>
    </row>
    <row r="735" spans="1:6" ht="12.75">
      <c r="A735" s="64"/>
      <c r="B735" s="64"/>
      <c r="C735" s="64"/>
      <c r="D735" s="65"/>
      <c r="E735" s="64"/>
      <c r="F735" s="64"/>
    </row>
    <row r="736" spans="1:6" ht="12.75">
      <c r="A736" s="64"/>
      <c r="B736" s="64"/>
      <c r="C736" s="64"/>
      <c r="D736" s="65"/>
      <c r="E736" s="64"/>
      <c r="F736" s="64"/>
    </row>
    <row r="737" spans="1:6" ht="12.75">
      <c r="A737" s="64"/>
      <c r="B737" s="64"/>
      <c r="C737" s="64"/>
      <c r="D737" s="65"/>
      <c r="E737" s="64"/>
      <c r="F737" s="64"/>
    </row>
    <row r="738" spans="1:6" ht="12.75">
      <c r="A738" s="64"/>
      <c r="B738" s="64"/>
      <c r="C738" s="64"/>
      <c r="D738" s="65"/>
      <c r="E738" s="64"/>
      <c r="F738" s="64"/>
    </row>
    <row r="739" spans="1:6" ht="12.75">
      <c r="A739" s="64"/>
      <c r="B739" s="64"/>
      <c r="C739" s="64"/>
      <c r="D739" s="65"/>
      <c r="E739" s="64"/>
      <c r="F739" s="64"/>
    </row>
    <row r="740" spans="1:6" ht="12.75">
      <c r="A740" s="64"/>
      <c r="B740" s="64"/>
      <c r="C740" s="64"/>
      <c r="D740" s="65"/>
      <c r="E740" s="64"/>
      <c r="F740" s="64"/>
    </row>
    <row r="741" spans="1:6" ht="12.75">
      <c r="A741" s="64"/>
      <c r="B741" s="64"/>
      <c r="C741" s="64"/>
      <c r="D741" s="65"/>
      <c r="E741" s="64"/>
      <c r="F741" s="64"/>
    </row>
    <row r="742" spans="1:6" ht="12.75">
      <c r="A742" s="64"/>
      <c r="B742" s="64"/>
      <c r="C742" s="64"/>
      <c r="D742" s="65"/>
      <c r="E742" s="64"/>
      <c r="F742" s="64"/>
    </row>
    <row r="743" spans="1:6" ht="12.75">
      <c r="A743" s="64"/>
      <c r="B743" s="64"/>
      <c r="C743" s="64"/>
      <c r="D743" s="65"/>
      <c r="E743" s="64"/>
      <c r="F743" s="64"/>
    </row>
    <row r="744" spans="1:6" ht="12.75">
      <c r="A744" s="64"/>
      <c r="B744" s="64"/>
      <c r="C744" s="64"/>
      <c r="D744" s="65"/>
      <c r="E744" s="64"/>
      <c r="F744" s="64"/>
    </row>
    <row r="745" spans="1:6" ht="12.75">
      <c r="A745" s="64"/>
      <c r="B745" s="64"/>
      <c r="C745" s="64"/>
      <c r="D745" s="65"/>
      <c r="E745" s="64"/>
      <c r="F745" s="64"/>
    </row>
    <row r="746" spans="1:6" ht="12.75">
      <c r="A746" s="64"/>
      <c r="B746" s="64"/>
      <c r="C746" s="64"/>
      <c r="D746" s="65"/>
      <c r="E746" s="64"/>
      <c r="F746" s="64"/>
    </row>
    <row r="747" spans="1:6" ht="12.75">
      <c r="A747" s="64"/>
      <c r="B747" s="64"/>
      <c r="C747" s="64"/>
      <c r="D747" s="65"/>
      <c r="E747" s="64"/>
      <c r="F747" s="64"/>
    </row>
    <row r="748" spans="1:6" ht="12.75">
      <c r="A748" s="64"/>
      <c r="B748" s="64"/>
      <c r="C748" s="64"/>
      <c r="D748" s="65"/>
      <c r="E748" s="64"/>
      <c r="F748" s="64"/>
    </row>
    <row r="749" spans="1:6" ht="12.75">
      <c r="A749" s="64"/>
      <c r="B749" s="64"/>
      <c r="C749" s="64"/>
      <c r="D749" s="65"/>
      <c r="E749" s="64"/>
      <c r="F749" s="64"/>
    </row>
    <row r="750" spans="1:6" ht="12.75">
      <c r="A750" s="64"/>
      <c r="B750" s="64"/>
      <c r="C750" s="64"/>
      <c r="D750" s="65"/>
      <c r="E750" s="64"/>
      <c r="F750" s="64"/>
    </row>
    <row r="751" spans="1:6" ht="12.75">
      <c r="A751" s="64"/>
      <c r="B751" s="64"/>
      <c r="C751" s="64"/>
      <c r="D751" s="65"/>
      <c r="E751" s="64"/>
      <c r="F751" s="64"/>
    </row>
    <row r="752" spans="1:6" ht="12.75">
      <c r="A752" s="64"/>
      <c r="B752" s="64"/>
      <c r="C752" s="64"/>
      <c r="D752" s="65"/>
      <c r="E752" s="64"/>
      <c r="F752" s="64"/>
    </row>
    <row r="753" spans="1:6" ht="12.75">
      <c r="A753" s="64"/>
      <c r="B753" s="64"/>
      <c r="C753" s="64"/>
      <c r="D753" s="65"/>
      <c r="E753" s="64"/>
      <c r="F753" s="64"/>
    </row>
    <row r="754" spans="1:6" ht="12.75">
      <c r="A754" s="64"/>
      <c r="B754" s="64"/>
      <c r="C754" s="64"/>
      <c r="D754" s="65"/>
      <c r="E754" s="64"/>
      <c r="F754" s="64"/>
    </row>
    <row r="755" spans="1:6" ht="12.75">
      <c r="A755" s="64"/>
      <c r="B755" s="64"/>
      <c r="C755" s="64"/>
      <c r="D755" s="65"/>
      <c r="E755" s="64"/>
      <c r="F755" s="64"/>
    </row>
    <row r="756" spans="1:6" ht="12.75">
      <c r="A756" s="64"/>
      <c r="B756" s="64"/>
      <c r="C756" s="64"/>
      <c r="D756" s="65"/>
      <c r="E756" s="64"/>
      <c r="F756" s="64"/>
    </row>
    <row r="757" spans="1:6" ht="12.75">
      <c r="A757" s="64"/>
      <c r="B757" s="64"/>
      <c r="C757" s="64"/>
      <c r="D757" s="65"/>
      <c r="E757" s="64"/>
      <c r="F757" s="64"/>
    </row>
    <row r="758" spans="1:6" ht="12.75">
      <c r="A758" s="64"/>
      <c r="B758" s="64"/>
      <c r="C758" s="64"/>
      <c r="D758" s="65"/>
      <c r="E758" s="64"/>
      <c r="F758" s="64"/>
    </row>
    <row r="759" spans="1:6" ht="12.75">
      <c r="A759" s="64"/>
      <c r="B759" s="64"/>
      <c r="C759" s="64"/>
      <c r="D759" s="65"/>
      <c r="E759" s="64"/>
      <c r="F759" s="64"/>
    </row>
    <row r="760" spans="1:6" ht="12.75">
      <c r="A760" s="64"/>
      <c r="B760" s="64"/>
      <c r="C760" s="64"/>
      <c r="D760" s="65"/>
      <c r="E760" s="64"/>
      <c r="F760" s="64"/>
    </row>
    <row r="761" spans="1:6" ht="12.75">
      <c r="A761" s="64"/>
      <c r="B761" s="64"/>
      <c r="C761" s="64"/>
      <c r="D761" s="65"/>
      <c r="E761" s="64"/>
      <c r="F761" s="64"/>
    </row>
    <row r="762" spans="1:6" ht="12.75">
      <c r="A762" s="64"/>
      <c r="B762" s="64"/>
      <c r="C762" s="64"/>
      <c r="D762" s="65"/>
      <c r="E762" s="64"/>
      <c r="F762" s="64"/>
    </row>
    <row r="763" spans="1:6" ht="12.75">
      <c r="A763" s="64"/>
      <c r="B763" s="64"/>
      <c r="C763" s="64"/>
      <c r="D763" s="65"/>
      <c r="E763" s="64"/>
      <c r="F763" s="64"/>
    </row>
    <row r="764" spans="1:6" ht="12.75">
      <c r="A764" s="64"/>
      <c r="B764" s="64"/>
      <c r="C764" s="64"/>
      <c r="D764" s="65"/>
      <c r="E764" s="64"/>
      <c r="F764" s="64"/>
    </row>
    <row r="765" spans="1:6" ht="12.75">
      <c r="A765" s="64"/>
      <c r="B765" s="64"/>
      <c r="C765" s="64"/>
      <c r="D765" s="65"/>
      <c r="E765" s="64"/>
      <c r="F765" s="64"/>
    </row>
    <row r="766" spans="1:6" ht="12.75">
      <c r="A766" s="64"/>
      <c r="B766" s="64"/>
      <c r="C766" s="64"/>
      <c r="D766" s="65"/>
      <c r="E766" s="64"/>
      <c r="F766" s="64"/>
    </row>
    <row r="767" spans="1:6" ht="12.75">
      <c r="A767" s="64"/>
      <c r="B767" s="64"/>
      <c r="C767" s="64"/>
      <c r="D767" s="65"/>
      <c r="E767" s="64"/>
      <c r="F767" s="64"/>
    </row>
    <row r="768" spans="1:6" ht="12.75">
      <c r="A768" s="64"/>
      <c r="B768" s="64"/>
      <c r="C768" s="64"/>
      <c r="D768" s="65"/>
      <c r="E768" s="64"/>
      <c r="F768" s="64"/>
    </row>
    <row r="769" spans="1:6" ht="12.75">
      <c r="A769" s="64"/>
      <c r="B769" s="64"/>
      <c r="C769" s="64"/>
      <c r="D769" s="65"/>
      <c r="E769" s="64"/>
      <c r="F769" s="64"/>
    </row>
    <row r="770" spans="1:6" ht="12.75">
      <c r="A770" s="64"/>
      <c r="B770" s="64"/>
      <c r="C770" s="64"/>
      <c r="D770" s="65"/>
      <c r="E770" s="64"/>
      <c r="F770" s="64"/>
    </row>
    <row r="771" spans="1:6" ht="12.75">
      <c r="A771" s="64"/>
      <c r="B771" s="64"/>
      <c r="C771" s="64"/>
      <c r="D771" s="65"/>
      <c r="E771" s="64"/>
      <c r="F771" s="64"/>
    </row>
    <row r="772" spans="1:6" ht="12.75">
      <c r="A772" s="64"/>
      <c r="B772" s="64"/>
      <c r="C772" s="64"/>
      <c r="D772" s="65"/>
      <c r="E772" s="64"/>
      <c r="F772" s="64"/>
    </row>
    <row r="773" spans="1:6" ht="12.75">
      <c r="A773" s="64"/>
      <c r="B773" s="64"/>
      <c r="C773" s="64"/>
      <c r="D773" s="65"/>
      <c r="E773" s="64"/>
      <c r="F773" s="64"/>
    </row>
    <row r="774" spans="1:6" ht="12.75">
      <c r="A774" s="64"/>
      <c r="B774" s="64"/>
      <c r="C774" s="64"/>
      <c r="D774" s="65"/>
      <c r="E774" s="64"/>
      <c r="F774" s="64"/>
    </row>
    <row r="775" spans="1:6" ht="12.75">
      <c r="A775" s="64"/>
      <c r="B775" s="64"/>
      <c r="C775" s="64"/>
      <c r="D775" s="65"/>
      <c r="E775" s="64"/>
      <c r="F775" s="64"/>
    </row>
    <row r="776" spans="1:6" ht="12.75">
      <c r="A776" s="64"/>
      <c r="B776" s="64"/>
      <c r="C776" s="64"/>
      <c r="D776" s="65"/>
      <c r="E776" s="64"/>
      <c r="F776" s="64"/>
    </row>
    <row r="777" spans="1:6" ht="12.75">
      <c r="A777" s="64"/>
      <c r="B777" s="64"/>
      <c r="C777" s="64"/>
      <c r="D777" s="65"/>
      <c r="E777" s="64"/>
      <c r="F777" s="64"/>
    </row>
    <row r="778" spans="1:6" ht="12.75">
      <c r="A778" s="64"/>
      <c r="B778" s="64"/>
      <c r="C778" s="64"/>
      <c r="D778" s="65"/>
      <c r="E778" s="64"/>
      <c r="F778" s="64"/>
    </row>
    <row r="779" spans="1:6" ht="12.75">
      <c r="A779" s="64"/>
      <c r="B779" s="64"/>
      <c r="C779" s="64"/>
      <c r="D779" s="65"/>
      <c r="E779" s="64"/>
      <c r="F779" s="64"/>
    </row>
    <row r="780" spans="1:6" ht="12.75">
      <c r="A780" s="64"/>
      <c r="B780" s="64"/>
      <c r="C780" s="64"/>
      <c r="D780" s="65"/>
      <c r="E780" s="64"/>
      <c r="F780" s="64"/>
    </row>
    <row r="781" spans="1:6" ht="12.75">
      <c r="A781" s="64"/>
      <c r="B781" s="64"/>
      <c r="C781" s="64"/>
      <c r="D781" s="65"/>
      <c r="E781" s="64"/>
      <c r="F781" s="64"/>
    </row>
    <row r="782" spans="1:6" ht="12.75">
      <c r="A782" s="64"/>
      <c r="B782" s="64"/>
      <c r="C782" s="64"/>
      <c r="D782" s="65"/>
      <c r="E782" s="64"/>
      <c r="F782" s="64"/>
    </row>
    <row r="783" spans="1:6" ht="12.75">
      <c r="A783" s="64"/>
      <c r="B783" s="64"/>
      <c r="C783" s="64"/>
      <c r="D783" s="65"/>
      <c r="E783" s="64"/>
      <c r="F783" s="64"/>
    </row>
    <row r="784" spans="1:6" ht="12.75">
      <c r="A784" s="64"/>
      <c r="B784" s="64"/>
      <c r="C784" s="64"/>
      <c r="D784" s="65"/>
      <c r="E784" s="64"/>
      <c r="F784" s="64"/>
    </row>
    <row r="785" spans="1:6" ht="12.75">
      <c r="A785" s="64"/>
      <c r="B785" s="64"/>
      <c r="C785" s="64"/>
      <c r="D785" s="65"/>
      <c r="E785" s="64"/>
      <c r="F785" s="64"/>
    </row>
    <row r="786" spans="1:6" ht="12.75">
      <c r="A786" s="64"/>
      <c r="B786" s="64"/>
      <c r="C786" s="64"/>
      <c r="D786" s="65"/>
      <c r="E786" s="64"/>
      <c r="F786" s="64"/>
    </row>
    <row r="787" spans="1:6" ht="12.75">
      <c r="A787" s="64"/>
      <c r="B787" s="64"/>
      <c r="C787" s="64"/>
      <c r="D787" s="65"/>
      <c r="E787" s="64"/>
      <c r="F787" s="64"/>
    </row>
    <row r="788" spans="1:6" ht="12.75">
      <c r="A788" s="64"/>
      <c r="B788" s="64"/>
      <c r="C788" s="64"/>
      <c r="D788" s="65"/>
      <c r="E788" s="64"/>
      <c r="F788" s="64"/>
    </row>
    <row r="789" spans="1:6" ht="12.75">
      <c r="A789" s="64"/>
      <c r="B789" s="64"/>
      <c r="C789" s="64"/>
      <c r="D789" s="65"/>
      <c r="E789" s="64"/>
      <c r="F789" s="64"/>
    </row>
    <row r="790" spans="1:6" ht="12.75">
      <c r="A790" s="64"/>
      <c r="B790" s="64"/>
      <c r="C790" s="64"/>
      <c r="D790" s="65"/>
      <c r="E790" s="64"/>
      <c r="F790" s="64"/>
    </row>
    <row r="791" spans="1:6" ht="12.75">
      <c r="A791" s="64"/>
      <c r="B791" s="64"/>
      <c r="C791" s="64"/>
      <c r="D791" s="65"/>
      <c r="E791" s="64"/>
      <c r="F791" s="64"/>
    </row>
    <row r="792" spans="1:6" ht="12.75">
      <c r="A792" s="64"/>
      <c r="B792" s="64"/>
      <c r="C792" s="64"/>
      <c r="D792" s="65"/>
      <c r="E792" s="64"/>
      <c r="F792" s="64"/>
    </row>
    <row r="793" spans="1:6" ht="12.75">
      <c r="A793" s="64"/>
      <c r="B793" s="64"/>
      <c r="C793" s="64"/>
      <c r="D793" s="65"/>
      <c r="E793" s="64"/>
      <c r="F793" s="64"/>
    </row>
    <row r="794" spans="1:6" ht="12.75">
      <c r="A794" s="64"/>
      <c r="B794" s="64"/>
      <c r="C794" s="64"/>
      <c r="D794" s="65"/>
      <c r="E794" s="64"/>
      <c r="F794" s="64"/>
    </row>
    <row r="795" spans="1:6" ht="12.75">
      <c r="A795" s="64"/>
      <c r="B795" s="64"/>
      <c r="C795" s="64"/>
      <c r="D795" s="65"/>
      <c r="E795" s="64"/>
      <c r="F795" s="64"/>
    </row>
    <row r="796" spans="1:6" ht="12.75">
      <c r="A796" s="64"/>
      <c r="B796" s="64"/>
      <c r="C796" s="64"/>
      <c r="D796" s="65"/>
      <c r="E796" s="64"/>
      <c r="F796" s="64"/>
    </row>
    <row r="797" spans="1:6" ht="12.75">
      <c r="A797" s="64"/>
      <c r="B797" s="64"/>
      <c r="C797" s="64"/>
      <c r="D797" s="65"/>
      <c r="E797" s="64"/>
      <c r="F797" s="64"/>
    </row>
    <row r="798" spans="1:6" ht="12.75">
      <c r="A798" s="64"/>
      <c r="B798" s="64"/>
      <c r="C798" s="64"/>
      <c r="D798" s="65"/>
      <c r="E798" s="64"/>
      <c r="F798" s="64"/>
    </row>
    <row r="799" spans="1:6" ht="12.75">
      <c r="A799" s="64"/>
      <c r="B799" s="64"/>
      <c r="C799" s="64"/>
      <c r="D799" s="65"/>
      <c r="E799" s="64"/>
      <c r="F799" s="64"/>
    </row>
    <row r="800" spans="1:6" ht="12.75">
      <c r="A800" s="64"/>
      <c r="B800" s="64"/>
      <c r="C800" s="64"/>
      <c r="D800" s="65"/>
      <c r="E800" s="64"/>
      <c r="F800" s="64"/>
    </row>
    <row r="801" spans="1:6" ht="12.75">
      <c r="A801" s="64"/>
      <c r="B801" s="64"/>
      <c r="C801" s="64"/>
      <c r="D801" s="65"/>
      <c r="E801" s="64"/>
      <c r="F801" s="64"/>
    </row>
    <row r="802" spans="1:6" ht="12.75">
      <c r="A802" s="64"/>
      <c r="B802" s="64"/>
      <c r="C802" s="64"/>
      <c r="D802" s="65"/>
      <c r="E802" s="64"/>
      <c r="F802" s="64"/>
    </row>
    <row r="803" spans="1:6" ht="12.75">
      <c r="A803" s="64"/>
      <c r="B803" s="64"/>
      <c r="C803" s="64"/>
      <c r="D803" s="65"/>
      <c r="E803" s="64"/>
      <c r="F803" s="64"/>
    </row>
    <row r="804" spans="1:6" ht="12.75">
      <c r="A804" s="64"/>
      <c r="B804" s="64"/>
      <c r="C804" s="64"/>
      <c r="D804" s="65"/>
      <c r="E804" s="64"/>
      <c r="F804" s="64"/>
    </row>
    <row r="805" spans="1:6" ht="12.75">
      <c r="A805" s="64"/>
      <c r="B805" s="64"/>
      <c r="C805" s="64"/>
      <c r="D805" s="65"/>
      <c r="E805" s="64"/>
      <c r="F805" s="64"/>
    </row>
    <row r="806" spans="1:6" ht="12.75">
      <c r="A806" s="64"/>
      <c r="B806" s="64"/>
      <c r="C806" s="64"/>
      <c r="D806" s="65"/>
      <c r="E806" s="64"/>
      <c r="F806" s="64"/>
    </row>
    <row r="807" spans="1:6" ht="12.75">
      <c r="A807" s="64"/>
      <c r="B807" s="64"/>
      <c r="C807" s="64"/>
      <c r="D807" s="65"/>
      <c r="E807" s="64"/>
      <c r="F807" s="64"/>
    </row>
    <row r="808" spans="1:6" ht="12.75">
      <c r="A808" s="64"/>
      <c r="B808" s="64"/>
      <c r="C808" s="64"/>
      <c r="D808" s="65"/>
      <c r="E808" s="64"/>
      <c r="F808" s="64"/>
    </row>
    <row r="809" spans="1:6" ht="12.75">
      <c r="A809" s="64"/>
      <c r="B809" s="64"/>
      <c r="C809" s="64"/>
      <c r="D809" s="65"/>
      <c r="E809" s="64"/>
      <c r="F809" s="64"/>
    </row>
    <row r="810" spans="1:6" ht="12.75">
      <c r="A810" s="64"/>
      <c r="B810" s="64"/>
      <c r="C810" s="64"/>
      <c r="D810" s="65"/>
      <c r="E810" s="64"/>
      <c r="F810" s="64"/>
    </row>
    <row r="811" spans="1:6" ht="12.75">
      <c r="A811" s="64"/>
      <c r="B811" s="64"/>
      <c r="C811" s="64"/>
      <c r="D811" s="65"/>
      <c r="E811" s="64"/>
      <c r="F811" s="64"/>
    </row>
    <row r="812" spans="1:6" ht="12.75">
      <c r="A812" s="64"/>
      <c r="B812" s="64"/>
      <c r="C812" s="64"/>
      <c r="D812" s="65"/>
      <c r="E812" s="64"/>
      <c r="F812" s="64"/>
    </row>
    <row r="813" spans="1:6" ht="12.75">
      <c r="A813" s="64"/>
      <c r="B813" s="64"/>
      <c r="C813" s="64"/>
      <c r="D813" s="65"/>
      <c r="E813" s="64"/>
      <c r="F813" s="64"/>
    </row>
    <row r="814" spans="1:6" ht="12.75">
      <c r="A814" s="64"/>
      <c r="B814" s="64"/>
      <c r="C814" s="64"/>
      <c r="D814" s="65"/>
      <c r="E814" s="64"/>
      <c r="F814" s="64"/>
    </row>
    <row r="815" spans="1:6" ht="12.75">
      <c r="A815" s="64"/>
      <c r="B815" s="64"/>
      <c r="C815" s="64"/>
      <c r="D815" s="65"/>
      <c r="E815" s="64"/>
      <c r="F815" s="64"/>
    </row>
    <row r="816" spans="1:6" ht="12.75">
      <c r="A816" s="64"/>
      <c r="B816" s="64"/>
      <c r="C816" s="64"/>
      <c r="D816" s="65"/>
      <c r="E816" s="64"/>
      <c r="F816" s="64"/>
    </row>
    <row r="817" spans="1:6" ht="12.75">
      <c r="A817" s="64"/>
      <c r="B817" s="64"/>
      <c r="C817" s="64"/>
      <c r="D817" s="65"/>
      <c r="E817" s="64"/>
      <c r="F817" s="64"/>
    </row>
    <row r="818" spans="1:6" ht="12.75">
      <c r="A818" s="64"/>
      <c r="B818" s="64"/>
      <c r="C818" s="64"/>
      <c r="D818" s="65"/>
      <c r="E818" s="64"/>
      <c r="F818" s="64"/>
    </row>
    <row r="819" spans="1:6" ht="12.75">
      <c r="A819" s="64"/>
      <c r="B819" s="64"/>
      <c r="C819" s="64"/>
      <c r="D819" s="65"/>
      <c r="E819" s="64"/>
      <c r="F819" s="64"/>
    </row>
    <row r="820" spans="1:6" ht="12.75">
      <c r="A820" s="64"/>
      <c r="B820" s="64"/>
      <c r="C820" s="64"/>
      <c r="D820" s="65"/>
      <c r="E820" s="64"/>
      <c r="F820" s="64"/>
    </row>
    <row r="821" spans="1:6" ht="12.75">
      <c r="A821" s="64"/>
      <c r="B821" s="64"/>
      <c r="C821" s="64"/>
      <c r="D821" s="65"/>
      <c r="E821" s="64"/>
      <c r="F821" s="64"/>
    </row>
    <row r="822" spans="1:6" ht="12.75">
      <c r="A822" s="64"/>
      <c r="B822" s="64"/>
      <c r="C822" s="64"/>
      <c r="D822" s="65"/>
      <c r="E822" s="64"/>
      <c r="F822" s="64"/>
    </row>
    <row r="823" spans="1:6" ht="12.75">
      <c r="A823" s="64"/>
      <c r="B823" s="64"/>
      <c r="C823" s="64"/>
      <c r="D823" s="65"/>
      <c r="E823" s="64"/>
      <c r="F823" s="64"/>
    </row>
    <row r="824" spans="1:6" ht="12.75">
      <c r="A824" s="64"/>
      <c r="B824" s="64"/>
      <c r="C824" s="64"/>
      <c r="D824" s="65"/>
      <c r="E824" s="64"/>
      <c r="F824" s="64"/>
    </row>
    <row r="825" spans="1:6" ht="12.75">
      <c r="A825" s="64"/>
      <c r="B825" s="64"/>
      <c r="C825" s="64"/>
      <c r="D825" s="65"/>
      <c r="E825" s="64"/>
      <c r="F825" s="64"/>
    </row>
    <row r="826" spans="1:6" ht="12.75">
      <c r="A826" s="64"/>
      <c r="B826" s="64"/>
      <c r="C826" s="64"/>
      <c r="D826" s="65"/>
      <c r="E826" s="64"/>
      <c r="F826" s="64"/>
    </row>
    <row r="827" spans="1:6" ht="12.75">
      <c r="A827" s="64"/>
      <c r="B827" s="64"/>
      <c r="C827" s="64"/>
      <c r="D827" s="65"/>
      <c r="E827" s="64"/>
      <c r="F827" s="64"/>
    </row>
    <row r="828" spans="1:6" ht="12.75">
      <c r="A828" s="64"/>
      <c r="B828" s="64"/>
      <c r="C828" s="64"/>
      <c r="D828" s="65"/>
      <c r="E828" s="64"/>
      <c r="F828" s="64"/>
    </row>
    <row r="829" spans="1:6" ht="12.75">
      <c r="A829" s="64"/>
      <c r="B829" s="64"/>
      <c r="C829" s="64"/>
      <c r="D829" s="65"/>
      <c r="E829" s="64"/>
      <c r="F829" s="64"/>
    </row>
    <row r="830" spans="1:6" ht="12.75">
      <c r="A830" s="64"/>
      <c r="B830" s="64"/>
      <c r="C830" s="64"/>
      <c r="D830" s="65"/>
      <c r="E830" s="64"/>
      <c r="F830" s="64"/>
    </row>
    <row r="831" spans="1:6" ht="12.75">
      <c r="A831" s="64"/>
      <c r="B831" s="64"/>
      <c r="C831" s="64"/>
      <c r="D831" s="65"/>
      <c r="E831" s="64"/>
      <c r="F831" s="64"/>
    </row>
    <row r="832" spans="1:6" ht="12.75">
      <c r="A832" s="64"/>
      <c r="B832" s="64"/>
      <c r="C832" s="64"/>
      <c r="D832" s="65"/>
      <c r="E832" s="64"/>
      <c r="F832" s="64"/>
    </row>
    <row r="833" spans="1:6" ht="12.75">
      <c r="A833" s="64"/>
      <c r="B833" s="64"/>
      <c r="C833" s="64"/>
      <c r="D833" s="65"/>
      <c r="E833" s="64"/>
      <c r="F833" s="64"/>
    </row>
    <row r="834" spans="1:6" ht="12.75">
      <c r="A834" s="64"/>
      <c r="B834" s="64"/>
      <c r="C834" s="64"/>
      <c r="D834" s="65"/>
      <c r="E834" s="64"/>
      <c r="F834" s="64"/>
    </row>
    <row r="835" spans="1:6" ht="12.75">
      <c r="A835" s="64"/>
      <c r="B835" s="64"/>
      <c r="C835" s="64"/>
      <c r="D835" s="65"/>
      <c r="E835" s="64"/>
      <c r="F835" s="64"/>
    </row>
    <row r="836" spans="1:6" ht="12.75">
      <c r="A836" s="64"/>
      <c r="B836" s="64"/>
      <c r="C836" s="64"/>
      <c r="D836" s="65"/>
      <c r="E836" s="64"/>
      <c r="F836" s="64"/>
    </row>
    <row r="837" spans="1:6" ht="12.75">
      <c r="A837" s="64"/>
      <c r="B837" s="64"/>
      <c r="C837" s="64"/>
      <c r="D837" s="65"/>
      <c r="E837" s="64"/>
      <c r="F837" s="64"/>
    </row>
    <row r="838" spans="1:6" ht="12.75">
      <c r="A838" s="64"/>
      <c r="B838" s="64"/>
      <c r="C838" s="64"/>
      <c r="D838" s="65"/>
      <c r="E838" s="64"/>
      <c r="F838" s="64"/>
    </row>
    <row r="839" spans="1:6" ht="12.75">
      <c r="A839" s="64"/>
      <c r="B839" s="64"/>
      <c r="C839" s="64"/>
      <c r="D839" s="65"/>
      <c r="E839" s="64"/>
      <c r="F839" s="64"/>
    </row>
    <row r="840" spans="1:6" ht="12.75">
      <c r="A840" s="64"/>
      <c r="B840" s="64"/>
      <c r="C840" s="64"/>
      <c r="D840" s="65"/>
      <c r="E840" s="64"/>
      <c r="F840" s="64"/>
    </row>
    <row r="841" spans="1:6" ht="12.75">
      <c r="A841" s="64"/>
      <c r="B841" s="64"/>
      <c r="C841" s="64"/>
      <c r="D841" s="65"/>
      <c r="E841" s="64"/>
      <c r="F841" s="64"/>
    </row>
    <row r="842" spans="1:6" ht="12.75">
      <c r="A842" s="64"/>
      <c r="B842" s="64"/>
      <c r="C842" s="64"/>
      <c r="D842" s="65"/>
      <c r="E842" s="64"/>
      <c r="F842" s="64"/>
    </row>
    <row r="843" spans="1:6" ht="12.75">
      <c r="A843" s="64"/>
      <c r="B843" s="64"/>
      <c r="C843" s="64"/>
      <c r="D843" s="65"/>
      <c r="E843" s="64"/>
      <c r="F843" s="64"/>
    </row>
    <row r="844" spans="1:6" ht="12.75">
      <c r="A844" s="64"/>
      <c r="B844" s="64"/>
      <c r="C844" s="64"/>
      <c r="D844" s="65"/>
      <c r="E844" s="64"/>
      <c r="F844" s="64"/>
    </row>
    <row r="845" spans="1:6" ht="12.75">
      <c r="A845" s="64"/>
      <c r="B845" s="64"/>
      <c r="C845" s="64"/>
      <c r="D845" s="65"/>
      <c r="E845" s="64"/>
      <c r="F845" s="64"/>
    </row>
    <row r="846" spans="1:6" ht="12.75">
      <c r="A846" s="64"/>
      <c r="B846" s="64"/>
      <c r="C846" s="64"/>
      <c r="D846" s="65"/>
      <c r="E846" s="64"/>
      <c r="F846" s="64"/>
    </row>
    <row r="847" spans="1:6" ht="12.75">
      <c r="A847" s="64"/>
      <c r="B847" s="64"/>
      <c r="C847" s="64"/>
      <c r="D847" s="65"/>
      <c r="E847" s="64"/>
      <c r="F847" s="64"/>
    </row>
    <row r="848" spans="1:6" ht="12.75">
      <c r="A848" s="64"/>
      <c r="B848" s="64"/>
      <c r="C848" s="64"/>
      <c r="D848" s="65"/>
      <c r="E848" s="64"/>
      <c r="F848" s="64"/>
    </row>
    <row r="849" spans="1:6" ht="12.75">
      <c r="A849" s="64"/>
      <c r="B849" s="64"/>
      <c r="C849" s="64"/>
      <c r="D849" s="65"/>
      <c r="E849" s="64"/>
      <c r="F849" s="64"/>
    </row>
    <row r="850" spans="1:6" ht="12.75">
      <c r="A850" s="64"/>
      <c r="B850" s="64"/>
      <c r="C850" s="64"/>
      <c r="D850" s="65"/>
      <c r="E850" s="64"/>
      <c r="F850" s="64"/>
    </row>
    <row r="851" spans="1:6" ht="12.75">
      <c r="A851" s="64"/>
      <c r="B851" s="64"/>
      <c r="C851" s="64"/>
      <c r="D851" s="65"/>
      <c r="E851" s="64"/>
      <c r="F851" s="64"/>
    </row>
  </sheetData>
  <autoFilter ref="A1:G276" xr:uid="{00000000-0009-0000-0000-000009000000}"/>
  <customSheetViews>
    <customSheetView guid="{428B87FD-4824-4EFD-BF5A-A5063AE795CB}" filter="1" showAutoFilter="1">
      <pageMargins left="0.7" right="0.7" top="0.75" bottom="0.75" header="0.3" footer="0.3"/>
      <autoFilter ref="A1:H305" xr:uid="{E795D3B0-104F-455C-AA2E-C983800B3B08}">
        <filterColumn colId="1">
          <filters>
            <filter val="BACUAG"/>
            <filter val="CITY OF SURIGAO (CAPITAL)"/>
            <filter val="Dapa"/>
            <filter val="Del Carmen"/>
            <filter val="GENERAL LUNA"/>
            <filter val="Gigaquit"/>
            <filter val="Mainit"/>
            <filter val="Malimono"/>
            <filter val="PILAR"/>
            <filter val="Placer"/>
            <filter val="SAN BENITO"/>
            <filter val="SAN ISIDRO"/>
            <filter val="SOCORRO"/>
            <filter val="TAGANA-AN"/>
          </filters>
        </filterColumn>
        <filterColumn colId="6">
          <filters>
            <filter val="Yes"/>
            <filter val="Proposal"/>
          </filters>
        </filterColumn>
      </autoFilter>
    </customSheetView>
    <customSheetView guid="{ED4B4728-6B34-488A-9802-0DF5FCE8D6A3}" filter="1" showAutoFilter="1">
      <pageMargins left="0.7" right="0.7" top="0.75" bottom="0.75" header="0.3" footer="0.3"/>
      <autoFilter ref="A1:H305" xr:uid="{5637EE5B-1798-4F82-9275-A62D72B71F3B}"/>
    </customSheetView>
  </customSheetViews>
  <dataValidations count="1">
    <dataValidation type="list" allowBlank="1" showErrorMessage="1" sqref="G2:G305" xr:uid="{00000000-0002-0000-0900-000000000000}">
      <formula1>"Yes,No,Proposal"</formula1>
    </dataValidation>
  </dataValidations>
  <printOptions horizontalCentered="1" gridLines="1"/>
  <pageMargins left="0.25" right="0.25" top="0.75" bottom="0.75" header="0" footer="0"/>
  <pageSetup paperSize="6" fitToHeight="0" pageOrder="overThenDown" orientation="landscape" cellComments="atEnd"/>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filterMode="1">
    <tabColor rgb="FFFF0000"/>
    <outlinePr summaryBelow="0" summaryRight="0"/>
    <pageSetUpPr fitToPage="1"/>
  </sheetPr>
  <dimension ref="A1:J850"/>
  <sheetViews>
    <sheetView showGridLines="0" workbookViewId="0">
      <pane xSplit="5" ySplit="1" topLeftCell="F2" activePane="bottomRight" state="frozen"/>
      <selection pane="topRight" activeCell="F1" sqref="F1"/>
      <selection pane="bottomLeft" activeCell="A2" sqref="A2"/>
      <selection pane="bottomRight" activeCell="F2" sqref="F2"/>
    </sheetView>
  </sheetViews>
  <sheetFormatPr defaultColWidth="12.5703125" defaultRowHeight="15.75" customHeight="1"/>
  <cols>
    <col min="1" max="1" width="7.42578125" customWidth="1"/>
    <col min="2" max="2" width="25.85546875" customWidth="1"/>
    <col min="3" max="3" width="29.28515625" customWidth="1"/>
    <col min="4" max="4" width="8.85546875" customWidth="1"/>
    <col min="5" max="5" width="52.28515625" customWidth="1"/>
    <col min="6" max="6" width="16.5703125" customWidth="1"/>
    <col min="7" max="7" width="17.140625" customWidth="1"/>
    <col min="8" max="8" width="19.42578125" customWidth="1"/>
    <col min="9" max="9" width="17.140625" customWidth="1"/>
    <col min="10" max="10" width="21.7109375" customWidth="1"/>
  </cols>
  <sheetData>
    <row r="1" spans="1:10" ht="12.75">
      <c r="A1" s="89"/>
      <c r="B1" s="2" t="s">
        <v>2</v>
      </c>
      <c r="C1" s="3" t="s">
        <v>1</v>
      </c>
      <c r="D1" s="1" t="s">
        <v>0</v>
      </c>
      <c r="E1" s="3" t="s">
        <v>3</v>
      </c>
      <c r="F1" s="3" t="s">
        <v>14</v>
      </c>
      <c r="G1" s="2" t="s">
        <v>722</v>
      </c>
      <c r="H1" s="2" t="s">
        <v>7</v>
      </c>
      <c r="I1" s="2" t="s">
        <v>20</v>
      </c>
      <c r="J1" s="104"/>
    </row>
    <row r="2" spans="1:10" ht="12.75" hidden="1">
      <c r="A2" s="6">
        <v>1</v>
      </c>
      <c r="B2" s="13" t="s">
        <v>725</v>
      </c>
      <c r="C2" s="13" t="s">
        <v>726</v>
      </c>
      <c r="D2" s="6">
        <v>2</v>
      </c>
      <c r="E2" s="50" t="s">
        <v>727</v>
      </c>
      <c r="F2" s="15" t="s">
        <v>31</v>
      </c>
      <c r="G2" s="13"/>
      <c r="H2" s="13"/>
      <c r="I2" s="13"/>
      <c r="J2" s="106"/>
    </row>
    <row r="3" spans="1:10" ht="12.75" hidden="1">
      <c r="A3" s="6">
        <v>2</v>
      </c>
      <c r="B3" s="13" t="s">
        <v>725</v>
      </c>
      <c r="C3" s="13" t="s">
        <v>732</v>
      </c>
      <c r="D3" s="6">
        <v>2</v>
      </c>
      <c r="E3" s="50" t="s">
        <v>733</v>
      </c>
      <c r="F3" s="15" t="s">
        <v>31</v>
      </c>
      <c r="G3" s="13"/>
      <c r="H3" s="13"/>
      <c r="I3" s="13"/>
      <c r="J3" s="106"/>
    </row>
    <row r="4" spans="1:10" ht="12.75" hidden="1">
      <c r="A4" s="6">
        <v>3</v>
      </c>
      <c r="B4" s="13" t="s">
        <v>725</v>
      </c>
      <c r="C4" s="13" t="s">
        <v>736</v>
      </c>
      <c r="D4" s="6">
        <v>2</v>
      </c>
      <c r="E4" s="50" t="s">
        <v>737</v>
      </c>
      <c r="F4" s="15" t="s">
        <v>31</v>
      </c>
      <c r="G4" s="13"/>
      <c r="H4" s="13"/>
      <c r="I4" s="13"/>
      <c r="J4" s="106"/>
    </row>
    <row r="5" spans="1:10" ht="12.75">
      <c r="A5" s="6">
        <v>4</v>
      </c>
      <c r="B5" s="13" t="s">
        <v>725</v>
      </c>
      <c r="C5" s="13" t="s">
        <v>739</v>
      </c>
      <c r="D5" s="6">
        <v>2</v>
      </c>
      <c r="E5" s="50" t="s">
        <v>741</v>
      </c>
      <c r="F5" s="15" t="s">
        <v>31</v>
      </c>
      <c r="G5" s="13" t="s">
        <v>288</v>
      </c>
      <c r="H5" s="13" t="s">
        <v>742</v>
      </c>
      <c r="I5" s="13"/>
      <c r="J5" s="106"/>
    </row>
    <row r="6" spans="1:10" ht="12.75" hidden="1">
      <c r="A6" s="6">
        <v>5</v>
      </c>
      <c r="B6" s="13" t="s">
        <v>725</v>
      </c>
      <c r="C6" s="13" t="s">
        <v>743</v>
      </c>
      <c r="D6" s="6">
        <v>2</v>
      </c>
      <c r="E6" s="50" t="s">
        <v>744</v>
      </c>
      <c r="F6" s="15" t="s">
        <v>31</v>
      </c>
      <c r="G6" s="13"/>
      <c r="H6" s="13"/>
      <c r="I6" s="13"/>
      <c r="J6" s="106"/>
    </row>
    <row r="7" spans="1:10" ht="12.75" hidden="1">
      <c r="A7" s="6">
        <v>6</v>
      </c>
      <c r="B7" s="13" t="s">
        <v>725</v>
      </c>
      <c r="C7" s="13" t="s">
        <v>747</v>
      </c>
      <c r="D7" s="6">
        <v>2</v>
      </c>
      <c r="E7" s="50" t="s">
        <v>748</v>
      </c>
      <c r="F7" s="15" t="s">
        <v>31</v>
      </c>
      <c r="G7" s="13"/>
      <c r="H7" s="13"/>
      <c r="I7" s="13"/>
      <c r="J7" s="106"/>
    </row>
    <row r="8" spans="1:10" ht="12.75" hidden="1">
      <c r="A8" s="6">
        <v>7</v>
      </c>
      <c r="B8" s="13" t="s">
        <v>725</v>
      </c>
      <c r="C8" s="13" t="s">
        <v>749</v>
      </c>
      <c r="D8" s="6">
        <v>2</v>
      </c>
      <c r="E8" s="50" t="s">
        <v>750</v>
      </c>
      <c r="F8" s="15" t="s">
        <v>31</v>
      </c>
      <c r="G8" s="13"/>
      <c r="H8" s="13"/>
      <c r="I8" s="13"/>
      <c r="J8" s="106"/>
    </row>
    <row r="9" spans="1:10" ht="12.75" hidden="1">
      <c r="A9" s="6">
        <v>8</v>
      </c>
      <c r="B9" s="13" t="s">
        <v>725</v>
      </c>
      <c r="C9" s="13" t="s">
        <v>753</v>
      </c>
      <c r="D9" s="6">
        <v>2</v>
      </c>
      <c r="E9" s="50" t="s">
        <v>754</v>
      </c>
      <c r="F9" s="15" t="s">
        <v>31</v>
      </c>
      <c r="G9" s="13"/>
      <c r="H9" s="13"/>
      <c r="I9" s="13"/>
      <c r="J9" s="106"/>
    </row>
    <row r="10" spans="1:10" ht="12.75" hidden="1">
      <c r="A10" s="6">
        <v>9</v>
      </c>
      <c r="B10" s="13" t="s">
        <v>755</v>
      </c>
      <c r="C10" s="13" t="s">
        <v>756</v>
      </c>
      <c r="D10" s="6">
        <v>2</v>
      </c>
      <c r="E10" s="50" t="s">
        <v>757</v>
      </c>
      <c r="F10" s="15" t="s">
        <v>31</v>
      </c>
      <c r="G10" s="13"/>
      <c r="H10" s="13"/>
      <c r="I10" s="13"/>
      <c r="J10" s="106"/>
    </row>
    <row r="11" spans="1:10" ht="12.75" hidden="1">
      <c r="A11" s="6">
        <v>10</v>
      </c>
      <c r="B11" s="13" t="s">
        <v>755</v>
      </c>
      <c r="C11" s="13" t="s">
        <v>758</v>
      </c>
      <c r="D11" s="6">
        <v>2</v>
      </c>
      <c r="E11" s="50" t="s">
        <v>759</v>
      </c>
      <c r="F11" s="15" t="s">
        <v>31</v>
      </c>
      <c r="G11" s="13"/>
      <c r="H11" s="13"/>
      <c r="I11" s="13"/>
      <c r="J11" s="106"/>
    </row>
    <row r="12" spans="1:10" ht="12.75" hidden="1">
      <c r="A12" s="6">
        <v>11</v>
      </c>
      <c r="B12" s="13" t="s">
        <v>755</v>
      </c>
      <c r="C12" s="13" t="s">
        <v>762</v>
      </c>
      <c r="D12" s="6">
        <v>2</v>
      </c>
      <c r="E12" s="50" t="s">
        <v>763</v>
      </c>
      <c r="F12" s="15" t="s">
        <v>31</v>
      </c>
      <c r="G12" s="13"/>
      <c r="H12" s="13"/>
      <c r="I12" s="13"/>
      <c r="J12" s="106"/>
    </row>
    <row r="13" spans="1:10" ht="12.75" hidden="1">
      <c r="A13" s="6">
        <v>12</v>
      </c>
      <c r="B13" s="13" t="s">
        <v>755</v>
      </c>
      <c r="C13" s="13" t="s">
        <v>764</v>
      </c>
      <c r="D13" s="6">
        <v>2</v>
      </c>
      <c r="E13" s="50" t="s">
        <v>765</v>
      </c>
      <c r="F13" s="15" t="s">
        <v>31</v>
      </c>
      <c r="G13" s="13"/>
      <c r="H13" s="13"/>
      <c r="I13" s="13"/>
      <c r="J13" s="106"/>
    </row>
    <row r="14" spans="1:10" ht="12.75" hidden="1">
      <c r="A14" s="6">
        <v>13</v>
      </c>
      <c r="B14" s="13" t="s">
        <v>755</v>
      </c>
      <c r="C14" s="13" t="s">
        <v>768</v>
      </c>
      <c r="D14" s="6">
        <v>2</v>
      </c>
      <c r="E14" s="50" t="s">
        <v>769</v>
      </c>
      <c r="F14" s="15" t="s">
        <v>31</v>
      </c>
      <c r="G14" s="13"/>
      <c r="H14" s="13"/>
      <c r="I14" s="13"/>
      <c r="J14" s="106"/>
    </row>
    <row r="15" spans="1:10" ht="12.75" hidden="1">
      <c r="A15" s="6">
        <v>14</v>
      </c>
      <c r="B15" s="13" t="s">
        <v>755</v>
      </c>
      <c r="C15" s="13" t="s">
        <v>770</v>
      </c>
      <c r="D15" s="6">
        <v>2</v>
      </c>
      <c r="E15" s="50" t="s">
        <v>771</v>
      </c>
      <c r="F15" s="15" t="s">
        <v>31</v>
      </c>
      <c r="G15" s="13"/>
      <c r="H15" s="13"/>
      <c r="I15" s="13"/>
      <c r="J15" s="106"/>
    </row>
    <row r="16" spans="1:10" ht="12.75">
      <c r="A16" s="6">
        <v>15</v>
      </c>
      <c r="B16" s="13" t="s">
        <v>755</v>
      </c>
      <c r="C16" s="13" t="s">
        <v>774</v>
      </c>
      <c r="D16" s="6">
        <v>2</v>
      </c>
      <c r="E16" s="50" t="s">
        <v>775</v>
      </c>
      <c r="F16" s="15" t="s">
        <v>31</v>
      </c>
      <c r="G16" s="13" t="s">
        <v>288</v>
      </c>
      <c r="H16" s="13" t="s">
        <v>742</v>
      </c>
      <c r="I16" s="13"/>
      <c r="J16" s="106"/>
    </row>
    <row r="17" spans="1:10" ht="12.75" hidden="1">
      <c r="A17" s="6">
        <v>16</v>
      </c>
      <c r="B17" s="13" t="s">
        <v>755</v>
      </c>
      <c r="C17" s="13" t="s">
        <v>776</v>
      </c>
      <c r="D17" s="6">
        <v>2</v>
      </c>
      <c r="E17" s="50" t="s">
        <v>777</v>
      </c>
      <c r="F17" s="15" t="s">
        <v>31</v>
      </c>
      <c r="G17" s="13"/>
      <c r="H17" s="13"/>
      <c r="I17" s="13"/>
      <c r="J17" s="106"/>
    </row>
    <row r="18" spans="1:10" ht="12.75" hidden="1">
      <c r="A18" s="6">
        <v>17</v>
      </c>
      <c r="B18" s="13" t="s">
        <v>755</v>
      </c>
      <c r="C18" s="13" t="s">
        <v>780</v>
      </c>
      <c r="D18" s="6">
        <v>2</v>
      </c>
      <c r="E18" s="50" t="s">
        <v>781</v>
      </c>
      <c r="F18" s="15" t="s">
        <v>31</v>
      </c>
      <c r="G18" s="13"/>
      <c r="H18" s="13"/>
      <c r="I18" s="13"/>
      <c r="J18" s="106"/>
    </row>
    <row r="19" spans="1:10" ht="12.75" hidden="1">
      <c r="A19" s="6">
        <v>18</v>
      </c>
      <c r="B19" s="4" t="s">
        <v>782</v>
      </c>
      <c r="C19" s="4" t="s">
        <v>783</v>
      </c>
      <c r="D19" s="6">
        <v>1</v>
      </c>
      <c r="E19" s="7" t="s">
        <v>784</v>
      </c>
      <c r="F19" s="15" t="s">
        <v>31</v>
      </c>
      <c r="G19" s="13"/>
      <c r="H19" s="13"/>
      <c r="I19" s="13"/>
      <c r="J19" s="106"/>
    </row>
    <row r="20" spans="1:10" ht="12.75">
      <c r="A20" s="6">
        <v>19</v>
      </c>
      <c r="B20" s="4" t="s">
        <v>782</v>
      </c>
      <c r="C20" s="4" t="s">
        <v>787</v>
      </c>
      <c r="D20" s="6">
        <v>1</v>
      </c>
      <c r="E20" s="7" t="s">
        <v>788</v>
      </c>
      <c r="F20" s="15" t="s">
        <v>31</v>
      </c>
      <c r="G20" s="13" t="s">
        <v>288</v>
      </c>
      <c r="H20" s="13" t="s">
        <v>742</v>
      </c>
      <c r="I20" s="13"/>
      <c r="J20" s="106"/>
    </row>
    <row r="21" spans="1:10" ht="12.75">
      <c r="A21" s="6">
        <v>20</v>
      </c>
      <c r="B21" s="4" t="s">
        <v>782</v>
      </c>
      <c r="C21" s="4" t="s">
        <v>787</v>
      </c>
      <c r="D21" s="6">
        <v>1</v>
      </c>
      <c r="E21" s="7" t="s">
        <v>789</v>
      </c>
      <c r="F21" s="15" t="s">
        <v>31</v>
      </c>
      <c r="G21" s="13" t="s">
        <v>288</v>
      </c>
      <c r="H21" s="13" t="s">
        <v>742</v>
      </c>
      <c r="I21" s="13"/>
      <c r="J21" s="106"/>
    </row>
    <row r="22" spans="1:10" ht="12.75" hidden="1">
      <c r="A22" s="6">
        <v>21</v>
      </c>
      <c r="B22" s="4" t="s">
        <v>792</v>
      </c>
      <c r="C22" s="4" t="s">
        <v>793</v>
      </c>
      <c r="D22" s="6">
        <v>2</v>
      </c>
      <c r="E22" s="7" t="s">
        <v>794</v>
      </c>
      <c r="F22" s="15" t="s">
        <v>31</v>
      </c>
      <c r="G22" s="13"/>
      <c r="H22" s="13"/>
      <c r="I22" s="13"/>
      <c r="J22" s="106"/>
    </row>
    <row r="23" spans="1:10" ht="12.75" hidden="1">
      <c r="A23" s="6">
        <v>22</v>
      </c>
      <c r="B23" s="4" t="s">
        <v>792</v>
      </c>
      <c r="C23" s="4" t="s">
        <v>725</v>
      </c>
      <c r="D23" s="6">
        <v>2</v>
      </c>
      <c r="E23" s="7" t="s">
        <v>797</v>
      </c>
      <c r="F23" s="15" t="s">
        <v>31</v>
      </c>
      <c r="G23" s="13"/>
      <c r="H23" s="13"/>
      <c r="I23" s="13"/>
      <c r="J23" s="106"/>
    </row>
    <row r="24" spans="1:10" ht="12.75" hidden="1">
      <c r="A24" s="6">
        <v>23</v>
      </c>
      <c r="B24" s="4" t="s">
        <v>792</v>
      </c>
      <c r="C24" s="4" t="s">
        <v>798</v>
      </c>
      <c r="D24" s="6">
        <v>2</v>
      </c>
      <c r="E24" s="7" t="s">
        <v>799</v>
      </c>
      <c r="F24" s="15" t="s">
        <v>31</v>
      </c>
      <c r="G24" s="13"/>
      <c r="H24" s="13"/>
      <c r="I24" s="13"/>
      <c r="J24" s="106"/>
    </row>
    <row r="25" spans="1:10" ht="12.75" hidden="1">
      <c r="A25" s="6">
        <v>24</v>
      </c>
      <c r="B25" s="4" t="s">
        <v>792</v>
      </c>
      <c r="C25" s="4" t="s">
        <v>798</v>
      </c>
      <c r="D25" s="6">
        <v>2</v>
      </c>
      <c r="E25" s="7" t="s">
        <v>800</v>
      </c>
      <c r="F25" s="15" t="s">
        <v>31</v>
      </c>
      <c r="G25" s="13"/>
      <c r="H25" s="13"/>
      <c r="I25" s="13"/>
      <c r="J25" s="106"/>
    </row>
    <row r="26" spans="1:10" ht="12.75" hidden="1">
      <c r="A26" s="6">
        <v>25</v>
      </c>
      <c r="B26" s="4" t="s">
        <v>792</v>
      </c>
      <c r="C26" s="4" t="s">
        <v>803</v>
      </c>
      <c r="D26" s="6">
        <v>2</v>
      </c>
      <c r="E26" s="7" t="s">
        <v>804</v>
      </c>
      <c r="F26" s="15" t="s">
        <v>31</v>
      </c>
      <c r="G26" s="13"/>
      <c r="H26" s="13"/>
      <c r="I26" s="13"/>
      <c r="J26" s="106"/>
    </row>
    <row r="27" spans="1:10" ht="12.75" hidden="1">
      <c r="A27" s="6">
        <v>26</v>
      </c>
      <c r="B27" s="4" t="s">
        <v>792</v>
      </c>
      <c r="C27" s="4" t="s">
        <v>783</v>
      </c>
      <c r="D27" s="6">
        <v>2</v>
      </c>
      <c r="E27" s="7" t="s">
        <v>784</v>
      </c>
      <c r="F27" s="15" t="s">
        <v>31</v>
      </c>
      <c r="G27" s="13"/>
      <c r="H27" s="13"/>
      <c r="I27" s="13"/>
      <c r="J27" s="106"/>
    </row>
    <row r="28" spans="1:10" ht="12.75" hidden="1">
      <c r="A28" s="6">
        <v>27</v>
      </c>
      <c r="B28" s="4" t="s">
        <v>792</v>
      </c>
      <c r="C28" s="4" t="s">
        <v>807</v>
      </c>
      <c r="D28" s="6">
        <v>2</v>
      </c>
      <c r="E28" s="7" t="s">
        <v>808</v>
      </c>
      <c r="F28" s="15" t="s">
        <v>31</v>
      </c>
      <c r="G28" s="13"/>
      <c r="H28" s="13"/>
      <c r="I28" s="13"/>
      <c r="J28" s="106"/>
    </row>
    <row r="29" spans="1:10" ht="12.75" hidden="1">
      <c r="A29" s="6">
        <v>28</v>
      </c>
      <c r="B29" s="4" t="s">
        <v>792</v>
      </c>
      <c r="C29" s="4" t="s">
        <v>811</v>
      </c>
      <c r="D29" s="6">
        <v>2</v>
      </c>
      <c r="E29" s="7" t="s">
        <v>812</v>
      </c>
      <c r="F29" s="15" t="s">
        <v>31</v>
      </c>
      <c r="G29" s="13"/>
      <c r="H29" s="13"/>
      <c r="I29" s="13"/>
      <c r="J29" s="106"/>
    </row>
    <row r="30" spans="1:10" ht="12.75" hidden="1">
      <c r="A30" s="6">
        <v>29</v>
      </c>
      <c r="B30" s="4" t="s">
        <v>792</v>
      </c>
      <c r="C30" s="4" t="s">
        <v>813</v>
      </c>
      <c r="D30" s="6">
        <v>2</v>
      </c>
      <c r="E30" s="7" t="s">
        <v>814</v>
      </c>
      <c r="F30" s="15" t="s">
        <v>31</v>
      </c>
      <c r="G30" s="13"/>
      <c r="H30" s="13"/>
      <c r="I30" s="13"/>
      <c r="J30" s="106"/>
    </row>
    <row r="31" spans="1:10" ht="12.75" hidden="1">
      <c r="A31" s="6">
        <v>30</v>
      </c>
      <c r="B31" s="4" t="s">
        <v>792</v>
      </c>
      <c r="C31" s="4" t="s">
        <v>817</v>
      </c>
      <c r="D31" s="6">
        <v>2</v>
      </c>
      <c r="E31" s="7" t="s">
        <v>818</v>
      </c>
      <c r="F31" s="15" t="s">
        <v>31</v>
      </c>
      <c r="G31" s="13"/>
      <c r="H31" s="13"/>
      <c r="I31" s="13"/>
      <c r="J31" s="106"/>
    </row>
    <row r="32" spans="1:10" ht="12.75" hidden="1">
      <c r="A32" s="6">
        <v>31</v>
      </c>
      <c r="B32" s="4" t="s">
        <v>792</v>
      </c>
      <c r="C32" s="4" t="s">
        <v>820</v>
      </c>
      <c r="D32" s="6">
        <v>2</v>
      </c>
      <c r="E32" s="7" t="s">
        <v>822</v>
      </c>
      <c r="F32" s="15" t="s">
        <v>31</v>
      </c>
      <c r="G32" s="13"/>
      <c r="H32" s="13"/>
      <c r="I32" s="13"/>
      <c r="J32" s="106"/>
    </row>
    <row r="33" spans="1:10" ht="12.75" hidden="1">
      <c r="A33" s="6">
        <v>32</v>
      </c>
      <c r="B33" s="4" t="s">
        <v>792</v>
      </c>
      <c r="C33" s="4" t="s">
        <v>823</v>
      </c>
      <c r="D33" s="6">
        <v>2</v>
      </c>
      <c r="E33" s="7" t="s">
        <v>824</v>
      </c>
      <c r="F33" s="15" t="s">
        <v>31</v>
      </c>
      <c r="G33" s="13"/>
      <c r="H33" s="13"/>
      <c r="I33" s="13"/>
      <c r="J33" s="106"/>
    </row>
    <row r="34" spans="1:10" ht="12.75" hidden="1">
      <c r="A34" s="6">
        <v>33</v>
      </c>
      <c r="B34" s="4" t="s">
        <v>792</v>
      </c>
      <c r="C34" s="4" t="s">
        <v>825</v>
      </c>
      <c r="D34" s="6">
        <v>2</v>
      </c>
      <c r="E34" s="7" t="s">
        <v>826</v>
      </c>
      <c r="F34" s="15" t="s">
        <v>31</v>
      </c>
      <c r="G34" s="13"/>
      <c r="H34" s="13"/>
      <c r="I34" s="13"/>
      <c r="J34" s="106"/>
    </row>
    <row r="35" spans="1:10" ht="12.75">
      <c r="A35" s="6">
        <v>34</v>
      </c>
      <c r="B35" s="4" t="s">
        <v>792</v>
      </c>
      <c r="C35" s="4" t="s">
        <v>829</v>
      </c>
      <c r="D35" s="6">
        <v>2</v>
      </c>
      <c r="E35" s="7" t="s">
        <v>830</v>
      </c>
      <c r="F35" s="15" t="s">
        <v>31</v>
      </c>
      <c r="G35" s="13" t="s">
        <v>831</v>
      </c>
      <c r="H35" s="13"/>
      <c r="I35" s="13" t="s">
        <v>362</v>
      </c>
      <c r="J35" s="106"/>
    </row>
    <row r="36" spans="1:10" ht="12.75" hidden="1">
      <c r="A36" s="6">
        <v>35</v>
      </c>
      <c r="B36" s="4" t="s">
        <v>792</v>
      </c>
      <c r="C36" s="4" t="s">
        <v>832</v>
      </c>
      <c r="D36" s="6">
        <v>2</v>
      </c>
      <c r="E36" s="7" t="s">
        <v>833</v>
      </c>
      <c r="F36" s="15" t="s">
        <v>31</v>
      </c>
      <c r="G36" s="13"/>
      <c r="H36" s="13"/>
      <c r="I36" s="13"/>
      <c r="J36" s="106"/>
    </row>
    <row r="37" spans="1:10" ht="12.75" hidden="1">
      <c r="A37" s="6">
        <v>36</v>
      </c>
      <c r="B37" s="4" t="s">
        <v>792</v>
      </c>
      <c r="C37" s="4" t="s">
        <v>836</v>
      </c>
      <c r="D37" s="6">
        <v>2</v>
      </c>
      <c r="E37" s="7" t="s">
        <v>837</v>
      </c>
      <c r="F37" s="15" t="s">
        <v>31</v>
      </c>
      <c r="G37" s="13"/>
      <c r="H37" s="13"/>
      <c r="I37" s="13"/>
      <c r="J37" s="106"/>
    </row>
    <row r="38" spans="1:10" ht="12.75" hidden="1">
      <c r="A38" s="6">
        <v>37</v>
      </c>
      <c r="B38" s="4" t="s">
        <v>792</v>
      </c>
      <c r="C38" s="4" t="s">
        <v>838</v>
      </c>
      <c r="D38" s="6">
        <v>2</v>
      </c>
      <c r="E38" s="7" t="s">
        <v>839</v>
      </c>
      <c r="F38" s="15" t="s">
        <v>31</v>
      </c>
      <c r="G38" s="13"/>
      <c r="H38" s="13"/>
      <c r="I38" s="13"/>
      <c r="J38" s="106"/>
    </row>
    <row r="39" spans="1:10" ht="12.75" hidden="1">
      <c r="A39" s="6">
        <v>38</v>
      </c>
      <c r="B39" s="4" t="s">
        <v>792</v>
      </c>
      <c r="C39" s="4" t="s">
        <v>842</v>
      </c>
      <c r="D39" s="6">
        <v>2</v>
      </c>
      <c r="E39" s="7" t="s">
        <v>843</v>
      </c>
      <c r="F39" s="15" t="s">
        <v>31</v>
      </c>
      <c r="G39" s="13"/>
      <c r="H39" s="13"/>
      <c r="I39" s="13"/>
      <c r="J39" s="106"/>
    </row>
    <row r="40" spans="1:10" ht="12.75" hidden="1">
      <c r="A40" s="6">
        <v>39</v>
      </c>
      <c r="B40" s="4" t="s">
        <v>792</v>
      </c>
      <c r="C40" s="4" t="s">
        <v>844</v>
      </c>
      <c r="D40" s="6">
        <v>2</v>
      </c>
      <c r="E40" s="7" t="s">
        <v>845</v>
      </c>
      <c r="F40" s="15" t="s">
        <v>31</v>
      </c>
      <c r="G40" s="13"/>
      <c r="H40" s="13"/>
      <c r="I40" s="13"/>
      <c r="J40" s="106"/>
    </row>
    <row r="41" spans="1:10" ht="12.75" hidden="1">
      <c r="A41" s="6">
        <v>40</v>
      </c>
      <c r="B41" s="4" t="s">
        <v>792</v>
      </c>
      <c r="C41" s="4" t="s">
        <v>848</v>
      </c>
      <c r="D41" s="6">
        <v>2</v>
      </c>
      <c r="E41" s="7" t="s">
        <v>849</v>
      </c>
      <c r="F41" s="15" t="s">
        <v>31</v>
      </c>
      <c r="G41" s="13"/>
      <c r="H41" s="13"/>
      <c r="I41" s="13"/>
      <c r="J41" s="106"/>
    </row>
    <row r="42" spans="1:10" ht="12.75" hidden="1">
      <c r="A42" s="6">
        <v>41</v>
      </c>
      <c r="B42" s="4" t="s">
        <v>792</v>
      </c>
      <c r="C42" s="4" t="s">
        <v>850</v>
      </c>
      <c r="D42" s="6">
        <v>2</v>
      </c>
      <c r="E42" s="7" t="s">
        <v>851</v>
      </c>
      <c r="F42" s="15" t="s">
        <v>31</v>
      </c>
      <c r="G42" s="13"/>
      <c r="H42" s="13"/>
      <c r="I42" s="13"/>
      <c r="J42" s="106"/>
    </row>
    <row r="43" spans="1:10" ht="12.75" hidden="1">
      <c r="A43" s="6">
        <v>42</v>
      </c>
      <c r="B43" s="4" t="s">
        <v>792</v>
      </c>
      <c r="C43" s="4" t="s">
        <v>854</v>
      </c>
      <c r="D43" s="6">
        <v>2</v>
      </c>
      <c r="E43" s="7" t="s">
        <v>855</v>
      </c>
      <c r="F43" s="15" t="s">
        <v>31</v>
      </c>
      <c r="G43" s="13"/>
      <c r="H43" s="13"/>
      <c r="I43" s="13"/>
      <c r="J43" s="106"/>
    </row>
    <row r="44" spans="1:10" ht="12.75" hidden="1">
      <c r="A44" s="6">
        <v>43</v>
      </c>
      <c r="B44" s="4" t="s">
        <v>792</v>
      </c>
      <c r="C44" s="4" t="s">
        <v>856</v>
      </c>
      <c r="D44" s="6">
        <v>2</v>
      </c>
      <c r="E44" s="7" t="s">
        <v>857</v>
      </c>
      <c r="F44" s="15" t="s">
        <v>31</v>
      </c>
      <c r="G44" s="13"/>
      <c r="H44" s="13"/>
      <c r="I44" s="13"/>
      <c r="J44" s="106"/>
    </row>
    <row r="45" spans="1:10" ht="12.75">
      <c r="A45" s="6">
        <v>44</v>
      </c>
      <c r="B45" s="4" t="s">
        <v>792</v>
      </c>
      <c r="C45" s="4" t="s">
        <v>858</v>
      </c>
      <c r="D45" s="6">
        <v>2</v>
      </c>
      <c r="E45" s="7" t="s">
        <v>859</v>
      </c>
      <c r="F45" s="15" t="s">
        <v>31</v>
      </c>
      <c r="G45" s="13" t="s">
        <v>831</v>
      </c>
      <c r="H45" s="13"/>
      <c r="I45" s="13" t="s">
        <v>362</v>
      </c>
      <c r="J45" s="106"/>
    </row>
    <row r="46" spans="1:10" ht="12.75" hidden="1">
      <c r="A46" s="6">
        <v>45</v>
      </c>
      <c r="B46" s="4" t="s">
        <v>792</v>
      </c>
      <c r="C46" s="4" t="s">
        <v>858</v>
      </c>
      <c r="D46" s="6">
        <v>2</v>
      </c>
      <c r="E46" s="7" t="s">
        <v>860</v>
      </c>
      <c r="F46" s="15" t="s">
        <v>31</v>
      </c>
      <c r="G46" s="13"/>
      <c r="H46" s="13"/>
      <c r="I46" s="13"/>
      <c r="J46" s="106"/>
    </row>
    <row r="47" spans="1:10" ht="12.75" hidden="1">
      <c r="A47" s="6">
        <v>46</v>
      </c>
      <c r="B47" s="4" t="s">
        <v>792</v>
      </c>
      <c r="C47" s="4" t="s">
        <v>858</v>
      </c>
      <c r="D47" s="6">
        <v>2</v>
      </c>
      <c r="E47" s="7" t="s">
        <v>863</v>
      </c>
      <c r="F47" s="15" t="s">
        <v>31</v>
      </c>
      <c r="G47" s="13"/>
      <c r="H47" s="13"/>
      <c r="I47" s="13"/>
      <c r="J47" s="106"/>
    </row>
    <row r="48" spans="1:10" ht="12.75" hidden="1">
      <c r="A48" s="6">
        <v>47</v>
      </c>
      <c r="B48" s="4" t="s">
        <v>792</v>
      </c>
      <c r="C48" s="4" t="s">
        <v>858</v>
      </c>
      <c r="D48" s="6">
        <v>2</v>
      </c>
      <c r="E48" s="7" t="s">
        <v>864</v>
      </c>
      <c r="F48" s="15" t="s">
        <v>31</v>
      </c>
      <c r="G48" s="13"/>
      <c r="H48" s="13"/>
      <c r="I48" s="13"/>
      <c r="J48" s="106"/>
    </row>
    <row r="49" spans="1:10" ht="12.75" hidden="1">
      <c r="A49" s="6">
        <v>48</v>
      </c>
      <c r="B49" s="4" t="s">
        <v>792</v>
      </c>
      <c r="C49" s="4" t="s">
        <v>858</v>
      </c>
      <c r="D49" s="6">
        <v>2</v>
      </c>
      <c r="E49" s="7" t="s">
        <v>865</v>
      </c>
      <c r="F49" s="15" t="s">
        <v>31</v>
      </c>
      <c r="G49" s="13"/>
      <c r="H49" s="13"/>
      <c r="I49" s="13"/>
      <c r="J49" s="106"/>
    </row>
    <row r="50" spans="1:10" ht="12.75" hidden="1">
      <c r="A50" s="6">
        <v>49</v>
      </c>
      <c r="B50" s="4" t="s">
        <v>792</v>
      </c>
      <c r="C50" s="4" t="s">
        <v>868</v>
      </c>
      <c r="D50" s="6">
        <v>2</v>
      </c>
      <c r="E50" s="7" t="s">
        <v>869</v>
      </c>
      <c r="F50" s="15" t="s">
        <v>31</v>
      </c>
      <c r="G50" s="13"/>
      <c r="H50" s="13"/>
      <c r="I50" s="13"/>
      <c r="J50" s="106"/>
    </row>
    <row r="51" spans="1:10" ht="12.75" hidden="1">
      <c r="A51" s="6">
        <v>50</v>
      </c>
      <c r="B51" s="4" t="s">
        <v>792</v>
      </c>
      <c r="C51" s="4" t="s">
        <v>872</v>
      </c>
      <c r="D51" s="6">
        <v>2</v>
      </c>
      <c r="E51" s="7" t="s">
        <v>873</v>
      </c>
      <c r="F51" s="15" t="s">
        <v>31</v>
      </c>
      <c r="G51" s="13"/>
      <c r="H51" s="13"/>
      <c r="I51" s="13"/>
      <c r="J51" s="106"/>
    </row>
    <row r="52" spans="1:10" ht="12.75" hidden="1">
      <c r="A52" s="6">
        <v>51</v>
      </c>
      <c r="B52" s="4" t="s">
        <v>792</v>
      </c>
      <c r="C52" s="4" t="s">
        <v>874</v>
      </c>
      <c r="D52" s="6">
        <v>2</v>
      </c>
      <c r="E52" s="7" t="s">
        <v>877</v>
      </c>
      <c r="F52" s="15" t="s">
        <v>31</v>
      </c>
      <c r="G52" s="13"/>
      <c r="H52" s="13"/>
      <c r="I52" s="13"/>
      <c r="J52" s="106"/>
    </row>
    <row r="53" spans="1:10" ht="12.75" hidden="1">
      <c r="A53" s="6">
        <v>52</v>
      </c>
      <c r="B53" s="4" t="s">
        <v>792</v>
      </c>
      <c r="C53" s="4" t="s">
        <v>878</v>
      </c>
      <c r="D53" s="6">
        <v>2</v>
      </c>
      <c r="E53" s="7" t="s">
        <v>879</v>
      </c>
      <c r="F53" s="15" t="s">
        <v>31</v>
      </c>
      <c r="G53" s="13"/>
      <c r="H53" s="13"/>
      <c r="I53" s="13"/>
      <c r="J53" s="106"/>
    </row>
    <row r="54" spans="1:10" ht="12.75" hidden="1">
      <c r="A54" s="6">
        <v>53</v>
      </c>
      <c r="B54" s="4" t="s">
        <v>792</v>
      </c>
      <c r="C54" s="4" t="s">
        <v>880</v>
      </c>
      <c r="D54" s="6">
        <v>2</v>
      </c>
      <c r="E54" s="7" t="s">
        <v>881</v>
      </c>
      <c r="F54" s="15" t="s">
        <v>31</v>
      </c>
      <c r="G54" s="13"/>
      <c r="H54" s="13"/>
      <c r="I54" s="13"/>
      <c r="J54" s="106"/>
    </row>
    <row r="55" spans="1:10" ht="12.75" hidden="1">
      <c r="A55" s="6">
        <v>54</v>
      </c>
      <c r="B55" s="4" t="s">
        <v>792</v>
      </c>
      <c r="C55" s="4" t="s">
        <v>884</v>
      </c>
      <c r="D55" s="6">
        <v>2</v>
      </c>
      <c r="E55" s="7" t="s">
        <v>885</v>
      </c>
      <c r="F55" s="15" t="s">
        <v>31</v>
      </c>
      <c r="G55" s="13"/>
      <c r="H55" s="13"/>
      <c r="I55" s="13"/>
      <c r="J55" s="106"/>
    </row>
    <row r="56" spans="1:10" ht="12.75" hidden="1">
      <c r="A56" s="6">
        <v>55</v>
      </c>
      <c r="B56" s="4" t="s">
        <v>792</v>
      </c>
      <c r="C56" s="4" t="s">
        <v>886</v>
      </c>
      <c r="D56" s="6">
        <v>2</v>
      </c>
      <c r="E56" s="7" t="s">
        <v>887</v>
      </c>
      <c r="F56" s="15" t="s">
        <v>31</v>
      </c>
      <c r="G56" s="13"/>
      <c r="H56" s="13"/>
      <c r="I56" s="13"/>
      <c r="J56" s="106"/>
    </row>
    <row r="57" spans="1:10" ht="12.75" hidden="1">
      <c r="A57" s="6">
        <v>56</v>
      </c>
      <c r="B57" s="4" t="s">
        <v>792</v>
      </c>
      <c r="C57" s="4" t="s">
        <v>888</v>
      </c>
      <c r="D57" s="6">
        <v>2</v>
      </c>
      <c r="E57" s="7" t="s">
        <v>891</v>
      </c>
      <c r="F57" s="15" t="s">
        <v>31</v>
      </c>
      <c r="G57" s="13"/>
      <c r="H57" s="13"/>
      <c r="I57" s="13"/>
      <c r="J57" s="106"/>
    </row>
    <row r="58" spans="1:10" ht="12.75" hidden="1">
      <c r="A58" s="6">
        <v>57</v>
      </c>
      <c r="B58" s="4" t="s">
        <v>792</v>
      </c>
      <c r="C58" s="4" t="s">
        <v>892</v>
      </c>
      <c r="D58" s="6">
        <v>2</v>
      </c>
      <c r="E58" s="7" t="s">
        <v>893</v>
      </c>
      <c r="F58" s="15" t="s">
        <v>31</v>
      </c>
      <c r="G58" s="13"/>
      <c r="H58" s="13"/>
      <c r="I58" s="13"/>
      <c r="J58" s="106"/>
    </row>
    <row r="59" spans="1:10" ht="12.75" hidden="1">
      <c r="A59" s="6">
        <v>58</v>
      </c>
      <c r="B59" s="4" t="s">
        <v>792</v>
      </c>
      <c r="C59" s="4" t="s">
        <v>894</v>
      </c>
      <c r="D59" s="6">
        <v>2</v>
      </c>
      <c r="E59" s="7" t="s">
        <v>895</v>
      </c>
      <c r="F59" s="15" t="s">
        <v>31</v>
      </c>
      <c r="G59" s="13"/>
      <c r="H59" s="13"/>
      <c r="I59" s="13"/>
      <c r="J59" s="106"/>
    </row>
    <row r="60" spans="1:10" ht="12.75" hidden="1">
      <c r="A60" s="6">
        <v>59</v>
      </c>
      <c r="B60" s="4" t="s">
        <v>792</v>
      </c>
      <c r="C60" s="4" t="s">
        <v>898</v>
      </c>
      <c r="D60" s="6">
        <v>2</v>
      </c>
      <c r="E60" s="7" t="s">
        <v>899</v>
      </c>
      <c r="F60" s="15" t="s">
        <v>31</v>
      </c>
      <c r="G60" s="13"/>
      <c r="H60" s="13"/>
      <c r="I60" s="13"/>
      <c r="J60" s="106"/>
    </row>
    <row r="61" spans="1:10" ht="12.75" hidden="1">
      <c r="A61" s="6">
        <v>60</v>
      </c>
      <c r="B61" s="4" t="s">
        <v>792</v>
      </c>
      <c r="C61" s="4" t="s">
        <v>900</v>
      </c>
      <c r="D61" s="6">
        <v>2</v>
      </c>
      <c r="E61" s="7" t="s">
        <v>901</v>
      </c>
      <c r="F61" s="15" t="s">
        <v>31</v>
      </c>
      <c r="G61" s="13"/>
      <c r="H61" s="13"/>
      <c r="I61" s="13"/>
      <c r="J61" s="106"/>
    </row>
    <row r="62" spans="1:10" ht="12.75" hidden="1">
      <c r="A62" s="6">
        <v>61</v>
      </c>
      <c r="B62" s="4" t="s">
        <v>792</v>
      </c>
      <c r="C62" s="4" t="s">
        <v>900</v>
      </c>
      <c r="D62" s="6">
        <v>2</v>
      </c>
      <c r="E62" s="7" t="s">
        <v>902</v>
      </c>
      <c r="F62" s="15" t="s">
        <v>31</v>
      </c>
      <c r="G62" s="13"/>
      <c r="H62" s="13"/>
      <c r="I62" s="13"/>
      <c r="J62" s="106"/>
    </row>
    <row r="63" spans="1:10" ht="12.75">
      <c r="A63" s="6">
        <v>62</v>
      </c>
      <c r="B63" s="4" t="s">
        <v>792</v>
      </c>
      <c r="C63" s="4" t="s">
        <v>903</v>
      </c>
      <c r="D63" s="6">
        <v>2</v>
      </c>
      <c r="E63" s="7" t="s">
        <v>904</v>
      </c>
      <c r="F63" s="15" t="s">
        <v>31</v>
      </c>
      <c r="G63" s="13" t="s">
        <v>831</v>
      </c>
      <c r="H63" s="13"/>
      <c r="I63" s="13" t="s">
        <v>362</v>
      </c>
      <c r="J63" s="106"/>
    </row>
    <row r="64" spans="1:10" ht="12.75" hidden="1">
      <c r="A64" s="6">
        <v>63</v>
      </c>
      <c r="B64" s="4" t="s">
        <v>792</v>
      </c>
      <c r="C64" s="4" t="s">
        <v>907</v>
      </c>
      <c r="D64" s="6">
        <v>2</v>
      </c>
      <c r="E64" s="7" t="s">
        <v>908</v>
      </c>
      <c r="F64" s="15" t="s">
        <v>31</v>
      </c>
      <c r="G64" s="13"/>
      <c r="H64" s="13"/>
      <c r="I64" s="13"/>
      <c r="J64" s="106"/>
    </row>
    <row r="65" spans="1:10" ht="12.75" hidden="1">
      <c r="A65" s="6">
        <v>64</v>
      </c>
      <c r="B65" s="4" t="s">
        <v>792</v>
      </c>
      <c r="C65" s="4" t="s">
        <v>909</v>
      </c>
      <c r="D65" s="6">
        <v>2</v>
      </c>
      <c r="E65" s="7" t="s">
        <v>910</v>
      </c>
      <c r="F65" s="15" t="s">
        <v>31</v>
      </c>
      <c r="G65" s="13"/>
      <c r="H65" s="13"/>
      <c r="I65" s="13"/>
      <c r="J65" s="106"/>
    </row>
    <row r="66" spans="1:10" ht="12.75">
      <c r="A66" s="6">
        <v>65</v>
      </c>
      <c r="B66" s="4" t="s">
        <v>792</v>
      </c>
      <c r="C66" s="4" t="s">
        <v>749</v>
      </c>
      <c r="D66" s="6">
        <v>2</v>
      </c>
      <c r="E66" s="7" t="s">
        <v>912</v>
      </c>
      <c r="F66" s="15" t="s">
        <v>31</v>
      </c>
      <c r="G66" s="13" t="s">
        <v>288</v>
      </c>
      <c r="H66" s="13" t="s">
        <v>742</v>
      </c>
      <c r="I66" s="13"/>
      <c r="J66" s="106"/>
    </row>
    <row r="67" spans="1:10" ht="12.75">
      <c r="A67" s="6">
        <v>66</v>
      </c>
      <c r="B67" s="4" t="s">
        <v>792</v>
      </c>
      <c r="C67" s="4" t="s">
        <v>749</v>
      </c>
      <c r="D67" s="6">
        <v>2</v>
      </c>
      <c r="E67" s="7" t="s">
        <v>914</v>
      </c>
      <c r="F67" s="15" t="s">
        <v>31</v>
      </c>
      <c r="G67" s="13" t="s">
        <v>288</v>
      </c>
      <c r="H67" s="13" t="s">
        <v>742</v>
      </c>
      <c r="I67" s="13"/>
      <c r="J67" s="106"/>
    </row>
    <row r="68" spans="1:10" ht="12.75" hidden="1">
      <c r="A68" s="6">
        <v>67</v>
      </c>
      <c r="B68" s="4" t="s">
        <v>792</v>
      </c>
      <c r="C68" s="4" t="s">
        <v>753</v>
      </c>
      <c r="D68" s="6">
        <v>2</v>
      </c>
      <c r="E68" s="7" t="s">
        <v>754</v>
      </c>
      <c r="F68" s="15" t="s">
        <v>31</v>
      </c>
      <c r="G68" s="13"/>
      <c r="H68" s="13"/>
      <c r="I68" s="13"/>
      <c r="J68" s="106"/>
    </row>
    <row r="69" spans="1:10" ht="12.75" hidden="1">
      <c r="A69" s="6">
        <v>68</v>
      </c>
      <c r="B69" s="4" t="s">
        <v>792</v>
      </c>
      <c r="C69" s="4" t="s">
        <v>917</v>
      </c>
      <c r="D69" s="6">
        <v>2</v>
      </c>
      <c r="E69" s="7" t="s">
        <v>918</v>
      </c>
      <c r="F69" s="15" t="s">
        <v>31</v>
      </c>
      <c r="G69" s="13"/>
      <c r="H69" s="13"/>
      <c r="I69" s="13"/>
      <c r="J69" s="106"/>
    </row>
    <row r="70" spans="1:10" ht="12.75" hidden="1">
      <c r="A70" s="6">
        <v>69</v>
      </c>
      <c r="B70" s="4" t="s">
        <v>792</v>
      </c>
      <c r="C70" s="4" t="s">
        <v>921</v>
      </c>
      <c r="D70" s="6">
        <v>2</v>
      </c>
      <c r="E70" s="7" t="s">
        <v>922</v>
      </c>
      <c r="F70" s="15" t="s">
        <v>31</v>
      </c>
      <c r="G70" s="13"/>
      <c r="H70" s="13"/>
      <c r="I70" s="13"/>
      <c r="J70" s="106"/>
    </row>
    <row r="71" spans="1:10" ht="12.75" hidden="1">
      <c r="A71" s="6">
        <v>70</v>
      </c>
      <c r="B71" s="4" t="s">
        <v>792</v>
      </c>
      <c r="C71" s="4" t="s">
        <v>923</v>
      </c>
      <c r="D71" s="6">
        <v>2</v>
      </c>
      <c r="E71" s="7" t="s">
        <v>924</v>
      </c>
      <c r="F71" s="15" t="s">
        <v>31</v>
      </c>
      <c r="G71" s="13"/>
      <c r="H71" s="13"/>
      <c r="I71" s="13"/>
      <c r="J71" s="106"/>
    </row>
    <row r="72" spans="1:10" ht="12.75" hidden="1">
      <c r="A72" s="6">
        <v>71</v>
      </c>
      <c r="B72" s="4" t="s">
        <v>792</v>
      </c>
      <c r="C72" s="4" t="s">
        <v>925</v>
      </c>
      <c r="D72" s="6">
        <v>2</v>
      </c>
      <c r="E72" s="7" t="s">
        <v>926</v>
      </c>
      <c r="F72" s="15" t="s">
        <v>31</v>
      </c>
      <c r="G72" s="13"/>
      <c r="H72" s="13"/>
      <c r="I72" s="13"/>
      <c r="J72" s="106"/>
    </row>
    <row r="73" spans="1:10" ht="12.75" hidden="1">
      <c r="A73" s="6">
        <v>72</v>
      </c>
      <c r="B73" s="4" t="s">
        <v>792</v>
      </c>
      <c r="C73" s="4" t="s">
        <v>928</v>
      </c>
      <c r="D73" s="6">
        <v>2</v>
      </c>
      <c r="E73" s="7" t="s">
        <v>930</v>
      </c>
      <c r="F73" s="15" t="s">
        <v>31</v>
      </c>
      <c r="G73" s="13"/>
      <c r="H73" s="13"/>
      <c r="I73" s="13"/>
      <c r="J73" s="106"/>
    </row>
    <row r="74" spans="1:10" ht="12.75" hidden="1">
      <c r="A74" s="6">
        <v>73</v>
      </c>
      <c r="B74" s="4" t="s">
        <v>792</v>
      </c>
      <c r="C74" s="4" t="s">
        <v>931</v>
      </c>
      <c r="D74" s="6">
        <v>2</v>
      </c>
      <c r="E74" s="7" t="s">
        <v>932</v>
      </c>
      <c r="F74" s="15" t="s">
        <v>31</v>
      </c>
      <c r="G74" s="13"/>
      <c r="H74" s="13"/>
      <c r="I74" s="13"/>
      <c r="J74" s="106"/>
    </row>
    <row r="75" spans="1:10" ht="12.75">
      <c r="A75" s="6">
        <v>74</v>
      </c>
      <c r="B75" s="4" t="s">
        <v>792</v>
      </c>
      <c r="C75" s="4" t="s">
        <v>933</v>
      </c>
      <c r="D75" s="6">
        <v>2</v>
      </c>
      <c r="E75" s="7" t="s">
        <v>934</v>
      </c>
      <c r="F75" s="15" t="s">
        <v>31</v>
      </c>
      <c r="G75" s="13" t="s">
        <v>831</v>
      </c>
      <c r="H75" s="13"/>
      <c r="I75" s="13" t="s">
        <v>362</v>
      </c>
      <c r="J75" s="106"/>
    </row>
    <row r="76" spans="1:10" ht="12.75" hidden="1">
      <c r="A76" s="6">
        <v>75</v>
      </c>
      <c r="B76" s="4" t="s">
        <v>792</v>
      </c>
      <c r="C76" s="4" t="s">
        <v>933</v>
      </c>
      <c r="D76" s="6">
        <v>2</v>
      </c>
      <c r="E76" s="7" t="s">
        <v>937</v>
      </c>
      <c r="F76" s="15" t="s">
        <v>31</v>
      </c>
      <c r="G76" s="13"/>
      <c r="H76" s="13"/>
      <c r="I76" s="13"/>
      <c r="J76" s="106"/>
    </row>
    <row r="77" spans="1:10" ht="12.75" hidden="1">
      <c r="A77" s="6">
        <v>76</v>
      </c>
      <c r="B77" s="4" t="s">
        <v>792</v>
      </c>
      <c r="C77" s="4" t="s">
        <v>933</v>
      </c>
      <c r="D77" s="6">
        <v>2</v>
      </c>
      <c r="E77" s="7" t="s">
        <v>938</v>
      </c>
      <c r="F77" s="15" t="s">
        <v>31</v>
      </c>
      <c r="G77" s="13"/>
      <c r="H77" s="13"/>
      <c r="I77" s="13"/>
      <c r="J77" s="106"/>
    </row>
    <row r="78" spans="1:10" ht="12.75" hidden="1">
      <c r="A78" s="6">
        <v>77</v>
      </c>
      <c r="B78" s="4" t="s">
        <v>792</v>
      </c>
      <c r="C78" s="4" t="s">
        <v>933</v>
      </c>
      <c r="D78" s="6">
        <v>2</v>
      </c>
      <c r="E78" s="7" t="s">
        <v>941</v>
      </c>
      <c r="F78" s="15" t="s">
        <v>31</v>
      </c>
      <c r="G78" s="13"/>
      <c r="H78" s="13"/>
      <c r="I78" s="13"/>
      <c r="J78" s="106"/>
    </row>
    <row r="79" spans="1:10" ht="12.75" hidden="1">
      <c r="A79" s="6">
        <v>78</v>
      </c>
      <c r="B79" s="4" t="s">
        <v>792</v>
      </c>
      <c r="C79" s="4" t="s">
        <v>933</v>
      </c>
      <c r="D79" s="6">
        <v>2</v>
      </c>
      <c r="E79" s="7" t="s">
        <v>944</v>
      </c>
      <c r="F79" s="15" t="s">
        <v>31</v>
      </c>
      <c r="G79" s="13"/>
      <c r="H79" s="13"/>
      <c r="I79" s="13"/>
      <c r="J79" s="106"/>
    </row>
    <row r="80" spans="1:10" ht="12.75" hidden="1">
      <c r="A80" s="6">
        <v>79</v>
      </c>
      <c r="B80" s="4" t="s">
        <v>792</v>
      </c>
      <c r="C80" s="4" t="s">
        <v>945</v>
      </c>
      <c r="D80" s="6">
        <v>2</v>
      </c>
      <c r="E80" s="7" t="s">
        <v>947</v>
      </c>
      <c r="F80" s="15" t="s">
        <v>31</v>
      </c>
      <c r="G80" s="13"/>
      <c r="H80" s="13"/>
      <c r="I80" s="13"/>
      <c r="J80" s="106"/>
    </row>
    <row r="81" spans="1:10" ht="12.75" hidden="1">
      <c r="A81" s="6">
        <v>80</v>
      </c>
      <c r="B81" s="4" t="s">
        <v>792</v>
      </c>
      <c r="C81" s="4" t="s">
        <v>949</v>
      </c>
      <c r="D81" s="6">
        <v>2</v>
      </c>
      <c r="E81" s="7" t="s">
        <v>950</v>
      </c>
      <c r="F81" s="15" t="s">
        <v>31</v>
      </c>
      <c r="G81" s="13"/>
      <c r="H81" s="13"/>
      <c r="I81" s="13"/>
      <c r="J81" s="106"/>
    </row>
    <row r="82" spans="1:10" ht="12.75" hidden="1">
      <c r="A82" s="6">
        <v>81</v>
      </c>
      <c r="B82" s="4" t="s">
        <v>792</v>
      </c>
      <c r="C82" s="4" t="s">
        <v>953</v>
      </c>
      <c r="D82" s="6">
        <v>2</v>
      </c>
      <c r="E82" s="7" t="s">
        <v>954</v>
      </c>
      <c r="F82" s="15" t="s">
        <v>31</v>
      </c>
      <c r="G82" s="13"/>
      <c r="H82" s="13"/>
      <c r="I82" s="13"/>
      <c r="J82" s="106"/>
    </row>
    <row r="83" spans="1:10" ht="12.75" hidden="1">
      <c r="A83" s="6">
        <v>82</v>
      </c>
      <c r="B83" s="4" t="s">
        <v>792</v>
      </c>
      <c r="C83" s="4" t="s">
        <v>953</v>
      </c>
      <c r="D83" s="6">
        <v>2</v>
      </c>
      <c r="E83" s="7" t="s">
        <v>955</v>
      </c>
      <c r="F83" s="15" t="s">
        <v>31</v>
      </c>
      <c r="G83" s="13"/>
      <c r="H83" s="13"/>
      <c r="I83" s="13"/>
      <c r="J83" s="106"/>
    </row>
    <row r="84" spans="1:10" ht="12.75" hidden="1">
      <c r="A84" s="6">
        <v>83</v>
      </c>
      <c r="B84" s="4" t="s">
        <v>792</v>
      </c>
      <c r="C84" s="4" t="s">
        <v>953</v>
      </c>
      <c r="D84" s="6">
        <v>2</v>
      </c>
      <c r="E84" s="7" t="s">
        <v>958</v>
      </c>
      <c r="F84" s="15" t="s">
        <v>31</v>
      </c>
      <c r="G84" s="13"/>
      <c r="H84" s="13"/>
      <c r="I84" s="13"/>
      <c r="J84" s="106"/>
    </row>
    <row r="85" spans="1:10" ht="12.75">
      <c r="A85" s="6">
        <v>84</v>
      </c>
      <c r="B85" s="4" t="s">
        <v>792</v>
      </c>
      <c r="C85" s="4" t="s">
        <v>953</v>
      </c>
      <c r="D85" s="6">
        <v>2</v>
      </c>
      <c r="E85" s="7" t="s">
        <v>959</v>
      </c>
      <c r="F85" s="15" t="s">
        <v>31</v>
      </c>
      <c r="G85" s="13" t="s">
        <v>831</v>
      </c>
      <c r="H85" s="13"/>
      <c r="I85" s="13" t="s">
        <v>1498</v>
      </c>
      <c r="J85" s="106"/>
    </row>
    <row r="86" spans="1:10" ht="12.75">
      <c r="A86" s="6">
        <v>85</v>
      </c>
      <c r="B86" s="4" t="s">
        <v>792</v>
      </c>
      <c r="C86" s="4" t="s">
        <v>953</v>
      </c>
      <c r="D86" s="6">
        <v>2</v>
      </c>
      <c r="E86" s="7" t="s">
        <v>963</v>
      </c>
      <c r="F86" s="15" t="s">
        <v>31</v>
      </c>
      <c r="G86" s="13" t="s">
        <v>288</v>
      </c>
      <c r="H86" s="13" t="s">
        <v>742</v>
      </c>
      <c r="I86" s="13"/>
      <c r="J86" s="106"/>
    </row>
    <row r="87" spans="1:10" ht="12.75">
      <c r="A87" s="6">
        <v>86</v>
      </c>
      <c r="B87" s="4" t="s">
        <v>792</v>
      </c>
      <c r="C87" s="4" t="s">
        <v>953</v>
      </c>
      <c r="D87" s="6">
        <v>2</v>
      </c>
      <c r="E87" s="7" t="s">
        <v>964</v>
      </c>
      <c r="F87" s="15" t="s">
        <v>31</v>
      </c>
      <c r="G87" s="13" t="s">
        <v>288</v>
      </c>
      <c r="H87" s="13" t="s">
        <v>742</v>
      </c>
      <c r="I87" s="13"/>
      <c r="J87" s="106"/>
    </row>
    <row r="88" spans="1:10" ht="12.75" hidden="1">
      <c r="A88" s="6">
        <v>87</v>
      </c>
      <c r="B88" s="4" t="s">
        <v>792</v>
      </c>
      <c r="C88" s="4" t="s">
        <v>953</v>
      </c>
      <c r="D88" s="6">
        <v>2</v>
      </c>
      <c r="E88" s="7" t="s">
        <v>967</v>
      </c>
      <c r="F88" s="15" t="s">
        <v>31</v>
      </c>
      <c r="G88" s="13"/>
      <c r="H88" s="13"/>
      <c r="I88" s="13"/>
      <c r="J88" s="106"/>
    </row>
    <row r="89" spans="1:10" ht="12.75" hidden="1">
      <c r="A89" s="6">
        <v>89</v>
      </c>
      <c r="B89" s="4" t="s">
        <v>792</v>
      </c>
      <c r="C89" s="4" t="s">
        <v>953</v>
      </c>
      <c r="D89" s="6">
        <v>2</v>
      </c>
      <c r="E89" s="7" t="s">
        <v>970</v>
      </c>
      <c r="F89" s="15" t="s">
        <v>31</v>
      </c>
      <c r="G89" s="13"/>
      <c r="H89" s="13"/>
      <c r="I89" s="13"/>
      <c r="J89" s="106"/>
    </row>
    <row r="90" spans="1:10" ht="12.75" hidden="1">
      <c r="A90" s="6">
        <v>90</v>
      </c>
      <c r="B90" s="4" t="s">
        <v>792</v>
      </c>
      <c r="C90" s="4" t="s">
        <v>953</v>
      </c>
      <c r="D90" s="6">
        <v>2</v>
      </c>
      <c r="E90" s="7" t="s">
        <v>971</v>
      </c>
      <c r="F90" s="15" t="s">
        <v>31</v>
      </c>
      <c r="G90" s="13"/>
      <c r="H90" s="13"/>
      <c r="I90" s="13"/>
      <c r="J90" s="106"/>
    </row>
    <row r="91" spans="1:10" ht="12.75" hidden="1">
      <c r="A91" s="6">
        <v>91</v>
      </c>
      <c r="B91" s="4" t="s">
        <v>792</v>
      </c>
      <c r="C91" s="4" t="s">
        <v>953</v>
      </c>
      <c r="D91" s="6">
        <v>2</v>
      </c>
      <c r="E91" s="7" t="s">
        <v>974</v>
      </c>
      <c r="F91" s="15" t="s">
        <v>31</v>
      </c>
      <c r="G91" s="13"/>
      <c r="H91" s="13"/>
      <c r="I91" s="13"/>
      <c r="J91" s="106"/>
    </row>
    <row r="92" spans="1:10" ht="12.75" hidden="1">
      <c r="A92" s="6">
        <v>92</v>
      </c>
      <c r="B92" s="4" t="s">
        <v>792</v>
      </c>
      <c r="C92" s="4" t="s">
        <v>953</v>
      </c>
      <c r="D92" s="6">
        <v>2</v>
      </c>
      <c r="E92" s="7" t="s">
        <v>977</v>
      </c>
      <c r="F92" s="15" t="s">
        <v>31</v>
      </c>
      <c r="G92" s="13"/>
      <c r="H92" s="13"/>
      <c r="I92" s="13"/>
      <c r="J92" s="106"/>
    </row>
    <row r="93" spans="1:10" ht="12.75" hidden="1">
      <c r="A93" s="6">
        <v>93</v>
      </c>
      <c r="B93" s="4" t="s">
        <v>792</v>
      </c>
      <c r="C93" s="4" t="s">
        <v>953</v>
      </c>
      <c r="D93" s="6">
        <v>2</v>
      </c>
      <c r="E93" s="7" t="s">
        <v>978</v>
      </c>
      <c r="F93" s="15" t="s">
        <v>31</v>
      </c>
      <c r="G93" s="13"/>
      <c r="H93" s="13"/>
      <c r="I93" s="13"/>
      <c r="J93" s="106"/>
    </row>
    <row r="94" spans="1:10" ht="12.75" hidden="1">
      <c r="A94" s="6">
        <v>94</v>
      </c>
      <c r="B94" s="4" t="s">
        <v>792</v>
      </c>
      <c r="C94" s="4" t="s">
        <v>953</v>
      </c>
      <c r="D94" s="6">
        <v>2</v>
      </c>
      <c r="E94" s="7" t="s">
        <v>981</v>
      </c>
      <c r="F94" s="15" t="s">
        <v>31</v>
      </c>
      <c r="G94" s="13"/>
      <c r="H94" s="13"/>
      <c r="I94" s="13"/>
      <c r="J94" s="106"/>
    </row>
    <row r="95" spans="1:10" ht="12.75" hidden="1">
      <c r="A95" s="6">
        <v>95</v>
      </c>
      <c r="B95" s="4" t="s">
        <v>792</v>
      </c>
      <c r="C95" s="4" t="s">
        <v>953</v>
      </c>
      <c r="D95" s="6">
        <v>2</v>
      </c>
      <c r="E95" s="7" t="s">
        <v>982</v>
      </c>
      <c r="F95" s="15" t="s">
        <v>31</v>
      </c>
      <c r="G95" s="13"/>
      <c r="H95" s="13"/>
      <c r="I95" s="13"/>
      <c r="J95" s="106"/>
    </row>
    <row r="96" spans="1:10" ht="12.75" hidden="1">
      <c r="A96" s="6">
        <v>96</v>
      </c>
      <c r="B96" s="4" t="s">
        <v>792</v>
      </c>
      <c r="C96" s="4" t="s">
        <v>953</v>
      </c>
      <c r="D96" s="6">
        <v>2</v>
      </c>
      <c r="E96" s="7" t="s">
        <v>983</v>
      </c>
      <c r="F96" s="15" t="s">
        <v>31</v>
      </c>
      <c r="G96" s="13"/>
      <c r="H96" s="13"/>
      <c r="I96" s="13"/>
      <c r="J96" s="106"/>
    </row>
    <row r="97" spans="1:10" ht="12.75" hidden="1">
      <c r="A97" s="6">
        <v>97</v>
      </c>
      <c r="B97" s="4" t="s">
        <v>792</v>
      </c>
      <c r="C97" s="4" t="s">
        <v>984</v>
      </c>
      <c r="D97" s="6">
        <v>2</v>
      </c>
      <c r="E97" s="7" t="s">
        <v>985</v>
      </c>
      <c r="F97" s="15" t="s">
        <v>31</v>
      </c>
      <c r="G97" s="13"/>
      <c r="H97" s="13"/>
      <c r="I97" s="13"/>
      <c r="J97" s="106"/>
    </row>
    <row r="98" spans="1:10" ht="12.75" hidden="1">
      <c r="A98" s="6">
        <v>98</v>
      </c>
      <c r="B98" s="4" t="s">
        <v>988</v>
      </c>
      <c r="C98" s="4" t="s">
        <v>989</v>
      </c>
      <c r="D98" s="6">
        <v>2</v>
      </c>
      <c r="E98" s="7" t="s">
        <v>990</v>
      </c>
      <c r="F98" s="15" t="s">
        <v>31</v>
      </c>
      <c r="G98" s="13"/>
      <c r="H98" s="13"/>
      <c r="I98" s="13"/>
      <c r="J98" s="106"/>
    </row>
    <row r="99" spans="1:10" ht="12.75" hidden="1">
      <c r="A99" s="6">
        <v>99</v>
      </c>
      <c r="B99" s="4" t="s">
        <v>988</v>
      </c>
      <c r="C99" s="4" t="s">
        <v>991</v>
      </c>
      <c r="D99" s="6">
        <v>2</v>
      </c>
      <c r="E99" s="7" t="s">
        <v>992</v>
      </c>
      <c r="F99" s="15" t="s">
        <v>31</v>
      </c>
      <c r="G99" s="13"/>
      <c r="H99" s="13"/>
      <c r="I99" s="13"/>
      <c r="J99" s="106"/>
    </row>
    <row r="100" spans="1:10" ht="12.75" hidden="1">
      <c r="A100" s="6">
        <v>100</v>
      </c>
      <c r="B100" s="4" t="s">
        <v>988</v>
      </c>
      <c r="C100" s="4" t="s">
        <v>994</v>
      </c>
      <c r="D100" s="6">
        <v>2</v>
      </c>
      <c r="E100" s="7" t="s">
        <v>996</v>
      </c>
      <c r="F100" s="15" t="s">
        <v>31</v>
      </c>
      <c r="G100" s="13"/>
      <c r="H100" s="13"/>
      <c r="I100" s="13"/>
      <c r="J100" s="106"/>
    </row>
    <row r="101" spans="1:10" ht="12.75" hidden="1">
      <c r="A101" s="6">
        <v>101</v>
      </c>
      <c r="B101" s="4" t="s">
        <v>988</v>
      </c>
      <c r="C101" s="4" t="s">
        <v>997</v>
      </c>
      <c r="D101" s="6">
        <v>2</v>
      </c>
      <c r="E101" s="7" t="s">
        <v>998</v>
      </c>
      <c r="F101" s="15" t="s">
        <v>31</v>
      </c>
      <c r="G101" s="13"/>
      <c r="H101" s="13"/>
      <c r="I101" s="13"/>
      <c r="J101" s="106"/>
    </row>
    <row r="102" spans="1:10" ht="12.75" hidden="1">
      <c r="A102" s="6">
        <v>102</v>
      </c>
      <c r="B102" s="4" t="s">
        <v>988</v>
      </c>
      <c r="C102" s="4" t="s">
        <v>999</v>
      </c>
      <c r="D102" s="6">
        <v>2</v>
      </c>
      <c r="E102" s="7" t="s">
        <v>1000</v>
      </c>
      <c r="F102" s="15" t="s">
        <v>31</v>
      </c>
      <c r="G102" s="13"/>
      <c r="H102" s="13"/>
      <c r="I102" s="13"/>
      <c r="J102" s="106"/>
    </row>
    <row r="103" spans="1:10" ht="12.75" hidden="1">
      <c r="A103" s="6">
        <v>103</v>
      </c>
      <c r="B103" s="4" t="s">
        <v>988</v>
      </c>
      <c r="C103" s="4" t="s">
        <v>1001</v>
      </c>
      <c r="D103" s="6">
        <v>2</v>
      </c>
      <c r="E103" s="7" t="s">
        <v>1002</v>
      </c>
      <c r="F103" s="15" t="s">
        <v>31</v>
      </c>
      <c r="G103" s="13"/>
      <c r="H103" s="13"/>
      <c r="I103" s="13"/>
      <c r="J103" s="106"/>
    </row>
    <row r="104" spans="1:10" ht="12.75" hidden="1">
      <c r="A104" s="6">
        <v>104</v>
      </c>
      <c r="B104" s="4" t="s">
        <v>988</v>
      </c>
      <c r="C104" s="4" t="s">
        <v>1001</v>
      </c>
      <c r="D104" s="6">
        <v>2</v>
      </c>
      <c r="E104" s="7" t="s">
        <v>1005</v>
      </c>
      <c r="F104" s="15" t="s">
        <v>31</v>
      </c>
      <c r="G104" s="13"/>
      <c r="H104" s="13"/>
      <c r="I104" s="13"/>
      <c r="J104" s="106"/>
    </row>
    <row r="105" spans="1:10" ht="12.75" hidden="1">
      <c r="A105" s="6">
        <v>105</v>
      </c>
      <c r="B105" s="4" t="s">
        <v>988</v>
      </c>
      <c r="C105" s="4" t="s">
        <v>1006</v>
      </c>
      <c r="D105" s="6">
        <v>2</v>
      </c>
      <c r="E105" s="7" t="s">
        <v>1007</v>
      </c>
      <c r="F105" s="15" t="s">
        <v>31</v>
      </c>
      <c r="G105" s="13"/>
      <c r="H105" s="13"/>
      <c r="I105" s="13"/>
      <c r="J105" s="106"/>
    </row>
    <row r="106" spans="1:10" ht="12.75" hidden="1">
      <c r="A106" s="6">
        <v>106</v>
      </c>
      <c r="B106" s="4" t="s">
        <v>988</v>
      </c>
      <c r="C106" s="4" t="s">
        <v>1008</v>
      </c>
      <c r="D106" s="6">
        <v>2</v>
      </c>
      <c r="E106" s="7" t="s">
        <v>1009</v>
      </c>
      <c r="F106" s="15" t="s">
        <v>31</v>
      </c>
      <c r="G106" s="13"/>
      <c r="H106" s="13"/>
      <c r="I106" s="13"/>
      <c r="J106" s="106"/>
    </row>
    <row r="107" spans="1:10" ht="12.75" hidden="1">
      <c r="A107" s="6">
        <v>107</v>
      </c>
      <c r="B107" s="4" t="s">
        <v>988</v>
      </c>
      <c r="C107" s="4" t="s">
        <v>1010</v>
      </c>
      <c r="D107" s="6">
        <v>2</v>
      </c>
      <c r="E107" s="7" t="s">
        <v>1012</v>
      </c>
      <c r="F107" s="15" t="s">
        <v>31</v>
      </c>
      <c r="G107" s="13"/>
      <c r="H107" s="13"/>
      <c r="I107" s="13"/>
      <c r="J107" s="106"/>
    </row>
    <row r="108" spans="1:10" ht="12.75" hidden="1">
      <c r="A108" s="6">
        <v>108</v>
      </c>
      <c r="B108" s="4" t="s">
        <v>988</v>
      </c>
      <c r="C108" s="4" t="s">
        <v>1014</v>
      </c>
      <c r="D108" s="6">
        <v>2</v>
      </c>
      <c r="E108" s="7" t="s">
        <v>1015</v>
      </c>
      <c r="F108" s="15" t="s">
        <v>31</v>
      </c>
      <c r="G108" s="13"/>
      <c r="H108" s="13"/>
      <c r="I108" s="13"/>
      <c r="J108" s="106"/>
    </row>
    <row r="109" spans="1:10" ht="12.75" hidden="1">
      <c r="A109" s="6">
        <v>109</v>
      </c>
      <c r="B109" s="4" t="s">
        <v>988</v>
      </c>
      <c r="C109" s="4" t="s">
        <v>1016</v>
      </c>
      <c r="D109" s="6">
        <v>2</v>
      </c>
      <c r="E109" s="7" t="s">
        <v>1017</v>
      </c>
      <c r="F109" s="15" t="s">
        <v>31</v>
      </c>
      <c r="G109" s="13"/>
      <c r="H109" s="13"/>
      <c r="I109" s="13"/>
      <c r="J109" s="106"/>
    </row>
    <row r="110" spans="1:10" ht="12.75" hidden="1">
      <c r="A110" s="6">
        <v>110</v>
      </c>
      <c r="B110" s="4" t="s">
        <v>988</v>
      </c>
      <c r="C110" s="4" t="s">
        <v>1018</v>
      </c>
      <c r="D110" s="6">
        <v>2</v>
      </c>
      <c r="E110" s="135" t="s">
        <v>1019</v>
      </c>
      <c r="F110" s="15" t="s">
        <v>31</v>
      </c>
      <c r="G110" s="13" t="s">
        <v>831</v>
      </c>
      <c r="H110" s="13"/>
      <c r="I110" s="13" t="s">
        <v>1511</v>
      </c>
      <c r="J110" s="106"/>
    </row>
    <row r="111" spans="1:10" ht="12.75" hidden="1">
      <c r="A111" s="6">
        <v>111</v>
      </c>
      <c r="B111" s="4" t="s">
        <v>988</v>
      </c>
      <c r="C111" s="4" t="s">
        <v>1018</v>
      </c>
      <c r="D111" s="6">
        <v>2</v>
      </c>
      <c r="E111" s="7" t="s">
        <v>1022</v>
      </c>
      <c r="F111" s="15" t="s">
        <v>31</v>
      </c>
      <c r="G111" s="13"/>
      <c r="H111" s="13"/>
      <c r="I111" s="13"/>
      <c r="J111" s="106"/>
    </row>
    <row r="112" spans="1:10" ht="12.75" hidden="1">
      <c r="A112" s="6">
        <v>112</v>
      </c>
      <c r="B112" s="4" t="s">
        <v>988</v>
      </c>
      <c r="C112" s="4" t="s">
        <v>1018</v>
      </c>
      <c r="D112" s="6">
        <v>2</v>
      </c>
      <c r="E112" s="7" t="s">
        <v>1023</v>
      </c>
      <c r="F112" s="15" t="s">
        <v>31</v>
      </c>
      <c r="G112" s="13"/>
      <c r="H112" s="13"/>
      <c r="I112" s="13"/>
      <c r="J112" s="106"/>
    </row>
    <row r="113" spans="1:10" ht="12.75" hidden="1">
      <c r="A113" s="6">
        <v>113</v>
      </c>
      <c r="B113" s="4" t="s">
        <v>988</v>
      </c>
      <c r="C113" s="4" t="s">
        <v>1018</v>
      </c>
      <c r="D113" s="6">
        <v>2</v>
      </c>
      <c r="E113" s="7" t="s">
        <v>1024</v>
      </c>
      <c r="F113" s="15" t="s">
        <v>31</v>
      </c>
      <c r="G113" s="13"/>
      <c r="H113" s="13"/>
      <c r="I113" s="13"/>
      <c r="J113" s="106"/>
    </row>
    <row r="114" spans="1:10" ht="12.75" hidden="1">
      <c r="A114" s="6">
        <v>114</v>
      </c>
      <c r="B114" s="13" t="s">
        <v>988</v>
      </c>
      <c r="C114" s="4" t="s">
        <v>1027</v>
      </c>
      <c r="D114" s="6">
        <v>2</v>
      </c>
      <c r="E114" s="7" t="s">
        <v>1028</v>
      </c>
      <c r="F114" s="15" t="s">
        <v>31</v>
      </c>
      <c r="G114" s="13"/>
      <c r="H114" s="13"/>
      <c r="I114" s="13"/>
      <c r="J114" s="106"/>
    </row>
    <row r="115" spans="1:10" ht="12.75" hidden="1">
      <c r="A115" s="6">
        <v>115</v>
      </c>
      <c r="B115" s="13" t="s">
        <v>988</v>
      </c>
      <c r="C115" s="4" t="s">
        <v>1029</v>
      </c>
      <c r="D115" s="6">
        <v>2</v>
      </c>
      <c r="E115" s="7" t="s">
        <v>1030</v>
      </c>
      <c r="F115" s="15" t="s">
        <v>31</v>
      </c>
      <c r="G115" s="13"/>
      <c r="H115" s="13"/>
      <c r="I115" s="13"/>
      <c r="J115" s="106"/>
    </row>
    <row r="116" spans="1:10" ht="12.75" hidden="1">
      <c r="A116" s="6">
        <v>117</v>
      </c>
      <c r="B116" s="13" t="s">
        <v>1031</v>
      </c>
      <c r="C116" s="4" t="s">
        <v>1032</v>
      </c>
      <c r="D116" s="6">
        <v>1</v>
      </c>
      <c r="E116" s="7" t="s">
        <v>1033</v>
      </c>
      <c r="F116" s="15" t="s">
        <v>31</v>
      </c>
      <c r="G116" s="13"/>
      <c r="H116" s="13"/>
      <c r="I116" s="13"/>
      <c r="J116" s="106"/>
    </row>
    <row r="117" spans="1:10" ht="16.5" hidden="1" customHeight="1">
      <c r="A117" s="6">
        <v>118</v>
      </c>
      <c r="B117" s="13" t="s">
        <v>1031</v>
      </c>
      <c r="C117" s="4" t="s">
        <v>1034</v>
      </c>
      <c r="D117" s="6">
        <v>1</v>
      </c>
      <c r="E117" s="7" t="s">
        <v>1035</v>
      </c>
      <c r="F117" s="15" t="s">
        <v>31</v>
      </c>
      <c r="G117" s="13"/>
      <c r="H117" s="13"/>
      <c r="I117" s="13"/>
      <c r="J117" s="106"/>
    </row>
    <row r="118" spans="1:10" ht="12.75" hidden="1">
      <c r="A118" s="6">
        <v>119</v>
      </c>
      <c r="B118" s="13" t="s">
        <v>1031</v>
      </c>
      <c r="C118" s="4" t="s">
        <v>1038</v>
      </c>
      <c r="D118" s="6">
        <v>1</v>
      </c>
      <c r="E118" s="135" t="s">
        <v>1039</v>
      </c>
      <c r="F118" s="15" t="s">
        <v>31</v>
      </c>
      <c r="G118" s="13" t="s">
        <v>831</v>
      </c>
      <c r="H118" s="13" t="s">
        <v>1517</v>
      </c>
      <c r="I118" s="13"/>
      <c r="J118" s="106"/>
    </row>
    <row r="119" spans="1:10" ht="12.75" hidden="1">
      <c r="A119" s="6">
        <v>120</v>
      </c>
      <c r="B119" s="4" t="s">
        <v>1031</v>
      </c>
      <c r="C119" s="4" t="s">
        <v>817</v>
      </c>
      <c r="D119" s="6">
        <v>1</v>
      </c>
      <c r="E119" s="7" t="s">
        <v>818</v>
      </c>
      <c r="F119" s="15" t="s">
        <v>31</v>
      </c>
      <c r="G119" s="13"/>
      <c r="H119" s="13"/>
      <c r="I119" s="13"/>
      <c r="J119" s="106"/>
    </row>
    <row r="120" spans="1:10" ht="12.75" hidden="1">
      <c r="A120" s="6">
        <v>121</v>
      </c>
      <c r="B120" s="4" t="s">
        <v>1031</v>
      </c>
      <c r="C120" s="4" t="s">
        <v>817</v>
      </c>
      <c r="D120" s="6">
        <v>1</v>
      </c>
      <c r="E120" s="7" t="s">
        <v>818</v>
      </c>
      <c r="F120" s="15" t="s">
        <v>31</v>
      </c>
      <c r="G120" s="13"/>
      <c r="H120" s="13"/>
      <c r="I120" s="13"/>
      <c r="J120" s="106"/>
    </row>
    <row r="121" spans="1:10" ht="12.75" hidden="1">
      <c r="A121" s="6">
        <v>122</v>
      </c>
      <c r="B121" s="4" t="s">
        <v>1031</v>
      </c>
      <c r="C121" s="4" t="s">
        <v>1040</v>
      </c>
      <c r="D121" s="6">
        <v>1</v>
      </c>
      <c r="E121" s="7" t="s">
        <v>1041</v>
      </c>
      <c r="F121" s="15" t="s">
        <v>31</v>
      </c>
      <c r="G121" s="13"/>
      <c r="H121" s="13"/>
      <c r="I121" s="13"/>
      <c r="J121" s="106"/>
    </row>
    <row r="122" spans="1:10" ht="12.75" hidden="1">
      <c r="A122" s="6">
        <v>123</v>
      </c>
      <c r="B122" s="4" t="s">
        <v>1031</v>
      </c>
      <c r="C122" s="4" t="s">
        <v>1044</v>
      </c>
      <c r="D122" s="6">
        <v>1</v>
      </c>
      <c r="E122" s="7" t="s">
        <v>1045</v>
      </c>
      <c r="F122" s="15" t="s">
        <v>31</v>
      </c>
      <c r="G122" s="13"/>
      <c r="H122" s="13"/>
      <c r="I122" s="13"/>
      <c r="J122" s="106"/>
    </row>
    <row r="123" spans="1:10" ht="12.75" hidden="1">
      <c r="A123" s="6">
        <v>124</v>
      </c>
      <c r="B123" s="4" t="s">
        <v>1031</v>
      </c>
      <c r="C123" s="4" t="s">
        <v>1046</v>
      </c>
      <c r="D123" s="6">
        <v>1</v>
      </c>
      <c r="E123" s="7" t="s">
        <v>1047</v>
      </c>
      <c r="F123" s="15" t="s">
        <v>31</v>
      </c>
      <c r="G123" s="13"/>
      <c r="H123" s="13"/>
      <c r="I123" s="13"/>
      <c r="J123" s="106"/>
    </row>
    <row r="124" spans="1:10" ht="12.75" hidden="1">
      <c r="A124" s="6">
        <v>125</v>
      </c>
      <c r="B124" s="4" t="s">
        <v>1031</v>
      </c>
      <c r="C124" s="4" t="s">
        <v>1048</v>
      </c>
      <c r="D124" s="6">
        <v>1</v>
      </c>
      <c r="E124" s="7" t="s">
        <v>1049</v>
      </c>
      <c r="F124" s="15" t="s">
        <v>31</v>
      </c>
      <c r="G124" s="13"/>
      <c r="H124" s="13"/>
      <c r="I124" s="13"/>
      <c r="J124" s="106"/>
    </row>
    <row r="125" spans="1:10" ht="12.75" hidden="1">
      <c r="A125" s="6">
        <v>126</v>
      </c>
      <c r="B125" s="4" t="s">
        <v>1031</v>
      </c>
      <c r="C125" s="4" t="s">
        <v>1050</v>
      </c>
      <c r="D125" s="6">
        <v>1</v>
      </c>
      <c r="E125" s="7" t="s">
        <v>1051</v>
      </c>
      <c r="F125" s="15" t="s">
        <v>31</v>
      </c>
      <c r="G125" s="13"/>
      <c r="H125" s="13"/>
      <c r="I125" s="13"/>
      <c r="J125" s="106"/>
    </row>
    <row r="126" spans="1:10" ht="12.75" hidden="1">
      <c r="A126" s="6">
        <v>127</v>
      </c>
      <c r="B126" s="4" t="s">
        <v>1054</v>
      </c>
      <c r="C126" s="4" t="s">
        <v>989</v>
      </c>
      <c r="D126" s="6">
        <v>1</v>
      </c>
      <c r="E126" s="7" t="s">
        <v>1055</v>
      </c>
      <c r="F126" s="15" t="s">
        <v>31</v>
      </c>
      <c r="G126" s="13"/>
      <c r="H126" s="13"/>
      <c r="I126" s="13"/>
      <c r="J126" s="106"/>
    </row>
    <row r="127" spans="1:10" ht="25.5" hidden="1">
      <c r="A127" s="6">
        <v>128</v>
      </c>
      <c r="B127" s="4" t="s">
        <v>1054</v>
      </c>
      <c r="C127" s="4" t="s">
        <v>1056</v>
      </c>
      <c r="D127" s="6">
        <v>1</v>
      </c>
      <c r="E127" s="54" t="s">
        <v>1057</v>
      </c>
      <c r="F127" s="15" t="s">
        <v>31</v>
      </c>
      <c r="G127" s="13"/>
      <c r="H127" s="13"/>
      <c r="I127" s="13"/>
      <c r="J127" s="106"/>
    </row>
    <row r="128" spans="1:10" ht="12.75" hidden="1">
      <c r="A128" s="6">
        <v>129</v>
      </c>
      <c r="B128" s="4" t="s">
        <v>1054</v>
      </c>
      <c r="C128" s="4" t="s">
        <v>756</v>
      </c>
      <c r="D128" s="6">
        <v>1</v>
      </c>
      <c r="E128" s="55" t="s">
        <v>757</v>
      </c>
      <c r="F128" s="15" t="s">
        <v>31</v>
      </c>
      <c r="G128" s="13"/>
      <c r="H128" s="13"/>
      <c r="I128" s="13"/>
      <c r="J128" s="106"/>
    </row>
    <row r="129" spans="1:10" ht="31.5" hidden="1" customHeight="1">
      <c r="A129" s="6">
        <v>130</v>
      </c>
      <c r="B129" s="13" t="s">
        <v>1054</v>
      </c>
      <c r="C129" s="13" t="s">
        <v>1060</v>
      </c>
      <c r="D129" s="6">
        <v>1</v>
      </c>
      <c r="E129" s="55" t="s">
        <v>1061</v>
      </c>
      <c r="F129" s="15" t="s">
        <v>31</v>
      </c>
      <c r="G129" s="13"/>
      <c r="H129" s="13"/>
      <c r="I129" s="13"/>
      <c r="J129" s="106"/>
    </row>
    <row r="130" spans="1:10" ht="12.75" hidden="1">
      <c r="A130" s="6">
        <v>131</v>
      </c>
      <c r="B130" s="4" t="s">
        <v>1054</v>
      </c>
      <c r="C130" s="4" t="s">
        <v>1062</v>
      </c>
      <c r="D130" s="6">
        <v>1</v>
      </c>
      <c r="E130" s="7" t="s">
        <v>1063</v>
      </c>
      <c r="F130" s="15" t="s">
        <v>31</v>
      </c>
      <c r="G130" s="13"/>
      <c r="H130" s="13"/>
      <c r="I130" s="13"/>
      <c r="J130" s="106"/>
    </row>
    <row r="131" spans="1:10" ht="12.75">
      <c r="A131" s="6">
        <v>132</v>
      </c>
      <c r="B131" s="4" t="s">
        <v>1054</v>
      </c>
      <c r="C131" s="4" t="s">
        <v>1065</v>
      </c>
      <c r="D131" s="6">
        <v>1</v>
      </c>
      <c r="E131" s="7" t="s">
        <v>1067</v>
      </c>
      <c r="F131" s="15" t="s">
        <v>31</v>
      </c>
      <c r="G131" s="13" t="s">
        <v>288</v>
      </c>
      <c r="H131" s="13" t="s">
        <v>742</v>
      </c>
      <c r="I131" s="13"/>
      <c r="J131" s="106"/>
    </row>
    <row r="132" spans="1:10" ht="12.75" hidden="1">
      <c r="A132" s="6">
        <v>134</v>
      </c>
      <c r="B132" s="4" t="s">
        <v>1054</v>
      </c>
      <c r="C132" s="4" t="s">
        <v>1068</v>
      </c>
      <c r="D132" s="6">
        <v>1</v>
      </c>
      <c r="E132" s="20" t="s">
        <v>1069</v>
      </c>
      <c r="F132" s="15" t="s">
        <v>31</v>
      </c>
      <c r="G132" s="13"/>
      <c r="H132" s="13"/>
      <c r="I132" s="13"/>
      <c r="J132" s="106"/>
    </row>
    <row r="133" spans="1:10" ht="17.25" hidden="1" customHeight="1">
      <c r="A133" s="6">
        <v>135</v>
      </c>
      <c r="B133" s="4" t="s">
        <v>1054</v>
      </c>
      <c r="C133" s="4" t="s">
        <v>1070</v>
      </c>
      <c r="D133" s="6">
        <v>1</v>
      </c>
      <c r="E133" s="20" t="s">
        <v>1071</v>
      </c>
      <c r="F133" s="15" t="s">
        <v>31</v>
      </c>
      <c r="G133" s="13"/>
      <c r="H133" s="13"/>
      <c r="I133" s="13"/>
      <c r="J133" s="106"/>
    </row>
    <row r="134" spans="1:10" ht="12.75" hidden="1">
      <c r="A134" s="6">
        <v>136</v>
      </c>
      <c r="B134" s="13" t="s">
        <v>1054</v>
      </c>
      <c r="C134" s="13" t="s">
        <v>1072</v>
      </c>
      <c r="D134" s="6">
        <v>1</v>
      </c>
      <c r="E134" s="20" t="s">
        <v>1074</v>
      </c>
      <c r="F134" s="15" t="s">
        <v>31</v>
      </c>
      <c r="G134" s="13"/>
      <c r="H134" s="13"/>
      <c r="I134" s="13"/>
      <c r="J134" s="106"/>
    </row>
    <row r="135" spans="1:10" ht="12.75" hidden="1">
      <c r="A135" s="6">
        <v>137</v>
      </c>
      <c r="B135" s="4" t="s">
        <v>1054</v>
      </c>
      <c r="C135" s="4" t="s">
        <v>1076</v>
      </c>
      <c r="D135" s="6">
        <v>1</v>
      </c>
      <c r="E135" s="20" t="s">
        <v>1077</v>
      </c>
      <c r="F135" s="15" t="s">
        <v>31</v>
      </c>
      <c r="G135" s="13"/>
      <c r="H135" s="13"/>
      <c r="I135" s="13"/>
      <c r="J135" s="106"/>
    </row>
    <row r="136" spans="1:10" ht="12.75" hidden="1">
      <c r="A136" s="6">
        <v>138</v>
      </c>
      <c r="B136" s="4" t="s">
        <v>1054</v>
      </c>
      <c r="C136" s="4" t="s">
        <v>1078</v>
      </c>
      <c r="D136" s="6">
        <v>1</v>
      </c>
      <c r="E136" s="20" t="s">
        <v>1079</v>
      </c>
      <c r="F136" s="15" t="s">
        <v>31</v>
      </c>
      <c r="G136" s="13"/>
      <c r="H136" s="13"/>
      <c r="I136" s="13"/>
      <c r="J136" s="106"/>
    </row>
    <row r="137" spans="1:10" ht="12.75" hidden="1">
      <c r="A137" s="6">
        <v>139</v>
      </c>
      <c r="B137" s="4" t="s">
        <v>1054</v>
      </c>
      <c r="C137" s="4" t="s">
        <v>1080</v>
      </c>
      <c r="D137" s="6">
        <v>1</v>
      </c>
      <c r="E137" s="20" t="s">
        <v>1081</v>
      </c>
      <c r="F137" s="15" t="s">
        <v>31</v>
      </c>
      <c r="G137" s="13"/>
      <c r="H137" s="13"/>
      <c r="I137" s="13"/>
      <c r="J137" s="106"/>
    </row>
    <row r="138" spans="1:10" ht="12.75" hidden="1">
      <c r="A138" s="6">
        <v>140</v>
      </c>
      <c r="B138" s="4" t="s">
        <v>1054</v>
      </c>
      <c r="C138" s="4" t="s">
        <v>1083</v>
      </c>
      <c r="D138" s="6">
        <v>1</v>
      </c>
      <c r="E138" s="20" t="s">
        <v>1085</v>
      </c>
      <c r="F138" s="15" t="s">
        <v>31</v>
      </c>
      <c r="G138" s="13"/>
      <c r="H138" s="13"/>
      <c r="I138" s="13"/>
      <c r="J138" s="106"/>
    </row>
    <row r="139" spans="1:10" ht="12.75" hidden="1">
      <c r="A139" s="6">
        <v>141</v>
      </c>
      <c r="B139" s="4" t="s">
        <v>1054</v>
      </c>
      <c r="C139" s="4" t="s">
        <v>898</v>
      </c>
      <c r="D139" s="6">
        <v>1</v>
      </c>
      <c r="E139" s="20" t="s">
        <v>899</v>
      </c>
      <c r="F139" s="15" t="s">
        <v>31</v>
      </c>
      <c r="G139" s="13"/>
      <c r="H139" s="13"/>
      <c r="I139" s="13"/>
      <c r="J139" s="106"/>
    </row>
    <row r="140" spans="1:10" ht="12.75" hidden="1">
      <c r="A140" s="6">
        <v>142</v>
      </c>
      <c r="B140" s="4" t="s">
        <v>1054</v>
      </c>
      <c r="C140" s="4" t="s">
        <v>1088</v>
      </c>
      <c r="D140" s="6">
        <v>1</v>
      </c>
      <c r="E140" s="20" t="s">
        <v>1089</v>
      </c>
      <c r="F140" s="15" t="s">
        <v>31</v>
      </c>
      <c r="G140" s="13"/>
      <c r="H140" s="13"/>
      <c r="I140" s="13"/>
      <c r="J140" s="106"/>
    </row>
    <row r="141" spans="1:10" ht="12.75" hidden="1">
      <c r="A141" s="6">
        <v>143</v>
      </c>
      <c r="B141" s="4" t="s">
        <v>1091</v>
      </c>
      <c r="C141" s="4" t="s">
        <v>1092</v>
      </c>
      <c r="D141" s="6">
        <v>1</v>
      </c>
      <c r="E141" s="20" t="s">
        <v>1094</v>
      </c>
      <c r="F141" s="15" t="s">
        <v>31</v>
      </c>
      <c r="G141" s="13"/>
      <c r="H141" s="13"/>
      <c r="I141" s="13"/>
      <c r="J141" s="106"/>
    </row>
    <row r="142" spans="1:10" ht="12.75" hidden="1">
      <c r="A142" s="6">
        <v>144</v>
      </c>
      <c r="B142" s="4" t="s">
        <v>1091</v>
      </c>
      <c r="C142" s="4" t="s">
        <v>1095</v>
      </c>
      <c r="D142" s="6">
        <v>1</v>
      </c>
      <c r="E142" s="20" t="s">
        <v>1096</v>
      </c>
      <c r="F142" s="15" t="s">
        <v>31</v>
      </c>
      <c r="G142" s="13"/>
      <c r="H142" s="13"/>
      <c r="I142" s="13"/>
      <c r="J142" s="106"/>
    </row>
    <row r="143" spans="1:10" ht="12.75" hidden="1">
      <c r="A143" s="6">
        <v>145</v>
      </c>
      <c r="B143" s="4" t="s">
        <v>1091</v>
      </c>
      <c r="C143" s="4" t="s">
        <v>1097</v>
      </c>
      <c r="D143" s="6">
        <v>1</v>
      </c>
      <c r="E143" s="20" t="s">
        <v>1098</v>
      </c>
      <c r="F143" s="15" t="s">
        <v>31</v>
      </c>
      <c r="G143" s="13"/>
      <c r="H143" s="13"/>
      <c r="I143" s="13"/>
      <c r="J143" s="106"/>
    </row>
    <row r="144" spans="1:10" ht="21" hidden="1" customHeight="1">
      <c r="A144" s="6">
        <v>146</v>
      </c>
      <c r="B144" s="4" t="s">
        <v>1091</v>
      </c>
      <c r="C144" s="4" t="s">
        <v>1099</v>
      </c>
      <c r="D144" s="6">
        <v>1</v>
      </c>
      <c r="E144" s="20" t="s">
        <v>1100</v>
      </c>
      <c r="F144" s="15" t="s">
        <v>31</v>
      </c>
      <c r="G144" s="13"/>
      <c r="H144" s="13"/>
      <c r="I144" s="13"/>
      <c r="J144" s="106"/>
    </row>
    <row r="145" spans="1:10" ht="12.75" hidden="1">
      <c r="A145" s="6">
        <v>147</v>
      </c>
      <c r="B145" s="4" t="s">
        <v>1091</v>
      </c>
      <c r="C145" s="4" t="s">
        <v>1101</v>
      </c>
      <c r="D145" s="6">
        <v>1</v>
      </c>
      <c r="E145" s="20" t="s">
        <v>1102</v>
      </c>
      <c r="F145" s="15" t="s">
        <v>31</v>
      </c>
      <c r="G145" s="13"/>
      <c r="H145" s="13"/>
      <c r="I145" s="13"/>
      <c r="J145" s="106"/>
    </row>
    <row r="146" spans="1:10" ht="12.75" hidden="1">
      <c r="A146" s="6">
        <v>148</v>
      </c>
      <c r="B146" s="4" t="s">
        <v>1091</v>
      </c>
      <c r="C146" s="4" t="s">
        <v>1103</v>
      </c>
      <c r="D146" s="6">
        <v>1</v>
      </c>
      <c r="E146" s="20" t="s">
        <v>1105</v>
      </c>
      <c r="F146" s="15" t="s">
        <v>31</v>
      </c>
      <c r="G146" s="13"/>
      <c r="H146" s="13"/>
      <c r="I146" s="13"/>
      <c r="J146" s="106"/>
    </row>
    <row r="147" spans="1:10" ht="19.5" hidden="1" customHeight="1">
      <c r="A147" s="6">
        <v>149</v>
      </c>
      <c r="B147" s="4" t="s">
        <v>1091</v>
      </c>
      <c r="C147" s="4" t="s">
        <v>1107</v>
      </c>
      <c r="D147" s="6">
        <v>1</v>
      </c>
      <c r="E147" s="70" t="s">
        <v>1108</v>
      </c>
      <c r="F147" s="15" t="s">
        <v>31</v>
      </c>
      <c r="G147" s="13"/>
      <c r="H147" s="13"/>
      <c r="I147" s="13"/>
      <c r="J147" s="106"/>
    </row>
    <row r="148" spans="1:10" ht="12.75" hidden="1">
      <c r="A148" s="6">
        <v>150</v>
      </c>
      <c r="B148" s="4" t="s">
        <v>1091</v>
      </c>
      <c r="C148" s="4" t="s">
        <v>1109</v>
      </c>
      <c r="D148" s="6">
        <v>1</v>
      </c>
      <c r="E148" s="70" t="s">
        <v>1110</v>
      </c>
      <c r="F148" s="15" t="s">
        <v>31</v>
      </c>
      <c r="G148" s="13"/>
      <c r="H148" s="13"/>
      <c r="I148" s="13"/>
      <c r="J148" s="106"/>
    </row>
    <row r="149" spans="1:10" ht="12.75" hidden="1">
      <c r="A149" s="6">
        <v>151</v>
      </c>
      <c r="B149" s="4" t="s">
        <v>1091</v>
      </c>
      <c r="C149" s="4" t="s">
        <v>1111</v>
      </c>
      <c r="D149" s="6">
        <v>1</v>
      </c>
      <c r="E149" s="70" t="s">
        <v>1112</v>
      </c>
      <c r="F149" s="15" t="s">
        <v>31</v>
      </c>
      <c r="G149" s="13"/>
      <c r="H149" s="13"/>
      <c r="I149" s="13"/>
      <c r="J149" s="106"/>
    </row>
    <row r="150" spans="1:10" ht="12.75" hidden="1">
      <c r="A150" s="6">
        <v>152</v>
      </c>
      <c r="B150" s="4" t="s">
        <v>1091</v>
      </c>
      <c r="C150" s="4" t="s">
        <v>1115</v>
      </c>
      <c r="D150" s="6">
        <v>1</v>
      </c>
      <c r="E150" s="75" t="s">
        <v>1116</v>
      </c>
      <c r="F150" s="15" t="s">
        <v>31</v>
      </c>
      <c r="G150" s="13"/>
      <c r="H150" s="13"/>
      <c r="I150" s="13"/>
      <c r="J150" s="106"/>
    </row>
    <row r="151" spans="1:10" ht="12.75" hidden="1">
      <c r="A151" s="6">
        <v>153</v>
      </c>
      <c r="B151" s="4" t="s">
        <v>1091</v>
      </c>
      <c r="C151" s="4" t="s">
        <v>1115</v>
      </c>
      <c r="D151" s="6">
        <v>1</v>
      </c>
      <c r="E151" s="70" t="s">
        <v>1116</v>
      </c>
      <c r="F151" s="15" t="s">
        <v>31</v>
      </c>
      <c r="G151" s="13"/>
      <c r="H151" s="13"/>
      <c r="I151" s="13"/>
      <c r="J151" s="106"/>
    </row>
    <row r="152" spans="1:10" ht="12.75">
      <c r="A152" s="6">
        <v>154</v>
      </c>
      <c r="B152" s="4" t="s">
        <v>1091</v>
      </c>
      <c r="C152" s="4" t="s">
        <v>1117</v>
      </c>
      <c r="D152" s="6">
        <v>1</v>
      </c>
      <c r="E152" s="70" t="s">
        <v>1118</v>
      </c>
      <c r="F152" s="15" t="s">
        <v>31</v>
      </c>
      <c r="G152" s="13" t="s">
        <v>288</v>
      </c>
      <c r="H152" s="13" t="s">
        <v>742</v>
      </c>
      <c r="I152" s="13"/>
      <c r="J152" s="106"/>
    </row>
    <row r="153" spans="1:10" ht="12.75" hidden="1">
      <c r="A153" s="6">
        <v>155</v>
      </c>
      <c r="B153" s="13" t="s">
        <v>1091</v>
      </c>
      <c r="C153" s="13" t="s">
        <v>1119</v>
      </c>
      <c r="D153" s="6">
        <v>1</v>
      </c>
      <c r="E153" s="20" t="s">
        <v>1120</v>
      </c>
      <c r="F153" s="15" t="s">
        <v>31</v>
      </c>
      <c r="G153" s="13"/>
      <c r="H153" s="13"/>
      <c r="I153" s="13"/>
      <c r="J153" s="106"/>
    </row>
    <row r="154" spans="1:10" ht="12.75" hidden="1">
      <c r="A154" s="6">
        <v>156</v>
      </c>
      <c r="B154" s="16" t="s">
        <v>1091</v>
      </c>
      <c r="C154" s="16" t="s">
        <v>1121</v>
      </c>
      <c r="D154" s="6">
        <v>1</v>
      </c>
      <c r="E154" s="20" t="s">
        <v>1122</v>
      </c>
      <c r="F154" s="15" t="s">
        <v>31</v>
      </c>
      <c r="G154" s="13"/>
      <c r="H154" s="13"/>
      <c r="I154" s="13"/>
      <c r="J154" s="106"/>
    </row>
    <row r="155" spans="1:10" ht="12.75" hidden="1">
      <c r="A155" s="6">
        <v>157</v>
      </c>
      <c r="B155" s="13" t="s">
        <v>1091</v>
      </c>
      <c r="C155" s="13" t="s">
        <v>1123</v>
      </c>
      <c r="D155" s="6">
        <v>1</v>
      </c>
      <c r="E155" s="20" t="s">
        <v>1124</v>
      </c>
      <c r="F155" s="15" t="s">
        <v>31</v>
      </c>
      <c r="G155" s="13"/>
      <c r="H155" s="13"/>
      <c r="I155" s="13"/>
      <c r="J155" s="106"/>
    </row>
    <row r="156" spans="1:10" ht="12.75" hidden="1">
      <c r="A156" s="6">
        <v>158</v>
      </c>
      <c r="B156" s="4" t="s">
        <v>1091</v>
      </c>
      <c r="C156" s="4" t="s">
        <v>1127</v>
      </c>
      <c r="D156" s="6">
        <v>1</v>
      </c>
      <c r="E156" s="20" t="s">
        <v>1128</v>
      </c>
      <c r="F156" s="15" t="s">
        <v>31</v>
      </c>
      <c r="G156" s="13"/>
      <c r="H156" s="13"/>
      <c r="I156" s="13"/>
      <c r="J156" s="106"/>
    </row>
    <row r="157" spans="1:10" ht="12.75" hidden="1">
      <c r="A157" s="6">
        <v>159</v>
      </c>
      <c r="B157" s="4" t="s">
        <v>1091</v>
      </c>
      <c r="C157" s="4" t="s">
        <v>1129</v>
      </c>
      <c r="D157" s="6">
        <v>1</v>
      </c>
      <c r="E157" s="20" t="s">
        <v>1130</v>
      </c>
      <c r="F157" s="15" t="s">
        <v>31</v>
      </c>
      <c r="G157" s="13"/>
      <c r="H157" s="13"/>
      <c r="I157" s="13"/>
      <c r="J157" s="106"/>
    </row>
    <row r="158" spans="1:10" ht="12.75" hidden="1">
      <c r="A158" s="6">
        <v>160</v>
      </c>
      <c r="B158" s="4" t="s">
        <v>1131</v>
      </c>
      <c r="C158" s="4" t="s">
        <v>1132</v>
      </c>
      <c r="D158" s="6">
        <v>2</v>
      </c>
      <c r="E158" s="20" t="s">
        <v>1133</v>
      </c>
      <c r="F158" s="15" t="s">
        <v>31</v>
      </c>
      <c r="G158" s="13"/>
      <c r="H158" s="13"/>
      <c r="I158" s="13"/>
      <c r="J158" s="106"/>
    </row>
    <row r="159" spans="1:10" ht="21" hidden="1" customHeight="1">
      <c r="A159" s="6">
        <v>161</v>
      </c>
      <c r="B159" s="4" t="s">
        <v>1131</v>
      </c>
      <c r="C159" s="4" t="s">
        <v>1134</v>
      </c>
      <c r="D159" s="6">
        <v>2</v>
      </c>
      <c r="E159" s="20" t="s">
        <v>1135</v>
      </c>
      <c r="F159" s="15" t="s">
        <v>31</v>
      </c>
      <c r="G159" s="13"/>
      <c r="H159" s="13"/>
      <c r="I159" s="13"/>
      <c r="J159" s="106"/>
    </row>
    <row r="160" spans="1:10" ht="16.5" hidden="1" customHeight="1">
      <c r="A160" s="6">
        <v>162</v>
      </c>
      <c r="B160" s="4" t="s">
        <v>1131</v>
      </c>
      <c r="C160" s="4" t="s">
        <v>1137</v>
      </c>
      <c r="D160" s="6">
        <v>2</v>
      </c>
      <c r="E160" s="20" t="s">
        <v>1139</v>
      </c>
      <c r="F160" s="15" t="s">
        <v>31</v>
      </c>
      <c r="G160" s="13"/>
      <c r="H160" s="13"/>
      <c r="I160" s="13"/>
      <c r="J160" s="106"/>
    </row>
    <row r="161" spans="1:10" ht="12.75" hidden="1">
      <c r="A161" s="6">
        <v>163</v>
      </c>
      <c r="B161" s="4" t="s">
        <v>1131</v>
      </c>
      <c r="C161" s="4" t="s">
        <v>1140</v>
      </c>
      <c r="D161" s="6">
        <v>2</v>
      </c>
      <c r="E161" s="20" t="s">
        <v>1141</v>
      </c>
      <c r="F161" s="15" t="s">
        <v>31</v>
      </c>
      <c r="G161" s="13"/>
      <c r="H161" s="13"/>
      <c r="I161" s="13"/>
      <c r="J161" s="106"/>
    </row>
    <row r="162" spans="1:10" ht="12.75" hidden="1">
      <c r="A162" s="6">
        <v>164</v>
      </c>
      <c r="B162" s="4" t="s">
        <v>1131</v>
      </c>
      <c r="C162" s="4" t="s">
        <v>1142</v>
      </c>
      <c r="D162" s="6">
        <v>2</v>
      </c>
      <c r="E162" s="145" t="s">
        <v>1143</v>
      </c>
      <c r="F162" s="15" t="s">
        <v>31</v>
      </c>
      <c r="G162" s="13" t="s">
        <v>831</v>
      </c>
      <c r="H162" s="13"/>
      <c r="I162" s="13" t="s">
        <v>1546</v>
      </c>
      <c r="J162" s="106"/>
    </row>
    <row r="163" spans="1:10" ht="12.75" hidden="1">
      <c r="A163" s="6">
        <v>165</v>
      </c>
      <c r="B163" s="4" t="s">
        <v>1131</v>
      </c>
      <c r="C163" s="4" t="s">
        <v>1142</v>
      </c>
      <c r="D163" s="6">
        <v>2</v>
      </c>
      <c r="E163" s="55" t="s">
        <v>1144</v>
      </c>
      <c r="F163" s="15" t="s">
        <v>31</v>
      </c>
      <c r="G163" s="13"/>
      <c r="H163" s="13"/>
      <c r="I163" s="13"/>
      <c r="J163" s="106"/>
    </row>
    <row r="164" spans="1:10" ht="12.75" hidden="1">
      <c r="A164" s="6">
        <v>166</v>
      </c>
      <c r="B164" s="4" t="s">
        <v>1131</v>
      </c>
      <c r="C164" s="4" t="s">
        <v>1146</v>
      </c>
      <c r="D164" s="6">
        <v>2</v>
      </c>
      <c r="E164" s="55" t="s">
        <v>1148</v>
      </c>
      <c r="F164" s="15" t="s">
        <v>31</v>
      </c>
      <c r="G164" s="13"/>
      <c r="H164" s="13"/>
      <c r="I164" s="13"/>
      <c r="J164" s="106"/>
    </row>
    <row r="165" spans="1:10" ht="12.75" hidden="1">
      <c r="A165" s="6">
        <v>167</v>
      </c>
      <c r="B165" s="4" t="s">
        <v>1131</v>
      </c>
      <c r="C165" s="4" t="s">
        <v>1149</v>
      </c>
      <c r="D165" s="6">
        <v>2</v>
      </c>
      <c r="E165" s="55" t="s">
        <v>1150</v>
      </c>
      <c r="F165" s="15" t="s">
        <v>31</v>
      </c>
      <c r="G165" s="13"/>
      <c r="H165" s="13"/>
      <c r="I165" s="13"/>
      <c r="J165" s="106"/>
    </row>
    <row r="166" spans="1:10" ht="12.75" hidden="1">
      <c r="A166" s="6">
        <v>168</v>
      </c>
      <c r="B166" s="4" t="s">
        <v>1131</v>
      </c>
      <c r="C166" s="4" t="s">
        <v>1151</v>
      </c>
      <c r="D166" s="6">
        <v>2</v>
      </c>
      <c r="E166" s="70" t="s">
        <v>1152</v>
      </c>
      <c r="F166" s="15" t="s">
        <v>31</v>
      </c>
      <c r="G166" s="13"/>
      <c r="H166" s="13"/>
      <c r="I166" s="13"/>
      <c r="J166" s="106"/>
    </row>
    <row r="167" spans="1:10" ht="12.75" hidden="1">
      <c r="A167" s="6">
        <v>169</v>
      </c>
      <c r="B167" s="4" t="s">
        <v>1131</v>
      </c>
      <c r="C167" s="4" t="s">
        <v>1153</v>
      </c>
      <c r="D167" s="6">
        <v>2</v>
      </c>
      <c r="E167" s="70" t="s">
        <v>1154</v>
      </c>
      <c r="F167" s="15" t="s">
        <v>31</v>
      </c>
      <c r="G167" s="13"/>
      <c r="H167" s="13"/>
      <c r="I167" s="13"/>
      <c r="J167" s="106"/>
    </row>
    <row r="168" spans="1:10" ht="12.75" hidden="1">
      <c r="A168" s="6">
        <v>170</v>
      </c>
      <c r="B168" s="4" t="s">
        <v>1131</v>
      </c>
      <c r="C168" s="4" t="s">
        <v>907</v>
      </c>
      <c r="D168" s="6">
        <v>2</v>
      </c>
      <c r="E168" s="70" t="s">
        <v>908</v>
      </c>
      <c r="F168" s="15" t="s">
        <v>31</v>
      </c>
      <c r="G168" s="13"/>
      <c r="H168" s="13"/>
      <c r="I168" s="13"/>
      <c r="J168" s="106"/>
    </row>
    <row r="169" spans="1:10" ht="12.75" hidden="1">
      <c r="A169" s="6">
        <v>171</v>
      </c>
      <c r="B169" s="4" t="s">
        <v>1131</v>
      </c>
      <c r="C169" s="4" t="s">
        <v>1157</v>
      </c>
      <c r="D169" s="6">
        <v>2</v>
      </c>
      <c r="E169" s="70" t="s">
        <v>1158</v>
      </c>
      <c r="F169" s="15" t="s">
        <v>31</v>
      </c>
      <c r="G169" s="13"/>
      <c r="H169" s="13"/>
      <c r="I169" s="13"/>
      <c r="J169" s="106"/>
    </row>
    <row r="170" spans="1:10" ht="12.75" hidden="1">
      <c r="A170" s="6">
        <v>172</v>
      </c>
      <c r="B170" s="4" t="s">
        <v>1131</v>
      </c>
      <c r="C170" s="4" t="s">
        <v>1159</v>
      </c>
      <c r="D170" s="6">
        <v>2</v>
      </c>
      <c r="E170" s="70" t="s">
        <v>1160</v>
      </c>
      <c r="F170" s="15" t="s">
        <v>31</v>
      </c>
      <c r="G170" s="13"/>
      <c r="H170" s="13"/>
      <c r="I170" s="13"/>
      <c r="J170" s="106"/>
    </row>
    <row r="171" spans="1:10" ht="12.75" hidden="1">
      <c r="A171" s="6">
        <v>173</v>
      </c>
      <c r="B171" s="4" t="s">
        <v>1131</v>
      </c>
      <c r="C171" s="4" t="s">
        <v>1161</v>
      </c>
      <c r="D171" s="6">
        <v>2</v>
      </c>
      <c r="E171" s="70" t="s">
        <v>1162</v>
      </c>
      <c r="F171" s="15" t="s">
        <v>31</v>
      </c>
      <c r="G171" s="13"/>
      <c r="H171" s="13"/>
      <c r="I171" s="13"/>
      <c r="J171" s="106"/>
    </row>
    <row r="172" spans="1:10" ht="12.75" hidden="1">
      <c r="A172" s="6">
        <v>174</v>
      </c>
      <c r="B172" s="4" t="s">
        <v>1163</v>
      </c>
      <c r="C172" s="4" t="s">
        <v>1164</v>
      </c>
      <c r="D172" s="6">
        <v>2</v>
      </c>
      <c r="E172" s="70" t="s">
        <v>1166</v>
      </c>
      <c r="F172" s="15" t="s">
        <v>31</v>
      </c>
      <c r="G172" s="13"/>
      <c r="H172" s="13"/>
      <c r="I172" s="13"/>
      <c r="J172" s="106"/>
    </row>
    <row r="173" spans="1:10" ht="12.75" hidden="1">
      <c r="A173" s="6">
        <v>175</v>
      </c>
      <c r="B173" s="4" t="s">
        <v>1163</v>
      </c>
      <c r="C173" s="4" t="s">
        <v>1168</v>
      </c>
      <c r="D173" s="6">
        <v>2</v>
      </c>
      <c r="E173" s="70" t="s">
        <v>1169</v>
      </c>
      <c r="F173" s="15" t="s">
        <v>31</v>
      </c>
      <c r="G173" s="13"/>
      <c r="H173" s="13"/>
      <c r="I173" s="13"/>
      <c r="J173" s="106"/>
    </row>
    <row r="174" spans="1:10" ht="12.75" hidden="1">
      <c r="A174" s="6">
        <v>176</v>
      </c>
      <c r="B174" s="4" t="s">
        <v>1163</v>
      </c>
      <c r="C174" s="4" t="s">
        <v>1170</v>
      </c>
      <c r="D174" s="6">
        <v>2</v>
      </c>
      <c r="E174" s="149" t="s">
        <v>1171</v>
      </c>
      <c r="F174" s="15" t="s">
        <v>31</v>
      </c>
      <c r="G174" s="13" t="s">
        <v>831</v>
      </c>
      <c r="H174" s="13"/>
      <c r="I174" s="13" t="s">
        <v>1546</v>
      </c>
      <c r="J174" s="106"/>
    </row>
    <row r="175" spans="1:10" ht="12.75" hidden="1">
      <c r="A175" s="6">
        <v>177</v>
      </c>
      <c r="B175" s="4" t="s">
        <v>1163</v>
      </c>
      <c r="C175" s="4" t="s">
        <v>1170</v>
      </c>
      <c r="D175" s="6">
        <v>2</v>
      </c>
      <c r="E175" s="70" t="s">
        <v>1172</v>
      </c>
      <c r="F175" s="15" t="s">
        <v>31</v>
      </c>
      <c r="G175" s="13"/>
      <c r="H175" s="13"/>
      <c r="I175" s="13"/>
      <c r="J175" s="106"/>
    </row>
    <row r="176" spans="1:10" ht="12.75" hidden="1">
      <c r="A176" s="6">
        <v>178</v>
      </c>
      <c r="B176" s="4" t="s">
        <v>1163</v>
      </c>
      <c r="C176" s="4" t="s">
        <v>1170</v>
      </c>
      <c r="D176" s="6">
        <v>2</v>
      </c>
      <c r="E176" s="70" t="s">
        <v>1174</v>
      </c>
      <c r="F176" s="15" t="s">
        <v>31</v>
      </c>
      <c r="G176" s="13"/>
      <c r="H176" s="13"/>
      <c r="I176" s="13"/>
      <c r="J176" s="106"/>
    </row>
    <row r="177" spans="1:10" ht="12.75" hidden="1">
      <c r="A177" s="6">
        <v>179</v>
      </c>
      <c r="B177" s="4" t="s">
        <v>1163</v>
      </c>
      <c r="C177" s="4" t="s">
        <v>1176</v>
      </c>
      <c r="D177" s="6">
        <v>2</v>
      </c>
      <c r="E177" s="70" t="s">
        <v>1177</v>
      </c>
      <c r="F177" s="15" t="s">
        <v>31</v>
      </c>
      <c r="G177" s="13"/>
      <c r="H177" s="13"/>
      <c r="I177" s="13"/>
      <c r="J177" s="106"/>
    </row>
    <row r="178" spans="1:10" ht="12.75" hidden="1">
      <c r="A178" s="6">
        <v>180</v>
      </c>
      <c r="B178" s="4" t="s">
        <v>1163</v>
      </c>
      <c r="C178" s="4" t="s">
        <v>1178</v>
      </c>
      <c r="D178" s="6">
        <v>2</v>
      </c>
      <c r="E178" s="70" t="s">
        <v>1179</v>
      </c>
      <c r="F178" s="15" t="s">
        <v>31</v>
      </c>
      <c r="G178" s="13"/>
      <c r="H178" s="13"/>
      <c r="I178" s="13"/>
      <c r="J178" s="106"/>
    </row>
    <row r="179" spans="1:10" ht="12.75" hidden="1">
      <c r="A179" s="6">
        <v>181</v>
      </c>
      <c r="B179" s="4" t="s">
        <v>1163</v>
      </c>
      <c r="C179" s="4" t="s">
        <v>1180</v>
      </c>
      <c r="D179" s="6">
        <v>2</v>
      </c>
      <c r="E179" s="117" t="s">
        <v>1181</v>
      </c>
      <c r="F179" s="15" t="s">
        <v>31</v>
      </c>
      <c r="G179" s="13"/>
      <c r="H179" s="13"/>
      <c r="I179" s="13"/>
      <c r="J179" s="106"/>
    </row>
    <row r="180" spans="1:10" ht="12.75" hidden="1">
      <c r="A180" s="6">
        <v>182</v>
      </c>
      <c r="B180" s="4" t="s">
        <v>1184</v>
      </c>
      <c r="C180" s="4" t="s">
        <v>1185</v>
      </c>
      <c r="D180" s="6">
        <v>2</v>
      </c>
      <c r="E180" s="70" t="s">
        <v>1186</v>
      </c>
      <c r="F180" s="15" t="s">
        <v>31</v>
      </c>
      <c r="G180" s="13"/>
      <c r="H180" s="13"/>
      <c r="I180" s="13"/>
      <c r="J180" s="106"/>
    </row>
    <row r="181" spans="1:10" ht="12.75" hidden="1">
      <c r="A181" s="6">
        <v>183</v>
      </c>
      <c r="B181" s="4" t="s">
        <v>1184</v>
      </c>
      <c r="C181" s="4" t="s">
        <v>1187</v>
      </c>
      <c r="D181" s="6">
        <v>2</v>
      </c>
      <c r="E181" s="70" t="s">
        <v>1188</v>
      </c>
      <c r="F181" s="15" t="s">
        <v>31</v>
      </c>
      <c r="G181" s="13"/>
      <c r="H181" s="13"/>
      <c r="I181" s="13"/>
      <c r="J181" s="106"/>
    </row>
    <row r="182" spans="1:10" ht="12.75" hidden="1">
      <c r="A182" s="6">
        <v>184</v>
      </c>
      <c r="B182" s="4" t="s">
        <v>1184</v>
      </c>
      <c r="C182" s="4" t="s">
        <v>1189</v>
      </c>
      <c r="D182" s="6">
        <v>2</v>
      </c>
      <c r="E182" s="70" t="s">
        <v>1190</v>
      </c>
      <c r="F182" s="15" t="s">
        <v>31</v>
      </c>
      <c r="G182" s="13"/>
      <c r="H182" s="13"/>
      <c r="I182" s="13"/>
      <c r="J182" s="106"/>
    </row>
    <row r="183" spans="1:10" ht="12.75" hidden="1">
      <c r="A183" s="6">
        <v>185</v>
      </c>
      <c r="B183" s="4" t="s">
        <v>1184</v>
      </c>
      <c r="C183" s="4" t="s">
        <v>1192</v>
      </c>
      <c r="D183" s="6">
        <v>2</v>
      </c>
      <c r="E183" s="70" t="s">
        <v>1194</v>
      </c>
      <c r="F183" s="15" t="s">
        <v>31</v>
      </c>
      <c r="G183" s="13"/>
      <c r="H183" s="13"/>
      <c r="I183" s="13"/>
      <c r="J183" s="106"/>
    </row>
    <row r="184" spans="1:10" ht="12.75" hidden="1">
      <c r="A184" s="6">
        <v>186</v>
      </c>
      <c r="B184" s="4" t="s">
        <v>1184</v>
      </c>
      <c r="C184" s="4" t="s">
        <v>1195</v>
      </c>
      <c r="D184" s="6">
        <v>2</v>
      </c>
      <c r="E184" s="70" t="s">
        <v>1196</v>
      </c>
      <c r="F184" s="15" t="s">
        <v>31</v>
      </c>
      <c r="G184" s="13"/>
      <c r="H184" s="13"/>
      <c r="I184" s="13"/>
      <c r="J184" s="106"/>
    </row>
    <row r="185" spans="1:10" ht="12.75" hidden="1">
      <c r="A185" s="6">
        <v>187</v>
      </c>
      <c r="B185" s="4" t="s">
        <v>1184</v>
      </c>
      <c r="C185" s="4" t="s">
        <v>1197</v>
      </c>
      <c r="D185" s="6">
        <v>2</v>
      </c>
      <c r="E185" s="70" t="s">
        <v>1198</v>
      </c>
      <c r="F185" s="15" t="s">
        <v>31</v>
      </c>
      <c r="G185" s="13"/>
      <c r="H185" s="13"/>
      <c r="I185" s="13"/>
      <c r="J185" s="106"/>
    </row>
    <row r="186" spans="1:10" ht="12.75" hidden="1">
      <c r="A186" s="6">
        <v>189</v>
      </c>
      <c r="B186" s="4" t="s">
        <v>1184</v>
      </c>
      <c r="C186" s="4" t="s">
        <v>1199</v>
      </c>
      <c r="D186" s="6">
        <v>2</v>
      </c>
      <c r="E186" s="50" t="s">
        <v>1200</v>
      </c>
      <c r="F186" s="15" t="s">
        <v>31</v>
      </c>
      <c r="G186" s="13"/>
      <c r="H186" s="13"/>
      <c r="I186" s="13"/>
      <c r="J186" s="106"/>
    </row>
    <row r="187" spans="1:10" ht="12.75" hidden="1">
      <c r="A187" s="6">
        <v>190</v>
      </c>
      <c r="B187" s="4" t="s">
        <v>1184</v>
      </c>
      <c r="C187" s="4" t="s">
        <v>1203</v>
      </c>
      <c r="D187" s="6">
        <v>2</v>
      </c>
      <c r="E187" s="118" t="s">
        <v>1204</v>
      </c>
      <c r="F187" s="15" t="s">
        <v>31</v>
      </c>
      <c r="G187" s="13"/>
      <c r="H187" s="13"/>
      <c r="I187" s="13"/>
      <c r="J187" s="106"/>
    </row>
    <row r="188" spans="1:10" ht="12.75" hidden="1">
      <c r="A188" s="6">
        <v>191</v>
      </c>
      <c r="B188" s="4" t="s">
        <v>1184</v>
      </c>
      <c r="C188" s="4" t="s">
        <v>1207</v>
      </c>
      <c r="D188" s="6">
        <v>2</v>
      </c>
      <c r="E188" s="70" t="s">
        <v>1208</v>
      </c>
      <c r="F188" s="15" t="s">
        <v>31</v>
      </c>
      <c r="G188" s="13"/>
      <c r="H188" s="13"/>
      <c r="I188" s="13"/>
      <c r="J188" s="106"/>
    </row>
    <row r="189" spans="1:10" ht="12.75" hidden="1">
      <c r="A189" s="6">
        <v>192</v>
      </c>
      <c r="B189" s="4" t="s">
        <v>1184</v>
      </c>
      <c r="C189" s="4" t="s">
        <v>1209</v>
      </c>
      <c r="D189" s="6">
        <v>2</v>
      </c>
      <c r="E189" s="70" t="s">
        <v>1210</v>
      </c>
      <c r="F189" s="15" t="s">
        <v>31</v>
      </c>
      <c r="G189" s="13"/>
      <c r="H189" s="13"/>
      <c r="I189" s="13"/>
      <c r="J189" s="106"/>
    </row>
    <row r="190" spans="1:10" ht="12.75" hidden="1">
      <c r="A190" s="6">
        <v>193</v>
      </c>
      <c r="B190" s="4" t="s">
        <v>1184</v>
      </c>
      <c r="C190" s="4" t="s">
        <v>1213</v>
      </c>
      <c r="D190" s="6">
        <v>2</v>
      </c>
      <c r="E190" s="70" t="s">
        <v>1214</v>
      </c>
      <c r="F190" s="15" t="s">
        <v>31</v>
      </c>
      <c r="G190" s="13"/>
      <c r="H190" s="13"/>
      <c r="I190" s="13"/>
      <c r="J190" s="106"/>
    </row>
    <row r="191" spans="1:10" ht="12.75">
      <c r="A191" s="6">
        <v>194</v>
      </c>
      <c r="B191" s="4" t="s">
        <v>1184</v>
      </c>
      <c r="C191" s="4" t="s">
        <v>1215</v>
      </c>
      <c r="D191" s="6">
        <v>2</v>
      </c>
      <c r="E191" s="70" t="s">
        <v>1216</v>
      </c>
      <c r="F191" s="15" t="s">
        <v>31</v>
      </c>
      <c r="G191" s="13" t="s">
        <v>288</v>
      </c>
      <c r="H191" s="13" t="s">
        <v>742</v>
      </c>
      <c r="I191" s="13"/>
      <c r="J191" s="106"/>
    </row>
    <row r="192" spans="1:10" ht="12.75">
      <c r="A192" s="6">
        <v>195</v>
      </c>
      <c r="B192" s="4" t="s">
        <v>1184</v>
      </c>
      <c r="C192" s="4" t="s">
        <v>1215</v>
      </c>
      <c r="D192" s="6">
        <v>2</v>
      </c>
      <c r="E192" s="70" t="s">
        <v>1217</v>
      </c>
      <c r="F192" s="15" t="s">
        <v>31</v>
      </c>
      <c r="G192" s="13" t="s">
        <v>288</v>
      </c>
      <c r="H192" s="13" t="s">
        <v>742</v>
      </c>
      <c r="I192" s="13"/>
      <c r="J192" s="106"/>
    </row>
    <row r="193" spans="1:10" ht="12.75" hidden="1">
      <c r="A193" s="6">
        <v>196</v>
      </c>
      <c r="B193" s="4" t="s">
        <v>1184</v>
      </c>
      <c r="C193" s="4" t="s">
        <v>1221</v>
      </c>
      <c r="D193" s="6">
        <v>2</v>
      </c>
      <c r="E193" s="70" t="s">
        <v>1222</v>
      </c>
      <c r="F193" s="15" t="s">
        <v>31</v>
      </c>
      <c r="G193" s="13"/>
      <c r="H193" s="13"/>
      <c r="I193" s="13"/>
      <c r="J193" s="106"/>
    </row>
    <row r="194" spans="1:10" ht="12.75" hidden="1">
      <c r="A194" s="6">
        <v>197</v>
      </c>
      <c r="B194" s="4" t="s">
        <v>1184</v>
      </c>
      <c r="C194" s="4" t="s">
        <v>1223</v>
      </c>
      <c r="D194" s="6">
        <v>2</v>
      </c>
      <c r="E194" s="70" t="s">
        <v>1224</v>
      </c>
      <c r="F194" s="15" t="s">
        <v>31</v>
      </c>
      <c r="G194" s="13"/>
      <c r="H194" s="13"/>
      <c r="I194" s="13"/>
      <c r="J194" s="106"/>
    </row>
    <row r="195" spans="1:10" ht="12.75" hidden="1">
      <c r="A195" s="6">
        <v>198</v>
      </c>
      <c r="B195" s="4" t="s">
        <v>1225</v>
      </c>
      <c r="C195" s="4" t="s">
        <v>1226</v>
      </c>
      <c r="D195" s="6">
        <v>1</v>
      </c>
      <c r="E195" s="70" t="s">
        <v>1228</v>
      </c>
      <c r="F195" s="15" t="s">
        <v>31</v>
      </c>
      <c r="G195" s="13"/>
      <c r="H195" s="13"/>
      <c r="I195" s="13"/>
      <c r="J195" s="106"/>
    </row>
    <row r="196" spans="1:10" ht="12.75" hidden="1">
      <c r="A196" s="6">
        <v>199</v>
      </c>
      <c r="B196" s="4" t="s">
        <v>1225</v>
      </c>
      <c r="C196" s="4" t="s">
        <v>1046</v>
      </c>
      <c r="D196" s="6">
        <v>1</v>
      </c>
      <c r="E196" s="70" t="s">
        <v>1047</v>
      </c>
      <c r="F196" s="15" t="s">
        <v>31</v>
      </c>
      <c r="G196" s="13"/>
      <c r="H196" s="13"/>
      <c r="I196" s="13"/>
      <c r="J196" s="106"/>
    </row>
    <row r="197" spans="1:10" ht="12.75" hidden="1">
      <c r="A197" s="6">
        <v>200</v>
      </c>
      <c r="B197" s="4" t="s">
        <v>1225</v>
      </c>
      <c r="C197" s="4" t="s">
        <v>1230</v>
      </c>
      <c r="D197" s="6">
        <v>1</v>
      </c>
      <c r="E197" s="70" t="s">
        <v>1231</v>
      </c>
      <c r="F197" s="15" t="s">
        <v>31</v>
      </c>
      <c r="G197" s="13"/>
      <c r="H197" s="13"/>
      <c r="I197" s="13"/>
      <c r="J197" s="106"/>
    </row>
    <row r="198" spans="1:10" ht="12.75" hidden="1">
      <c r="A198" s="6">
        <v>201</v>
      </c>
      <c r="B198" s="4" t="s">
        <v>1225</v>
      </c>
      <c r="C198" s="4" t="s">
        <v>1232</v>
      </c>
      <c r="D198" s="6">
        <v>1</v>
      </c>
      <c r="E198" s="70" t="s">
        <v>1233</v>
      </c>
      <c r="F198" s="15" t="s">
        <v>31</v>
      </c>
      <c r="G198" s="13"/>
      <c r="H198" s="13"/>
      <c r="I198" s="13"/>
      <c r="J198" s="106"/>
    </row>
    <row r="199" spans="1:10" ht="12.75" hidden="1">
      <c r="A199" s="6">
        <v>202</v>
      </c>
      <c r="B199" s="4" t="s">
        <v>1225</v>
      </c>
      <c r="C199" s="4" t="s">
        <v>1076</v>
      </c>
      <c r="D199" s="6">
        <v>1</v>
      </c>
      <c r="E199" s="70" t="s">
        <v>1077</v>
      </c>
      <c r="F199" s="15" t="s">
        <v>31</v>
      </c>
      <c r="G199" s="13"/>
      <c r="H199" s="13"/>
      <c r="I199" s="13"/>
      <c r="J199" s="106"/>
    </row>
    <row r="200" spans="1:10" ht="12.75" hidden="1">
      <c r="A200" s="6">
        <v>203</v>
      </c>
      <c r="B200" s="4" t="s">
        <v>1225</v>
      </c>
      <c r="C200" s="4" t="s">
        <v>1236</v>
      </c>
      <c r="D200" s="6">
        <v>1</v>
      </c>
      <c r="E200" s="70" t="s">
        <v>1237</v>
      </c>
      <c r="F200" s="15" t="s">
        <v>31</v>
      </c>
      <c r="G200" s="13"/>
      <c r="H200" s="13"/>
      <c r="I200" s="13"/>
      <c r="J200" s="106"/>
    </row>
    <row r="201" spans="1:10" ht="12.75" hidden="1">
      <c r="A201" s="6">
        <v>204</v>
      </c>
      <c r="B201" s="4" t="s">
        <v>1225</v>
      </c>
      <c r="C201" s="4" t="s">
        <v>868</v>
      </c>
      <c r="D201" s="6">
        <v>1</v>
      </c>
      <c r="E201" s="70" t="s">
        <v>869</v>
      </c>
      <c r="F201" s="15" t="s">
        <v>31</v>
      </c>
      <c r="G201" s="13"/>
      <c r="H201" s="13"/>
      <c r="I201" s="13"/>
      <c r="J201" s="106"/>
    </row>
    <row r="202" spans="1:10" ht="12.75" hidden="1">
      <c r="A202" s="6">
        <v>205</v>
      </c>
      <c r="B202" s="4" t="s">
        <v>1225</v>
      </c>
      <c r="C202" s="4" t="s">
        <v>1080</v>
      </c>
      <c r="D202" s="6">
        <v>1</v>
      </c>
      <c r="E202" s="70" t="s">
        <v>1081</v>
      </c>
      <c r="F202" s="15" t="s">
        <v>31</v>
      </c>
      <c r="G202" s="13"/>
      <c r="H202" s="13"/>
      <c r="I202" s="13"/>
      <c r="J202" s="106"/>
    </row>
    <row r="203" spans="1:10" ht="12.75">
      <c r="A203" s="6">
        <v>206</v>
      </c>
      <c r="B203" s="4" t="s">
        <v>1225</v>
      </c>
      <c r="C203" s="4" t="s">
        <v>1239</v>
      </c>
      <c r="D203" s="6">
        <v>1</v>
      </c>
      <c r="E203" s="70" t="s">
        <v>1241</v>
      </c>
      <c r="F203" s="15" t="s">
        <v>31</v>
      </c>
      <c r="G203" s="13" t="s">
        <v>288</v>
      </c>
      <c r="H203" s="13" t="s">
        <v>742</v>
      </c>
      <c r="I203" s="13"/>
      <c r="J203" s="106"/>
    </row>
    <row r="204" spans="1:10" ht="12.75" hidden="1">
      <c r="A204" s="6">
        <v>207</v>
      </c>
      <c r="B204" s="4" t="s">
        <v>1225</v>
      </c>
      <c r="C204" s="4" t="s">
        <v>1243</v>
      </c>
      <c r="D204" s="6">
        <v>1</v>
      </c>
      <c r="E204" s="70" t="s">
        <v>1244</v>
      </c>
      <c r="F204" s="15" t="s">
        <v>31</v>
      </c>
      <c r="G204" s="13"/>
      <c r="H204" s="13"/>
      <c r="I204" s="13"/>
      <c r="J204" s="106"/>
    </row>
    <row r="205" spans="1:10" ht="12.75" hidden="1">
      <c r="A205" s="6">
        <v>208</v>
      </c>
      <c r="B205" s="4" t="s">
        <v>1225</v>
      </c>
      <c r="C205" s="4" t="s">
        <v>917</v>
      </c>
      <c r="D205" s="6">
        <v>1</v>
      </c>
      <c r="E205" s="70" t="s">
        <v>918</v>
      </c>
      <c r="F205" s="15" t="s">
        <v>31</v>
      </c>
      <c r="G205" s="13"/>
      <c r="H205" s="13"/>
      <c r="I205" s="13"/>
      <c r="J205" s="106"/>
    </row>
    <row r="206" spans="1:10" ht="12.75" hidden="1">
      <c r="A206" s="6">
        <v>209</v>
      </c>
      <c r="B206" s="4" t="s">
        <v>1246</v>
      </c>
      <c r="C206" s="4" t="s">
        <v>1247</v>
      </c>
      <c r="D206" s="6">
        <v>2</v>
      </c>
      <c r="E206" s="70" t="s">
        <v>1249</v>
      </c>
      <c r="F206" s="15" t="s">
        <v>31</v>
      </c>
      <c r="G206" s="13"/>
      <c r="H206" s="13"/>
      <c r="I206" s="13"/>
      <c r="J206" s="106"/>
    </row>
    <row r="207" spans="1:10" ht="12.75" hidden="1">
      <c r="A207" s="6">
        <v>210</v>
      </c>
      <c r="B207" s="4" t="s">
        <v>1246</v>
      </c>
      <c r="C207" s="4" t="s">
        <v>1250</v>
      </c>
      <c r="D207" s="6">
        <v>2</v>
      </c>
      <c r="E207" s="70" t="s">
        <v>1251</v>
      </c>
      <c r="F207" s="15" t="s">
        <v>31</v>
      </c>
      <c r="G207" s="13"/>
      <c r="H207" s="13"/>
      <c r="I207" s="13"/>
      <c r="J207" s="106"/>
    </row>
    <row r="208" spans="1:10" ht="12.75" hidden="1">
      <c r="A208" s="6">
        <v>211</v>
      </c>
      <c r="B208" s="4" t="s">
        <v>1246</v>
      </c>
      <c r="C208" s="4" t="s">
        <v>1252</v>
      </c>
      <c r="D208" s="6">
        <v>2</v>
      </c>
      <c r="E208" s="70" t="s">
        <v>1253</v>
      </c>
      <c r="F208" s="15" t="s">
        <v>31</v>
      </c>
      <c r="G208" s="13"/>
      <c r="H208" s="13"/>
      <c r="I208" s="13"/>
      <c r="J208" s="106"/>
    </row>
    <row r="209" spans="1:10" ht="12.75" hidden="1">
      <c r="A209" s="6">
        <v>212</v>
      </c>
      <c r="B209" s="4" t="s">
        <v>1246</v>
      </c>
      <c r="C209" s="4" t="s">
        <v>1254</v>
      </c>
      <c r="D209" s="6">
        <v>2</v>
      </c>
      <c r="E209" s="70" t="s">
        <v>1255</v>
      </c>
      <c r="F209" s="15" t="s">
        <v>31</v>
      </c>
      <c r="G209" s="13"/>
      <c r="H209" s="13"/>
      <c r="I209" s="13"/>
      <c r="J209" s="106"/>
    </row>
    <row r="210" spans="1:10" ht="12.75" hidden="1">
      <c r="A210" s="6">
        <v>213</v>
      </c>
      <c r="B210" s="4" t="s">
        <v>1246</v>
      </c>
      <c r="C210" s="4" t="s">
        <v>1258</v>
      </c>
      <c r="D210" s="6">
        <v>2</v>
      </c>
      <c r="E210" s="70" t="s">
        <v>1259</v>
      </c>
      <c r="F210" s="15" t="s">
        <v>31</v>
      </c>
      <c r="G210" s="13"/>
      <c r="H210" s="13"/>
      <c r="I210" s="13"/>
      <c r="J210" s="106"/>
    </row>
    <row r="211" spans="1:10" ht="12.75" hidden="1">
      <c r="A211" s="6">
        <v>214</v>
      </c>
      <c r="B211" s="4" t="s">
        <v>1246</v>
      </c>
      <c r="C211" s="4" t="s">
        <v>1260</v>
      </c>
      <c r="D211" s="6">
        <v>2</v>
      </c>
      <c r="E211" s="70" t="s">
        <v>1261</v>
      </c>
      <c r="F211" s="15" t="s">
        <v>31</v>
      </c>
      <c r="G211" s="13"/>
      <c r="H211" s="13"/>
      <c r="I211" s="13"/>
      <c r="J211" s="106"/>
    </row>
    <row r="212" spans="1:10" ht="12.75" hidden="1">
      <c r="A212" s="6">
        <v>215</v>
      </c>
      <c r="B212" s="4" t="s">
        <v>1246</v>
      </c>
      <c r="C212" s="4" t="s">
        <v>1262</v>
      </c>
      <c r="D212" s="6">
        <v>2</v>
      </c>
      <c r="E212" s="70" t="s">
        <v>1263</v>
      </c>
      <c r="F212" s="15" t="s">
        <v>31</v>
      </c>
      <c r="G212" s="13"/>
      <c r="H212" s="13"/>
      <c r="I212" s="13"/>
      <c r="J212" s="106"/>
    </row>
    <row r="213" spans="1:10" ht="12.75" hidden="1">
      <c r="A213" s="6">
        <v>216</v>
      </c>
      <c r="B213" s="4" t="s">
        <v>1246</v>
      </c>
      <c r="C213" s="4" t="s">
        <v>1142</v>
      </c>
      <c r="D213" s="6">
        <v>2</v>
      </c>
      <c r="E213" s="70" t="s">
        <v>849</v>
      </c>
      <c r="F213" s="15" t="s">
        <v>31</v>
      </c>
      <c r="G213" s="13"/>
      <c r="H213" s="13"/>
      <c r="I213" s="13"/>
      <c r="J213" s="106"/>
    </row>
    <row r="214" spans="1:10" ht="12.75" hidden="1">
      <c r="A214" s="6">
        <v>217</v>
      </c>
      <c r="B214" s="4" t="s">
        <v>1246</v>
      </c>
      <c r="C214" s="4" t="s">
        <v>1266</v>
      </c>
      <c r="D214" s="6">
        <v>2</v>
      </c>
      <c r="E214" s="70" t="s">
        <v>1267</v>
      </c>
      <c r="F214" s="15" t="s">
        <v>31</v>
      </c>
      <c r="G214" s="13"/>
      <c r="H214" s="13"/>
      <c r="I214" s="13"/>
      <c r="J214" s="106"/>
    </row>
    <row r="215" spans="1:10" ht="12.75" hidden="1">
      <c r="A215" s="6">
        <v>218</v>
      </c>
      <c r="B215" s="4" t="s">
        <v>1246</v>
      </c>
      <c r="C215" s="4" t="s">
        <v>868</v>
      </c>
      <c r="D215" s="6">
        <v>2</v>
      </c>
      <c r="E215" s="70" t="s">
        <v>869</v>
      </c>
      <c r="F215" s="15" t="s">
        <v>31</v>
      </c>
      <c r="G215" s="13"/>
      <c r="H215" s="13"/>
      <c r="I215" s="13"/>
      <c r="J215" s="106"/>
    </row>
    <row r="216" spans="1:10" ht="12.75" hidden="1">
      <c r="A216" s="6">
        <v>219</v>
      </c>
      <c r="B216" s="4" t="s">
        <v>1246</v>
      </c>
      <c r="C216" s="4" t="s">
        <v>1268</v>
      </c>
      <c r="D216" s="6">
        <v>2</v>
      </c>
      <c r="E216" s="70" t="s">
        <v>1269</v>
      </c>
      <c r="F216" s="15" t="s">
        <v>31</v>
      </c>
      <c r="G216" s="13"/>
      <c r="H216" s="13"/>
      <c r="I216" s="13"/>
      <c r="J216" s="106"/>
    </row>
    <row r="217" spans="1:10" ht="12.75">
      <c r="A217" s="6">
        <v>220</v>
      </c>
      <c r="B217" s="4" t="s">
        <v>1246</v>
      </c>
      <c r="C217" s="4" t="s">
        <v>1170</v>
      </c>
      <c r="D217" s="6">
        <v>2</v>
      </c>
      <c r="E217" s="70" t="s">
        <v>1270</v>
      </c>
      <c r="F217" s="15" t="s">
        <v>31</v>
      </c>
      <c r="G217" s="13" t="s">
        <v>288</v>
      </c>
      <c r="H217" s="13" t="s">
        <v>742</v>
      </c>
      <c r="I217" s="13"/>
      <c r="J217" s="106"/>
    </row>
    <row r="218" spans="1:10" ht="12.75" hidden="1">
      <c r="A218" s="6">
        <v>221</v>
      </c>
      <c r="B218" s="4" t="s">
        <v>1246</v>
      </c>
      <c r="C218" s="4" t="s">
        <v>1170</v>
      </c>
      <c r="D218" s="6">
        <v>2</v>
      </c>
      <c r="E218" s="70" t="s">
        <v>1273</v>
      </c>
      <c r="F218" s="15" t="s">
        <v>31</v>
      </c>
      <c r="G218" s="13"/>
      <c r="H218" s="13"/>
      <c r="I218" s="13"/>
      <c r="J218" s="106"/>
    </row>
    <row r="219" spans="1:10" ht="12.75" hidden="1">
      <c r="A219" s="6">
        <v>222</v>
      </c>
      <c r="B219" s="4" t="s">
        <v>1246</v>
      </c>
      <c r="C219" s="4" t="s">
        <v>1274</v>
      </c>
      <c r="D219" s="6">
        <v>2</v>
      </c>
      <c r="E219" s="70" t="s">
        <v>1275</v>
      </c>
      <c r="F219" s="15" t="s">
        <v>31</v>
      </c>
      <c r="G219" s="13"/>
      <c r="H219" s="13"/>
      <c r="I219" s="13"/>
      <c r="J219" s="106"/>
    </row>
    <row r="220" spans="1:10" ht="12.75" hidden="1">
      <c r="A220" s="6">
        <v>223</v>
      </c>
      <c r="B220" s="4" t="s">
        <v>1246</v>
      </c>
      <c r="C220" s="4" t="s">
        <v>1276</v>
      </c>
      <c r="D220" s="6">
        <v>2</v>
      </c>
      <c r="E220" s="70" t="s">
        <v>1277</v>
      </c>
      <c r="F220" s="15" t="s">
        <v>31</v>
      </c>
      <c r="G220" s="13"/>
      <c r="H220" s="13"/>
      <c r="I220" s="13"/>
      <c r="J220" s="106"/>
    </row>
    <row r="221" spans="1:10" ht="15" hidden="1" customHeight="1">
      <c r="A221" s="6">
        <v>224</v>
      </c>
      <c r="B221" s="4" t="s">
        <v>1246</v>
      </c>
      <c r="C221" s="4" t="s">
        <v>1278</v>
      </c>
      <c r="D221" s="6">
        <v>2</v>
      </c>
      <c r="E221" s="70" t="s">
        <v>1279</v>
      </c>
      <c r="F221" s="15" t="s">
        <v>31</v>
      </c>
      <c r="G221" s="13"/>
      <c r="H221" s="13"/>
      <c r="I221" s="13"/>
      <c r="J221" s="106"/>
    </row>
    <row r="222" spans="1:10" ht="12.75" hidden="1">
      <c r="A222" s="6">
        <v>225</v>
      </c>
      <c r="B222" s="4" t="s">
        <v>1246</v>
      </c>
      <c r="C222" s="4" t="s">
        <v>907</v>
      </c>
      <c r="D222" s="6">
        <v>2</v>
      </c>
      <c r="E222" s="70" t="s">
        <v>908</v>
      </c>
      <c r="F222" s="15" t="s">
        <v>31</v>
      </c>
      <c r="G222" s="13"/>
      <c r="H222" s="13"/>
      <c r="I222" s="13"/>
      <c r="J222" s="106"/>
    </row>
    <row r="223" spans="1:10" ht="12.75" hidden="1">
      <c r="A223" s="6">
        <v>226</v>
      </c>
      <c r="B223" s="4" t="s">
        <v>1246</v>
      </c>
      <c r="C223" s="4" t="s">
        <v>1282</v>
      </c>
      <c r="D223" s="6">
        <v>2</v>
      </c>
      <c r="E223" s="70" t="s">
        <v>1283</v>
      </c>
      <c r="F223" s="15" t="s">
        <v>31</v>
      </c>
      <c r="G223" s="13"/>
      <c r="H223" s="13"/>
      <c r="I223" s="13"/>
      <c r="J223" s="106"/>
    </row>
    <row r="224" spans="1:10" ht="12.75" hidden="1">
      <c r="A224" s="6">
        <v>227</v>
      </c>
      <c r="B224" s="13" t="s">
        <v>1246</v>
      </c>
      <c r="C224" s="13" t="s">
        <v>1121</v>
      </c>
      <c r="D224" s="6">
        <v>2</v>
      </c>
      <c r="E224" s="70" t="s">
        <v>1284</v>
      </c>
      <c r="F224" s="15" t="s">
        <v>31</v>
      </c>
      <c r="G224" s="13"/>
      <c r="H224" s="13"/>
      <c r="I224" s="13"/>
      <c r="J224" s="106"/>
    </row>
    <row r="225" spans="1:10" ht="12.75" hidden="1">
      <c r="A225" s="6">
        <v>228</v>
      </c>
      <c r="B225" s="4" t="s">
        <v>1246</v>
      </c>
      <c r="C225" s="4" t="s">
        <v>1121</v>
      </c>
      <c r="D225" s="6">
        <v>2</v>
      </c>
      <c r="E225" s="70" t="s">
        <v>1286</v>
      </c>
      <c r="F225" s="15" t="s">
        <v>31</v>
      </c>
      <c r="G225" s="13"/>
      <c r="H225" s="13"/>
      <c r="I225" s="13"/>
      <c r="J225" s="106"/>
    </row>
    <row r="226" spans="1:10" ht="12.75" hidden="1">
      <c r="A226" s="6">
        <v>229</v>
      </c>
      <c r="B226" s="4" t="s">
        <v>1246</v>
      </c>
      <c r="C226" s="4" t="s">
        <v>1121</v>
      </c>
      <c r="D226" s="6">
        <v>2</v>
      </c>
      <c r="E226" s="70" t="s">
        <v>1288</v>
      </c>
      <c r="F226" s="15" t="s">
        <v>31</v>
      </c>
      <c r="G226" s="13"/>
      <c r="H226" s="13"/>
      <c r="I226" s="13"/>
      <c r="J226" s="106"/>
    </row>
    <row r="227" spans="1:10" ht="12.75" hidden="1">
      <c r="A227" s="6">
        <v>230</v>
      </c>
      <c r="B227" s="4" t="s">
        <v>1246</v>
      </c>
      <c r="C227" s="4" t="s">
        <v>1289</v>
      </c>
      <c r="D227" s="6">
        <v>2</v>
      </c>
      <c r="E227" s="70" t="s">
        <v>1290</v>
      </c>
      <c r="F227" s="15" t="s">
        <v>31</v>
      </c>
      <c r="G227" s="13"/>
      <c r="H227" s="13"/>
      <c r="I227" s="13"/>
      <c r="J227" s="106"/>
    </row>
    <row r="228" spans="1:10" ht="12.75" hidden="1">
      <c r="A228" s="6">
        <v>231</v>
      </c>
      <c r="B228" s="4" t="s">
        <v>1246</v>
      </c>
      <c r="C228" s="4" t="s">
        <v>1291</v>
      </c>
      <c r="D228" s="6">
        <v>2</v>
      </c>
      <c r="E228" s="117" t="s">
        <v>1292</v>
      </c>
      <c r="F228" s="15" t="s">
        <v>31</v>
      </c>
      <c r="G228" s="13"/>
      <c r="H228" s="13"/>
      <c r="I228" s="13"/>
      <c r="J228" s="106"/>
    </row>
    <row r="229" spans="1:10" ht="12.75" hidden="1">
      <c r="A229" s="6">
        <v>232</v>
      </c>
      <c r="B229" s="4" t="s">
        <v>1295</v>
      </c>
      <c r="C229" s="4" t="s">
        <v>1296</v>
      </c>
      <c r="D229" s="6">
        <v>1</v>
      </c>
      <c r="E229" s="117" t="s">
        <v>1297</v>
      </c>
      <c r="F229" s="15" t="s">
        <v>31</v>
      </c>
      <c r="G229" s="13"/>
      <c r="H229" s="13"/>
      <c r="I229" s="13"/>
      <c r="J229" s="106"/>
    </row>
    <row r="230" spans="1:10" ht="12.75">
      <c r="A230" s="6">
        <v>233</v>
      </c>
      <c r="B230" s="4" t="s">
        <v>1295</v>
      </c>
      <c r="C230" s="4" t="s">
        <v>1298</v>
      </c>
      <c r="D230" s="6">
        <v>1</v>
      </c>
      <c r="E230" s="117" t="s">
        <v>1299</v>
      </c>
      <c r="F230" s="15" t="s">
        <v>31</v>
      </c>
      <c r="G230" s="13" t="s">
        <v>288</v>
      </c>
      <c r="H230" s="13" t="s">
        <v>742</v>
      </c>
      <c r="I230" s="13"/>
      <c r="J230" s="106"/>
    </row>
    <row r="231" spans="1:10" ht="12.75" hidden="1">
      <c r="A231" s="6">
        <v>234</v>
      </c>
      <c r="B231" s="4" t="s">
        <v>1302</v>
      </c>
      <c r="C231" s="4" t="s">
        <v>1303</v>
      </c>
      <c r="D231" s="6">
        <v>2</v>
      </c>
      <c r="E231" s="117" t="s">
        <v>1304</v>
      </c>
      <c r="F231" s="15" t="s">
        <v>31</v>
      </c>
      <c r="G231" s="13"/>
      <c r="H231" s="13"/>
      <c r="I231" s="13"/>
      <c r="J231" s="106"/>
    </row>
    <row r="232" spans="1:10" ht="12.75" hidden="1">
      <c r="A232" s="6">
        <v>235</v>
      </c>
      <c r="B232" s="4" t="s">
        <v>1302</v>
      </c>
      <c r="C232" s="4" t="s">
        <v>1305</v>
      </c>
      <c r="D232" s="6">
        <v>2</v>
      </c>
      <c r="E232" s="117" t="s">
        <v>1306</v>
      </c>
      <c r="F232" s="15" t="s">
        <v>31</v>
      </c>
      <c r="G232" s="13"/>
      <c r="H232" s="13"/>
      <c r="I232" s="13"/>
      <c r="J232" s="106"/>
    </row>
    <row r="233" spans="1:10" ht="12.75" hidden="1">
      <c r="A233" s="6">
        <v>236</v>
      </c>
      <c r="B233" s="4" t="s">
        <v>1302</v>
      </c>
      <c r="C233" s="4" t="s">
        <v>1307</v>
      </c>
      <c r="D233" s="6">
        <v>2</v>
      </c>
      <c r="E233" s="117" t="s">
        <v>1308</v>
      </c>
      <c r="F233" s="15" t="s">
        <v>31</v>
      </c>
      <c r="G233" s="13"/>
      <c r="H233" s="13"/>
      <c r="I233" s="13"/>
      <c r="J233" s="106"/>
    </row>
    <row r="234" spans="1:10" ht="12.75" hidden="1">
      <c r="A234" s="6">
        <v>237</v>
      </c>
      <c r="B234" s="4" t="s">
        <v>1302</v>
      </c>
      <c r="C234" s="4" t="s">
        <v>1309</v>
      </c>
      <c r="D234" s="6">
        <v>2</v>
      </c>
      <c r="E234" s="117" t="s">
        <v>1310</v>
      </c>
      <c r="F234" s="15" t="s">
        <v>31</v>
      </c>
      <c r="G234" s="13"/>
      <c r="H234" s="13"/>
      <c r="I234" s="13"/>
      <c r="J234" s="106"/>
    </row>
    <row r="235" spans="1:10" ht="12.75" hidden="1">
      <c r="A235" s="6">
        <v>238</v>
      </c>
      <c r="B235" s="4" t="s">
        <v>1302</v>
      </c>
      <c r="C235" s="4" t="s">
        <v>1313</v>
      </c>
      <c r="D235" s="6">
        <v>2</v>
      </c>
      <c r="E235" s="117" t="s">
        <v>1314</v>
      </c>
      <c r="F235" s="15" t="s">
        <v>31</v>
      </c>
      <c r="G235" s="13"/>
      <c r="H235" s="13"/>
      <c r="I235" s="13"/>
      <c r="J235" s="106"/>
    </row>
    <row r="236" spans="1:10" ht="12.75" hidden="1">
      <c r="A236" s="6">
        <v>239</v>
      </c>
      <c r="B236" s="4" t="s">
        <v>1302</v>
      </c>
      <c r="C236" s="4" t="s">
        <v>1315</v>
      </c>
      <c r="D236" s="6">
        <v>2</v>
      </c>
      <c r="E236" s="117" t="s">
        <v>1316</v>
      </c>
      <c r="F236" s="15" t="s">
        <v>31</v>
      </c>
      <c r="G236" s="13"/>
      <c r="H236" s="13"/>
      <c r="I236" s="13"/>
      <c r="J236" s="106"/>
    </row>
    <row r="237" spans="1:10" ht="12.75" hidden="1">
      <c r="A237" s="6">
        <v>240</v>
      </c>
      <c r="B237" s="4" t="s">
        <v>1302</v>
      </c>
      <c r="C237" s="4" t="s">
        <v>1317</v>
      </c>
      <c r="D237" s="6">
        <v>2</v>
      </c>
      <c r="E237" s="7" t="s">
        <v>1318</v>
      </c>
      <c r="F237" s="15" t="s">
        <v>31</v>
      </c>
      <c r="G237" s="13"/>
      <c r="H237" s="13"/>
      <c r="I237" s="13"/>
      <c r="J237" s="106"/>
    </row>
    <row r="238" spans="1:10" ht="12.75" hidden="1">
      <c r="A238" s="6">
        <v>241</v>
      </c>
      <c r="B238" s="4" t="s">
        <v>1302</v>
      </c>
      <c r="C238" s="4" t="s">
        <v>1319</v>
      </c>
      <c r="D238" s="6">
        <v>2</v>
      </c>
      <c r="E238" s="7" t="s">
        <v>1320</v>
      </c>
      <c r="F238" s="15" t="s">
        <v>31</v>
      </c>
      <c r="G238" s="13"/>
      <c r="H238" s="13"/>
      <c r="I238" s="13"/>
      <c r="J238" s="106"/>
    </row>
    <row r="239" spans="1:10" ht="12.75" hidden="1">
      <c r="A239" s="6">
        <v>242</v>
      </c>
      <c r="B239" s="4" t="s">
        <v>1302</v>
      </c>
      <c r="C239" s="4" t="s">
        <v>1321</v>
      </c>
      <c r="D239" s="6">
        <v>2</v>
      </c>
      <c r="E239" s="7" t="s">
        <v>1322</v>
      </c>
      <c r="F239" s="15" t="s">
        <v>31</v>
      </c>
      <c r="G239" s="13"/>
      <c r="H239" s="13"/>
      <c r="I239" s="13"/>
      <c r="J239" s="106"/>
    </row>
    <row r="240" spans="1:10" ht="12.75" hidden="1">
      <c r="A240" s="6">
        <v>243</v>
      </c>
      <c r="B240" s="4" t="s">
        <v>1302</v>
      </c>
      <c r="C240" s="4" t="s">
        <v>1325</v>
      </c>
      <c r="D240" s="6">
        <v>2</v>
      </c>
      <c r="E240" s="7" t="s">
        <v>1326</v>
      </c>
      <c r="F240" s="15" t="s">
        <v>31</v>
      </c>
      <c r="G240" s="13"/>
      <c r="H240" s="13"/>
      <c r="I240" s="13"/>
      <c r="J240" s="106"/>
    </row>
    <row r="241" spans="1:10" ht="12.75">
      <c r="A241" s="6">
        <v>244</v>
      </c>
      <c r="B241" s="4" t="s">
        <v>1302</v>
      </c>
      <c r="C241" s="4" t="s">
        <v>774</v>
      </c>
      <c r="D241" s="6">
        <v>2</v>
      </c>
      <c r="E241" s="7" t="s">
        <v>1327</v>
      </c>
      <c r="F241" s="15" t="s">
        <v>31</v>
      </c>
      <c r="G241" s="13" t="s">
        <v>288</v>
      </c>
      <c r="H241" s="13" t="s">
        <v>649</v>
      </c>
      <c r="I241" s="13"/>
      <c r="J241" s="106"/>
    </row>
    <row r="242" spans="1:10" ht="12.75">
      <c r="A242" s="6">
        <v>245</v>
      </c>
      <c r="B242" s="4" t="s">
        <v>907</v>
      </c>
      <c r="C242" s="4" t="s">
        <v>1065</v>
      </c>
      <c r="D242" s="6">
        <v>1</v>
      </c>
      <c r="E242" s="7" t="s">
        <v>1328</v>
      </c>
      <c r="F242" s="15" t="s">
        <v>31</v>
      </c>
      <c r="G242" s="13" t="s">
        <v>288</v>
      </c>
      <c r="H242" s="13" t="s">
        <v>742</v>
      </c>
      <c r="I242" s="13"/>
      <c r="J242" s="106"/>
    </row>
    <row r="243" spans="1:10" ht="12.75">
      <c r="A243" s="6"/>
      <c r="B243" s="4" t="s">
        <v>907</v>
      </c>
      <c r="C243" s="4" t="s">
        <v>1065</v>
      </c>
      <c r="D243" s="6">
        <v>1</v>
      </c>
      <c r="E243" s="7" t="s">
        <v>1329</v>
      </c>
      <c r="F243" s="15" t="s">
        <v>31</v>
      </c>
      <c r="G243" s="13" t="s">
        <v>288</v>
      </c>
      <c r="H243" s="13" t="s">
        <v>742</v>
      </c>
      <c r="I243" s="13"/>
      <c r="J243" s="106"/>
    </row>
    <row r="244" spans="1:10" ht="12.75" hidden="1">
      <c r="A244" s="6">
        <v>246</v>
      </c>
      <c r="B244" s="4" t="s">
        <v>907</v>
      </c>
      <c r="C244" s="4" t="s">
        <v>1332</v>
      </c>
      <c r="D244" s="6">
        <v>1</v>
      </c>
      <c r="E244" s="7" t="s">
        <v>1333</v>
      </c>
      <c r="F244" s="15" t="s">
        <v>31</v>
      </c>
      <c r="G244" s="13"/>
      <c r="H244" s="13"/>
      <c r="I244" s="13"/>
      <c r="J244" s="106"/>
    </row>
    <row r="245" spans="1:10" ht="12.75" hidden="1">
      <c r="A245" s="6">
        <v>247</v>
      </c>
      <c r="B245" s="4" t="s">
        <v>176</v>
      </c>
      <c r="C245" s="4" t="s">
        <v>1334</v>
      </c>
      <c r="D245" s="6">
        <v>1</v>
      </c>
      <c r="E245" s="7" t="s">
        <v>1335</v>
      </c>
      <c r="F245" s="15" t="s">
        <v>31</v>
      </c>
      <c r="G245" s="13"/>
      <c r="H245" s="13"/>
      <c r="I245" s="13"/>
      <c r="J245" s="106"/>
    </row>
    <row r="246" spans="1:10" ht="12.75" hidden="1">
      <c r="A246" s="6">
        <v>248</v>
      </c>
      <c r="B246" s="4" t="s">
        <v>176</v>
      </c>
      <c r="C246" s="4" t="s">
        <v>725</v>
      </c>
      <c r="D246" s="6">
        <v>1</v>
      </c>
      <c r="E246" s="7" t="s">
        <v>797</v>
      </c>
      <c r="F246" s="15" t="s">
        <v>31</v>
      </c>
      <c r="G246" s="13"/>
      <c r="H246" s="13"/>
      <c r="I246" s="13"/>
      <c r="J246" s="106"/>
    </row>
    <row r="247" spans="1:10" ht="12.75" hidden="1">
      <c r="A247" s="6">
        <v>249</v>
      </c>
      <c r="B247" s="4" t="s">
        <v>176</v>
      </c>
      <c r="C247" s="4" t="s">
        <v>1336</v>
      </c>
      <c r="D247" s="6">
        <v>1</v>
      </c>
      <c r="E247" s="7" t="s">
        <v>1337</v>
      </c>
      <c r="F247" s="15" t="s">
        <v>31</v>
      </c>
      <c r="G247" s="13"/>
      <c r="H247" s="13"/>
      <c r="I247" s="13"/>
      <c r="J247" s="106"/>
    </row>
    <row r="248" spans="1:10" ht="12.75" hidden="1">
      <c r="A248" s="6">
        <v>250</v>
      </c>
      <c r="B248" s="4" t="s">
        <v>176</v>
      </c>
      <c r="C248" s="4" t="s">
        <v>1336</v>
      </c>
      <c r="D248" s="6">
        <v>1</v>
      </c>
      <c r="E248" s="7" t="s">
        <v>1337</v>
      </c>
      <c r="F248" s="15" t="s">
        <v>31</v>
      </c>
      <c r="G248" s="13"/>
      <c r="H248" s="13"/>
      <c r="I248" s="13"/>
      <c r="J248" s="106"/>
    </row>
    <row r="249" spans="1:10" ht="12.75" hidden="1">
      <c r="A249" s="6">
        <v>251</v>
      </c>
      <c r="B249" s="4" t="s">
        <v>176</v>
      </c>
      <c r="C249" s="4" t="s">
        <v>1340</v>
      </c>
      <c r="D249" s="6">
        <v>1</v>
      </c>
      <c r="E249" s="7" t="s">
        <v>1341</v>
      </c>
      <c r="F249" s="15" t="s">
        <v>31</v>
      </c>
      <c r="G249" s="13"/>
      <c r="H249" s="13"/>
      <c r="I249" s="13"/>
      <c r="J249" s="106"/>
    </row>
    <row r="250" spans="1:10" ht="12.75" hidden="1">
      <c r="A250" s="6">
        <v>252</v>
      </c>
      <c r="B250" s="4" t="s">
        <v>176</v>
      </c>
      <c r="C250" s="4" t="s">
        <v>1109</v>
      </c>
      <c r="D250" s="6">
        <v>1</v>
      </c>
      <c r="E250" s="7" t="s">
        <v>1110</v>
      </c>
      <c r="F250" s="15" t="s">
        <v>31</v>
      </c>
      <c r="G250" s="13"/>
      <c r="H250" s="13"/>
      <c r="I250" s="13"/>
      <c r="J250" s="106"/>
    </row>
    <row r="251" spans="1:10" ht="12.75" hidden="1">
      <c r="A251" s="6">
        <v>253</v>
      </c>
      <c r="B251" s="4" t="s">
        <v>176</v>
      </c>
      <c r="C251" s="4" t="s">
        <v>868</v>
      </c>
      <c r="D251" s="6">
        <v>1</v>
      </c>
      <c r="E251" s="7" t="s">
        <v>869</v>
      </c>
      <c r="F251" s="15" t="s">
        <v>31</v>
      </c>
      <c r="G251" s="13"/>
      <c r="H251" s="13"/>
      <c r="I251" s="13"/>
      <c r="J251" s="106"/>
    </row>
    <row r="252" spans="1:10" ht="12.75" hidden="1">
      <c r="A252" s="6">
        <v>254</v>
      </c>
      <c r="B252" s="4" t="s">
        <v>176</v>
      </c>
      <c r="C252" s="4" t="s">
        <v>1344</v>
      </c>
      <c r="D252" s="6">
        <v>1</v>
      </c>
      <c r="E252" s="7" t="s">
        <v>1081</v>
      </c>
      <c r="F252" s="15" t="s">
        <v>31</v>
      </c>
      <c r="G252" s="13"/>
      <c r="H252" s="13"/>
      <c r="I252" s="13"/>
      <c r="J252" s="106"/>
    </row>
    <row r="253" spans="1:10" ht="12.75" hidden="1">
      <c r="A253" s="6">
        <v>255</v>
      </c>
      <c r="B253" s="4" t="s">
        <v>176</v>
      </c>
      <c r="C253" s="4" t="s">
        <v>900</v>
      </c>
      <c r="D253" s="6">
        <v>1</v>
      </c>
      <c r="E253" s="7" t="s">
        <v>901</v>
      </c>
      <c r="F253" s="15" t="s">
        <v>31</v>
      </c>
      <c r="G253" s="13"/>
      <c r="H253" s="13"/>
      <c r="I253" s="13"/>
      <c r="J253" s="106"/>
    </row>
    <row r="254" spans="1:10" ht="12.75">
      <c r="A254" s="6">
        <v>256</v>
      </c>
      <c r="B254" s="4" t="s">
        <v>176</v>
      </c>
      <c r="C254" s="4" t="s">
        <v>1345</v>
      </c>
      <c r="D254" s="6">
        <v>1</v>
      </c>
      <c r="E254" s="7" t="s">
        <v>1346</v>
      </c>
      <c r="F254" s="15" t="s">
        <v>31</v>
      </c>
      <c r="G254" s="13" t="s">
        <v>288</v>
      </c>
      <c r="H254" s="13" t="s">
        <v>742</v>
      </c>
      <c r="I254" s="13"/>
      <c r="J254" s="106"/>
    </row>
    <row r="255" spans="1:10" ht="12.75" hidden="1">
      <c r="A255" s="6">
        <v>257</v>
      </c>
      <c r="B255" s="4" t="s">
        <v>1349</v>
      </c>
      <c r="C255" s="4" t="s">
        <v>1350</v>
      </c>
      <c r="D255" s="6">
        <v>2</v>
      </c>
      <c r="E255" s="7" t="s">
        <v>1351</v>
      </c>
      <c r="F255" s="15" t="s">
        <v>31</v>
      </c>
      <c r="G255" s="13"/>
      <c r="H255" s="13"/>
      <c r="I255" s="13"/>
      <c r="J255" s="106"/>
    </row>
    <row r="256" spans="1:10" ht="12.75" hidden="1">
      <c r="A256" s="6">
        <v>258</v>
      </c>
      <c r="B256" s="4" t="s">
        <v>1349</v>
      </c>
      <c r="C256" s="4" t="s">
        <v>1354</v>
      </c>
      <c r="D256" s="6">
        <v>2</v>
      </c>
      <c r="E256" s="7" t="s">
        <v>1355</v>
      </c>
      <c r="F256" s="15" t="s">
        <v>31</v>
      </c>
      <c r="G256" s="13"/>
      <c r="H256" s="13"/>
      <c r="I256" s="13"/>
      <c r="J256" s="106"/>
    </row>
    <row r="257" spans="1:10" ht="12.75" hidden="1">
      <c r="A257" s="6">
        <v>259</v>
      </c>
      <c r="B257" s="4" t="s">
        <v>1349</v>
      </c>
      <c r="C257" s="4" t="s">
        <v>1356</v>
      </c>
      <c r="D257" s="6">
        <v>2</v>
      </c>
      <c r="E257" s="7" t="s">
        <v>1357</v>
      </c>
      <c r="F257" s="15" t="s">
        <v>31</v>
      </c>
      <c r="G257" s="13"/>
      <c r="H257" s="13"/>
      <c r="I257" s="13"/>
      <c r="J257" s="106"/>
    </row>
    <row r="258" spans="1:10" ht="12.75" hidden="1">
      <c r="A258" s="6">
        <v>260</v>
      </c>
      <c r="B258" s="4" t="s">
        <v>1349</v>
      </c>
      <c r="C258" s="4" t="s">
        <v>1358</v>
      </c>
      <c r="D258" s="6">
        <v>2</v>
      </c>
      <c r="E258" s="7" t="s">
        <v>1360</v>
      </c>
      <c r="F258" s="15" t="s">
        <v>31</v>
      </c>
      <c r="G258" s="13"/>
      <c r="H258" s="13"/>
      <c r="I258" s="13"/>
      <c r="J258" s="106"/>
    </row>
    <row r="259" spans="1:10" ht="12.75" hidden="1">
      <c r="A259" s="6">
        <v>261</v>
      </c>
      <c r="B259" s="4" t="s">
        <v>1349</v>
      </c>
      <c r="C259" s="4" t="s">
        <v>1080</v>
      </c>
      <c r="D259" s="6">
        <v>2</v>
      </c>
      <c r="E259" s="7" t="s">
        <v>1081</v>
      </c>
      <c r="F259" s="15" t="s">
        <v>31</v>
      </c>
      <c r="G259" s="13"/>
      <c r="H259" s="13"/>
      <c r="I259" s="13"/>
      <c r="J259" s="106"/>
    </row>
    <row r="260" spans="1:10" ht="12.75" hidden="1">
      <c r="A260" s="6">
        <v>262</v>
      </c>
      <c r="B260" s="4" t="s">
        <v>1349</v>
      </c>
      <c r="C260" s="4" t="s">
        <v>1362</v>
      </c>
      <c r="D260" s="6">
        <v>2</v>
      </c>
      <c r="E260" s="7" t="s">
        <v>1363</v>
      </c>
      <c r="F260" s="15" t="s">
        <v>31</v>
      </c>
      <c r="G260" s="13"/>
      <c r="H260" s="13"/>
      <c r="I260" s="13"/>
      <c r="J260" s="106"/>
    </row>
    <row r="261" spans="1:10" ht="12.75">
      <c r="A261" s="6">
        <v>264</v>
      </c>
      <c r="B261" s="4" t="s">
        <v>1349</v>
      </c>
      <c r="C261" s="4" t="s">
        <v>774</v>
      </c>
      <c r="D261" s="6">
        <v>2</v>
      </c>
      <c r="E261" s="7" t="s">
        <v>1364</v>
      </c>
      <c r="F261" s="15" t="s">
        <v>31</v>
      </c>
      <c r="G261" s="13" t="s">
        <v>288</v>
      </c>
      <c r="H261" s="13" t="s">
        <v>742</v>
      </c>
      <c r="I261" s="13"/>
      <c r="J261" s="106"/>
    </row>
    <row r="262" spans="1:10" ht="12.75" hidden="1">
      <c r="A262" s="6">
        <v>265</v>
      </c>
      <c r="B262" s="4" t="s">
        <v>1349</v>
      </c>
      <c r="C262" s="4" t="s">
        <v>907</v>
      </c>
      <c r="D262" s="6">
        <v>2</v>
      </c>
      <c r="E262" s="7" t="s">
        <v>908</v>
      </c>
      <c r="F262" s="15" t="s">
        <v>31</v>
      </c>
      <c r="G262" s="13"/>
      <c r="H262" s="13"/>
      <c r="I262" s="13"/>
      <c r="J262" s="106"/>
    </row>
    <row r="263" spans="1:10" ht="12.75" hidden="1">
      <c r="A263" s="6">
        <v>266</v>
      </c>
      <c r="B263" s="4" t="s">
        <v>1349</v>
      </c>
      <c r="C263" s="4" t="s">
        <v>1367</v>
      </c>
      <c r="D263" s="6">
        <v>2</v>
      </c>
      <c r="E263" s="7" t="s">
        <v>1368</v>
      </c>
      <c r="F263" s="15" t="s">
        <v>31</v>
      </c>
      <c r="G263" s="13"/>
      <c r="H263" s="13"/>
      <c r="I263" s="13"/>
      <c r="J263" s="106"/>
    </row>
    <row r="264" spans="1:10" ht="12.75" hidden="1">
      <c r="A264" s="6">
        <v>267</v>
      </c>
      <c r="B264" s="4" t="s">
        <v>1349</v>
      </c>
      <c r="C264" s="4" t="s">
        <v>1369</v>
      </c>
      <c r="D264" s="6">
        <v>2</v>
      </c>
      <c r="E264" s="7" t="s">
        <v>1370</v>
      </c>
      <c r="F264" s="15" t="s">
        <v>31</v>
      </c>
      <c r="G264" s="13"/>
      <c r="H264" s="13"/>
      <c r="I264" s="13"/>
      <c r="J264" s="106"/>
    </row>
    <row r="265" spans="1:10" ht="12.75" hidden="1">
      <c r="A265" s="6">
        <v>268</v>
      </c>
      <c r="B265" s="4" t="s">
        <v>1349</v>
      </c>
      <c r="C265" s="4" t="s">
        <v>1371</v>
      </c>
      <c r="D265" s="6">
        <v>2</v>
      </c>
      <c r="E265" s="7" t="s">
        <v>1372</v>
      </c>
      <c r="F265" s="15" t="s">
        <v>31</v>
      </c>
      <c r="G265" s="13"/>
      <c r="H265" s="13"/>
      <c r="I265" s="13"/>
      <c r="J265" s="106"/>
    </row>
    <row r="266" spans="1:10" ht="12.75" hidden="1">
      <c r="A266" s="6">
        <v>269</v>
      </c>
      <c r="B266" s="4" t="s">
        <v>1375</v>
      </c>
      <c r="C266" s="4" t="s">
        <v>1376</v>
      </c>
      <c r="D266" s="6">
        <v>1</v>
      </c>
      <c r="E266" s="7" t="s">
        <v>1377</v>
      </c>
      <c r="F266" s="15" t="s">
        <v>31</v>
      </c>
      <c r="G266" s="13"/>
      <c r="H266" s="13"/>
      <c r="I266" s="13"/>
      <c r="J266" s="106"/>
    </row>
    <row r="267" spans="1:10" ht="12.75" hidden="1">
      <c r="A267" s="6">
        <v>270</v>
      </c>
      <c r="B267" s="4" t="s">
        <v>1375</v>
      </c>
      <c r="C267" s="4" t="s">
        <v>1378</v>
      </c>
      <c r="D267" s="6">
        <v>1</v>
      </c>
      <c r="E267" s="7" t="s">
        <v>1379</v>
      </c>
      <c r="F267" s="15" t="s">
        <v>31</v>
      </c>
      <c r="G267" s="13"/>
      <c r="H267" s="13"/>
      <c r="I267" s="13"/>
      <c r="J267" s="106"/>
    </row>
    <row r="268" spans="1:10" ht="12.75" hidden="1">
      <c r="A268" s="6">
        <v>271</v>
      </c>
      <c r="B268" s="4" t="s">
        <v>1375</v>
      </c>
      <c r="C268" s="4" t="s">
        <v>1313</v>
      </c>
      <c r="D268" s="6">
        <v>1</v>
      </c>
      <c r="E268" s="7" t="s">
        <v>1314</v>
      </c>
      <c r="F268" s="15" t="s">
        <v>31</v>
      </c>
      <c r="G268" s="13"/>
      <c r="H268" s="13"/>
      <c r="I268" s="13"/>
      <c r="J268" s="106"/>
    </row>
    <row r="269" spans="1:10" ht="12.75">
      <c r="A269" s="6">
        <v>273</v>
      </c>
      <c r="B269" s="4" t="s">
        <v>1375</v>
      </c>
      <c r="C269" s="4" t="s">
        <v>1380</v>
      </c>
      <c r="D269" s="6">
        <v>1</v>
      </c>
      <c r="E269" s="7" t="s">
        <v>1381</v>
      </c>
      <c r="F269" s="15" t="s">
        <v>31</v>
      </c>
      <c r="G269" s="13" t="s">
        <v>288</v>
      </c>
      <c r="H269" s="13" t="s">
        <v>742</v>
      </c>
      <c r="I269" s="13"/>
      <c r="J269" s="106"/>
    </row>
    <row r="270" spans="1:10" ht="12.75" hidden="1">
      <c r="A270" s="6">
        <v>274</v>
      </c>
      <c r="B270" s="4" t="s">
        <v>1375</v>
      </c>
      <c r="C270" s="4" t="s">
        <v>1384</v>
      </c>
      <c r="D270" s="6">
        <v>1</v>
      </c>
      <c r="E270" s="7" t="s">
        <v>1385</v>
      </c>
      <c r="F270" s="15" t="s">
        <v>31</v>
      </c>
      <c r="G270" s="13"/>
      <c r="H270" s="13"/>
      <c r="I270" s="13"/>
      <c r="J270" s="106"/>
    </row>
    <row r="271" spans="1:10" ht="12.75" hidden="1">
      <c r="A271" s="6">
        <v>275</v>
      </c>
      <c r="B271" s="4" t="s">
        <v>1375</v>
      </c>
      <c r="C271" s="4" t="s">
        <v>1386</v>
      </c>
      <c r="D271" s="6">
        <v>1</v>
      </c>
      <c r="E271" s="7" t="s">
        <v>1387</v>
      </c>
      <c r="F271" s="15" t="s">
        <v>31</v>
      </c>
      <c r="G271" s="13"/>
      <c r="H271" s="13"/>
      <c r="I271" s="13"/>
      <c r="J271" s="106"/>
    </row>
    <row r="272" spans="1:10" ht="12.75" hidden="1">
      <c r="A272" s="6">
        <v>276</v>
      </c>
      <c r="B272" s="4" t="s">
        <v>1375</v>
      </c>
      <c r="C272" s="4" t="s">
        <v>1388</v>
      </c>
      <c r="D272" s="6">
        <v>1</v>
      </c>
      <c r="E272" s="7" t="s">
        <v>1389</v>
      </c>
      <c r="F272" s="15" t="s">
        <v>31</v>
      </c>
      <c r="G272" s="13"/>
      <c r="H272" s="13"/>
      <c r="I272" s="13"/>
      <c r="J272" s="106"/>
    </row>
    <row r="273" spans="1:10" ht="12.75">
      <c r="A273" s="6">
        <v>277</v>
      </c>
      <c r="B273" s="61" t="s">
        <v>1375</v>
      </c>
      <c r="C273" s="61" t="s">
        <v>917</v>
      </c>
      <c r="D273" s="6">
        <v>1</v>
      </c>
      <c r="E273" s="54" t="s">
        <v>918</v>
      </c>
      <c r="F273" s="15" t="s">
        <v>31</v>
      </c>
      <c r="G273" s="13"/>
      <c r="H273" s="13"/>
      <c r="I273" s="13"/>
      <c r="J273" s="106"/>
    </row>
    <row r="274" spans="1:10" ht="12.75">
      <c r="A274" s="6">
        <v>278</v>
      </c>
      <c r="B274" s="61" t="s">
        <v>1375</v>
      </c>
      <c r="C274" s="61" t="s">
        <v>1121</v>
      </c>
      <c r="D274" s="6">
        <v>1</v>
      </c>
      <c r="E274" s="54" t="s">
        <v>1122</v>
      </c>
      <c r="F274" s="15" t="s">
        <v>31</v>
      </c>
      <c r="G274" s="13"/>
      <c r="H274" s="13"/>
      <c r="I274" s="13"/>
      <c r="J274" s="106"/>
    </row>
    <row r="275" spans="1:10" ht="12.75">
      <c r="A275" s="6">
        <v>279</v>
      </c>
      <c r="B275" s="61" t="s">
        <v>1375</v>
      </c>
      <c r="C275" s="61" t="s">
        <v>1392</v>
      </c>
      <c r="D275" s="6">
        <v>1</v>
      </c>
      <c r="E275" s="55" t="s">
        <v>1393</v>
      </c>
      <c r="F275" s="15" t="s">
        <v>31</v>
      </c>
      <c r="G275" s="13"/>
      <c r="H275" s="13"/>
      <c r="I275" s="13"/>
      <c r="J275" s="106"/>
    </row>
    <row r="276" spans="1:10" ht="12.75">
      <c r="A276" s="6">
        <v>280</v>
      </c>
      <c r="B276" s="61" t="s">
        <v>1375</v>
      </c>
      <c r="C276" s="61" t="s">
        <v>1394</v>
      </c>
      <c r="D276" s="6">
        <v>1</v>
      </c>
      <c r="E276" s="55" t="s">
        <v>1395</v>
      </c>
      <c r="F276" s="15" t="s">
        <v>31</v>
      </c>
      <c r="G276" s="13"/>
      <c r="H276" s="13"/>
      <c r="I276" s="13"/>
      <c r="J276" s="106"/>
    </row>
    <row r="277" spans="1:10" ht="12.75">
      <c r="A277" s="6">
        <v>281</v>
      </c>
      <c r="B277" s="4" t="s">
        <v>1396</v>
      </c>
      <c r="C277" s="61" t="s">
        <v>1398</v>
      </c>
      <c r="D277" s="61">
        <v>2</v>
      </c>
      <c r="E277" s="55" t="s">
        <v>1400</v>
      </c>
      <c r="F277" s="15" t="s">
        <v>31</v>
      </c>
      <c r="G277" s="13"/>
      <c r="H277" s="13"/>
      <c r="I277" s="13"/>
      <c r="J277" s="106"/>
    </row>
    <row r="278" spans="1:10" ht="12.75">
      <c r="A278" s="6">
        <v>282</v>
      </c>
      <c r="B278" s="4" t="s">
        <v>1396</v>
      </c>
      <c r="C278" s="61" t="s">
        <v>1401</v>
      </c>
      <c r="D278" s="61">
        <v>2</v>
      </c>
      <c r="E278" s="55" t="s">
        <v>1402</v>
      </c>
      <c r="F278" s="15" t="s">
        <v>31</v>
      </c>
      <c r="G278" s="13" t="s">
        <v>288</v>
      </c>
      <c r="H278" s="13" t="s">
        <v>742</v>
      </c>
      <c r="I278" s="13"/>
      <c r="J278" s="106"/>
    </row>
    <row r="279" spans="1:10" ht="12.75">
      <c r="A279" s="6">
        <v>283</v>
      </c>
      <c r="B279" s="4" t="s">
        <v>1396</v>
      </c>
      <c r="C279" s="61" t="s">
        <v>1401</v>
      </c>
      <c r="D279" s="61">
        <v>2</v>
      </c>
      <c r="E279" s="7" t="s">
        <v>1403</v>
      </c>
      <c r="F279" s="15" t="s">
        <v>31</v>
      </c>
      <c r="G279" s="13"/>
      <c r="H279" s="13"/>
      <c r="I279" s="13"/>
      <c r="J279" s="106"/>
    </row>
    <row r="280" spans="1:10" ht="12.75">
      <c r="A280" s="6">
        <v>284</v>
      </c>
      <c r="B280" s="4" t="s">
        <v>1396</v>
      </c>
      <c r="C280" s="61" t="s">
        <v>1404</v>
      </c>
      <c r="D280" s="61">
        <v>2</v>
      </c>
      <c r="E280" s="7" t="s">
        <v>1405</v>
      </c>
      <c r="F280" s="15" t="s">
        <v>31</v>
      </c>
      <c r="G280" s="13"/>
      <c r="H280" s="13"/>
      <c r="I280" s="13"/>
      <c r="J280" s="106"/>
    </row>
    <row r="281" spans="1:10" ht="12.75">
      <c r="A281" s="6">
        <v>285</v>
      </c>
      <c r="B281" s="4" t="s">
        <v>1396</v>
      </c>
      <c r="C281" s="61" t="s">
        <v>1407</v>
      </c>
      <c r="D281" s="61">
        <v>2</v>
      </c>
      <c r="E281" s="7" t="s">
        <v>1408</v>
      </c>
      <c r="F281" s="15" t="s">
        <v>31</v>
      </c>
      <c r="G281" s="13"/>
      <c r="H281" s="13"/>
      <c r="I281" s="13"/>
      <c r="J281" s="106"/>
    </row>
    <row r="282" spans="1:10" ht="12.75">
      <c r="A282" s="6">
        <v>286</v>
      </c>
      <c r="B282" s="4" t="s">
        <v>1396</v>
      </c>
      <c r="C282" s="61" t="s">
        <v>1409</v>
      </c>
      <c r="D282" s="61">
        <v>2</v>
      </c>
      <c r="E282" s="7" t="s">
        <v>1410</v>
      </c>
      <c r="F282" s="15" t="s">
        <v>31</v>
      </c>
      <c r="G282" s="13"/>
      <c r="H282" s="13"/>
      <c r="I282" s="13"/>
      <c r="J282" s="106"/>
    </row>
    <row r="283" spans="1:10" ht="12.75">
      <c r="A283" s="6">
        <v>287</v>
      </c>
      <c r="B283" s="16" t="s">
        <v>1396</v>
      </c>
      <c r="C283" s="16" t="s">
        <v>1411</v>
      </c>
      <c r="D283" s="61">
        <v>2</v>
      </c>
      <c r="E283" s="102" t="s">
        <v>1412</v>
      </c>
      <c r="F283" s="15" t="s">
        <v>31</v>
      </c>
      <c r="G283" s="13"/>
      <c r="H283" s="13"/>
      <c r="I283" s="13"/>
    </row>
    <row r="284" spans="1:10" ht="12.75">
      <c r="A284" s="6">
        <v>288</v>
      </c>
      <c r="B284" s="16" t="s">
        <v>1396</v>
      </c>
      <c r="C284" s="16" t="s">
        <v>1414</v>
      </c>
      <c r="D284" s="61">
        <v>2</v>
      </c>
      <c r="E284" s="102" t="s">
        <v>1415</v>
      </c>
      <c r="F284" s="15" t="s">
        <v>31</v>
      </c>
      <c r="G284" s="13"/>
      <c r="H284" s="13"/>
      <c r="I284" s="13"/>
    </row>
    <row r="285" spans="1:10" ht="12.75">
      <c r="A285" s="6">
        <v>289</v>
      </c>
      <c r="B285" s="16" t="s">
        <v>1396</v>
      </c>
      <c r="C285" s="16" t="s">
        <v>1416</v>
      </c>
      <c r="D285" s="61">
        <v>2</v>
      </c>
      <c r="E285" s="102" t="s">
        <v>1417</v>
      </c>
      <c r="F285" s="15" t="s">
        <v>31</v>
      </c>
      <c r="G285" s="13"/>
      <c r="H285" s="13"/>
      <c r="I285" s="13"/>
    </row>
    <row r="286" spans="1:10" ht="12.75">
      <c r="A286" s="6">
        <v>290</v>
      </c>
      <c r="B286" s="16" t="s">
        <v>1396</v>
      </c>
      <c r="C286" s="16" t="s">
        <v>1419</v>
      </c>
      <c r="D286" s="61">
        <v>2</v>
      </c>
      <c r="E286" s="102" t="s">
        <v>1421</v>
      </c>
      <c r="F286" s="15" t="s">
        <v>31</v>
      </c>
      <c r="G286" s="13"/>
      <c r="H286" s="13"/>
      <c r="I286" s="13"/>
    </row>
    <row r="287" spans="1:10" ht="12.75">
      <c r="A287" s="6">
        <v>291</v>
      </c>
      <c r="B287" s="16" t="s">
        <v>1396</v>
      </c>
      <c r="C287" s="16" t="s">
        <v>1422</v>
      </c>
      <c r="D287" s="61">
        <v>2</v>
      </c>
      <c r="E287" s="102" t="s">
        <v>1423</v>
      </c>
      <c r="F287" s="15" t="s">
        <v>31</v>
      </c>
      <c r="G287" s="13"/>
      <c r="H287" s="13"/>
      <c r="I287" s="13"/>
    </row>
    <row r="288" spans="1:10" ht="12.75">
      <c r="A288" s="6">
        <v>292</v>
      </c>
      <c r="B288" s="16" t="s">
        <v>1396</v>
      </c>
      <c r="C288" s="16" t="s">
        <v>1424</v>
      </c>
      <c r="D288" s="61">
        <v>2</v>
      </c>
      <c r="E288" s="102" t="s">
        <v>1425</v>
      </c>
      <c r="F288" s="15" t="s">
        <v>31</v>
      </c>
      <c r="G288" s="13"/>
      <c r="H288" s="13"/>
      <c r="I288" s="13"/>
    </row>
    <row r="289" spans="1:9" ht="12.75">
      <c r="A289" s="6">
        <v>293</v>
      </c>
      <c r="B289" s="16" t="s">
        <v>1396</v>
      </c>
      <c r="C289" s="16" t="s">
        <v>1426</v>
      </c>
      <c r="D289" s="61">
        <v>2</v>
      </c>
      <c r="E289" s="102" t="s">
        <v>1427</v>
      </c>
      <c r="F289" s="15" t="s">
        <v>31</v>
      </c>
      <c r="G289" s="13"/>
      <c r="H289" s="13"/>
      <c r="I289" s="13"/>
    </row>
    <row r="290" spans="1:9" ht="12.75">
      <c r="A290" s="6">
        <v>294</v>
      </c>
      <c r="B290" s="16" t="s">
        <v>1396</v>
      </c>
      <c r="C290" s="16" t="s">
        <v>1050</v>
      </c>
      <c r="D290" s="61">
        <v>2</v>
      </c>
      <c r="E290" s="102" t="s">
        <v>1051</v>
      </c>
      <c r="F290" s="15" t="s">
        <v>31</v>
      </c>
      <c r="G290" s="13"/>
      <c r="H290" s="13"/>
      <c r="I290" s="13"/>
    </row>
    <row r="291" spans="1:9" ht="12.75">
      <c r="A291" s="6">
        <v>295</v>
      </c>
      <c r="B291" s="16" t="s">
        <v>1396</v>
      </c>
      <c r="C291" s="16" t="s">
        <v>1429</v>
      </c>
      <c r="D291" s="61">
        <v>2</v>
      </c>
      <c r="E291" s="102" t="s">
        <v>1430</v>
      </c>
      <c r="F291" s="15" t="s">
        <v>31</v>
      </c>
      <c r="G291" s="13"/>
      <c r="H291" s="13"/>
      <c r="I291" s="13"/>
    </row>
    <row r="292" spans="1:9" ht="12.75">
      <c r="A292" s="6">
        <v>296</v>
      </c>
      <c r="B292" s="16" t="s">
        <v>1431</v>
      </c>
      <c r="C292" s="16" t="s">
        <v>1432</v>
      </c>
      <c r="D292" s="61">
        <v>2</v>
      </c>
      <c r="E292" s="102" t="s">
        <v>1433</v>
      </c>
      <c r="F292" s="15" t="s">
        <v>31</v>
      </c>
      <c r="G292" s="13"/>
      <c r="H292" s="13"/>
      <c r="I292" s="13"/>
    </row>
    <row r="293" spans="1:9" ht="12.75">
      <c r="A293" s="6">
        <v>297</v>
      </c>
      <c r="B293" s="16" t="s">
        <v>1431</v>
      </c>
      <c r="C293" s="16" t="s">
        <v>774</v>
      </c>
      <c r="D293" s="61">
        <v>2</v>
      </c>
      <c r="E293" s="102" t="s">
        <v>1434</v>
      </c>
      <c r="F293" s="15" t="s">
        <v>31</v>
      </c>
      <c r="G293" s="13" t="s">
        <v>288</v>
      </c>
      <c r="H293" s="13" t="s">
        <v>742</v>
      </c>
      <c r="I293" s="13"/>
    </row>
    <row r="294" spans="1:9" ht="12.75">
      <c r="A294" s="6">
        <v>299</v>
      </c>
      <c r="B294" s="16" t="s">
        <v>1431</v>
      </c>
      <c r="C294" s="16" t="s">
        <v>1435</v>
      </c>
      <c r="D294" s="61">
        <v>2</v>
      </c>
      <c r="E294" s="102" t="s">
        <v>1436</v>
      </c>
      <c r="F294" s="15" t="s">
        <v>31</v>
      </c>
      <c r="G294" s="13"/>
      <c r="H294" s="13"/>
      <c r="I294" s="13"/>
    </row>
    <row r="295" spans="1:9" ht="12.75">
      <c r="A295" s="6">
        <v>300</v>
      </c>
      <c r="B295" s="16" t="s">
        <v>268</v>
      </c>
      <c r="C295" s="16" t="s">
        <v>40</v>
      </c>
      <c r="D295" s="48">
        <v>2</v>
      </c>
      <c r="E295" s="102" t="s">
        <v>1437</v>
      </c>
      <c r="F295" s="16" t="s">
        <v>553</v>
      </c>
      <c r="G295" s="13" t="s">
        <v>831</v>
      </c>
      <c r="H295" s="13"/>
      <c r="I295" s="13" t="s">
        <v>1695</v>
      </c>
    </row>
    <row r="296" spans="1:9" ht="12.75">
      <c r="A296" s="6">
        <v>301</v>
      </c>
      <c r="B296" s="16" t="s">
        <v>216</v>
      </c>
      <c r="C296" s="16" t="s">
        <v>172</v>
      </c>
      <c r="D296" s="48">
        <v>2</v>
      </c>
      <c r="E296" s="102" t="s">
        <v>1438</v>
      </c>
      <c r="F296" s="16" t="s">
        <v>553</v>
      </c>
      <c r="G296" s="13" t="s">
        <v>288</v>
      </c>
      <c r="H296" s="13" t="s">
        <v>1242</v>
      </c>
      <c r="I296" s="13"/>
    </row>
    <row r="297" spans="1:9" ht="12.75">
      <c r="A297" s="6">
        <v>302</v>
      </c>
      <c r="B297" s="16" t="s">
        <v>81</v>
      </c>
      <c r="C297" s="16" t="s">
        <v>191</v>
      </c>
      <c r="D297" s="48">
        <v>1</v>
      </c>
      <c r="E297" s="102" t="s">
        <v>1439</v>
      </c>
      <c r="F297" s="16" t="s">
        <v>553</v>
      </c>
      <c r="G297" s="13" t="s">
        <v>831</v>
      </c>
      <c r="H297" s="13"/>
      <c r="I297" s="13" t="s">
        <v>1695</v>
      </c>
    </row>
    <row r="298" spans="1:9" ht="12.75">
      <c r="A298" s="6">
        <v>303</v>
      </c>
      <c r="B298" s="16" t="s">
        <v>167</v>
      </c>
      <c r="C298" s="16" t="s">
        <v>140</v>
      </c>
      <c r="D298" s="48">
        <v>2</v>
      </c>
      <c r="E298" s="102" t="s">
        <v>1440</v>
      </c>
      <c r="F298" s="16" t="s">
        <v>553</v>
      </c>
      <c r="G298" s="13" t="s">
        <v>831</v>
      </c>
      <c r="H298" s="13"/>
      <c r="I298" s="13" t="s">
        <v>1695</v>
      </c>
    </row>
    <row r="299" spans="1:9" ht="12.75">
      <c r="A299" s="6">
        <v>304</v>
      </c>
      <c r="B299" s="16" t="s">
        <v>198</v>
      </c>
      <c r="C299" s="16" t="s">
        <v>327</v>
      </c>
      <c r="D299" s="48">
        <v>2</v>
      </c>
      <c r="E299" s="102" t="s">
        <v>1441</v>
      </c>
      <c r="F299" s="16" t="s">
        <v>553</v>
      </c>
      <c r="G299" s="13" t="s">
        <v>831</v>
      </c>
      <c r="H299" s="13"/>
      <c r="I299" s="13" t="s">
        <v>1695</v>
      </c>
    </row>
    <row r="300" spans="1:9" ht="12.75">
      <c r="A300" s="6">
        <v>305</v>
      </c>
      <c r="B300" s="16" t="s">
        <v>381</v>
      </c>
      <c r="C300" s="16" t="s">
        <v>1218</v>
      </c>
      <c r="D300" s="48">
        <v>2</v>
      </c>
      <c r="E300" s="102" t="s">
        <v>467</v>
      </c>
      <c r="F300" s="16" t="s">
        <v>553</v>
      </c>
      <c r="G300" s="13" t="s">
        <v>288</v>
      </c>
      <c r="H300" s="13" t="s">
        <v>350</v>
      </c>
      <c r="I300" s="13"/>
    </row>
    <row r="301" spans="1:9" ht="12.75">
      <c r="A301" s="6">
        <v>306</v>
      </c>
      <c r="B301" s="16" t="s">
        <v>113</v>
      </c>
      <c r="C301" s="16" t="s">
        <v>191</v>
      </c>
      <c r="D301" s="48">
        <v>1</v>
      </c>
      <c r="E301" s="102" t="s">
        <v>571</v>
      </c>
      <c r="F301" s="16" t="s">
        <v>553</v>
      </c>
      <c r="G301" s="13" t="s">
        <v>288</v>
      </c>
      <c r="H301" s="13" t="s">
        <v>1242</v>
      </c>
      <c r="I301" s="13"/>
    </row>
    <row r="302" spans="1:9" ht="12.75">
      <c r="A302" s="6">
        <v>307</v>
      </c>
      <c r="B302" s="16" t="s">
        <v>67</v>
      </c>
      <c r="C302" s="16" t="s">
        <v>191</v>
      </c>
      <c r="D302" s="48">
        <v>1</v>
      </c>
      <c r="E302" s="102" t="s">
        <v>552</v>
      </c>
      <c r="F302" s="16" t="s">
        <v>553</v>
      </c>
      <c r="G302" s="13" t="s">
        <v>288</v>
      </c>
      <c r="H302" s="13" t="s">
        <v>1242</v>
      </c>
      <c r="I302" s="13"/>
    </row>
    <row r="303" spans="1:9" ht="12.75">
      <c r="A303" s="6">
        <v>308</v>
      </c>
      <c r="B303" s="16" t="s">
        <v>176</v>
      </c>
      <c r="C303" s="16" t="s">
        <v>82</v>
      </c>
      <c r="D303" s="48">
        <v>1</v>
      </c>
      <c r="E303" s="102" t="s">
        <v>1444</v>
      </c>
      <c r="F303" s="16" t="s">
        <v>553</v>
      </c>
      <c r="G303" s="13" t="s">
        <v>831</v>
      </c>
      <c r="H303" s="13"/>
      <c r="I303" s="13" t="s">
        <v>1695</v>
      </c>
    </row>
    <row r="304" spans="1:9" ht="12.75">
      <c r="A304" s="6">
        <v>309</v>
      </c>
      <c r="B304" s="16" t="s">
        <v>196</v>
      </c>
      <c r="C304" s="16" t="s">
        <v>23</v>
      </c>
      <c r="D304" s="48">
        <v>1</v>
      </c>
      <c r="E304" s="102" t="s">
        <v>600</v>
      </c>
      <c r="F304" s="16" t="s">
        <v>553</v>
      </c>
      <c r="G304" s="13" t="s">
        <v>288</v>
      </c>
      <c r="H304" s="13" t="s">
        <v>1242</v>
      </c>
      <c r="I304" s="13"/>
    </row>
    <row r="305" spans="1:6" ht="12.75">
      <c r="A305" s="64"/>
      <c r="B305" s="64"/>
      <c r="C305" s="64"/>
      <c r="D305" s="65"/>
      <c r="E305" s="64"/>
      <c r="F305" s="64"/>
    </row>
    <row r="306" spans="1:6" ht="12.75">
      <c r="A306" s="64"/>
      <c r="B306" s="64"/>
      <c r="C306" s="64"/>
      <c r="D306" s="65"/>
      <c r="E306" s="64"/>
      <c r="F306" s="64"/>
    </row>
    <row r="307" spans="1:6" ht="12.75">
      <c r="A307" s="64"/>
      <c r="B307" s="64"/>
      <c r="C307" s="64"/>
      <c r="D307" s="65"/>
      <c r="E307" s="64"/>
      <c r="F307" s="64"/>
    </row>
    <row r="308" spans="1:6" ht="12.75">
      <c r="A308" s="64"/>
      <c r="B308" s="64"/>
      <c r="C308" s="64"/>
      <c r="D308" s="65"/>
      <c r="E308" s="64"/>
      <c r="F308" s="64"/>
    </row>
    <row r="309" spans="1:6" ht="12.75">
      <c r="A309" s="64"/>
      <c r="B309" s="64"/>
      <c r="C309" s="64"/>
      <c r="D309" s="65"/>
      <c r="E309" s="64"/>
      <c r="F309" s="64"/>
    </row>
    <row r="310" spans="1:6" ht="12.75">
      <c r="A310" s="64"/>
      <c r="B310" s="64"/>
      <c r="C310" s="64"/>
      <c r="D310" s="65"/>
      <c r="E310" s="64"/>
      <c r="F310" s="64"/>
    </row>
    <row r="311" spans="1:6" ht="12.75">
      <c r="A311" s="64"/>
      <c r="B311" s="64"/>
      <c r="C311" s="64"/>
      <c r="D311" s="65"/>
      <c r="E311" s="64"/>
      <c r="F311" s="64"/>
    </row>
    <row r="312" spans="1:6" ht="12.75">
      <c r="A312" s="64"/>
      <c r="B312" s="64"/>
      <c r="C312" s="64"/>
      <c r="D312" s="65"/>
      <c r="E312" s="64"/>
      <c r="F312" s="64"/>
    </row>
    <row r="313" spans="1:6" ht="12.75">
      <c r="A313" s="64"/>
      <c r="B313" s="64"/>
      <c r="C313" s="64"/>
      <c r="D313" s="65"/>
      <c r="E313" s="64"/>
      <c r="F313" s="64"/>
    </row>
    <row r="314" spans="1:6" ht="12.75">
      <c r="A314" s="64"/>
      <c r="B314" s="64"/>
      <c r="C314" s="64"/>
      <c r="D314" s="65"/>
      <c r="E314" s="64"/>
      <c r="F314" s="64"/>
    </row>
    <row r="315" spans="1:6" ht="12.75">
      <c r="A315" s="64"/>
      <c r="B315" s="64"/>
      <c r="C315" s="64"/>
      <c r="D315" s="65"/>
      <c r="E315" s="64"/>
      <c r="F315" s="64"/>
    </row>
    <row r="316" spans="1:6" ht="12.75">
      <c r="A316" s="64"/>
      <c r="B316" s="64"/>
      <c r="C316" s="64"/>
      <c r="D316" s="65"/>
      <c r="E316" s="64"/>
      <c r="F316" s="64"/>
    </row>
    <row r="317" spans="1:6" ht="12.75">
      <c r="A317" s="64"/>
      <c r="B317" s="64"/>
      <c r="C317" s="64"/>
      <c r="D317" s="65"/>
      <c r="E317" s="64"/>
      <c r="F317" s="64"/>
    </row>
    <row r="318" spans="1:6" ht="12.75">
      <c r="A318" s="64"/>
      <c r="B318" s="64"/>
      <c r="C318" s="64"/>
      <c r="D318" s="65"/>
      <c r="E318" s="64"/>
      <c r="F318" s="64"/>
    </row>
    <row r="319" spans="1:6" ht="12.75">
      <c r="A319" s="64"/>
      <c r="B319" s="64"/>
      <c r="C319" s="64"/>
      <c r="D319" s="65"/>
      <c r="E319" s="64"/>
      <c r="F319" s="64"/>
    </row>
    <row r="320" spans="1:6" ht="12.75">
      <c r="A320" s="64"/>
      <c r="B320" s="64"/>
      <c r="C320" s="64"/>
      <c r="D320" s="65"/>
      <c r="E320" s="64"/>
      <c r="F320" s="64"/>
    </row>
    <row r="321" spans="1:6" ht="12.75">
      <c r="A321" s="64"/>
      <c r="B321" s="64"/>
      <c r="C321" s="64"/>
      <c r="D321" s="65"/>
      <c r="E321" s="64"/>
      <c r="F321" s="64"/>
    </row>
    <row r="322" spans="1:6" ht="12.75">
      <c r="A322" s="64"/>
      <c r="B322" s="64"/>
      <c r="C322" s="64"/>
      <c r="D322" s="65"/>
      <c r="E322" s="64"/>
      <c r="F322" s="64"/>
    </row>
    <row r="323" spans="1:6" ht="12.75">
      <c r="A323" s="64"/>
      <c r="B323" s="64"/>
      <c r="C323" s="64"/>
      <c r="D323" s="65"/>
      <c r="E323" s="64"/>
      <c r="F323" s="64"/>
    </row>
    <row r="324" spans="1:6" ht="12.75">
      <c r="A324" s="64"/>
      <c r="B324" s="64"/>
      <c r="C324" s="64"/>
      <c r="D324" s="65"/>
      <c r="E324" s="64"/>
      <c r="F324" s="64"/>
    </row>
    <row r="325" spans="1:6" ht="12.75">
      <c r="A325" s="64"/>
      <c r="B325" s="64"/>
      <c r="C325" s="64"/>
      <c r="D325" s="65"/>
      <c r="E325" s="64"/>
      <c r="F325" s="64"/>
    </row>
    <row r="326" spans="1:6" ht="12.75">
      <c r="A326" s="64"/>
      <c r="B326" s="64"/>
      <c r="C326" s="64"/>
      <c r="D326" s="65"/>
      <c r="E326" s="64"/>
      <c r="F326" s="64"/>
    </row>
    <row r="327" spans="1:6" ht="12.75">
      <c r="A327" s="64"/>
      <c r="B327" s="64"/>
      <c r="C327" s="64"/>
      <c r="D327" s="65"/>
      <c r="E327" s="64"/>
      <c r="F327" s="64"/>
    </row>
    <row r="328" spans="1:6" ht="12.75">
      <c r="A328" s="64"/>
      <c r="B328" s="64"/>
      <c r="C328" s="64"/>
      <c r="D328" s="65"/>
      <c r="E328" s="64"/>
      <c r="F328" s="64"/>
    </row>
    <row r="329" spans="1:6" ht="12.75">
      <c r="A329" s="64"/>
      <c r="B329" s="64"/>
      <c r="C329" s="64"/>
      <c r="D329" s="65"/>
      <c r="E329" s="64"/>
      <c r="F329" s="64"/>
    </row>
    <row r="330" spans="1:6" ht="12.75">
      <c r="A330" s="64"/>
      <c r="B330" s="64"/>
      <c r="C330" s="64"/>
      <c r="D330" s="65"/>
      <c r="E330" s="64"/>
      <c r="F330" s="64"/>
    </row>
    <row r="331" spans="1:6" ht="12.75">
      <c r="A331" s="64"/>
      <c r="B331" s="64"/>
      <c r="C331" s="64"/>
      <c r="D331" s="65"/>
      <c r="E331" s="64"/>
      <c r="F331" s="64"/>
    </row>
    <row r="332" spans="1:6" ht="12.75">
      <c r="A332" s="64"/>
      <c r="B332" s="64"/>
      <c r="C332" s="64"/>
      <c r="D332" s="65"/>
      <c r="E332" s="64"/>
      <c r="F332" s="64"/>
    </row>
    <row r="333" spans="1:6" ht="12.75">
      <c r="A333" s="64"/>
      <c r="B333" s="64"/>
      <c r="C333" s="64"/>
      <c r="D333" s="65"/>
      <c r="E333" s="64"/>
      <c r="F333" s="64"/>
    </row>
    <row r="334" spans="1:6" ht="12.75">
      <c r="A334" s="64"/>
      <c r="B334" s="64"/>
      <c r="C334" s="64"/>
      <c r="D334" s="65"/>
      <c r="E334" s="64"/>
      <c r="F334" s="64"/>
    </row>
    <row r="335" spans="1:6" ht="12.75">
      <c r="A335" s="64"/>
      <c r="B335" s="64"/>
      <c r="C335" s="64"/>
      <c r="D335" s="65"/>
      <c r="E335" s="64"/>
      <c r="F335" s="64"/>
    </row>
    <row r="336" spans="1:6" ht="12.75">
      <c r="A336" s="64"/>
      <c r="B336" s="64"/>
      <c r="C336" s="64"/>
      <c r="D336" s="65"/>
      <c r="E336" s="64"/>
      <c r="F336" s="64"/>
    </row>
    <row r="337" spans="1:6" ht="12.75">
      <c r="A337" s="64"/>
      <c r="B337" s="64"/>
      <c r="C337" s="64"/>
      <c r="D337" s="65"/>
      <c r="E337" s="64"/>
      <c r="F337" s="64"/>
    </row>
    <row r="338" spans="1:6" ht="12.75">
      <c r="A338" s="64"/>
      <c r="B338" s="64"/>
      <c r="C338" s="64"/>
      <c r="D338" s="65"/>
      <c r="E338" s="64"/>
      <c r="F338" s="64"/>
    </row>
    <row r="339" spans="1:6" ht="12.75">
      <c r="A339" s="64"/>
      <c r="B339" s="64"/>
      <c r="C339" s="64"/>
      <c r="D339" s="65"/>
      <c r="E339" s="64"/>
      <c r="F339" s="64"/>
    </row>
    <row r="340" spans="1:6" ht="12.75">
      <c r="A340" s="64"/>
      <c r="B340" s="64"/>
      <c r="C340" s="64"/>
      <c r="D340" s="65"/>
      <c r="E340" s="64"/>
      <c r="F340" s="64"/>
    </row>
    <row r="341" spans="1:6" ht="12.75">
      <c r="A341" s="64"/>
      <c r="B341" s="64"/>
      <c r="C341" s="64"/>
      <c r="D341" s="65"/>
      <c r="E341" s="64"/>
      <c r="F341" s="64"/>
    </row>
    <row r="342" spans="1:6" ht="12.75">
      <c r="A342" s="64"/>
      <c r="B342" s="64"/>
      <c r="C342" s="64"/>
      <c r="D342" s="65"/>
      <c r="E342" s="64"/>
      <c r="F342" s="64"/>
    </row>
    <row r="343" spans="1:6" ht="12.75">
      <c r="A343" s="64"/>
      <c r="B343" s="64"/>
      <c r="C343" s="64"/>
      <c r="D343" s="65"/>
      <c r="E343" s="64"/>
      <c r="F343" s="64"/>
    </row>
    <row r="344" spans="1:6" ht="12.75">
      <c r="A344" s="64"/>
      <c r="B344" s="64"/>
      <c r="C344" s="64"/>
      <c r="D344" s="65"/>
      <c r="E344" s="64"/>
      <c r="F344" s="64"/>
    </row>
    <row r="345" spans="1:6" ht="12.75">
      <c r="A345" s="64"/>
      <c r="B345" s="64"/>
      <c r="C345" s="64"/>
      <c r="D345" s="65"/>
      <c r="E345" s="64"/>
      <c r="F345" s="64"/>
    </row>
    <row r="346" spans="1:6" ht="12.75">
      <c r="A346" s="64"/>
      <c r="B346" s="64"/>
      <c r="C346" s="64"/>
      <c r="D346" s="65"/>
      <c r="E346" s="64"/>
      <c r="F346" s="64"/>
    </row>
    <row r="347" spans="1:6" ht="12.75">
      <c r="A347" s="64"/>
      <c r="B347" s="64"/>
      <c r="C347" s="64"/>
      <c r="D347" s="65"/>
      <c r="E347" s="64"/>
      <c r="F347" s="64"/>
    </row>
    <row r="348" spans="1:6" ht="12.75">
      <c r="A348" s="64"/>
      <c r="B348" s="64"/>
      <c r="C348" s="64"/>
      <c r="D348" s="65"/>
      <c r="E348" s="64"/>
      <c r="F348" s="64"/>
    </row>
    <row r="349" spans="1:6" ht="12.75">
      <c r="A349" s="64"/>
      <c r="B349" s="64"/>
      <c r="C349" s="64"/>
      <c r="D349" s="65"/>
      <c r="E349" s="64"/>
      <c r="F349" s="64"/>
    </row>
    <row r="350" spans="1:6" ht="12.75">
      <c r="A350" s="64"/>
      <c r="B350" s="64"/>
      <c r="C350" s="64"/>
      <c r="D350" s="65"/>
      <c r="E350" s="64"/>
      <c r="F350" s="64"/>
    </row>
    <row r="351" spans="1:6" ht="12.75">
      <c r="A351" s="64"/>
      <c r="B351" s="64"/>
      <c r="C351" s="64"/>
      <c r="D351" s="65"/>
      <c r="E351" s="64"/>
      <c r="F351" s="64"/>
    </row>
    <row r="352" spans="1:6" ht="12.75">
      <c r="A352" s="64"/>
      <c r="B352" s="64"/>
      <c r="C352" s="64"/>
      <c r="D352" s="65"/>
      <c r="E352" s="64"/>
      <c r="F352" s="64"/>
    </row>
    <row r="353" spans="1:6" ht="12.75">
      <c r="A353" s="64"/>
      <c r="B353" s="64"/>
      <c r="C353" s="64"/>
      <c r="D353" s="65"/>
      <c r="E353" s="64"/>
      <c r="F353" s="64"/>
    </row>
    <row r="354" spans="1:6" ht="12.75">
      <c r="A354" s="64"/>
      <c r="B354" s="64"/>
      <c r="C354" s="64"/>
      <c r="D354" s="65"/>
      <c r="E354" s="64"/>
      <c r="F354" s="64"/>
    </row>
    <row r="355" spans="1:6" ht="12.75">
      <c r="A355" s="64"/>
      <c r="B355" s="64"/>
      <c r="C355" s="64"/>
      <c r="D355" s="65"/>
      <c r="E355" s="64"/>
      <c r="F355" s="64"/>
    </row>
    <row r="356" spans="1:6" ht="12.75">
      <c r="A356" s="64"/>
      <c r="B356" s="64"/>
      <c r="C356" s="64"/>
      <c r="D356" s="65"/>
      <c r="E356" s="64"/>
      <c r="F356" s="64"/>
    </row>
    <row r="357" spans="1:6" ht="12.75">
      <c r="A357" s="64"/>
      <c r="B357" s="64"/>
      <c r="C357" s="64"/>
      <c r="D357" s="65"/>
      <c r="E357" s="64"/>
      <c r="F357" s="64"/>
    </row>
    <row r="358" spans="1:6" ht="12.75">
      <c r="A358" s="64"/>
      <c r="B358" s="64"/>
      <c r="C358" s="64"/>
      <c r="D358" s="65"/>
      <c r="E358" s="64"/>
      <c r="F358" s="64"/>
    </row>
    <row r="359" spans="1:6" ht="12.75">
      <c r="A359" s="64"/>
      <c r="B359" s="64"/>
      <c r="C359" s="64"/>
      <c r="D359" s="65"/>
      <c r="E359" s="64"/>
      <c r="F359" s="64"/>
    </row>
    <row r="360" spans="1:6" ht="12.75">
      <c r="A360" s="64"/>
      <c r="B360" s="64"/>
      <c r="C360" s="64"/>
      <c r="D360" s="65"/>
      <c r="E360" s="64"/>
      <c r="F360" s="64"/>
    </row>
    <row r="361" spans="1:6" ht="12.75">
      <c r="A361" s="64"/>
      <c r="B361" s="64"/>
      <c r="C361" s="64"/>
      <c r="D361" s="65"/>
      <c r="E361" s="64"/>
      <c r="F361" s="64"/>
    </row>
    <row r="362" spans="1:6" ht="12.75">
      <c r="A362" s="64"/>
      <c r="B362" s="64"/>
      <c r="C362" s="64"/>
      <c r="D362" s="65"/>
      <c r="E362" s="64"/>
      <c r="F362" s="64"/>
    </row>
    <row r="363" spans="1:6" ht="12.75">
      <c r="A363" s="64"/>
      <c r="B363" s="64"/>
      <c r="C363" s="64"/>
      <c r="D363" s="65"/>
      <c r="E363" s="64"/>
      <c r="F363" s="64"/>
    </row>
    <row r="364" spans="1:6" ht="12.75">
      <c r="A364" s="64"/>
      <c r="B364" s="64"/>
      <c r="C364" s="64"/>
      <c r="D364" s="65"/>
      <c r="E364" s="64"/>
      <c r="F364" s="64"/>
    </row>
    <row r="365" spans="1:6" ht="12.75">
      <c r="A365" s="64"/>
      <c r="B365" s="64"/>
      <c r="C365" s="64"/>
      <c r="D365" s="65"/>
      <c r="E365" s="64"/>
      <c r="F365" s="64"/>
    </row>
    <row r="366" spans="1:6" ht="12.75">
      <c r="A366" s="64"/>
      <c r="B366" s="64"/>
      <c r="C366" s="64"/>
      <c r="D366" s="65"/>
      <c r="E366" s="64"/>
      <c r="F366" s="64"/>
    </row>
    <row r="367" spans="1:6" ht="12.75">
      <c r="A367" s="64"/>
      <c r="B367" s="64"/>
      <c r="C367" s="64"/>
      <c r="D367" s="65"/>
      <c r="E367" s="64"/>
      <c r="F367" s="64"/>
    </row>
    <row r="368" spans="1:6" ht="12.75">
      <c r="A368" s="64"/>
      <c r="B368" s="64"/>
      <c r="C368" s="64"/>
      <c r="D368" s="65"/>
      <c r="E368" s="64"/>
      <c r="F368" s="64"/>
    </row>
    <row r="369" spans="1:6" ht="12.75">
      <c r="A369" s="64"/>
      <c r="B369" s="64"/>
      <c r="C369" s="64"/>
      <c r="D369" s="65"/>
      <c r="E369" s="64"/>
      <c r="F369" s="64"/>
    </row>
    <row r="370" spans="1:6" ht="12.75">
      <c r="A370" s="64"/>
      <c r="B370" s="64"/>
      <c r="C370" s="64"/>
      <c r="D370" s="65"/>
      <c r="E370" s="64"/>
      <c r="F370" s="64"/>
    </row>
    <row r="371" spans="1:6" ht="12.75">
      <c r="A371" s="64"/>
      <c r="B371" s="64"/>
      <c r="C371" s="64"/>
      <c r="D371" s="65"/>
      <c r="E371" s="64"/>
      <c r="F371" s="64"/>
    </row>
    <row r="372" spans="1:6" ht="12.75">
      <c r="A372" s="64"/>
      <c r="B372" s="64"/>
      <c r="C372" s="64"/>
      <c r="D372" s="65"/>
      <c r="E372" s="64"/>
      <c r="F372" s="64"/>
    </row>
    <row r="373" spans="1:6" ht="12.75">
      <c r="A373" s="64"/>
      <c r="B373" s="64"/>
      <c r="C373" s="64"/>
      <c r="D373" s="65"/>
      <c r="E373" s="64"/>
      <c r="F373" s="64"/>
    </row>
    <row r="374" spans="1:6" ht="12.75">
      <c r="A374" s="64"/>
      <c r="B374" s="64"/>
      <c r="C374" s="64"/>
      <c r="D374" s="65"/>
      <c r="E374" s="64"/>
      <c r="F374" s="64"/>
    </row>
    <row r="375" spans="1:6" ht="12.75">
      <c r="A375" s="64"/>
      <c r="B375" s="64"/>
      <c r="C375" s="64"/>
      <c r="D375" s="65"/>
      <c r="E375" s="64"/>
      <c r="F375" s="64"/>
    </row>
    <row r="376" spans="1:6" ht="12.75">
      <c r="A376" s="64"/>
      <c r="B376" s="64"/>
      <c r="C376" s="64"/>
      <c r="D376" s="65"/>
      <c r="E376" s="64"/>
      <c r="F376" s="64"/>
    </row>
    <row r="377" spans="1:6" ht="12.75">
      <c r="A377" s="64"/>
      <c r="B377" s="64"/>
      <c r="C377" s="64"/>
      <c r="D377" s="65"/>
      <c r="E377" s="64"/>
      <c r="F377" s="64"/>
    </row>
    <row r="378" spans="1:6" ht="12.75">
      <c r="A378" s="64"/>
      <c r="B378" s="64"/>
      <c r="C378" s="64"/>
      <c r="D378" s="65"/>
      <c r="E378" s="64"/>
      <c r="F378" s="64"/>
    </row>
    <row r="379" spans="1:6" ht="12.75">
      <c r="A379" s="64"/>
      <c r="B379" s="64"/>
      <c r="C379" s="64"/>
      <c r="D379" s="65"/>
      <c r="E379" s="64"/>
      <c r="F379" s="64"/>
    </row>
    <row r="380" spans="1:6" ht="12.75">
      <c r="A380" s="64"/>
      <c r="B380" s="64"/>
      <c r="C380" s="64"/>
      <c r="D380" s="65"/>
      <c r="E380" s="64"/>
      <c r="F380" s="64"/>
    </row>
    <row r="381" spans="1:6" ht="12.75">
      <c r="A381" s="64"/>
      <c r="B381" s="64"/>
      <c r="C381" s="64"/>
      <c r="D381" s="65"/>
      <c r="E381" s="64"/>
      <c r="F381" s="64"/>
    </row>
    <row r="382" spans="1:6" ht="12.75">
      <c r="A382" s="64"/>
      <c r="B382" s="64"/>
      <c r="C382" s="64"/>
      <c r="D382" s="65"/>
      <c r="E382" s="64"/>
      <c r="F382" s="64"/>
    </row>
    <row r="383" spans="1:6" ht="12.75">
      <c r="A383" s="64"/>
      <c r="B383" s="64"/>
      <c r="C383" s="64"/>
      <c r="D383" s="65"/>
      <c r="E383" s="64"/>
      <c r="F383" s="64"/>
    </row>
    <row r="384" spans="1:6" ht="12.75">
      <c r="A384" s="64"/>
      <c r="B384" s="64"/>
      <c r="C384" s="64"/>
      <c r="D384" s="65"/>
      <c r="E384" s="64"/>
      <c r="F384" s="64"/>
    </row>
    <row r="385" spans="1:6" ht="12.75">
      <c r="A385" s="64"/>
      <c r="B385" s="64"/>
      <c r="C385" s="64"/>
      <c r="D385" s="65"/>
      <c r="E385" s="64"/>
      <c r="F385" s="64"/>
    </row>
    <row r="386" spans="1:6" ht="12.75">
      <c r="A386" s="64"/>
      <c r="B386" s="64"/>
      <c r="C386" s="64"/>
      <c r="D386" s="65"/>
      <c r="E386" s="64"/>
      <c r="F386" s="64"/>
    </row>
    <row r="387" spans="1:6" ht="12.75">
      <c r="A387" s="64"/>
      <c r="B387" s="64"/>
      <c r="C387" s="64"/>
      <c r="D387" s="65"/>
      <c r="E387" s="64"/>
      <c r="F387" s="64"/>
    </row>
    <row r="388" spans="1:6" ht="12.75">
      <c r="A388" s="64"/>
      <c r="B388" s="64"/>
      <c r="C388" s="64"/>
      <c r="D388" s="65"/>
      <c r="E388" s="64"/>
      <c r="F388" s="64"/>
    </row>
    <row r="389" spans="1:6" ht="12.75">
      <c r="A389" s="64"/>
      <c r="B389" s="64"/>
      <c r="C389" s="64"/>
      <c r="D389" s="65"/>
      <c r="E389" s="64"/>
      <c r="F389" s="64"/>
    </row>
    <row r="390" spans="1:6" ht="12.75">
      <c r="A390" s="64"/>
      <c r="B390" s="64"/>
      <c r="C390" s="64"/>
      <c r="D390" s="65"/>
      <c r="E390" s="64"/>
      <c r="F390" s="64"/>
    </row>
    <row r="391" spans="1:6" ht="12.75">
      <c r="A391" s="64"/>
      <c r="B391" s="64"/>
      <c r="C391" s="64"/>
      <c r="D391" s="65"/>
      <c r="E391" s="64"/>
      <c r="F391" s="64"/>
    </row>
    <row r="392" spans="1:6" ht="12.75">
      <c r="A392" s="64"/>
      <c r="B392" s="64"/>
      <c r="C392" s="64"/>
      <c r="D392" s="65"/>
      <c r="E392" s="64"/>
      <c r="F392" s="64"/>
    </row>
    <row r="393" spans="1:6" ht="12.75">
      <c r="A393" s="64"/>
      <c r="B393" s="64"/>
      <c r="C393" s="64"/>
      <c r="D393" s="65"/>
      <c r="E393" s="64"/>
      <c r="F393" s="64"/>
    </row>
    <row r="394" spans="1:6" ht="12.75">
      <c r="A394" s="64"/>
      <c r="B394" s="64"/>
      <c r="C394" s="64"/>
      <c r="D394" s="65"/>
      <c r="E394" s="64"/>
      <c r="F394" s="64"/>
    </row>
    <row r="395" spans="1:6" ht="12.75">
      <c r="A395" s="64"/>
      <c r="B395" s="64"/>
      <c r="C395" s="64"/>
      <c r="D395" s="65"/>
      <c r="E395" s="64"/>
      <c r="F395" s="64"/>
    </row>
    <row r="396" spans="1:6" ht="12.75">
      <c r="A396" s="64"/>
      <c r="B396" s="64"/>
      <c r="C396" s="64"/>
      <c r="D396" s="65"/>
      <c r="E396" s="64"/>
      <c r="F396" s="64"/>
    </row>
    <row r="397" spans="1:6" ht="12.75">
      <c r="A397" s="64"/>
      <c r="B397" s="64"/>
      <c r="C397" s="64"/>
      <c r="D397" s="65"/>
      <c r="E397" s="64"/>
      <c r="F397" s="64"/>
    </row>
    <row r="398" spans="1:6" ht="12.75">
      <c r="A398" s="64"/>
      <c r="B398" s="64"/>
      <c r="C398" s="64"/>
      <c r="D398" s="65"/>
      <c r="E398" s="64"/>
      <c r="F398" s="64"/>
    </row>
    <row r="399" spans="1:6" ht="12.75">
      <c r="A399" s="64"/>
      <c r="B399" s="64"/>
      <c r="C399" s="64"/>
      <c r="D399" s="65"/>
      <c r="E399" s="64"/>
      <c r="F399" s="64"/>
    </row>
    <row r="400" spans="1:6" ht="12.75">
      <c r="A400" s="64"/>
      <c r="B400" s="64"/>
      <c r="C400" s="64"/>
      <c r="D400" s="65"/>
      <c r="E400" s="64"/>
      <c r="F400" s="64"/>
    </row>
    <row r="401" spans="1:6" ht="12.75">
      <c r="A401" s="64"/>
      <c r="B401" s="64"/>
      <c r="C401" s="64"/>
      <c r="D401" s="65"/>
      <c r="E401" s="64"/>
      <c r="F401" s="64"/>
    </row>
    <row r="402" spans="1:6" ht="12.75">
      <c r="A402" s="64"/>
      <c r="B402" s="64"/>
      <c r="C402" s="64"/>
      <c r="D402" s="65"/>
      <c r="E402" s="64"/>
      <c r="F402" s="64"/>
    </row>
    <row r="403" spans="1:6" ht="12.75">
      <c r="A403" s="64"/>
      <c r="B403" s="64"/>
      <c r="C403" s="64"/>
      <c r="D403" s="65"/>
      <c r="E403" s="64"/>
      <c r="F403" s="64"/>
    </row>
    <row r="404" spans="1:6" ht="12.75">
      <c r="A404" s="64"/>
      <c r="B404" s="64"/>
      <c r="C404" s="64"/>
      <c r="D404" s="65"/>
      <c r="E404" s="64"/>
      <c r="F404" s="64"/>
    </row>
    <row r="405" spans="1:6" ht="12.75">
      <c r="A405" s="64"/>
      <c r="B405" s="64"/>
      <c r="C405" s="64"/>
      <c r="D405" s="65"/>
      <c r="E405" s="64"/>
      <c r="F405" s="64"/>
    </row>
    <row r="406" spans="1:6" ht="12.75">
      <c r="A406" s="64"/>
      <c r="B406" s="64"/>
      <c r="C406" s="64"/>
      <c r="D406" s="65"/>
      <c r="E406" s="64"/>
      <c r="F406" s="64"/>
    </row>
    <row r="407" spans="1:6" ht="12.75">
      <c r="A407" s="64"/>
      <c r="B407" s="64"/>
      <c r="C407" s="64"/>
      <c r="D407" s="65"/>
      <c r="E407" s="64"/>
      <c r="F407" s="64"/>
    </row>
    <row r="408" spans="1:6" ht="12.75">
      <c r="A408" s="64"/>
      <c r="B408" s="64"/>
      <c r="C408" s="64"/>
      <c r="D408" s="65"/>
      <c r="E408" s="64"/>
      <c r="F408" s="64"/>
    </row>
    <row r="409" spans="1:6" ht="12.75">
      <c r="A409" s="64"/>
      <c r="B409" s="64"/>
      <c r="C409" s="64"/>
      <c r="D409" s="65"/>
      <c r="E409" s="64"/>
      <c r="F409" s="64"/>
    </row>
    <row r="410" spans="1:6" ht="12.75">
      <c r="A410" s="64"/>
      <c r="B410" s="64"/>
      <c r="C410" s="64"/>
      <c r="D410" s="65"/>
      <c r="E410" s="64"/>
      <c r="F410" s="64"/>
    </row>
    <row r="411" spans="1:6" ht="12.75">
      <c r="A411" s="64"/>
      <c r="B411" s="64"/>
      <c r="C411" s="64"/>
      <c r="D411" s="65"/>
      <c r="E411" s="64"/>
      <c r="F411" s="64"/>
    </row>
    <row r="412" spans="1:6" ht="12.75">
      <c r="A412" s="64"/>
      <c r="B412" s="64"/>
      <c r="C412" s="64"/>
      <c r="D412" s="65"/>
      <c r="E412" s="64"/>
      <c r="F412" s="64"/>
    </row>
    <row r="413" spans="1:6" ht="12.75">
      <c r="A413" s="64"/>
      <c r="B413" s="64"/>
      <c r="C413" s="64"/>
      <c r="D413" s="65"/>
      <c r="E413" s="64"/>
      <c r="F413" s="64"/>
    </row>
    <row r="414" spans="1:6" ht="12.75">
      <c r="A414" s="64"/>
      <c r="B414" s="64"/>
      <c r="C414" s="64"/>
      <c r="D414" s="65"/>
      <c r="E414" s="64"/>
      <c r="F414" s="64"/>
    </row>
    <row r="415" spans="1:6" ht="12.75">
      <c r="A415" s="64"/>
      <c r="B415" s="64"/>
      <c r="C415" s="64"/>
      <c r="D415" s="65"/>
      <c r="E415" s="64"/>
      <c r="F415" s="64"/>
    </row>
    <row r="416" spans="1:6" ht="12.75">
      <c r="A416" s="64"/>
      <c r="B416" s="64"/>
      <c r="C416" s="64"/>
      <c r="D416" s="65"/>
      <c r="E416" s="64"/>
      <c r="F416" s="64"/>
    </row>
    <row r="417" spans="1:6" ht="12.75">
      <c r="A417" s="64"/>
      <c r="B417" s="64"/>
      <c r="C417" s="64"/>
      <c r="D417" s="65"/>
      <c r="E417" s="64"/>
      <c r="F417" s="64"/>
    </row>
    <row r="418" spans="1:6" ht="12.75">
      <c r="A418" s="64"/>
      <c r="B418" s="64"/>
      <c r="C418" s="64"/>
      <c r="D418" s="65"/>
      <c r="E418" s="64"/>
      <c r="F418" s="64"/>
    </row>
    <row r="419" spans="1:6" ht="12.75">
      <c r="A419" s="64"/>
      <c r="B419" s="64"/>
      <c r="C419" s="64"/>
      <c r="D419" s="65"/>
      <c r="E419" s="64"/>
      <c r="F419" s="64"/>
    </row>
    <row r="420" spans="1:6" ht="12.75">
      <c r="A420" s="64"/>
      <c r="B420" s="64"/>
      <c r="C420" s="64"/>
      <c r="D420" s="65"/>
      <c r="E420" s="64"/>
      <c r="F420" s="64"/>
    </row>
    <row r="421" spans="1:6" ht="12.75">
      <c r="A421" s="64"/>
      <c r="B421" s="64"/>
      <c r="C421" s="64"/>
      <c r="D421" s="65"/>
      <c r="E421" s="64"/>
      <c r="F421" s="64"/>
    </row>
    <row r="422" spans="1:6" ht="12.75">
      <c r="A422" s="64"/>
      <c r="B422" s="64"/>
      <c r="C422" s="64"/>
      <c r="D422" s="65"/>
      <c r="E422" s="64"/>
      <c r="F422" s="64"/>
    </row>
    <row r="423" spans="1:6" ht="12.75">
      <c r="A423" s="64"/>
      <c r="B423" s="64"/>
      <c r="C423" s="64"/>
      <c r="D423" s="65"/>
      <c r="E423" s="64"/>
      <c r="F423" s="64"/>
    </row>
    <row r="424" spans="1:6" ht="12.75">
      <c r="A424" s="64"/>
      <c r="B424" s="64"/>
      <c r="C424" s="64"/>
      <c r="D424" s="65"/>
      <c r="E424" s="64"/>
      <c r="F424" s="64"/>
    </row>
    <row r="425" spans="1:6" ht="12.75">
      <c r="A425" s="64"/>
      <c r="B425" s="64"/>
      <c r="C425" s="64"/>
      <c r="D425" s="65"/>
      <c r="E425" s="64"/>
      <c r="F425" s="64"/>
    </row>
    <row r="426" spans="1:6" ht="12.75">
      <c r="A426" s="64"/>
      <c r="B426" s="64"/>
      <c r="C426" s="64"/>
      <c r="D426" s="65"/>
      <c r="E426" s="64"/>
      <c r="F426" s="64"/>
    </row>
    <row r="427" spans="1:6" ht="12.75">
      <c r="A427" s="64"/>
      <c r="B427" s="64"/>
      <c r="C427" s="64"/>
      <c r="D427" s="65"/>
      <c r="E427" s="64"/>
      <c r="F427" s="64"/>
    </row>
    <row r="428" spans="1:6" ht="12.75">
      <c r="A428" s="64"/>
      <c r="B428" s="64"/>
      <c r="C428" s="64"/>
      <c r="D428" s="65"/>
      <c r="E428" s="64"/>
      <c r="F428" s="64"/>
    </row>
    <row r="429" spans="1:6" ht="12.75">
      <c r="A429" s="64"/>
      <c r="B429" s="64"/>
      <c r="C429" s="64"/>
      <c r="D429" s="65"/>
      <c r="E429" s="64"/>
      <c r="F429" s="64"/>
    </row>
    <row r="430" spans="1:6" ht="12.75">
      <c r="A430" s="64"/>
      <c r="B430" s="64"/>
      <c r="C430" s="64"/>
      <c r="D430" s="65"/>
      <c r="E430" s="64"/>
      <c r="F430" s="64"/>
    </row>
    <row r="431" spans="1:6" ht="12.75">
      <c r="A431" s="64"/>
      <c r="B431" s="64"/>
      <c r="C431" s="64"/>
      <c r="D431" s="65"/>
      <c r="E431" s="64"/>
      <c r="F431" s="64"/>
    </row>
    <row r="432" spans="1:6" ht="12.75">
      <c r="A432" s="64"/>
      <c r="B432" s="64"/>
      <c r="C432" s="64"/>
      <c r="D432" s="65"/>
      <c r="E432" s="64"/>
      <c r="F432" s="64"/>
    </row>
    <row r="433" spans="1:6" ht="12.75">
      <c r="A433" s="64"/>
      <c r="B433" s="64"/>
      <c r="C433" s="64"/>
      <c r="D433" s="65"/>
      <c r="E433" s="64"/>
      <c r="F433" s="64"/>
    </row>
    <row r="434" spans="1:6" ht="12.75">
      <c r="A434" s="64"/>
      <c r="B434" s="64"/>
      <c r="C434" s="64"/>
      <c r="D434" s="65"/>
      <c r="E434" s="64"/>
      <c r="F434" s="64"/>
    </row>
    <row r="435" spans="1:6" ht="12.75">
      <c r="A435" s="64"/>
      <c r="B435" s="64"/>
      <c r="C435" s="64"/>
      <c r="D435" s="65"/>
      <c r="E435" s="64"/>
      <c r="F435" s="64"/>
    </row>
    <row r="436" spans="1:6" ht="12.75">
      <c r="A436" s="64"/>
      <c r="B436" s="64"/>
      <c r="C436" s="64"/>
      <c r="D436" s="65"/>
      <c r="E436" s="64"/>
      <c r="F436" s="64"/>
    </row>
    <row r="437" spans="1:6" ht="12.75">
      <c r="A437" s="64"/>
      <c r="B437" s="64"/>
      <c r="C437" s="64"/>
      <c r="D437" s="65"/>
      <c r="E437" s="64"/>
      <c r="F437" s="64"/>
    </row>
    <row r="438" spans="1:6" ht="12.75">
      <c r="A438" s="64"/>
      <c r="B438" s="64"/>
      <c r="C438" s="64"/>
      <c r="D438" s="65"/>
      <c r="E438" s="64"/>
      <c r="F438" s="64"/>
    </row>
    <row r="439" spans="1:6" ht="12.75">
      <c r="A439" s="64"/>
      <c r="B439" s="64"/>
      <c r="C439" s="64"/>
      <c r="D439" s="65"/>
      <c r="E439" s="64"/>
      <c r="F439" s="64"/>
    </row>
    <row r="440" spans="1:6" ht="12.75">
      <c r="A440" s="64"/>
      <c r="B440" s="64"/>
      <c r="C440" s="64"/>
      <c r="D440" s="65"/>
      <c r="E440" s="64"/>
      <c r="F440" s="64"/>
    </row>
    <row r="441" spans="1:6" ht="12.75">
      <c r="A441" s="64"/>
      <c r="B441" s="64"/>
      <c r="C441" s="64"/>
      <c r="D441" s="65"/>
      <c r="E441" s="64"/>
      <c r="F441" s="64"/>
    </row>
    <row r="442" spans="1:6" ht="12.75">
      <c r="A442" s="64"/>
      <c r="B442" s="64"/>
      <c r="C442" s="64"/>
      <c r="D442" s="65"/>
      <c r="E442" s="64"/>
      <c r="F442" s="64"/>
    </row>
    <row r="443" spans="1:6" ht="12.75">
      <c r="A443" s="64"/>
      <c r="B443" s="64"/>
      <c r="C443" s="64"/>
      <c r="D443" s="65"/>
      <c r="E443" s="64"/>
      <c r="F443" s="64"/>
    </row>
    <row r="444" spans="1:6" ht="12.75">
      <c r="A444" s="64"/>
      <c r="B444" s="64"/>
      <c r="C444" s="64"/>
      <c r="D444" s="65"/>
      <c r="E444" s="64"/>
      <c r="F444" s="64"/>
    </row>
    <row r="445" spans="1:6" ht="12.75">
      <c r="A445" s="64"/>
      <c r="B445" s="64"/>
      <c r="C445" s="64"/>
      <c r="D445" s="65"/>
      <c r="E445" s="64"/>
      <c r="F445" s="64"/>
    </row>
    <row r="446" spans="1:6" ht="12.75">
      <c r="A446" s="64"/>
      <c r="B446" s="64"/>
      <c r="C446" s="64"/>
      <c r="D446" s="65"/>
      <c r="E446" s="64"/>
      <c r="F446" s="64"/>
    </row>
    <row r="447" spans="1:6" ht="12.75">
      <c r="A447" s="64"/>
      <c r="B447" s="64"/>
      <c r="C447" s="64"/>
      <c r="D447" s="65"/>
      <c r="E447" s="64"/>
      <c r="F447" s="64"/>
    </row>
    <row r="448" spans="1:6" ht="12.75">
      <c r="A448" s="64"/>
      <c r="B448" s="64"/>
      <c r="C448" s="64"/>
      <c r="D448" s="65"/>
      <c r="E448" s="64"/>
      <c r="F448" s="64"/>
    </row>
    <row r="449" spans="1:6" ht="12.75">
      <c r="A449" s="64"/>
      <c r="B449" s="64"/>
      <c r="C449" s="64"/>
      <c r="D449" s="65"/>
      <c r="E449" s="64"/>
      <c r="F449" s="64"/>
    </row>
    <row r="450" spans="1:6" ht="12.75">
      <c r="A450" s="64"/>
      <c r="B450" s="64"/>
      <c r="C450" s="64"/>
      <c r="D450" s="65"/>
      <c r="E450" s="64"/>
      <c r="F450" s="64"/>
    </row>
    <row r="451" spans="1:6" ht="12.75">
      <c r="A451" s="64"/>
      <c r="B451" s="64"/>
      <c r="C451" s="64"/>
      <c r="D451" s="65"/>
      <c r="E451" s="64"/>
      <c r="F451" s="64"/>
    </row>
    <row r="452" spans="1:6" ht="12.75">
      <c r="A452" s="64"/>
      <c r="B452" s="64"/>
      <c r="C452" s="64"/>
      <c r="D452" s="65"/>
      <c r="E452" s="64"/>
      <c r="F452" s="64"/>
    </row>
    <row r="453" spans="1:6" ht="12.75">
      <c r="A453" s="64"/>
      <c r="B453" s="64"/>
      <c r="C453" s="64"/>
      <c r="D453" s="65"/>
      <c r="E453" s="64"/>
      <c r="F453" s="64"/>
    </row>
    <row r="454" spans="1:6" ht="12.75">
      <c r="A454" s="64"/>
      <c r="B454" s="64"/>
      <c r="C454" s="64"/>
      <c r="D454" s="65"/>
      <c r="E454" s="64"/>
      <c r="F454" s="64"/>
    </row>
    <row r="455" spans="1:6" ht="12.75">
      <c r="A455" s="64"/>
      <c r="B455" s="64"/>
      <c r="C455" s="64"/>
      <c r="D455" s="65"/>
      <c r="E455" s="64"/>
      <c r="F455" s="64"/>
    </row>
    <row r="456" spans="1:6" ht="12.75">
      <c r="A456" s="64"/>
      <c r="B456" s="64"/>
      <c r="C456" s="64"/>
      <c r="D456" s="65"/>
      <c r="E456" s="64"/>
      <c r="F456" s="64"/>
    </row>
    <row r="457" spans="1:6" ht="12.75">
      <c r="A457" s="64"/>
      <c r="B457" s="64"/>
      <c r="C457" s="64"/>
      <c r="D457" s="65"/>
      <c r="E457" s="64"/>
      <c r="F457" s="64"/>
    </row>
    <row r="458" spans="1:6" ht="12.75">
      <c r="A458" s="64"/>
      <c r="B458" s="64"/>
      <c r="C458" s="64"/>
      <c r="D458" s="65"/>
      <c r="E458" s="64"/>
      <c r="F458" s="64"/>
    </row>
    <row r="459" spans="1:6" ht="12.75">
      <c r="A459" s="64"/>
      <c r="B459" s="64"/>
      <c r="C459" s="64"/>
      <c r="D459" s="65"/>
      <c r="E459" s="64"/>
      <c r="F459" s="64"/>
    </row>
    <row r="460" spans="1:6" ht="12.75">
      <c r="A460" s="64"/>
      <c r="B460" s="64"/>
      <c r="C460" s="64"/>
      <c r="D460" s="65"/>
      <c r="E460" s="64"/>
      <c r="F460" s="64"/>
    </row>
    <row r="461" spans="1:6" ht="12.75">
      <c r="A461" s="64"/>
      <c r="B461" s="64"/>
      <c r="C461" s="64"/>
      <c r="D461" s="65"/>
      <c r="E461" s="64"/>
      <c r="F461" s="64"/>
    </row>
    <row r="462" spans="1:6" ht="12.75">
      <c r="A462" s="64"/>
      <c r="B462" s="64"/>
      <c r="C462" s="64"/>
      <c r="D462" s="65"/>
      <c r="E462" s="64"/>
      <c r="F462" s="64"/>
    </row>
    <row r="463" spans="1:6" ht="12.75">
      <c r="A463" s="64"/>
      <c r="B463" s="64"/>
      <c r="C463" s="64"/>
      <c r="D463" s="65"/>
      <c r="E463" s="64"/>
      <c r="F463" s="64"/>
    </row>
    <row r="464" spans="1:6" ht="12.75">
      <c r="A464" s="64"/>
      <c r="B464" s="64"/>
      <c r="C464" s="64"/>
      <c r="D464" s="65"/>
      <c r="E464" s="64"/>
      <c r="F464" s="64"/>
    </row>
    <row r="465" spans="1:6" ht="12.75">
      <c r="A465" s="64"/>
      <c r="B465" s="64"/>
      <c r="C465" s="64"/>
      <c r="D465" s="65"/>
      <c r="E465" s="64"/>
      <c r="F465" s="64"/>
    </row>
    <row r="466" spans="1:6" ht="12.75">
      <c r="A466" s="64"/>
      <c r="B466" s="64"/>
      <c r="C466" s="64"/>
      <c r="D466" s="65"/>
      <c r="E466" s="64"/>
      <c r="F466" s="64"/>
    </row>
    <row r="467" spans="1:6" ht="12.75">
      <c r="A467" s="64"/>
      <c r="B467" s="64"/>
      <c r="C467" s="64"/>
      <c r="D467" s="65"/>
      <c r="E467" s="64"/>
      <c r="F467" s="64"/>
    </row>
    <row r="468" spans="1:6" ht="12.75">
      <c r="A468" s="64"/>
      <c r="B468" s="64"/>
      <c r="C468" s="64"/>
      <c r="D468" s="65"/>
      <c r="E468" s="64"/>
      <c r="F468" s="64"/>
    </row>
    <row r="469" spans="1:6" ht="12.75">
      <c r="A469" s="64"/>
      <c r="B469" s="64"/>
      <c r="C469" s="64"/>
      <c r="D469" s="65"/>
      <c r="E469" s="64"/>
      <c r="F469" s="64"/>
    </row>
    <row r="470" spans="1:6" ht="12.75">
      <c r="A470" s="64"/>
      <c r="B470" s="64"/>
      <c r="C470" s="64"/>
      <c r="D470" s="65"/>
      <c r="E470" s="64"/>
      <c r="F470" s="64"/>
    </row>
    <row r="471" spans="1:6" ht="12.75">
      <c r="A471" s="64"/>
      <c r="B471" s="64"/>
      <c r="C471" s="64"/>
      <c r="D471" s="65"/>
      <c r="E471" s="64"/>
      <c r="F471" s="64"/>
    </row>
    <row r="472" spans="1:6" ht="12.75">
      <c r="A472" s="64"/>
      <c r="B472" s="64"/>
      <c r="C472" s="64"/>
      <c r="D472" s="65"/>
      <c r="E472" s="64"/>
      <c r="F472" s="64"/>
    </row>
    <row r="473" spans="1:6" ht="12.75">
      <c r="A473" s="64"/>
      <c r="B473" s="64"/>
      <c r="C473" s="64"/>
      <c r="D473" s="65"/>
      <c r="E473" s="64"/>
      <c r="F473" s="64"/>
    </row>
    <row r="474" spans="1:6" ht="12.75">
      <c r="A474" s="64"/>
      <c r="B474" s="64"/>
      <c r="C474" s="64"/>
      <c r="D474" s="65"/>
      <c r="E474" s="64"/>
      <c r="F474" s="64"/>
    </row>
    <row r="475" spans="1:6" ht="12.75">
      <c r="A475" s="64"/>
      <c r="B475" s="64"/>
      <c r="C475" s="64"/>
      <c r="D475" s="65"/>
      <c r="E475" s="64"/>
      <c r="F475" s="64"/>
    </row>
    <row r="476" spans="1:6" ht="12.75">
      <c r="A476" s="64"/>
      <c r="B476" s="64"/>
      <c r="C476" s="64"/>
      <c r="D476" s="65"/>
      <c r="E476" s="64"/>
      <c r="F476" s="64"/>
    </row>
    <row r="477" spans="1:6" ht="12.75">
      <c r="A477" s="64"/>
      <c r="B477" s="64"/>
      <c r="C477" s="64"/>
      <c r="D477" s="65"/>
      <c r="E477" s="64"/>
      <c r="F477" s="64"/>
    </row>
    <row r="478" spans="1:6" ht="12.75">
      <c r="A478" s="64"/>
      <c r="B478" s="64"/>
      <c r="C478" s="64"/>
      <c r="D478" s="65"/>
      <c r="E478" s="64"/>
      <c r="F478" s="64"/>
    </row>
    <row r="479" spans="1:6" ht="12.75">
      <c r="A479" s="64"/>
      <c r="B479" s="64"/>
      <c r="C479" s="64"/>
      <c r="D479" s="65"/>
      <c r="E479" s="64"/>
      <c r="F479" s="64"/>
    </row>
    <row r="480" spans="1:6" ht="12.75">
      <c r="A480" s="64"/>
      <c r="B480" s="64"/>
      <c r="C480" s="64"/>
      <c r="D480" s="65"/>
      <c r="E480" s="64"/>
      <c r="F480" s="64"/>
    </row>
    <row r="481" spans="1:6" ht="12.75">
      <c r="A481" s="64"/>
      <c r="B481" s="64"/>
      <c r="C481" s="64"/>
      <c r="D481" s="65"/>
      <c r="E481" s="64"/>
      <c r="F481" s="64"/>
    </row>
    <row r="482" spans="1:6" ht="12.75">
      <c r="A482" s="64"/>
      <c r="B482" s="64"/>
      <c r="C482" s="64"/>
      <c r="D482" s="65"/>
      <c r="E482" s="64"/>
      <c r="F482" s="64"/>
    </row>
    <row r="483" spans="1:6" ht="12.75">
      <c r="A483" s="64"/>
      <c r="B483" s="64"/>
      <c r="C483" s="64"/>
      <c r="D483" s="65"/>
      <c r="E483" s="64"/>
      <c r="F483" s="64"/>
    </row>
    <row r="484" spans="1:6" ht="12.75">
      <c r="A484" s="64"/>
      <c r="B484" s="64"/>
      <c r="C484" s="64"/>
      <c r="D484" s="65"/>
      <c r="E484" s="64"/>
      <c r="F484" s="64"/>
    </row>
    <row r="485" spans="1:6" ht="12.75">
      <c r="A485" s="64"/>
      <c r="B485" s="64"/>
      <c r="C485" s="64"/>
      <c r="D485" s="65"/>
      <c r="E485" s="64"/>
      <c r="F485" s="64"/>
    </row>
    <row r="486" spans="1:6" ht="12.75">
      <c r="A486" s="64"/>
      <c r="B486" s="64"/>
      <c r="C486" s="64"/>
      <c r="D486" s="65"/>
      <c r="E486" s="64"/>
      <c r="F486" s="64"/>
    </row>
    <row r="487" spans="1:6" ht="12.75">
      <c r="A487" s="64"/>
      <c r="B487" s="64"/>
      <c r="C487" s="64"/>
      <c r="D487" s="65"/>
      <c r="E487" s="64"/>
      <c r="F487" s="64"/>
    </row>
    <row r="488" spans="1:6" ht="12.75">
      <c r="A488" s="64"/>
      <c r="B488" s="64"/>
      <c r="C488" s="64"/>
      <c r="D488" s="65"/>
      <c r="E488" s="64"/>
      <c r="F488" s="64"/>
    </row>
    <row r="489" spans="1:6" ht="12.75">
      <c r="A489" s="64"/>
      <c r="B489" s="64"/>
      <c r="C489" s="64"/>
      <c r="D489" s="65"/>
      <c r="E489" s="64"/>
      <c r="F489" s="64"/>
    </row>
    <row r="490" spans="1:6" ht="12.75">
      <c r="A490" s="64"/>
      <c r="B490" s="64"/>
      <c r="C490" s="64"/>
      <c r="D490" s="65"/>
      <c r="E490" s="64"/>
      <c r="F490" s="64"/>
    </row>
    <row r="491" spans="1:6" ht="12.75">
      <c r="A491" s="64"/>
      <c r="B491" s="64"/>
      <c r="C491" s="64"/>
      <c r="D491" s="65"/>
      <c r="E491" s="64"/>
      <c r="F491" s="64"/>
    </row>
    <row r="492" spans="1:6" ht="12.75">
      <c r="A492" s="64"/>
      <c r="B492" s="64"/>
      <c r="C492" s="64"/>
      <c r="D492" s="65"/>
      <c r="E492" s="64"/>
      <c r="F492" s="64"/>
    </row>
    <row r="493" spans="1:6" ht="12.75">
      <c r="A493" s="64"/>
      <c r="B493" s="64"/>
      <c r="C493" s="64"/>
      <c r="D493" s="65"/>
      <c r="E493" s="64"/>
      <c r="F493" s="64"/>
    </row>
    <row r="494" spans="1:6" ht="12.75">
      <c r="A494" s="64"/>
      <c r="B494" s="64"/>
      <c r="C494" s="64"/>
      <c r="D494" s="65"/>
      <c r="E494" s="64"/>
      <c r="F494" s="64"/>
    </row>
    <row r="495" spans="1:6" ht="12.75">
      <c r="A495" s="64"/>
      <c r="B495" s="64"/>
      <c r="C495" s="64"/>
      <c r="D495" s="65"/>
      <c r="E495" s="64"/>
      <c r="F495" s="64"/>
    </row>
    <row r="496" spans="1:6" ht="12.75">
      <c r="A496" s="64"/>
      <c r="B496" s="64"/>
      <c r="C496" s="64"/>
      <c r="D496" s="65"/>
      <c r="E496" s="64"/>
      <c r="F496" s="64"/>
    </row>
    <row r="497" spans="1:6" ht="12.75">
      <c r="A497" s="64"/>
      <c r="B497" s="64"/>
      <c r="C497" s="64"/>
      <c r="D497" s="65"/>
      <c r="E497" s="64"/>
      <c r="F497" s="64"/>
    </row>
    <row r="498" spans="1:6" ht="12.75">
      <c r="A498" s="64"/>
      <c r="B498" s="64"/>
      <c r="C498" s="64"/>
      <c r="D498" s="65"/>
      <c r="E498" s="64"/>
      <c r="F498" s="64"/>
    </row>
    <row r="499" spans="1:6" ht="12.75">
      <c r="A499" s="64"/>
      <c r="B499" s="64"/>
      <c r="C499" s="64"/>
      <c r="D499" s="65"/>
      <c r="E499" s="64"/>
      <c r="F499" s="64"/>
    </row>
    <row r="500" spans="1:6" ht="12.75">
      <c r="A500" s="64"/>
      <c r="B500" s="64"/>
      <c r="C500" s="64"/>
      <c r="D500" s="65"/>
      <c r="E500" s="64"/>
      <c r="F500" s="64"/>
    </row>
    <row r="501" spans="1:6" ht="12.75">
      <c r="A501" s="64"/>
      <c r="B501" s="64"/>
      <c r="C501" s="64"/>
      <c r="D501" s="65"/>
      <c r="E501" s="64"/>
      <c r="F501" s="64"/>
    </row>
    <row r="502" spans="1:6" ht="12.75">
      <c r="A502" s="64"/>
      <c r="B502" s="64"/>
      <c r="C502" s="64"/>
      <c r="D502" s="65"/>
      <c r="E502" s="64"/>
      <c r="F502" s="64"/>
    </row>
    <row r="503" spans="1:6" ht="12.75">
      <c r="A503" s="64"/>
      <c r="B503" s="64"/>
      <c r="C503" s="64"/>
      <c r="D503" s="65"/>
      <c r="E503" s="64"/>
      <c r="F503" s="64"/>
    </row>
    <row r="504" spans="1:6" ht="12.75">
      <c r="A504" s="64"/>
      <c r="B504" s="64"/>
      <c r="C504" s="64"/>
      <c r="D504" s="65"/>
      <c r="E504" s="64"/>
      <c r="F504" s="64"/>
    </row>
    <row r="505" spans="1:6" ht="12.75">
      <c r="A505" s="64"/>
      <c r="B505" s="64"/>
      <c r="C505" s="64"/>
      <c r="D505" s="65"/>
      <c r="E505" s="64"/>
      <c r="F505" s="64"/>
    </row>
    <row r="506" spans="1:6" ht="12.75">
      <c r="A506" s="64"/>
      <c r="B506" s="64"/>
      <c r="C506" s="64"/>
      <c r="D506" s="65"/>
      <c r="E506" s="64"/>
      <c r="F506" s="64"/>
    </row>
    <row r="507" spans="1:6" ht="12.75">
      <c r="A507" s="64"/>
      <c r="B507" s="64"/>
      <c r="C507" s="64"/>
      <c r="D507" s="65"/>
      <c r="E507" s="64"/>
      <c r="F507" s="64"/>
    </row>
    <row r="508" spans="1:6" ht="12.75">
      <c r="A508" s="64"/>
      <c r="B508" s="64"/>
      <c r="C508" s="64"/>
      <c r="D508" s="65"/>
      <c r="E508" s="64"/>
      <c r="F508" s="64"/>
    </row>
    <row r="509" spans="1:6" ht="12.75">
      <c r="A509" s="64"/>
      <c r="B509" s="64"/>
      <c r="C509" s="64"/>
      <c r="D509" s="65"/>
      <c r="E509" s="64"/>
      <c r="F509" s="64"/>
    </row>
    <row r="510" spans="1:6" ht="12.75">
      <c r="A510" s="64"/>
      <c r="B510" s="64"/>
      <c r="C510" s="64"/>
      <c r="D510" s="65"/>
      <c r="E510" s="64"/>
      <c r="F510" s="64"/>
    </row>
    <row r="511" spans="1:6" ht="12.75">
      <c r="A511" s="64"/>
      <c r="B511" s="64"/>
      <c r="C511" s="64"/>
      <c r="D511" s="65"/>
      <c r="E511" s="64"/>
      <c r="F511" s="64"/>
    </row>
    <row r="512" spans="1:6" ht="12.75">
      <c r="A512" s="64"/>
      <c r="B512" s="64"/>
      <c r="C512" s="64"/>
      <c r="D512" s="65"/>
      <c r="E512" s="64"/>
      <c r="F512" s="64"/>
    </row>
    <row r="513" spans="1:6" ht="12.75">
      <c r="A513" s="64"/>
      <c r="B513" s="64"/>
      <c r="C513" s="64"/>
      <c r="D513" s="65"/>
      <c r="E513" s="64"/>
      <c r="F513" s="64"/>
    </row>
    <row r="514" spans="1:6" ht="12.75">
      <c r="A514" s="64"/>
      <c r="B514" s="64"/>
      <c r="C514" s="64"/>
      <c r="D514" s="65"/>
      <c r="E514" s="64"/>
      <c r="F514" s="64"/>
    </row>
    <row r="515" spans="1:6" ht="12.75">
      <c r="A515" s="64"/>
      <c r="B515" s="64"/>
      <c r="C515" s="64"/>
      <c r="D515" s="65"/>
      <c r="E515" s="64"/>
      <c r="F515" s="64"/>
    </row>
    <row r="516" spans="1:6" ht="12.75">
      <c r="A516" s="64"/>
      <c r="B516" s="64"/>
      <c r="C516" s="64"/>
      <c r="D516" s="65"/>
      <c r="E516" s="64"/>
      <c r="F516" s="64"/>
    </row>
    <row r="517" spans="1:6" ht="12.75">
      <c r="A517" s="64"/>
      <c r="B517" s="64"/>
      <c r="C517" s="64"/>
      <c r="D517" s="65"/>
      <c r="E517" s="64"/>
      <c r="F517" s="64"/>
    </row>
    <row r="518" spans="1:6" ht="12.75">
      <c r="A518" s="64"/>
      <c r="B518" s="64"/>
      <c r="C518" s="64"/>
      <c r="D518" s="65"/>
      <c r="E518" s="64"/>
      <c r="F518" s="64"/>
    </row>
    <row r="519" spans="1:6" ht="12.75">
      <c r="A519" s="64"/>
      <c r="B519" s="64"/>
      <c r="C519" s="64"/>
      <c r="D519" s="65"/>
      <c r="E519" s="64"/>
      <c r="F519" s="64"/>
    </row>
    <row r="520" spans="1:6" ht="12.75">
      <c r="A520" s="64"/>
      <c r="B520" s="64"/>
      <c r="C520" s="64"/>
      <c r="D520" s="65"/>
      <c r="E520" s="64"/>
      <c r="F520" s="64"/>
    </row>
    <row r="521" spans="1:6" ht="12.75">
      <c r="A521" s="64"/>
      <c r="B521" s="64"/>
      <c r="C521" s="64"/>
      <c r="D521" s="65"/>
      <c r="E521" s="64"/>
      <c r="F521" s="64"/>
    </row>
    <row r="522" spans="1:6" ht="12.75">
      <c r="A522" s="64"/>
      <c r="B522" s="64"/>
      <c r="C522" s="64"/>
      <c r="D522" s="65"/>
      <c r="E522" s="64"/>
      <c r="F522" s="64"/>
    </row>
    <row r="523" spans="1:6" ht="12.75">
      <c r="A523" s="64"/>
      <c r="B523" s="64"/>
      <c r="C523" s="64"/>
      <c r="D523" s="65"/>
      <c r="E523" s="64"/>
      <c r="F523" s="64"/>
    </row>
    <row r="524" spans="1:6" ht="12.75">
      <c r="A524" s="64"/>
      <c r="B524" s="64"/>
      <c r="C524" s="64"/>
      <c r="D524" s="65"/>
      <c r="E524" s="64"/>
      <c r="F524" s="64"/>
    </row>
    <row r="525" spans="1:6" ht="12.75">
      <c r="A525" s="64"/>
      <c r="B525" s="64"/>
      <c r="C525" s="64"/>
      <c r="D525" s="65"/>
      <c r="E525" s="64"/>
      <c r="F525" s="64"/>
    </row>
    <row r="526" spans="1:6" ht="12.75">
      <c r="A526" s="64"/>
      <c r="B526" s="64"/>
      <c r="C526" s="64"/>
      <c r="D526" s="65"/>
      <c r="E526" s="64"/>
      <c r="F526" s="64"/>
    </row>
    <row r="527" spans="1:6" ht="12.75">
      <c r="A527" s="64"/>
      <c r="B527" s="64"/>
      <c r="C527" s="64"/>
      <c r="D527" s="65"/>
      <c r="E527" s="64"/>
      <c r="F527" s="64"/>
    </row>
    <row r="528" spans="1:6" ht="12.75">
      <c r="A528" s="64"/>
      <c r="B528" s="64"/>
      <c r="C528" s="64"/>
      <c r="D528" s="65"/>
      <c r="E528" s="64"/>
      <c r="F528" s="64"/>
    </row>
    <row r="529" spans="1:6" ht="12.75">
      <c r="A529" s="64"/>
      <c r="B529" s="64"/>
      <c r="C529" s="64"/>
      <c r="D529" s="65"/>
      <c r="E529" s="64"/>
      <c r="F529" s="64"/>
    </row>
    <row r="530" spans="1:6" ht="12.75">
      <c r="A530" s="64"/>
      <c r="B530" s="64"/>
      <c r="C530" s="64"/>
      <c r="D530" s="65"/>
      <c r="E530" s="64"/>
      <c r="F530" s="64"/>
    </row>
    <row r="531" spans="1:6" ht="12.75">
      <c r="A531" s="64"/>
      <c r="B531" s="64"/>
      <c r="C531" s="64"/>
      <c r="D531" s="65"/>
      <c r="E531" s="64"/>
      <c r="F531" s="64"/>
    </row>
    <row r="532" spans="1:6" ht="12.75">
      <c r="A532" s="64"/>
      <c r="B532" s="64"/>
      <c r="C532" s="64"/>
      <c r="D532" s="65"/>
      <c r="E532" s="64"/>
      <c r="F532" s="64"/>
    </row>
    <row r="533" spans="1:6" ht="12.75">
      <c r="A533" s="64"/>
      <c r="B533" s="64"/>
      <c r="C533" s="64"/>
      <c r="D533" s="65"/>
      <c r="E533" s="64"/>
      <c r="F533" s="64"/>
    </row>
    <row r="534" spans="1:6" ht="12.75">
      <c r="A534" s="64"/>
      <c r="B534" s="64"/>
      <c r="C534" s="64"/>
      <c r="D534" s="65"/>
      <c r="E534" s="64"/>
      <c r="F534" s="64"/>
    </row>
    <row r="535" spans="1:6" ht="12.75">
      <c r="A535" s="64"/>
      <c r="B535" s="64"/>
      <c r="C535" s="64"/>
      <c r="D535" s="65"/>
      <c r="E535" s="64"/>
      <c r="F535" s="64"/>
    </row>
    <row r="536" spans="1:6" ht="12.75">
      <c r="A536" s="64"/>
      <c r="B536" s="64"/>
      <c r="C536" s="64"/>
      <c r="D536" s="65"/>
      <c r="E536" s="64"/>
      <c r="F536" s="64"/>
    </row>
    <row r="537" spans="1:6" ht="12.75">
      <c r="A537" s="64"/>
      <c r="B537" s="64"/>
      <c r="C537" s="64"/>
      <c r="D537" s="65"/>
      <c r="E537" s="64"/>
      <c r="F537" s="64"/>
    </row>
    <row r="538" spans="1:6" ht="12.75">
      <c r="A538" s="64"/>
      <c r="B538" s="64"/>
      <c r="C538" s="64"/>
      <c r="D538" s="65"/>
      <c r="E538" s="64"/>
      <c r="F538" s="64"/>
    </row>
    <row r="539" spans="1:6" ht="12.75">
      <c r="A539" s="64"/>
      <c r="B539" s="64"/>
      <c r="C539" s="64"/>
      <c r="D539" s="65"/>
      <c r="E539" s="64"/>
      <c r="F539" s="64"/>
    </row>
    <row r="540" spans="1:6" ht="12.75">
      <c r="A540" s="64"/>
      <c r="B540" s="64"/>
      <c r="C540" s="64"/>
      <c r="D540" s="65"/>
      <c r="E540" s="64"/>
      <c r="F540" s="64"/>
    </row>
    <row r="541" spans="1:6" ht="12.75">
      <c r="A541" s="64"/>
      <c r="B541" s="64"/>
      <c r="C541" s="64"/>
      <c r="D541" s="65"/>
      <c r="E541" s="64"/>
      <c r="F541" s="64"/>
    </row>
    <row r="542" spans="1:6" ht="12.75">
      <c r="A542" s="64"/>
      <c r="B542" s="64"/>
      <c r="C542" s="64"/>
      <c r="D542" s="65"/>
      <c r="E542" s="64"/>
      <c r="F542" s="64"/>
    </row>
    <row r="543" spans="1:6" ht="12.75">
      <c r="A543" s="64"/>
      <c r="B543" s="64"/>
      <c r="C543" s="64"/>
      <c r="D543" s="65"/>
      <c r="E543" s="64"/>
      <c r="F543" s="64"/>
    </row>
    <row r="544" spans="1:6" ht="12.75">
      <c r="A544" s="64"/>
      <c r="B544" s="64"/>
      <c r="C544" s="64"/>
      <c r="D544" s="65"/>
      <c r="E544" s="64"/>
      <c r="F544" s="64"/>
    </row>
    <row r="545" spans="1:6" ht="12.75">
      <c r="A545" s="64"/>
      <c r="B545" s="64"/>
      <c r="C545" s="64"/>
      <c r="D545" s="65"/>
      <c r="E545" s="64"/>
      <c r="F545" s="64"/>
    </row>
    <row r="546" spans="1:6" ht="12.75">
      <c r="A546" s="64"/>
      <c r="B546" s="64"/>
      <c r="C546" s="64"/>
      <c r="D546" s="65"/>
      <c r="E546" s="64"/>
      <c r="F546" s="64"/>
    </row>
    <row r="547" spans="1:6" ht="12.75">
      <c r="A547" s="64"/>
      <c r="B547" s="64"/>
      <c r="C547" s="64"/>
      <c r="D547" s="65"/>
      <c r="E547" s="64"/>
      <c r="F547" s="64"/>
    </row>
    <row r="548" spans="1:6" ht="12.75">
      <c r="A548" s="64"/>
      <c r="B548" s="64"/>
      <c r="C548" s="64"/>
      <c r="D548" s="65"/>
      <c r="E548" s="64"/>
      <c r="F548" s="64"/>
    </row>
    <row r="549" spans="1:6" ht="12.75">
      <c r="A549" s="64"/>
      <c r="B549" s="64"/>
      <c r="C549" s="64"/>
      <c r="D549" s="65"/>
      <c r="E549" s="64"/>
      <c r="F549" s="64"/>
    </row>
    <row r="550" spans="1:6" ht="12.75">
      <c r="A550" s="64"/>
      <c r="B550" s="64"/>
      <c r="C550" s="64"/>
      <c r="D550" s="65"/>
      <c r="E550" s="64"/>
      <c r="F550" s="64"/>
    </row>
    <row r="551" spans="1:6" ht="12.75">
      <c r="A551" s="64"/>
      <c r="B551" s="64"/>
      <c r="C551" s="64"/>
      <c r="D551" s="65"/>
      <c r="E551" s="64"/>
      <c r="F551" s="64"/>
    </row>
    <row r="552" spans="1:6" ht="12.75">
      <c r="A552" s="64"/>
      <c r="B552" s="64"/>
      <c r="C552" s="64"/>
      <c r="D552" s="65"/>
      <c r="E552" s="64"/>
      <c r="F552" s="64"/>
    </row>
    <row r="553" spans="1:6" ht="12.75">
      <c r="A553" s="64"/>
      <c r="B553" s="64"/>
      <c r="C553" s="64"/>
      <c r="D553" s="65"/>
      <c r="E553" s="64"/>
      <c r="F553" s="64"/>
    </row>
    <row r="554" spans="1:6" ht="12.75">
      <c r="A554" s="64"/>
      <c r="B554" s="64"/>
      <c r="C554" s="64"/>
      <c r="D554" s="65"/>
      <c r="E554" s="64"/>
      <c r="F554" s="64"/>
    </row>
    <row r="555" spans="1:6" ht="12.75">
      <c r="A555" s="64"/>
      <c r="B555" s="64"/>
      <c r="C555" s="64"/>
      <c r="D555" s="65"/>
      <c r="E555" s="64"/>
      <c r="F555" s="64"/>
    </row>
    <row r="556" spans="1:6" ht="12.75">
      <c r="A556" s="64"/>
      <c r="B556" s="64"/>
      <c r="C556" s="64"/>
      <c r="D556" s="65"/>
      <c r="E556" s="64"/>
      <c r="F556" s="64"/>
    </row>
    <row r="557" spans="1:6" ht="12.75">
      <c r="A557" s="64"/>
      <c r="B557" s="64"/>
      <c r="C557" s="64"/>
      <c r="D557" s="65"/>
      <c r="E557" s="64"/>
      <c r="F557" s="64"/>
    </row>
    <row r="558" spans="1:6" ht="12.75">
      <c r="A558" s="64"/>
      <c r="B558" s="64"/>
      <c r="C558" s="64"/>
      <c r="D558" s="65"/>
      <c r="E558" s="64"/>
      <c r="F558" s="64"/>
    </row>
    <row r="559" spans="1:6" ht="12.75">
      <c r="A559" s="64"/>
      <c r="B559" s="64"/>
      <c r="C559" s="64"/>
      <c r="D559" s="65"/>
      <c r="E559" s="64"/>
      <c r="F559" s="64"/>
    </row>
    <row r="560" spans="1:6" ht="12.75">
      <c r="A560" s="64"/>
      <c r="B560" s="64"/>
      <c r="C560" s="64"/>
      <c r="D560" s="65"/>
      <c r="E560" s="64"/>
      <c r="F560" s="64"/>
    </row>
    <row r="561" spans="1:6" ht="12.75">
      <c r="A561" s="64"/>
      <c r="B561" s="64"/>
      <c r="C561" s="64"/>
      <c r="D561" s="65"/>
      <c r="E561" s="64"/>
      <c r="F561" s="64"/>
    </row>
    <row r="562" spans="1:6" ht="12.75">
      <c r="A562" s="64"/>
      <c r="B562" s="64"/>
      <c r="C562" s="64"/>
      <c r="D562" s="65"/>
      <c r="E562" s="64"/>
      <c r="F562" s="64"/>
    </row>
    <row r="563" spans="1:6" ht="12.75">
      <c r="A563" s="64"/>
      <c r="B563" s="64"/>
      <c r="C563" s="64"/>
      <c r="D563" s="65"/>
      <c r="E563" s="64"/>
      <c r="F563" s="64"/>
    </row>
    <row r="564" spans="1:6" ht="12.75">
      <c r="A564" s="64"/>
      <c r="B564" s="64"/>
      <c r="C564" s="64"/>
      <c r="D564" s="65"/>
      <c r="E564" s="64"/>
      <c r="F564" s="64"/>
    </row>
    <row r="565" spans="1:6" ht="12.75">
      <c r="A565" s="64"/>
      <c r="B565" s="64"/>
      <c r="C565" s="64"/>
      <c r="D565" s="65"/>
      <c r="E565" s="64"/>
      <c r="F565" s="64"/>
    </row>
    <row r="566" spans="1:6" ht="12.75">
      <c r="A566" s="64"/>
      <c r="B566" s="64"/>
      <c r="C566" s="64"/>
      <c r="D566" s="65"/>
      <c r="E566" s="64"/>
      <c r="F566" s="64"/>
    </row>
    <row r="567" spans="1:6" ht="12.75">
      <c r="A567" s="64"/>
      <c r="B567" s="64"/>
      <c r="C567" s="64"/>
      <c r="D567" s="65"/>
      <c r="E567" s="64"/>
      <c r="F567" s="64"/>
    </row>
    <row r="568" spans="1:6" ht="12.75">
      <c r="A568" s="64"/>
      <c r="B568" s="64"/>
      <c r="C568" s="64"/>
      <c r="D568" s="65"/>
      <c r="E568" s="64"/>
      <c r="F568" s="64"/>
    </row>
    <row r="569" spans="1:6" ht="12.75">
      <c r="A569" s="64"/>
      <c r="B569" s="64"/>
      <c r="C569" s="64"/>
      <c r="D569" s="65"/>
      <c r="E569" s="64"/>
      <c r="F569" s="64"/>
    </row>
    <row r="570" spans="1:6" ht="12.75">
      <c r="A570" s="64"/>
      <c r="B570" s="64"/>
      <c r="C570" s="64"/>
      <c r="D570" s="65"/>
      <c r="E570" s="64"/>
      <c r="F570" s="64"/>
    </row>
    <row r="571" spans="1:6" ht="12.75">
      <c r="A571" s="64"/>
      <c r="B571" s="64"/>
      <c r="C571" s="64"/>
      <c r="D571" s="65"/>
      <c r="E571" s="64"/>
      <c r="F571" s="64"/>
    </row>
    <row r="572" spans="1:6" ht="12.75">
      <c r="A572" s="64"/>
      <c r="B572" s="64"/>
      <c r="C572" s="64"/>
      <c r="D572" s="65"/>
      <c r="E572" s="64"/>
      <c r="F572" s="64"/>
    </row>
    <row r="573" spans="1:6" ht="12.75">
      <c r="A573" s="64"/>
      <c r="B573" s="64"/>
      <c r="C573" s="64"/>
      <c r="D573" s="65"/>
      <c r="E573" s="64"/>
      <c r="F573" s="64"/>
    </row>
    <row r="574" spans="1:6" ht="12.75">
      <c r="A574" s="64"/>
      <c r="B574" s="64"/>
      <c r="C574" s="64"/>
      <c r="D574" s="65"/>
      <c r="E574" s="64"/>
      <c r="F574" s="64"/>
    </row>
    <row r="575" spans="1:6" ht="12.75">
      <c r="A575" s="64"/>
      <c r="B575" s="64"/>
      <c r="C575" s="64"/>
      <c r="D575" s="65"/>
      <c r="E575" s="64"/>
      <c r="F575" s="64"/>
    </row>
    <row r="576" spans="1:6" ht="12.75">
      <c r="A576" s="64"/>
      <c r="B576" s="64"/>
      <c r="C576" s="64"/>
      <c r="D576" s="65"/>
      <c r="E576" s="64"/>
      <c r="F576" s="64"/>
    </row>
    <row r="577" spans="1:6" ht="12.75">
      <c r="A577" s="64"/>
      <c r="B577" s="64"/>
      <c r="C577" s="64"/>
      <c r="D577" s="65"/>
      <c r="E577" s="64"/>
      <c r="F577" s="64"/>
    </row>
    <row r="578" spans="1:6" ht="12.75">
      <c r="A578" s="64"/>
      <c r="B578" s="64"/>
      <c r="C578" s="64"/>
      <c r="D578" s="65"/>
      <c r="E578" s="64"/>
      <c r="F578" s="64"/>
    </row>
    <row r="579" spans="1:6" ht="12.75">
      <c r="A579" s="64"/>
      <c r="B579" s="64"/>
      <c r="C579" s="64"/>
      <c r="D579" s="65"/>
      <c r="E579" s="64"/>
      <c r="F579" s="64"/>
    </row>
    <row r="580" spans="1:6" ht="12.75">
      <c r="A580" s="64"/>
      <c r="B580" s="64"/>
      <c r="C580" s="64"/>
      <c r="D580" s="65"/>
      <c r="E580" s="64"/>
      <c r="F580" s="64"/>
    </row>
    <row r="581" spans="1:6" ht="12.75">
      <c r="A581" s="64"/>
      <c r="B581" s="64"/>
      <c r="C581" s="64"/>
      <c r="D581" s="65"/>
      <c r="E581" s="64"/>
      <c r="F581" s="64"/>
    </row>
    <row r="582" spans="1:6" ht="12.75">
      <c r="A582" s="64"/>
      <c r="B582" s="64"/>
      <c r="C582" s="64"/>
      <c r="D582" s="65"/>
      <c r="E582" s="64"/>
      <c r="F582" s="64"/>
    </row>
    <row r="583" spans="1:6" ht="12.75">
      <c r="A583" s="64"/>
      <c r="B583" s="64"/>
      <c r="C583" s="64"/>
      <c r="D583" s="65"/>
      <c r="E583" s="64"/>
      <c r="F583" s="64"/>
    </row>
    <row r="584" spans="1:6" ht="12.75">
      <c r="A584" s="64"/>
      <c r="B584" s="64"/>
      <c r="C584" s="64"/>
      <c r="D584" s="65"/>
      <c r="E584" s="64"/>
      <c r="F584" s="64"/>
    </row>
    <row r="585" spans="1:6" ht="12.75">
      <c r="A585" s="64"/>
      <c r="B585" s="64"/>
      <c r="C585" s="64"/>
      <c r="D585" s="65"/>
      <c r="E585" s="64"/>
      <c r="F585" s="64"/>
    </row>
    <row r="586" spans="1:6" ht="12.75">
      <c r="A586" s="64"/>
      <c r="B586" s="64"/>
      <c r="C586" s="64"/>
      <c r="D586" s="65"/>
      <c r="E586" s="64"/>
      <c r="F586" s="64"/>
    </row>
    <row r="587" spans="1:6" ht="12.75">
      <c r="A587" s="64"/>
      <c r="B587" s="64"/>
      <c r="C587" s="64"/>
      <c r="D587" s="65"/>
      <c r="E587" s="64"/>
      <c r="F587" s="64"/>
    </row>
    <row r="588" spans="1:6" ht="12.75">
      <c r="A588" s="64"/>
      <c r="B588" s="64"/>
      <c r="C588" s="64"/>
      <c r="D588" s="65"/>
      <c r="E588" s="64"/>
      <c r="F588" s="64"/>
    </row>
    <row r="589" spans="1:6" ht="12.75">
      <c r="A589" s="64"/>
      <c r="B589" s="64"/>
      <c r="C589" s="64"/>
      <c r="D589" s="65"/>
      <c r="E589" s="64"/>
      <c r="F589" s="64"/>
    </row>
    <row r="590" spans="1:6" ht="12.75">
      <c r="A590" s="64"/>
      <c r="B590" s="64"/>
      <c r="C590" s="64"/>
      <c r="D590" s="65"/>
      <c r="E590" s="64"/>
      <c r="F590" s="64"/>
    </row>
    <row r="591" spans="1:6" ht="12.75">
      <c r="A591" s="64"/>
      <c r="B591" s="64"/>
      <c r="C591" s="64"/>
      <c r="D591" s="65"/>
      <c r="E591" s="64"/>
      <c r="F591" s="64"/>
    </row>
    <row r="592" spans="1:6" ht="12.75">
      <c r="A592" s="64"/>
      <c r="B592" s="64"/>
      <c r="C592" s="64"/>
      <c r="D592" s="65"/>
      <c r="E592" s="64"/>
      <c r="F592" s="64"/>
    </row>
    <row r="593" spans="1:6" ht="12.75">
      <c r="A593" s="64"/>
      <c r="B593" s="64"/>
      <c r="C593" s="64"/>
      <c r="D593" s="65"/>
      <c r="E593" s="64"/>
      <c r="F593" s="64"/>
    </row>
    <row r="594" spans="1:6" ht="12.75">
      <c r="A594" s="64"/>
      <c r="B594" s="64"/>
      <c r="C594" s="64"/>
      <c r="D594" s="65"/>
      <c r="E594" s="64"/>
      <c r="F594" s="64"/>
    </row>
    <row r="595" spans="1:6" ht="12.75">
      <c r="A595" s="64"/>
      <c r="B595" s="64"/>
      <c r="C595" s="64"/>
      <c r="D595" s="65"/>
      <c r="E595" s="64"/>
      <c r="F595" s="64"/>
    </row>
    <row r="596" spans="1:6" ht="12.75">
      <c r="A596" s="64"/>
      <c r="B596" s="64"/>
      <c r="C596" s="64"/>
      <c r="D596" s="65"/>
      <c r="E596" s="64"/>
      <c r="F596" s="64"/>
    </row>
    <row r="597" spans="1:6" ht="12.75">
      <c r="A597" s="64"/>
      <c r="B597" s="64"/>
      <c r="C597" s="64"/>
      <c r="D597" s="65"/>
      <c r="E597" s="64"/>
      <c r="F597" s="64"/>
    </row>
    <row r="598" spans="1:6" ht="12.75">
      <c r="A598" s="64"/>
      <c r="B598" s="64"/>
      <c r="C598" s="64"/>
      <c r="D598" s="65"/>
      <c r="E598" s="64"/>
      <c r="F598" s="64"/>
    </row>
    <row r="599" spans="1:6" ht="12.75">
      <c r="A599" s="64"/>
      <c r="B599" s="64"/>
      <c r="C599" s="64"/>
      <c r="D599" s="65"/>
      <c r="E599" s="64"/>
      <c r="F599" s="64"/>
    </row>
    <row r="600" spans="1:6" ht="12.75">
      <c r="A600" s="64"/>
      <c r="B600" s="64"/>
      <c r="C600" s="64"/>
      <c r="D600" s="65"/>
      <c r="E600" s="64"/>
      <c r="F600" s="64"/>
    </row>
    <row r="601" spans="1:6" ht="12.75">
      <c r="A601" s="64"/>
      <c r="B601" s="64"/>
      <c r="C601" s="64"/>
      <c r="D601" s="65"/>
      <c r="E601" s="64"/>
      <c r="F601" s="64"/>
    </row>
    <row r="602" spans="1:6" ht="12.75">
      <c r="A602" s="64"/>
      <c r="B602" s="64"/>
      <c r="C602" s="64"/>
      <c r="D602" s="65"/>
      <c r="E602" s="64"/>
      <c r="F602" s="64"/>
    </row>
    <row r="603" spans="1:6" ht="12.75">
      <c r="A603" s="64"/>
      <c r="B603" s="64"/>
      <c r="C603" s="64"/>
      <c r="D603" s="65"/>
      <c r="E603" s="64"/>
      <c r="F603" s="64"/>
    </row>
    <row r="604" spans="1:6" ht="12.75">
      <c r="A604" s="64"/>
      <c r="B604" s="64"/>
      <c r="C604" s="64"/>
      <c r="D604" s="65"/>
      <c r="E604" s="64"/>
      <c r="F604" s="64"/>
    </row>
    <row r="605" spans="1:6" ht="12.75">
      <c r="A605" s="64"/>
      <c r="B605" s="64"/>
      <c r="C605" s="64"/>
      <c r="D605" s="65"/>
      <c r="E605" s="64"/>
      <c r="F605" s="64"/>
    </row>
    <row r="606" spans="1:6" ht="12.75">
      <c r="A606" s="64"/>
      <c r="B606" s="64"/>
      <c r="C606" s="64"/>
      <c r="D606" s="65"/>
      <c r="E606" s="64"/>
      <c r="F606" s="64"/>
    </row>
    <row r="607" spans="1:6" ht="12.75">
      <c r="A607" s="64"/>
      <c r="B607" s="64"/>
      <c r="C607" s="64"/>
      <c r="D607" s="65"/>
      <c r="E607" s="64"/>
      <c r="F607" s="64"/>
    </row>
    <row r="608" spans="1:6" ht="12.75">
      <c r="A608" s="64"/>
      <c r="B608" s="64"/>
      <c r="C608" s="64"/>
      <c r="D608" s="65"/>
      <c r="E608" s="64"/>
      <c r="F608" s="64"/>
    </row>
    <row r="609" spans="1:6" ht="12.75">
      <c r="A609" s="64"/>
      <c r="B609" s="64"/>
      <c r="C609" s="64"/>
      <c r="D609" s="65"/>
      <c r="E609" s="64"/>
      <c r="F609" s="64"/>
    </row>
    <row r="610" spans="1:6" ht="12.75">
      <c r="A610" s="64"/>
      <c r="B610" s="64"/>
      <c r="C610" s="64"/>
      <c r="D610" s="65"/>
      <c r="E610" s="64"/>
      <c r="F610" s="64"/>
    </row>
    <row r="611" spans="1:6" ht="12.75">
      <c r="A611" s="64"/>
      <c r="B611" s="64"/>
      <c r="C611" s="64"/>
      <c r="D611" s="65"/>
      <c r="E611" s="64"/>
      <c r="F611" s="64"/>
    </row>
    <row r="612" spans="1:6" ht="12.75">
      <c r="A612" s="64"/>
      <c r="B612" s="64"/>
      <c r="C612" s="64"/>
      <c r="D612" s="65"/>
      <c r="E612" s="64"/>
      <c r="F612" s="64"/>
    </row>
    <row r="613" spans="1:6" ht="12.75">
      <c r="A613" s="64"/>
      <c r="B613" s="64"/>
      <c r="C613" s="64"/>
      <c r="D613" s="65"/>
      <c r="E613" s="64"/>
      <c r="F613" s="64"/>
    </row>
    <row r="614" spans="1:6" ht="12.75">
      <c r="A614" s="64"/>
      <c r="B614" s="64"/>
      <c r="C614" s="64"/>
      <c r="D614" s="65"/>
      <c r="E614" s="64"/>
      <c r="F614" s="64"/>
    </row>
    <row r="615" spans="1:6" ht="12.75">
      <c r="A615" s="64"/>
      <c r="B615" s="64"/>
      <c r="C615" s="64"/>
      <c r="D615" s="65"/>
      <c r="E615" s="64"/>
      <c r="F615" s="64"/>
    </row>
    <row r="616" spans="1:6" ht="12.75">
      <c r="A616" s="64"/>
      <c r="B616" s="64"/>
      <c r="C616" s="64"/>
      <c r="D616" s="65"/>
      <c r="E616" s="64"/>
      <c r="F616" s="64"/>
    </row>
    <row r="617" spans="1:6" ht="12.75">
      <c r="A617" s="64"/>
      <c r="B617" s="64"/>
      <c r="C617" s="64"/>
      <c r="D617" s="65"/>
      <c r="E617" s="64"/>
      <c r="F617" s="64"/>
    </row>
    <row r="618" spans="1:6" ht="12.75">
      <c r="A618" s="64"/>
      <c r="B618" s="64"/>
      <c r="C618" s="64"/>
      <c r="D618" s="65"/>
      <c r="E618" s="64"/>
      <c r="F618" s="64"/>
    </row>
    <row r="619" spans="1:6" ht="12.75">
      <c r="A619" s="64"/>
      <c r="B619" s="64"/>
      <c r="C619" s="64"/>
      <c r="D619" s="65"/>
      <c r="E619" s="64"/>
      <c r="F619" s="64"/>
    </row>
    <row r="620" spans="1:6" ht="12.75">
      <c r="A620" s="64"/>
      <c r="B620" s="64"/>
      <c r="C620" s="64"/>
      <c r="D620" s="65"/>
      <c r="E620" s="64"/>
      <c r="F620" s="64"/>
    </row>
    <row r="621" spans="1:6" ht="12.75">
      <c r="A621" s="64"/>
      <c r="B621" s="64"/>
      <c r="C621" s="64"/>
      <c r="D621" s="65"/>
      <c r="E621" s="64"/>
      <c r="F621" s="64"/>
    </row>
    <row r="622" spans="1:6" ht="12.75">
      <c r="A622" s="64"/>
      <c r="B622" s="64"/>
      <c r="C622" s="64"/>
      <c r="D622" s="65"/>
      <c r="E622" s="64"/>
      <c r="F622" s="64"/>
    </row>
    <row r="623" spans="1:6" ht="12.75">
      <c r="A623" s="64"/>
      <c r="B623" s="64"/>
      <c r="C623" s="64"/>
      <c r="D623" s="65"/>
      <c r="E623" s="64"/>
      <c r="F623" s="64"/>
    </row>
    <row r="624" spans="1:6" ht="12.75">
      <c r="A624" s="64"/>
      <c r="B624" s="64"/>
      <c r="C624" s="64"/>
      <c r="D624" s="65"/>
      <c r="E624" s="64"/>
      <c r="F624" s="64"/>
    </row>
    <row r="625" spans="1:6" ht="12.75">
      <c r="A625" s="64"/>
      <c r="B625" s="64"/>
      <c r="C625" s="64"/>
      <c r="D625" s="65"/>
      <c r="E625" s="64"/>
      <c r="F625" s="64"/>
    </row>
    <row r="626" spans="1:6" ht="12.75">
      <c r="A626" s="64"/>
      <c r="B626" s="64"/>
      <c r="C626" s="64"/>
      <c r="D626" s="65"/>
      <c r="E626" s="64"/>
      <c r="F626" s="64"/>
    </row>
    <row r="627" spans="1:6" ht="12.75">
      <c r="A627" s="64"/>
      <c r="B627" s="64"/>
      <c r="C627" s="64"/>
      <c r="D627" s="65"/>
      <c r="E627" s="64"/>
      <c r="F627" s="64"/>
    </row>
    <row r="628" spans="1:6" ht="12.75">
      <c r="A628" s="64"/>
      <c r="B628" s="64"/>
      <c r="C628" s="64"/>
      <c r="D628" s="65"/>
      <c r="E628" s="64"/>
      <c r="F628" s="64"/>
    </row>
    <row r="629" spans="1:6" ht="12.75">
      <c r="A629" s="64"/>
      <c r="B629" s="64"/>
      <c r="C629" s="64"/>
      <c r="D629" s="65"/>
      <c r="E629" s="64"/>
      <c r="F629" s="64"/>
    </row>
    <row r="630" spans="1:6" ht="12.75">
      <c r="A630" s="64"/>
      <c r="B630" s="64"/>
      <c r="C630" s="64"/>
      <c r="D630" s="65"/>
      <c r="E630" s="64"/>
      <c r="F630" s="64"/>
    </row>
    <row r="631" spans="1:6" ht="12.75">
      <c r="A631" s="64"/>
      <c r="B631" s="64"/>
      <c r="C631" s="64"/>
      <c r="D631" s="65"/>
      <c r="E631" s="64"/>
      <c r="F631" s="64"/>
    </row>
    <row r="632" spans="1:6" ht="12.75">
      <c r="A632" s="64"/>
      <c r="B632" s="64"/>
      <c r="C632" s="64"/>
      <c r="D632" s="65"/>
      <c r="E632" s="64"/>
      <c r="F632" s="64"/>
    </row>
    <row r="633" spans="1:6" ht="12.75">
      <c r="A633" s="64"/>
      <c r="B633" s="64"/>
      <c r="C633" s="64"/>
      <c r="D633" s="65"/>
      <c r="E633" s="64"/>
      <c r="F633" s="64"/>
    </row>
    <row r="634" spans="1:6" ht="12.75">
      <c r="A634" s="64"/>
      <c r="B634" s="64"/>
      <c r="C634" s="64"/>
      <c r="D634" s="65"/>
      <c r="E634" s="64"/>
      <c r="F634" s="64"/>
    </row>
    <row r="635" spans="1:6" ht="12.75">
      <c r="A635" s="64"/>
      <c r="B635" s="64"/>
      <c r="C635" s="64"/>
      <c r="D635" s="65"/>
      <c r="E635" s="64"/>
      <c r="F635" s="64"/>
    </row>
    <row r="636" spans="1:6" ht="12.75">
      <c r="A636" s="64"/>
      <c r="B636" s="64"/>
      <c r="C636" s="64"/>
      <c r="D636" s="65"/>
      <c r="E636" s="64"/>
      <c r="F636" s="64"/>
    </row>
    <row r="637" spans="1:6" ht="12.75">
      <c r="A637" s="64"/>
      <c r="B637" s="64"/>
      <c r="C637" s="64"/>
      <c r="D637" s="65"/>
      <c r="E637" s="64"/>
      <c r="F637" s="64"/>
    </row>
    <row r="638" spans="1:6" ht="12.75">
      <c r="A638" s="64"/>
      <c r="B638" s="64"/>
      <c r="C638" s="64"/>
      <c r="D638" s="65"/>
      <c r="E638" s="64"/>
      <c r="F638" s="64"/>
    </row>
    <row r="639" spans="1:6" ht="12.75">
      <c r="A639" s="64"/>
      <c r="B639" s="64"/>
      <c r="C639" s="64"/>
      <c r="D639" s="65"/>
      <c r="E639" s="64"/>
      <c r="F639" s="64"/>
    </row>
    <row r="640" spans="1:6" ht="12.75">
      <c r="A640" s="64"/>
      <c r="B640" s="64"/>
      <c r="C640" s="64"/>
      <c r="D640" s="65"/>
      <c r="E640" s="64"/>
      <c r="F640" s="64"/>
    </row>
    <row r="641" spans="1:6" ht="12.75">
      <c r="A641" s="64"/>
      <c r="B641" s="64"/>
      <c r="C641" s="64"/>
      <c r="D641" s="65"/>
      <c r="E641" s="64"/>
      <c r="F641" s="64"/>
    </row>
    <row r="642" spans="1:6" ht="12.75">
      <c r="A642" s="64"/>
      <c r="B642" s="64"/>
      <c r="C642" s="64"/>
      <c r="D642" s="65"/>
      <c r="E642" s="64"/>
      <c r="F642" s="64"/>
    </row>
    <row r="643" spans="1:6" ht="12.75">
      <c r="A643" s="64"/>
      <c r="B643" s="64"/>
      <c r="C643" s="64"/>
      <c r="D643" s="65"/>
      <c r="E643" s="64"/>
      <c r="F643" s="64"/>
    </row>
    <row r="644" spans="1:6" ht="12.75">
      <c r="A644" s="64"/>
      <c r="B644" s="64"/>
      <c r="C644" s="64"/>
      <c r="D644" s="65"/>
      <c r="E644" s="64"/>
      <c r="F644" s="64"/>
    </row>
    <row r="645" spans="1:6" ht="12.75">
      <c r="A645" s="64"/>
      <c r="B645" s="64"/>
      <c r="C645" s="64"/>
      <c r="D645" s="65"/>
      <c r="E645" s="64"/>
      <c r="F645" s="64"/>
    </row>
    <row r="646" spans="1:6" ht="12.75">
      <c r="A646" s="64"/>
      <c r="B646" s="64"/>
      <c r="C646" s="64"/>
      <c r="D646" s="65"/>
      <c r="E646" s="64"/>
      <c r="F646" s="64"/>
    </row>
    <row r="647" spans="1:6" ht="12.75">
      <c r="A647" s="64"/>
      <c r="B647" s="64"/>
      <c r="C647" s="64"/>
      <c r="D647" s="65"/>
      <c r="E647" s="64"/>
      <c r="F647" s="64"/>
    </row>
    <row r="648" spans="1:6" ht="12.75">
      <c r="A648" s="64"/>
      <c r="B648" s="64"/>
      <c r="C648" s="64"/>
      <c r="D648" s="65"/>
      <c r="E648" s="64"/>
      <c r="F648" s="64"/>
    </row>
    <row r="649" spans="1:6" ht="12.75">
      <c r="A649" s="64"/>
      <c r="B649" s="64"/>
      <c r="C649" s="64"/>
      <c r="D649" s="65"/>
      <c r="E649" s="64"/>
      <c r="F649" s="64"/>
    </row>
    <row r="650" spans="1:6" ht="12.75">
      <c r="A650" s="64"/>
      <c r="B650" s="64"/>
      <c r="C650" s="64"/>
      <c r="D650" s="65"/>
      <c r="E650" s="64"/>
      <c r="F650" s="64"/>
    </row>
    <row r="651" spans="1:6" ht="12.75">
      <c r="A651" s="64"/>
      <c r="B651" s="64"/>
      <c r="C651" s="64"/>
      <c r="D651" s="65"/>
      <c r="E651" s="64"/>
      <c r="F651" s="64"/>
    </row>
    <row r="652" spans="1:6" ht="12.75">
      <c r="A652" s="64"/>
      <c r="B652" s="64"/>
      <c r="C652" s="64"/>
      <c r="D652" s="65"/>
      <c r="E652" s="64"/>
      <c r="F652" s="64"/>
    </row>
    <row r="653" spans="1:6" ht="12.75">
      <c r="A653" s="64"/>
      <c r="B653" s="64"/>
      <c r="C653" s="64"/>
      <c r="D653" s="65"/>
      <c r="E653" s="64"/>
      <c r="F653" s="64"/>
    </row>
    <row r="654" spans="1:6" ht="12.75">
      <c r="A654" s="64"/>
      <c r="B654" s="64"/>
      <c r="C654" s="64"/>
      <c r="D654" s="65"/>
      <c r="E654" s="64"/>
      <c r="F654" s="64"/>
    </row>
    <row r="655" spans="1:6" ht="12.75">
      <c r="A655" s="64"/>
      <c r="B655" s="64"/>
      <c r="C655" s="64"/>
      <c r="D655" s="65"/>
      <c r="E655" s="64"/>
      <c r="F655" s="64"/>
    </row>
    <row r="656" spans="1:6" ht="12.75">
      <c r="A656" s="64"/>
      <c r="B656" s="64"/>
      <c r="C656" s="64"/>
      <c r="D656" s="65"/>
      <c r="E656" s="64"/>
      <c r="F656" s="64"/>
    </row>
    <row r="657" spans="1:6" ht="12.75">
      <c r="A657" s="64"/>
      <c r="B657" s="64"/>
      <c r="C657" s="64"/>
      <c r="D657" s="65"/>
      <c r="E657" s="64"/>
      <c r="F657" s="64"/>
    </row>
    <row r="658" spans="1:6" ht="12.75">
      <c r="A658" s="64"/>
      <c r="B658" s="64"/>
      <c r="C658" s="64"/>
      <c r="D658" s="65"/>
      <c r="E658" s="64"/>
      <c r="F658" s="64"/>
    </row>
    <row r="659" spans="1:6" ht="12.75">
      <c r="A659" s="64"/>
      <c r="B659" s="64"/>
      <c r="C659" s="64"/>
      <c r="D659" s="65"/>
      <c r="E659" s="64"/>
      <c r="F659" s="64"/>
    </row>
    <row r="660" spans="1:6" ht="12.75">
      <c r="A660" s="64"/>
      <c r="B660" s="64"/>
      <c r="C660" s="64"/>
      <c r="D660" s="65"/>
      <c r="E660" s="64"/>
      <c r="F660" s="64"/>
    </row>
    <row r="661" spans="1:6" ht="12.75">
      <c r="A661" s="64"/>
      <c r="B661" s="64"/>
      <c r="C661" s="64"/>
      <c r="D661" s="65"/>
      <c r="E661" s="64"/>
      <c r="F661" s="64"/>
    </row>
    <row r="662" spans="1:6" ht="12.75">
      <c r="A662" s="64"/>
      <c r="B662" s="64"/>
      <c r="C662" s="64"/>
      <c r="D662" s="65"/>
      <c r="E662" s="64"/>
      <c r="F662" s="64"/>
    </row>
    <row r="663" spans="1:6" ht="12.75">
      <c r="A663" s="64"/>
      <c r="B663" s="64"/>
      <c r="C663" s="64"/>
      <c r="D663" s="65"/>
      <c r="E663" s="64"/>
      <c r="F663" s="64"/>
    </row>
    <row r="664" spans="1:6" ht="12.75">
      <c r="A664" s="64"/>
      <c r="B664" s="64"/>
      <c r="C664" s="64"/>
      <c r="D664" s="65"/>
      <c r="E664" s="64"/>
      <c r="F664" s="64"/>
    </row>
    <row r="665" spans="1:6" ht="12.75">
      <c r="A665" s="64"/>
      <c r="B665" s="64"/>
      <c r="C665" s="64"/>
      <c r="D665" s="65"/>
      <c r="E665" s="64"/>
      <c r="F665" s="64"/>
    </row>
    <row r="666" spans="1:6" ht="12.75">
      <c r="A666" s="64"/>
      <c r="B666" s="64"/>
      <c r="C666" s="64"/>
      <c r="D666" s="65"/>
      <c r="E666" s="64"/>
      <c r="F666" s="64"/>
    </row>
    <row r="667" spans="1:6" ht="12.75">
      <c r="A667" s="64"/>
      <c r="B667" s="64"/>
      <c r="C667" s="64"/>
      <c r="D667" s="65"/>
      <c r="E667" s="64"/>
      <c r="F667" s="64"/>
    </row>
    <row r="668" spans="1:6" ht="12.75">
      <c r="A668" s="64"/>
      <c r="B668" s="64"/>
      <c r="C668" s="64"/>
      <c r="D668" s="65"/>
      <c r="E668" s="64"/>
      <c r="F668" s="64"/>
    </row>
    <row r="669" spans="1:6" ht="12.75">
      <c r="A669" s="64"/>
      <c r="B669" s="64"/>
      <c r="C669" s="64"/>
      <c r="D669" s="65"/>
      <c r="E669" s="64"/>
      <c r="F669" s="64"/>
    </row>
    <row r="670" spans="1:6" ht="12.75">
      <c r="A670" s="64"/>
      <c r="B670" s="64"/>
      <c r="C670" s="64"/>
      <c r="D670" s="65"/>
      <c r="E670" s="64"/>
      <c r="F670" s="64"/>
    </row>
    <row r="671" spans="1:6" ht="12.75">
      <c r="A671" s="64"/>
      <c r="B671" s="64"/>
      <c r="C671" s="64"/>
      <c r="D671" s="65"/>
      <c r="E671" s="64"/>
      <c r="F671" s="64"/>
    </row>
    <row r="672" spans="1:6" ht="12.75">
      <c r="A672" s="64"/>
      <c r="B672" s="64"/>
      <c r="C672" s="64"/>
      <c r="D672" s="65"/>
      <c r="E672" s="64"/>
      <c r="F672" s="64"/>
    </row>
    <row r="673" spans="1:6" ht="12.75">
      <c r="A673" s="64"/>
      <c r="B673" s="64"/>
      <c r="C673" s="64"/>
      <c r="D673" s="65"/>
      <c r="E673" s="64"/>
      <c r="F673" s="64"/>
    </row>
    <row r="674" spans="1:6" ht="12.75">
      <c r="A674" s="64"/>
      <c r="B674" s="64"/>
      <c r="C674" s="64"/>
      <c r="D674" s="65"/>
      <c r="E674" s="64"/>
      <c r="F674" s="64"/>
    </row>
    <row r="675" spans="1:6" ht="12.75">
      <c r="A675" s="64"/>
      <c r="B675" s="64"/>
      <c r="C675" s="64"/>
      <c r="D675" s="65"/>
      <c r="E675" s="64"/>
      <c r="F675" s="64"/>
    </row>
    <row r="676" spans="1:6" ht="12.75">
      <c r="A676" s="64"/>
      <c r="B676" s="64"/>
      <c r="C676" s="64"/>
      <c r="D676" s="65"/>
      <c r="E676" s="64"/>
      <c r="F676" s="64"/>
    </row>
    <row r="677" spans="1:6" ht="12.75">
      <c r="A677" s="64"/>
      <c r="B677" s="64"/>
      <c r="C677" s="64"/>
      <c r="D677" s="65"/>
      <c r="E677" s="64"/>
      <c r="F677" s="64"/>
    </row>
    <row r="678" spans="1:6" ht="12.75">
      <c r="A678" s="64"/>
      <c r="B678" s="64"/>
      <c r="C678" s="64"/>
      <c r="D678" s="65"/>
      <c r="E678" s="64"/>
      <c r="F678" s="64"/>
    </row>
    <row r="679" spans="1:6" ht="12.75">
      <c r="A679" s="64"/>
      <c r="B679" s="64"/>
      <c r="C679" s="64"/>
      <c r="D679" s="65"/>
      <c r="E679" s="64"/>
      <c r="F679" s="64"/>
    </row>
    <row r="680" spans="1:6" ht="12.75">
      <c r="A680" s="64"/>
      <c r="B680" s="64"/>
      <c r="C680" s="64"/>
      <c r="D680" s="65"/>
      <c r="E680" s="64"/>
      <c r="F680" s="64"/>
    </row>
    <row r="681" spans="1:6" ht="12.75">
      <c r="A681" s="64"/>
      <c r="B681" s="64"/>
      <c r="C681" s="64"/>
      <c r="D681" s="65"/>
      <c r="E681" s="64"/>
      <c r="F681" s="64"/>
    </row>
    <row r="682" spans="1:6" ht="12.75">
      <c r="A682" s="64"/>
      <c r="B682" s="64"/>
      <c r="C682" s="64"/>
      <c r="D682" s="65"/>
      <c r="E682" s="64"/>
      <c r="F682" s="64"/>
    </row>
    <row r="683" spans="1:6" ht="12.75">
      <c r="A683" s="64"/>
      <c r="B683" s="64"/>
      <c r="C683" s="64"/>
      <c r="D683" s="65"/>
      <c r="E683" s="64"/>
      <c r="F683" s="64"/>
    </row>
    <row r="684" spans="1:6" ht="12.75">
      <c r="A684" s="64"/>
      <c r="B684" s="64"/>
      <c r="C684" s="64"/>
      <c r="D684" s="65"/>
      <c r="E684" s="64"/>
      <c r="F684" s="64"/>
    </row>
    <row r="685" spans="1:6" ht="12.75">
      <c r="A685" s="64"/>
      <c r="B685" s="64"/>
      <c r="C685" s="64"/>
      <c r="D685" s="65"/>
      <c r="E685" s="64"/>
      <c r="F685" s="64"/>
    </row>
    <row r="686" spans="1:6" ht="12.75">
      <c r="A686" s="64"/>
      <c r="B686" s="64"/>
      <c r="C686" s="64"/>
      <c r="D686" s="65"/>
      <c r="E686" s="64"/>
      <c r="F686" s="64"/>
    </row>
    <row r="687" spans="1:6" ht="12.75">
      <c r="A687" s="64"/>
      <c r="B687" s="64"/>
      <c r="C687" s="64"/>
      <c r="D687" s="65"/>
      <c r="E687" s="64"/>
      <c r="F687" s="64"/>
    </row>
    <row r="688" spans="1:6" ht="12.75">
      <c r="A688" s="64"/>
      <c r="B688" s="64"/>
      <c r="C688" s="64"/>
      <c r="D688" s="65"/>
      <c r="E688" s="64"/>
      <c r="F688" s="64"/>
    </row>
    <row r="689" spans="1:6" ht="12.75">
      <c r="A689" s="64"/>
      <c r="B689" s="64"/>
      <c r="C689" s="64"/>
      <c r="D689" s="65"/>
      <c r="E689" s="64"/>
      <c r="F689" s="64"/>
    </row>
    <row r="690" spans="1:6" ht="12.75">
      <c r="A690" s="64"/>
      <c r="B690" s="64"/>
      <c r="C690" s="64"/>
      <c r="D690" s="65"/>
      <c r="E690" s="64"/>
      <c r="F690" s="64"/>
    </row>
    <row r="691" spans="1:6" ht="12.75">
      <c r="A691" s="64"/>
      <c r="B691" s="64"/>
      <c r="C691" s="64"/>
      <c r="D691" s="65"/>
      <c r="E691" s="64"/>
      <c r="F691" s="64"/>
    </row>
    <row r="692" spans="1:6" ht="12.75">
      <c r="A692" s="64"/>
      <c r="B692" s="64"/>
      <c r="C692" s="64"/>
      <c r="D692" s="65"/>
      <c r="E692" s="64"/>
      <c r="F692" s="64"/>
    </row>
    <row r="693" spans="1:6" ht="12.75">
      <c r="A693" s="64"/>
      <c r="B693" s="64"/>
      <c r="C693" s="64"/>
      <c r="D693" s="65"/>
      <c r="E693" s="64"/>
      <c r="F693" s="64"/>
    </row>
    <row r="694" spans="1:6" ht="12.75">
      <c r="A694" s="64"/>
      <c r="B694" s="64"/>
      <c r="C694" s="64"/>
      <c r="D694" s="65"/>
      <c r="E694" s="64"/>
      <c r="F694" s="64"/>
    </row>
    <row r="695" spans="1:6" ht="12.75">
      <c r="A695" s="64"/>
      <c r="B695" s="64"/>
      <c r="C695" s="64"/>
      <c r="D695" s="65"/>
      <c r="E695" s="64"/>
      <c r="F695" s="64"/>
    </row>
    <row r="696" spans="1:6" ht="12.75">
      <c r="A696" s="64"/>
      <c r="B696" s="64"/>
      <c r="C696" s="64"/>
      <c r="D696" s="65"/>
      <c r="E696" s="64"/>
      <c r="F696" s="64"/>
    </row>
    <row r="697" spans="1:6" ht="12.75">
      <c r="A697" s="64"/>
      <c r="B697" s="64"/>
      <c r="C697" s="64"/>
      <c r="D697" s="65"/>
      <c r="E697" s="64"/>
      <c r="F697" s="64"/>
    </row>
    <row r="698" spans="1:6" ht="12.75">
      <c r="A698" s="64"/>
      <c r="B698" s="64"/>
      <c r="C698" s="64"/>
      <c r="D698" s="65"/>
      <c r="E698" s="64"/>
      <c r="F698" s="64"/>
    </row>
    <row r="699" spans="1:6" ht="12.75">
      <c r="A699" s="64"/>
      <c r="B699" s="64"/>
      <c r="C699" s="64"/>
      <c r="D699" s="65"/>
      <c r="E699" s="64"/>
      <c r="F699" s="64"/>
    </row>
    <row r="700" spans="1:6" ht="12.75">
      <c r="A700" s="64"/>
      <c r="B700" s="64"/>
      <c r="C700" s="64"/>
      <c r="D700" s="65"/>
      <c r="E700" s="64"/>
      <c r="F700" s="64"/>
    </row>
    <row r="701" spans="1:6" ht="12.75">
      <c r="A701" s="64"/>
      <c r="B701" s="64"/>
      <c r="C701" s="64"/>
      <c r="D701" s="65"/>
      <c r="E701" s="64"/>
      <c r="F701" s="64"/>
    </row>
    <row r="702" spans="1:6" ht="12.75">
      <c r="A702" s="64"/>
      <c r="B702" s="64"/>
      <c r="C702" s="64"/>
      <c r="D702" s="65"/>
      <c r="E702" s="64"/>
      <c r="F702" s="64"/>
    </row>
    <row r="703" spans="1:6" ht="12.75">
      <c r="A703" s="64"/>
      <c r="B703" s="64"/>
      <c r="C703" s="64"/>
      <c r="D703" s="65"/>
      <c r="E703" s="64"/>
      <c r="F703" s="64"/>
    </row>
    <row r="704" spans="1:6" ht="12.75">
      <c r="A704" s="64"/>
      <c r="B704" s="64"/>
      <c r="C704" s="64"/>
      <c r="D704" s="65"/>
      <c r="E704" s="64"/>
      <c r="F704" s="64"/>
    </row>
    <row r="705" spans="1:6" ht="12.75">
      <c r="A705" s="64"/>
      <c r="B705" s="64"/>
      <c r="C705" s="64"/>
      <c r="D705" s="65"/>
      <c r="E705" s="64"/>
      <c r="F705" s="64"/>
    </row>
    <row r="706" spans="1:6" ht="12.75">
      <c r="A706" s="64"/>
      <c r="B706" s="64"/>
      <c r="C706" s="64"/>
      <c r="D706" s="65"/>
      <c r="E706" s="64"/>
      <c r="F706" s="64"/>
    </row>
    <row r="707" spans="1:6" ht="12.75">
      <c r="A707" s="64"/>
      <c r="B707" s="64"/>
      <c r="C707" s="64"/>
      <c r="D707" s="65"/>
      <c r="E707" s="64"/>
      <c r="F707" s="64"/>
    </row>
    <row r="708" spans="1:6" ht="12.75">
      <c r="A708" s="64"/>
      <c r="B708" s="64"/>
      <c r="C708" s="64"/>
      <c r="D708" s="65"/>
      <c r="E708" s="64"/>
      <c r="F708" s="64"/>
    </row>
    <row r="709" spans="1:6" ht="12.75">
      <c r="A709" s="64"/>
      <c r="B709" s="64"/>
      <c r="C709" s="64"/>
      <c r="D709" s="65"/>
      <c r="E709" s="64"/>
      <c r="F709" s="64"/>
    </row>
    <row r="710" spans="1:6" ht="12.75">
      <c r="A710" s="64"/>
      <c r="B710" s="64"/>
      <c r="C710" s="64"/>
      <c r="D710" s="65"/>
      <c r="E710" s="64"/>
      <c r="F710" s="64"/>
    </row>
    <row r="711" spans="1:6" ht="12.75">
      <c r="A711" s="64"/>
      <c r="B711" s="64"/>
      <c r="C711" s="64"/>
      <c r="D711" s="65"/>
      <c r="E711" s="64"/>
      <c r="F711" s="64"/>
    </row>
    <row r="712" spans="1:6" ht="12.75">
      <c r="A712" s="64"/>
      <c r="B712" s="64"/>
      <c r="C712" s="64"/>
      <c r="D712" s="65"/>
      <c r="E712" s="64"/>
      <c r="F712" s="64"/>
    </row>
    <row r="713" spans="1:6" ht="12.75">
      <c r="A713" s="64"/>
      <c r="B713" s="64"/>
      <c r="C713" s="64"/>
      <c r="D713" s="65"/>
      <c r="E713" s="64"/>
      <c r="F713" s="64"/>
    </row>
    <row r="714" spans="1:6" ht="12.75">
      <c r="A714" s="64"/>
      <c r="B714" s="64"/>
      <c r="C714" s="64"/>
      <c r="D714" s="65"/>
      <c r="E714" s="64"/>
      <c r="F714" s="64"/>
    </row>
    <row r="715" spans="1:6" ht="12.75">
      <c r="A715" s="64"/>
      <c r="B715" s="64"/>
      <c r="C715" s="64"/>
      <c r="D715" s="65"/>
      <c r="E715" s="64"/>
      <c r="F715" s="64"/>
    </row>
    <row r="716" spans="1:6" ht="12.75">
      <c r="A716" s="64"/>
      <c r="B716" s="64"/>
      <c r="C716" s="64"/>
      <c r="D716" s="65"/>
      <c r="E716" s="64"/>
      <c r="F716" s="64"/>
    </row>
    <row r="717" spans="1:6" ht="12.75">
      <c r="A717" s="64"/>
      <c r="B717" s="64"/>
      <c r="C717" s="64"/>
      <c r="D717" s="65"/>
      <c r="E717" s="64"/>
      <c r="F717" s="64"/>
    </row>
    <row r="718" spans="1:6" ht="12.75">
      <c r="A718" s="64"/>
      <c r="B718" s="64"/>
      <c r="C718" s="64"/>
      <c r="D718" s="65"/>
      <c r="E718" s="64"/>
      <c r="F718" s="64"/>
    </row>
    <row r="719" spans="1:6" ht="12.75">
      <c r="A719" s="64"/>
      <c r="B719" s="64"/>
      <c r="C719" s="64"/>
      <c r="D719" s="65"/>
      <c r="E719" s="64"/>
      <c r="F719" s="64"/>
    </row>
    <row r="720" spans="1:6" ht="12.75">
      <c r="A720" s="64"/>
      <c r="B720" s="64"/>
      <c r="C720" s="64"/>
      <c r="D720" s="65"/>
      <c r="E720" s="64"/>
      <c r="F720" s="64"/>
    </row>
    <row r="721" spans="1:6" ht="12.75">
      <c r="A721" s="64"/>
      <c r="B721" s="64"/>
      <c r="C721" s="64"/>
      <c r="D721" s="65"/>
      <c r="E721" s="64"/>
      <c r="F721" s="64"/>
    </row>
    <row r="722" spans="1:6" ht="12.75">
      <c r="A722" s="64"/>
      <c r="B722" s="64"/>
      <c r="C722" s="64"/>
      <c r="D722" s="65"/>
      <c r="E722" s="64"/>
      <c r="F722" s="64"/>
    </row>
    <row r="723" spans="1:6" ht="12.75">
      <c r="A723" s="64"/>
      <c r="B723" s="64"/>
      <c r="C723" s="64"/>
      <c r="D723" s="65"/>
      <c r="E723" s="64"/>
      <c r="F723" s="64"/>
    </row>
    <row r="724" spans="1:6" ht="12.75">
      <c r="A724" s="64"/>
      <c r="B724" s="64"/>
      <c r="C724" s="64"/>
      <c r="D724" s="65"/>
      <c r="E724" s="64"/>
      <c r="F724" s="64"/>
    </row>
    <row r="725" spans="1:6" ht="12.75">
      <c r="A725" s="64"/>
      <c r="B725" s="64"/>
      <c r="C725" s="64"/>
      <c r="D725" s="65"/>
      <c r="E725" s="64"/>
      <c r="F725" s="64"/>
    </row>
    <row r="726" spans="1:6" ht="12.75">
      <c r="A726" s="64"/>
      <c r="B726" s="64"/>
      <c r="C726" s="64"/>
      <c r="D726" s="65"/>
      <c r="E726" s="64"/>
      <c r="F726" s="64"/>
    </row>
    <row r="727" spans="1:6" ht="12.75">
      <c r="A727" s="64"/>
      <c r="B727" s="64"/>
      <c r="C727" s="64"/>
      <c r="D727" s="65"/>
      <c r="E727" s="64"/>
      <c r="F727" s="64"/>
    </row>
    <row r="728" spans="1:6" ht="12.75">
      <c r="A728" s="64"/>
      <c r="B728" s="64"/>
      <c r="C728" s="64"/>
      <c r="D728" s="65"/>
      <c r="E728" s="64"/>
      <c r="F728" s="64"/>
    </row>
    <row r="729" spans="1:6" ht="12.75">
      <c r="A729" s="64"/>
      <c r="B729" s="64"/>
      <c r="C729" s="64"/>
      <c r="D729" s="65"/>
      <c r="E729" s="64"/>
      <c r="F729" s="64"/>
    </row>
    <row r="730" spans="1:6" ht="12.75">
      <c r="A730" s="64"/>
      <c r="B730" s="64"/>
      <c r="C730" s="64"/>
      <c r="D730" s="65"/>
      <c r="E730" s="64"/>
      <c r="F730" s="64"/>
    </row>
    <row r="731" spans="1:6" ht="12.75">
      <c r="A731" s="64"/>
      <c r="B731" s="64"/>
      <c r="C731" s="64"/>
      <c r="D731" s="65"/>
      <c r="E731" s="64"/>
      <c r="F731" s="64"/>
    </row>
    <row r="732" spans="1:6" ht="12.75">
      <c r="A732" s="64"/>
      <c r="B732" s="64"/>
      <c r="C732" s="64"/>
      <c r="D732" s="65"/>
      <c r="E732" s="64"/>
      <c r="F732" s="64"/>
    </row>
    <row r="733" spans="1:6" ht="12.75">
      <c r="A733" s="64"/>
      <c r="B733" s="64"/>
      <c r="C733" s="64"/>
      <c r="D733" s="65"/>
      <c r="E733" s="64"/>
      <c r="F733" s="64"/>
    </row>
    <row r="734" spans="1:6" ht="12.75">
      <c r="A734" s="64"/>
      <c r="B734" s="64"/>
      <c r="C734" s="64"/>
      <c r="D734" s="65"/>
      <c r="E734" s="64"/>
      <c r="F734" s="64"/>
    </row>
    <row r="735" spans="1:6" ht="12.75">
      <c r="A735" s="64"/>
      <c r="B735" s="64"/>
      <c r="C735" s="64"/>
      <c r="D735" s="65"/>
      <c r="E735" s="64"/>
      <c r="F735" s="64"/>
    </row>
    <row r="736" spans="1:6" ht="12.75">
      <c r="A736" s="64"/>
      <c r="B736" s="64"/>
      <c r="C736" s="64"/>
      <c r="D736" s="65"/>
      <c r="E736" s="64"/>
      <c r="F736" s="64"/>
    </row>
    <row r="737" spans="1:6" ht="12.75">
      <c r="A737" s="64"/>
      <c r="B737" s="64"/>
      <c r="C737" s="64"/>
      <c r="D737" s="65"/>
      <c r="E737" s="64"/>
      <c r="F737" s="64"/>
    </row>
    <row r="738" spans="1:6" ht="12.75">
      <c r="A738" s="64"/>
      <c r="B738" s="64"/>
      <c r="C738" s="64"/>
      <c r="D738" s="65"/>
      <c r="E738" s="64"/>
      <c r="F738" s="64"/>
    </row>
    <row r="739" spans="1:6" ht="12.75">
      <c r="A739" s="64"/>
      <c r="B739" s="64"/>
      <c r="C739" s="64"/>
      <c r="D739" s="65"/>
      <c r="E739" s="64"/>
      <c r="F739" s="64"/>
    </row>
    <row r="740" spans="1:6" ht="12.75">
      <c r="A740" s="64"/>
      <c r="B740" s="64"/>
      <c r="C740" s="64"/>
      <c r="D740" s="65"/>
      <c r="E740" s="64"/>
      <c r="F740" s="64"/>
    </row>
    <row r="741" spans="1:6" ht="12.75">
      <c r="A741" s="64"/>
      <c r="B741" s="64"/>
      <c r="C741" s="64"/>
      <c r="D741" s="65"/>
      <c r="E741" s="64"/>
      <c r="F741" s="64"/>
    </row>
    <row r="742" spans="1:6" ht="12.75">
      <c r="A742" s="64"/>
      <c r="B742" s="64"/>
      <c r="C742" s="64"/>
      <c r="D742" s="65"/>
      <c r="E742" s="64"/>
      <c r="F742" s="64"/>
    </row>
    <row r="743" spans="1:6" ht="12.75">
      <c r="A743" s="64"/>
      <c r="B743" s="64"/>
      <c r="C743" s="64"/>
      <c r="D743" s="65"/>
      <c r="E743" s="64"/>
      <c r="F743" s="64"/>
    </row>
    <row r="744" spans="1:6" ht="12.75">
      <c r="A744" s="64"/>
      <c r="B744" s="64"/>
      <c r="C744" s="64"/>
      <c r="D744" s="65"/>
      <c r="E744" s="64"/>
      <c r="F744" s="64"/>
    </row>
    <row r="745" spans="1:6" ht="12.75">
      <c r="A745" s="64"/>
      <c r="B745" s="64"/>
      <c r="C745" s="64"/>
      <c r="D745" s="65"/>
      <c r="E745" s="64"/>
      <c r="F745" s="64"/>
    </row>
    <row r="746" spans="1:6" ht="12.75">
      <c r="A746" s="64"/>
      <c r="B746" s="64"/>
      <c r="C746" s="64"/>
      <c r="D746" s="65"/>
      <c r="E746" s="64"/>
      <c r="F746" s="64"/>
    </row>
    <row r="747" spans="1:6" ht="12.75">
      <c r="A747" s="64"/>
      <c r="B747" s="64"/>
      <c r="C747" s="64"/>
      <c r="D747" s="65"/>
      <c r="E747" s="64"/>
      <c r="F747" s="64"/>
    </row>
    <row r="748" spans="1:6" ht="12.75">
      <c r="A748" s="64"/>
      <c r="B748" s="64"/>
      <c r="C748" s="64"/>
      <c r="D748" s="65"/>
      <c r="E748" s="64"/>
      <c r="F748" s="64"/>
    </row>
    <row r="749" spans="1:6" ht="12.75">
      <c r="A749" s="64"/>
      <c r="B749" s="64"/>
      <c r="C749" s="64"/>
      <c r="D749" s="65"/>
      <c r="E749" s="64"/>
      <c r="F749" s="64"/>
    </row>
    <row r="750" spans="1:6" ht="12.75">
      <c r="A750" s="64"/>
      <c r="B750" s="64"/>
      <c r="C750" s="64"/>
      <c r="D750" s="65"/>
      <c r="E750" s="64"/>
      <c r="F750" s="64"/>
    </row>
    <row r="751" spans="1:6" ht="12.75">
      <c r="A751" s="64"/>
      <c r="B751" s="64"/>
      <c r="C751" s="64"/>
      <c r="D751" s="65"/>
      <c r="E751" s="64"/>
      <c r="F751" s="64"/>
    </row>
    <row r="752" spans="1:6" ht="12.75">
      <c r="A752" s="64"/>
      <c r="B752" s="64"/>
      <c r="C752" s="64"/>
      <c r="D752" s="65"/>
      <c r="E752" s="64"/>
      <c r="F752" s="64"/>
    </row>
    <row r="753" spans="1:6" ht="12.75">
      <c r="A753" s="64"/>
      <c r="B753" s="64"/>
      <c r="C753" s="64"/>
      <c r="D753" s="65"/>
      <c r="E753" s="64"/>
      <c r="F753" s="64"/>
    </row>
    <row r="754" spans="1:6" ht="12.75">
      <c r="A754" s="64"/>
      <c r="B754" s="64"/>
      <c r="C754" s="64"/>
      <c r="D754" s="65"/>
      <c r="E754" s="64"/>
      <c r="F754" s="64"/>
    </row>
    <row r="755" spans="1:6" ht="12.75">
      <c r="A755" s="64"/>
      <c r="B755" s="64"/>
      <c r="C755" s="64"/>
      <c r="D755" s="65"/>
      <c r="E755" s="64"/>
      <c r="F755" s="64"/>
    </row>
    <row r="756" spans="1:6" ht="12.75">
      <c r="A756" s="64"/>
      <c r="B756" s="64"/>
      <c r="C756" s="64"/>
      <c r="D756" s="65"/>
      <c r="E756" s="64"/>
      <c r="F756" s="64"/>
    </row>
    <row r="757" spans="1:6" ht="12.75">
      <c r="A757" s="64"/>
      <c r="B757" s="64"/>
      <c r="C757" s="64"/>
      <c r="D757" s="65"/>
      <c r="E757" s="64"/>
      <c r="F757" s="64"/>
    </row>
    <row r="758" spans="1:6" ht="12.75">
      <c r="A758" s="64"/>
      <c r="B758" s="64"/>
      <c r="C758" s="64"/>
      <c r="D758" s="65"/>
      <c r="E758" s="64"/>
      <c r="F758" s="64"/>
    </row>
    <row r="759" spans="1:6" ht="12.75">
      <c r="A759" s="64"/>
      <c r="B759" s="64"/>
      <c r="C759" s="64"/>
      <c r="D759" s="65"/>
      <c r="E759" s="64"/>
      <c r="F759" s="64"/>
    </row>
    <row r="760" spans="1:6" ht="12.75">
      <c r="A760" s="64"/>
      <c r="B760" s="64"/>
      <c r="C760" s="64"/>
      <c r="D760" s="65"/>
      <c r="E760" s="64"/>
      <c r="F760" s="64"/>
    </row>
    <row r="761" spans="1:6" ht="12.75">
      <c r="A761" s="64"/>
      <c r="B761" s="64"/>
      <c r="C761" s="64"/>
      <c r="D761" s="65"/>
      <c r="E761" s="64"/>
      <c r="F761" s="64"/>
    </row>
    <row r="762" spans="1:6" ht="12.75">
      <c r="A762" s="64"/>
      <c r="B762" s="64"/>
      <c r="C762" s="64"/>
      <c r="D762" s="65"/>
      <c r="E762" s="64"/>
      <c r="F762" s="64"/>
    </row>
    <row r="763" spans="1:6" ht="12.75">
      <c r="A763" s="64"/>
      <c r="B763" s="64"/>
      <c r="C763" s="64"/>
      <c r="D763" s="65"/>
      <c r="E763" s="64"/>
      <c r="F763" s="64"/>
    </row>
    <row r="764" spans="1:6" ht="12.75">
      <c r="A764" s="64"/>
      <c r="B764" s="64"/>
      <c r="C764" s="64"/>
      <c r="D764" s="65"/>
      <c r="E764" s="64"/>
      <c r="F764" s="64"/>
    </row>
    <row r="765" spans="1:6" ht="12.75">
      <c r="A765" s="64"/>
      <c r="B765" s="64"/>
      <c r="C765" s="64"/>
      <c r="D765" s="65"/>
      <c r="E765" s="64"/>
      <c r="F765" s="64"/>
    </row>
    <row r="766" spans="1:6" ht="12.75">
      <c r="A766" s="64"/>
      <c r="B766" s="64"/>
      <c r="C766" s="64"/>
      <c r="D766" s="65"/>
      <c r="E766" s="64"/>
      <c r="F766" s="64"/>
    </row>
    <row r="767" spans="1:6" ht="12.75">
      <c r="A767" s="64"/>
      <c r="B767" s="64"/>
      <c r="C767" s="64"/>
      <c r="D767" s="65"/>
      <c r="E767" s="64"/>
      <c r="F767" s="64"/>
    </row>
    <row r="768" spans="1:6" ht="12.75">
      <c r="A768" s="64"/>
      <c r="B768" s="64"/>
      <c r="C768" s="64"/>
      <c r="D768" s="65"/>
      <c r="E768" s="64"/>
      <c r="F768" s="64"/>
    </row>
    <row r="769" spans="1:6" ht="12.75">
      <c r="A769" s="64"/>
      <c r="B769" s="64"/>
      <c r="C769" s="64"/>
      <c r="D769" s="65"/>
      <c r="E769" s="64"/>
      <c r="F769" s="64"/>
    </row>
    <row r="770" spans="1:6" ht="12.75">
      <c r="A770" s="64"/>
      <c r="B770" s="64"/>
      <c r="C770" s="64"/>
      <c r="D770" s="65"/>
      <c r="E770" s="64"/>
      <c r="F770" s="64"/>
    </row>
    <row r="771" spans="1:6" ht="12.75">
      <c r="A771" s="64"/>
      <c r="B771" s="64"/>
      <c r="C771" s="64"/>
      <c r="D771" s="65"/>
      <c r="E771" s="64"/>
      <c r="F771" s="64"/>
    </row>
    <row r="772" spans="1:6" ht="12.75">
      <c r="A772" s="64"/>
      <c r="B772" s="64"/>
      <c r="C772" s="64"/>
      <c r="D772" s="65"/>
      <c r="E772" s="64"/>
      <c r="F772" s="64"/>
    </row>
    <row r="773" spans="1:6" ht="12.75">
      <c r="A773" s="64"/>
      <c r="B773" s="64"/>
      <c r="C773" s="64"/>
      <c r="D773" s="65"/>
      <c r="E773" s="64"/>
      <c r="F773" s="64"/>
    </row>
    <row r="774" spans="1:6" ht="12.75">
      <c r="A774" s="64"/>
      <c r="B774" s="64"/>
      <c r="C774" s="64"/>
      <c r="D774" s="65"/>
      <c r="E774" s="64"/>
      <c r="F774" s="64"/>
    </row>
    <row r="775" spans="1:6" ht="12.75">
      <c r="A775" s="64"/>
      <c r="B775" s="64"/>
      <c r="C775" s="64"/>
      <c r="D775" s="65"/>
      <c r="E775" s="64"/>
      <c r="F775" s="64"/>
    </row>
    <row r="776" spans="1:6" ht="12.75">
      <c r="A776" s="64"/>
      <c r="B776" s="64"/>
      <c r="C776" s="64"/>
      <c r="D776" s="65"/>
      <c r="E776" s="64"/>
      <c r="F776" s="64"/>
    </row>
    <row r="777" spans="1:6" ht="12.75">
      <c r="A777" s="64"/>
      <c r="B777" s="64"/>
      <c r="C777" s="64"/>
      <c r="D777" s="65"/>
      <c r="E777" s="64"/>
      <c r="F777" s="64"/>
    </row>
    <row r="778" spans="1:6" ht="12.75">
      <c r="A778" s="64"/>
      <c r="B778" s="64"/>
      <c r="C778" s="64"/>
      <c r="D778" s="65"/>
      <c r="E778" s="64"/>
      <c r="F778" s="64"/>
    </row>
    <row r="779" spans="1:6" ht="12.75">
      <c r="A779" s="64"/>
      <c r="B779" s="64"/>
      <c r="C779" s="64"/>
      <c r="D779" s="65"/>
      <c r="E779" s="64"/>
      <c r="F779" s="64"/>
    </row>
    <row r="780" spans="1:6" ht="12.75">
      <c r="A780" s="64"/>
      <c r="B780" s="64"/>
      <c r="C780" s="64"/>
      <c r="D780" s="65"/>
      <c r="E780" s="64"/>
      <c r="F780" s="64"/>
    </row>
    <row r="781" spans="1:6" ht="12.75">
      <c r="A781" s="64"/>
      <c r="B781" s="64"/>
      <c r="C781" s="64"/>
      <c r="D781" s="65"/>
      <c r="E781" s="64"/>
      <c r="F781" s="64"/>
    </row>
    <row r="782" spans="1:6" ht="12.75">
      <c r="A782" s="64"/>
      <c r="B782" s="64"/>
      <c r="C782" s="64"/>
      <c r="D782" s="65"/>
      <c r="E782" s="64"/>
      <c r="F782" s="64"/>
    </row>
    <row r="783" spans="1:6" ht="12.75">
      <c r="A783" s="64"/>
      <c r="B783" s="64"/>
      <c r="C783" s="64"/>
      <c r="D783" s="65"/>
      <c r="E783" s="64"/>
      <c r="F783" s="64"/>
    </row>
    <row r="784" spans="1:6" ht="12.75">
      <c r="A784" s="64"/>
      <c r="B784" s="64"/>
      <c r="C784" s="64"/>
      <c r="D784" s="65"/>
      <c r="E784" s="64"/>
      <c r="F784" s="64"/>
    </row>
    <row r="785" spans="1:6" ht="12.75">
      <c r="A785" s="64"/>
      <c r="B785" s="64"/>
      <c r="C785" s="64"/>
      <c r="D785" s="65"/>
      <c r="E785" s="64"/>
      <c r="F785" s="64"/>
    </row>
    <row r="786" spans="1:6" ht="12.75">
      <c r="A786" s="64"/>
      <c r="B786" s="64"/>
      <c r="C786" s="64"/>
      <c r="D786" s="65"/>
      <c r="E786" s="64"/>
      <c r="F786" s="64"/>
    </row>
    <row r="787" spans="1:6" ht="12.75">
      <c r="A787" s="64"/>
      <c r="B787" s="64"/>
      <c r="C787" s="64"/>
      <c r="D787" s="65"/>
      <c r="E787" s="64"/>
      <c r="F787" s="64"/>
    </row>
    <row r="788" spans="1:6" ht="12.75">
      <c r="A788" s="64"/>
      <c r="B788" s="64"/>
      <c r="C788" s="64"/>
      <c r="D788" s="65"/>
      <c r="E788" s="64"/>
      <c r="F788" s="64"/>
    </row>
    <row r="789" spans="1:6" ht="12.75">
      <c r="A789" s="64"/>
      <c r="B789" s="64"/>
      <c r="C789" s="64"/>
      <c r="D789" s="65"/>
      <c r="E789" s="64"/>
      <c r="F789" s="64"/>
    </row>
    <row r="790" spans="1:6" ht="12.75">
      <c r="A790" s="64"/>
      <c r="B790" s="64"/>
      <c r="C790" s="64"/>
      <c r="D790" s="65"/>
      <c r="E790" s="64"/>
      <c r="F790" s="64"/>
    </row>
    <row r="791" spans="1:6" ht="12.75">
      <c r="A791" s="64"/>
      <c r="B791" s="64"/>
      <c r="C791" s="64"/>
      <c r="D791" s="65"/>
      <c r="E791" s="64"/>
      <c r="F791" s="64"/>
    </row>
    <row r="792" spans="1:6" ht="12.75">
      <c r="A792" s="64"/>
      <c r="B792" s="64"/>
      <c r="C792" s="64"/>
      <c r="D792" s="65"/>
      <c r="E792" s="64"/>
      <c r="F792" s="64"/>
    </row>
    <row r="793" spans="1:6" ht="12.75">
      <c r="A793" s="64"/>
      <c r="B793" s="64"/>
      <c r="C793" s="64"/>
      <c r="D793" s="65"/>
      <c r="E793" s="64"/>
      <c r="F793" s="64"/>
    </row>
    <row r="794" spans="1:6" ht="12.75">
      <c r="A794" s="64"/>
      <c r="B794" s="64"/>
      <c r="C794" s="64"/>
      <c r="D794" s="65"/>
      <c r="E794" s="64"/>
      <c r="F794" s="64"/>
    </row>
    <row r="795" spans="1:6" ht="12.75">
      <c r="A795" s="64"/>
      <c r="B795" s="64"/>
      <c r="C795" s="64"/>
      <c r="D795" s="65"/>
      <c r="E795" s="64"/>
      <c r="F795" s="64"/>
    </row>
    <row r="796" spans="1:6" ht="12.75">
      <c r="A796" s="64"/>
      <c r="B796" s="64"/>
      <c r="C796" s="64"/>
      <c r="D796" s="65"/>
      <c r="E796" s="64"/>
      <c r="F796" s="64"/>
    </row>
    <row r="797" spans="1:6" ht="12.75">
      <c r="A797" s="64"/>
      <c r="B797" s="64"/>
      <c r="C797" s="64"/>
      <c r="D797" s="65"/>
      <c r="E797" s="64"/>
      <c r="F797" s="64"/>
    </row>
    <row r="798" spans="1:6" ht="12.75">
      <c r="A798" s="64"/>
      <c r="B798" s="64"/>
      <c r="C798" s="64"/>
      <c r="D798" s="65"/>
      <c r="E798" s="64"/>
      <c r="F798" s="64"/>
    </row>
    <row r="799" spans="1:6" ht="12.75">
      <c r="A799" s="64"/>
      <c r="B799" s="64"/>
      <c r="C799" s="64"/>
      <c r="D799" s="65"/>
      <c r="E799" s="64"/>
      <c r="F799" s="64"/>
    </row>
    <row r="800" spans="1:6" ht="12.75">
      <c r="A800" s="64"/>
      <c r="B800" s="64"/>
      <c r="C800" s="64"/>
      <c r="D800" s="65"/>
      <c r="E800" s="64"/>
      <c r="F800" s="64"/>
    </row>
    <row r="801" spans="1:6" ht="12.75">
      <c r="A801" s="64"/>
      <c r="B801" s="64"/>
      <c r="C801" s="64"/>
      <c r="D801" s="65"/>
      <c r="E801" s="64"/>
      <c r="F801" s="64"/>
    </row>
    <row r="802" spans="1:6" ht="12.75">
      <c r="A802" s="64"/>
      <c r="B802" s="64"/>
      <c r="C802" s="64"/>
      <c r="D802" s="65"/>
      <c r="E802" s="64"/>
      <c r="F802" s="64"/>
    </row>
    <row r="803" spans="1:6" ht="12.75">
      <c r="A803" s="64"/>
      <c r="B803" s="64"/>
      <c r="C803" s="64"/>
      <c r="D803" s="65"/>
      <c r="E803" s="64"/>
      <c r="F803" s="64"/>
    </row>
    <row r="804" spans="1:6" ht="12.75">
      <c r="A804" s="64"/>
      <c r="B804" s="64"/>
      <c r="C804" s="64"/>
      <c r="D804" s="65"/>
      <c r="E804" s="64"/>
      <c r="F804" s="64"/>
    </row>
    <row r="805" spans="1:6" ht="12.75">
      <c r="A805" s="64"/>
      <c r="B805" s="64"/>
      <c r="C805" s="64"/>
      <c r="D805" s="65"/>
      <c r="E805" s="64"/>
      <c r="F805" s="64"/>
    </row>
    <row r="806" spans="1:6" ht="12.75">
      <c r="A806" s="64"/>
      <c r="B806" s="64"/>
      <c r="C806" s="64"/>
      <c r="D806" s="65"/>
      <c r="E806" s="64"/>
      <c r="F806" s="64"/>
    </row>
    <row r="807" spans="1:6" ht="12.75">
      <c r="A807" s="64"/>
      <c r="B807" s="64"/>
      <c r="C807" s="64"/>
      <c r="D807" s="65"/>
      <c r="E807" s="64"/>
      <c r="F807" s="64"/>
    </row>
    <row r="808" spans="1:6" ht="12.75">
      <c r="A808" s="64"/>
      <c r="B808" s="64"/>
      <c r="C808" s="64"/>
      <c r="D808" s="65"/>
      <c r="E808" s="64"/>
      <c r="F808" s="64"/>
    </row>
    <row r="809" spans="1:6" ht="12.75">
      <c r="A809" s="64"/>
      <c r="B809" s="64"/>
      <c r="C809" s="64"/>
      <c r="D809" s="65"/>
      <c r="E809" s="64"/>
      <c r="F809" s="64"/>
    </row>
    <row r="810" spans="1:6" ht="12.75">
      <c r="A810" s="64"/>
      <c r="B810" s="64"/>
      <c r="C810" s="64"/>
      <c r="D810" s="65"/>
      <c r="E810" s="64"/>
      <c r="F810" s="64"/>
    </row>
    <row r="811" spans="1:6" ht="12.75">
      <c r="A811" s="64"/>
      <c r="B811" s="64"/>
      <c r="C811" s="64"/>
      <c r="D811" s="65"/>
      <c r="E811" s="64"/>
      <c r="F811" s="64"/>
    </row>
    <row r="812" spans="1:6" ht="12.75">
      <c r="A812" s="64"/>
      <c r="B812" s="64"/>
      <c r="C812" s="64"/>
      <c r="D812" s="65"/>
      <c r="E812" s="64"/>
      <c r="F812" s="64"/>
    </row>
    <row r="813" spans="1:6" ht="12.75">
      <c r="A813" s="64"/>
      <c r="B813" s="64"/>
      <c r="C813" s="64"/>
      <c r="D813" s="65"/>
      <c r="E813" s="64"/>
      <c r="F813" s="64"/>
    </row>
    <row r="814" spans="1:6" ht="12.75">
      <c r="A814" s="64"/>
      <c r="B814" s="64"/>
      <c r="C814" s="64"/>
      <c r="D814" s="65"/>
      <c r="E814" s="64"/>
      <c r="F814" s="64"/>
    </row>
    <row r="815" spans="1:6" ht="12.75">
      <c r="A815" s="64"/>
      <c r="B815" s="64"/>
      <c r="C815" s="64"/>
      <c r="D815" s="65"/>
      <c r="E815" s="64"/>
      <c r="F815" s="64"/>
    </row>
    <row r="816" spans="1:6" ht="12.75">
      <c r="A816" s="64"/>
      <c r="B816" s="64"/>
      <c r="C816" s="64"/>
      <c r="D816" s="65"/>
      <c r="E816" s="64"/>
      <c r="F816" s="64"/>
    </row>
    <row r="817" spans="1:6" ht="12.75">
      <c r="A817" s="64"/>
      <c r="B817" s="64"/>
      <c r="C817" s="64"/>
      <c r="D817" s="65"/>
      <c r="E817" s="64"/>
      <c r="F817" s="64"/>
    </row>
    <row r="818" spans="1:6" ht="12.75">
      <c r="A818" s="64"/>
      <c r="B818" s="64"/>
      <c r="C818" s="64"/>
      <c r="D818" s="65"/>
      <c r="E818" s="64"/>
      <c r="F818" s="64"/>
    </row>
    <row r="819" spans="1:6" ht="12.75">
      <c r="A819" s="64"/>
      <c r="B819" s="64"/>
      <c r="C819" s="64"/>
      <c r="D819" s="65"/>
      <c r="E819" s="64"/>
      <c r="F819" s="64"/>
    </row>
    <row r="820" spans="1:6" ht="12.75">
      <c r="A820" s="64"/>
      <c r="B820" s="64"/>
      <c r="C820" s="64"/>
      <c r="D820" s="65"/>
      <c r="E820" s="64"/>
      <c r="F820" s="64"/>
    </row>
    <row r="821" spans="1:6" ht="12.75">
      <c r="A821" s="64"/>
      <c r="B821" s="64"/>
      <c r="C821" s="64"/>
      <c r="D821" s="65"/>
      <c r="E821" s="64"/>
      <c r="F821" s="64"/>
    </row>
    <row r="822" spans="1:6" ht="12.75">
      <c r="A822" s="64"/>
      <c r="B822" s="64"/>
      <c r="C822" s="64"/>
      <c r="D822" s="65"/>
      <c r="E822" s="64"/>
      <c r="F822" s="64"/>
    </row>
    <row r="823" spans="1:6" ht="12.75">
      <c r="A823" s="64"/>
      <c r="B823" s="64"/>
      <c r="C823" s="64"/>
      <c r="D823" s="65"/>
      <c r="E823" s="64"/>
      <c r="F823" s="64"/>
    </row>
    <row r="824" spans="1:6" ht="12.75">
      <c r="A824" s="64"/>
      <c r="B824" s="64"/>
      <c r="C824" s="64"/>
      <c r="D824" s="65"/>
      <c r="E824" s="64"/>
      <c r="F824" s="64"/>
    </row>
    <row r="825" spans="1:6" ht="12.75">
      <c r="A825" s="64"/>
      <c r="B825" s="64"/>
      <c r="C825" s="64"/>
      <c r="D825" s="65"/>
      <c r="E825" s="64"/>
      <c r="F825" s="64"/>
    </row>
    <row r="826" spans="1:6" ht="12.75">
      <c r="A826" s="64"/>
      <c r="B826" s="64"/>
      <c r="C826" s="64"/>
      <c r="D826" s="65"/>
      <c r="E826" s="64"/>
      <c r="F826" s="64"/>
    </row>
    <row r="827" spans="1:6" ht="12.75">
      <c r="A827" s="64"/>
      <c r="B827" s="64"/>
      <c r="C827" s="64"/>
      <c r="D827" s="65"/>
      <c r="E827" s="64"/>
      <c r="F827" s="64"/>
    </row>
    <row r="828" spans="1:6" ht="12.75">
      <c r="A828" s="64"/>
      <c r="B828" s="64"/>
      <c r="C828" s="64"/>
      <c r="D828" s="65"/>
      <c r="E828" s="64"/>
      <c r="F828" s="64"/>
    </row>
    <row r="829" spans="1:6" ht="12.75">
      <c r="A829" s="64"/>
      <c r="B829" s="64"/>
      <c r="C829" s="64"/>
      <c r="D829" s="65"/>
      <c r="E829" s="64"/>
      <c r="F829" s="64"/>
    </row>
    <row r="830" spans="1:6" ht="12.75">
      <c r="A830" s="64"/>
      <c r="B830" s="64"/>
      <c r="C830" s="64"/>
      <c r="D830" s="65"/>
      <c r="E830" s="64"/>
      <c r="F830" s="64"/>
    </row>
    <row r="831" spans="1:6" ht="12.75">
      <c r="A831" s="64"/>
      <c r="B831" s="64"/>
      <c r="C831" s="64"/>
      <c r="D831" s="65"/>
      <c r="E831" s="64"/>
      <c r="F831" s="64"/>
    </row>
    <row r="832" spans="1:6" ht="12.75">
      <c r="A832" s="64"/>
      <c r="B832" s="64"/>
      <c r="C832" s="64"/>
      <c r="D832" s="65"/>
      <c r="E832" s="64"/>
      <c r="F832" s="64"/>
    </row>
    <row r="833" spans="1:6" ht="12.75">
      <c r="A833" s="64"/>
      <c r="B833" s="64"/>
      <c r="C833" s="64"/>
      <c r="D833" s="65"/>
      <c r="E833" s="64"/>
      <c r="F833" s="64"/>
    </row>
    <row r="834" spans="1:6" ht="12.75">
      <c r="A834" s="64"/>
      <c r="B834" s="64"/>
      <c r="C834" s="64"/>
      <c r="D834" s="65"/>
      <c r="E834" s="64"/>
      <c r="F834" s="64"/>
    </row>
    <row r="835" spans="1:6" ht="12.75">
      <c r="A835" s="64"/>
      <c r="B835" s="64"/>
      <c r="C835" s="64"/>
      <c r="D835" s="65"/>
      <c r="E835" s="64"/>
      <c r="F835" s="64"/>
    </row>
    <row r="836" spans="1:6" ht="12.75">
      <c r="A836" s="64"/>
      <c r="B836" s="64"/>
      <c r="C836" s="64"/>
      <c r="D836" s="65"/>
      <c r="E836" s="64"/>
      <c r="F836" s="64"/>
    </row>
    <row r="837" spans="1:6" ht="12.75">
      <c r="A837" s="64"/>
      <c r="B837" s="64"/>
      <c r="C837" s="64"/>
      <c r="D837" s="65"/>
      <c r="E837" s="64"/>
      <c r="F837" s="64"/>
    </row>
    <row r="838" spans="1:6" ht="12.75">
      <c r="A838" s="64"/>
      <c r="B838" s="64"/>
      <c r="C838" s="64"/>
      <c r="D838" s="65"/>
      <c r="E838" s="64"/>
      <c r="F838" s="64"/>
    </row>
    <row r="839" spans="1:6" ht="12.75">
      <c r="A839" s="64"/>
      <c r="B839" s="64"/>
      <c r="C839" s="64"/>
      <c r="D839" s="65"/>
      <c r="E839" s="64"/>
      <c r="F839" s="64"/>
    </row>
    <row r="840" spans="1:6" ht="12.75">
      <c r="A840" s="64"/>
      <c r="B840" s="64"/>
      <c r="C840" s="64"/>
      <c r="D840" s="65"/>
      <c r="E840" s="64"/>
      <c r="F840" s="64"/>
    </row>
    <row r="841" spans="1:6" ht="12.75">
      <c r="A841" s="64"/>
      <c r="B841" s="64"/>
      <c r="C841" s="64"/>
      <c r="D841" s="65"/>
      <c r="E841" s="64"/>
      <c r="F841" s="64"/>
    </row>
    <row r="842" spans="1:6" ht="12.75">
      <c r="A842" s="64"/>
      <c r="B842" s="64"/>
      <c r="C842" s="64"/>
      <c r="D842" s="65"/>
      <c r="E842" s="64"/>
      <c r="F842" s="64"/>
    </row>
    <row r="843" spans="1:6" ht="12.75">
      <c r="A843" s="64"/>
      <c r="B843" s="64"/>
      <c r="C843" s="64"/>
      <c r="D843" s="65"/>
      <c r="E843" s="64"/>
      <c r="F843" s="64"/>
    </row>
    <row r="844" spans="1:6" ht="12.75">
      <c r="A844" s="64"/>
      <c r="B844" s="64"/>
      <c r="C844" s="64"/>
      <c r="D844" s="65"/>
      <c r="E844" s="64"/>
      <c r="F844" s="64"/>
    </row>
    <row r="845" spans="1:6" ht="12.75">
      <c r="A845" s="64"/>
      <c r="B845" s="64"/>
      <c r="C845" s="64"/>
      <c r="D845" s="65"/>
      <c r="E845" s="64"/>
      <c r="F845" s="64"/>
    </row>
    <row r="846" spans="1:6" ht="12.75">
      <c r="A846" s="64"/>
      <c r="B846" s="64"/>
      <c r="C846" s="64"/>
      <c r="D846" s="65"/>
      <c r="E846" s="64"/>
      <c r="F846" s="64"/>
    </row>
    <row r="847" spans="1:6" ht="12.75">
      <c r="A847" s="64"/>
      <c r="B847" s="64"/>
      <c r="C847" s="64"/>
      <c r="D847" s="65"/>
      <c r="E847" s="64"/>
      <c r="F847" s="64"/>
    </row>
    <row r="848" spans="1:6" ht="12.75">
      <c r="A848" s="64"/>
      <c r="B848" s="64"/>
      <c r="C848" s="64"/>
      <c r="D848" s="65"/>
      <c r="E848" s="64"/>
      <c r="F848" s="64"/>
    </row>
    <row r="849" spans="1:6" ht="12.75">
      <c r="A849" s="64"/>
      <c r="B849" s="64"/>
      <c r="C849" s="64"/>
      <c r="D849" s="65"/>
      <c r="E849" s="64"/>
      <c r="F849" s="64"/>
    </row>
    <row r="850" spans="1:6" ht="12.75">
      <c r="A850" s="64"/>
      <c r="B850" s="64"/>
      <c r="C850" s="64"/>
      <c r="D850" s="65"/>
      <c r="E850" s="64"/>
      <c r="F850" s="64"/>
    </row>
  </sheetData>
  <autoFilter ref="A1:G272" xr:uid="{00000000-0009-0000-0000-00000A000000}">
    <filterColumn colId="6">
      <filters>
        <filter val="Yes"/>
        <filter val="Proposal"/>
      </filters>
    </filterColumn>
  </autoFilter>
  <customSheetViews>
    <customSheetView guid="{428B87FD-4824-4EFD-BF5A-A5063AE795CB}" filter="1" showAutoFilter="1">
      <pageMargins left="0.7" right="0.7" top="0.75" bottom="0.75" header="0.3" footer="0.3"/>
      <autoFilter ref="A1:I304" xr:uid="{EE1E2F25-BCC6-479C-BEE3-DA40B8AD8BAB}"/>
    </customSheetView>
  </customSheetViews>
  <dataValidations count="1">
    <dataValidation type="list" allowBlank="1" showErrorMessage="1" sqref="G2:G304" xr:uid="{00000000-0002-0000-0A00-000000000000}">
      <formula1>"Yes,No,Proposal"</formula1>
    </dataValidation>
  </dataValidations>
  <printOptions horizontalCentered="1" gridLines="1"/>
  <pageMargins left="0.25" right="0.25" top="0.75" bottom="0.75" header="0" footer="0"/>
  <pageSetup paperSize="6" fitToHeight="0" pageOrder="overThenDown" orientation="landscape" cellComments="atEnd"/>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M55"/>
  <sheetViews>
    <sheetView showGridLines="0" workbookViewId="0">
      <pane ySplit="6" topLeftCell="A7" activePane="bottomLeft" state="frozen"/>
      <selection pane="bottomLeft" activeCell="B8" sqref="B8"/>
    </sheetView>
  </sheetViews>
  <sheetFormatPr defaultColWidth="12.5703125" defaultRowHeight="15.75" customHeight="1"/>
  <cols>
    <col min="1" max="1" width="6.140625" customWidth="1"/>
    <col min="2" max="2" width="16.28515625" customWidth="1"/>
    <col min="3" max="3" width="14.85546875" customWidth="1"/>
    <col min="4" max="4" width="13.7109375" customWidth="1"/>
    <col min="5" max="5" width="34.140625" customWidth="1"/>
    <col min="6" max="9" width="19.42578125" customWidth="1"/>
    <col min="10" max="10" width="21.140625" customWidth="1"/>
    <col min="11" max="12" width="20.85546875" customWidth="1"/>
    <col min="13" max="13" width="38.42578125" customWidth="1"/>
  </cols>
  <sheetData>
    <row r="1" spans="1:13" ht="15.75" customHeight="1">
      <c r="A1" s="539" t="s">
        <v>1460</v>
      </c>
      <c r="B1" s="517"/>
      <c r="C1" s="517"/>
      <c r="D1" s="517"/>
      <c r="E1" s="517"/>
      <c r="F1" s="517"/>
      <c r="G1" s="517"/>
      <c r="H1" s="517"/>
      <c r="I1" s="517"/>
      <c r="J1" s="517"/>
      <c r="K1" s="517"/>
      <c r="L1" s="517"/>
      <c r="M1" s="517"/>
    </row>
    <row r="2" spans="1:13" ht="15.75" customHeight="1">
      <c r="A2" s="540" t="s">
        <v>1464</v>
      </c>
      <c r="B2" s="517"/>
      <c r="C2" s="517"/>
      <c r="D2" s="517"/>
      <c r="E2" s="517"/>
      <c r="F2" s="517"/>
      <c r="G2" s="517"/>
      <c r="H2" s="517"/>
      <c r="I2" s="517"/>
      <c r="J2" s="517"/>
      <c r="K2" s="517"/>
      <c r="L2" s="517"/>
      <c r="M2" s="517"/>
    </row>
    <row r="3" spans="1:13" ht="12.75">
      <c r="A3" s="541">
        <f ca="1">NOW()</f>
        <v>46308.848431481485</v>
      </c>
      <c r="B3" s="517"/>
      <c r="C3" s="517"/>
      <c r="D3" s="517"/>
      <c r="E3" s="517"/>
      <c r="F3" s="517"/>
      <c r="G3" s="517"/>
      <c r="H3" s="517"/>
      <c r="I3" s="517"/>
      <c r="J3" s="517"/>
      <c r="K3" s="517"/>
      <c r="L3" s="517"/>
      <c r="M3" s="517"/>
    </row>
    <row r="4" spans="1:13" ht="12.75">
      <c r="K4" s="31"/>
      <c r="L4" s="31"/>
      <c r="M4" s="31"/>
    </row>
    <row r="6" spans="1:13" ht="25.5">
      <c r="A6" s="127" t="s">
        <v>1466</v>
      </c>
      <c r="B6" s="127" t="s">
        <v>2</v>
      </c>
      <c r="C6" s="127" t="s">
        <v>1</v>
      </c>
      <c r="D6" s="127" t="s">
        <v>0</v>
      </c>
      <c r="E6" s="127" t="s">
        <v>1469</v>
      </c>
      <c r="F6" s="127" t="s">
        <v>1470</v>
      </c>
      <c r="G6" s="127" t="s">
        <v>1471</v>
      </c>
      <c r="H6" s="127" t="s">
        <v>1472</v>
      </c>
      <c r="I6" s="127" t="s">
        <v>1473</v>
      </c>
      <c r="J6" s="127" t="s">
        <v>1474</v>
      </c>
      <c r="K6" s="127" t="s">
        <v>1475</v>
      </c>
      <c r="L6" s="127" t="s">
        <v>1476</v>
      </c>
      <c r="M6" s="127" t="s">
        <v>240</v>
      </c>
    </row>
    <row r="7" spans="1:13" ht="12.75">
      <c r="A7" s="23">
        <v>1</v>
      </c>
      <c r="B7" s="62" t="s">
        <v>268</v>
      </c>
      <c r="C7" s="62" t="s">
        <v>1477</v>
      </c>
      <c r="D7" s="62">
        <v>2</v>
      </c>
      <c r="E7" s="129" t="s">
        <v>1478</v>
      </c>
      <c r="F7" s="130">
        <v>45406</v>
      </c>
      <c r="G7" s="61">
        <v>2024</v>
      </c>
      <c r="H7" s="61" t="s">
        <v>1479</v>
      </c>
      <c r="I7" s="61" t="s">
        <v>1480</v>
      </c>
      <c r="J7" s="61"/>
      <c r="K7" s="131" t="s">
        <v>1481</v>
      </c>
      <c r="L7" s="131" t="s">
        <v>1476</v>
      </c>
      <c r="M7" s="61" t="s">
        <v>1486</v>
      </c>
    </row>
    <row r="8" spans="1:13" ht="12.75">
      <c r="A8" s="23">
        <v>2</v>
      </c>
      <c r="B8" s="62" t="s">
        <v>268</v>
      </c>
      <c r="C8" s="62" t="s">
        <v>1487</v>
      </c>
      <c r="D8" s="62">
        <v>2</v>
      </c>
      <c r="E8" s="132" t="s">
        <v>1488</v>
      </c>
      <c r="F8" s="130">
        <v>45406</v>
      </c>
      <c r="G8" s="61">
        <v>2024</v>
      </c>
      <c r="H8" s="61" t="s">
        <v>1479</v>
      </c>
      <c r="I8" s="61" t="s">
        <v>1480</v>
      </c>
      <c r="J8" s="61"/>
      <c r="K8" s="131" t="s">
        <v>1481</v>
      </c>
      <c r="L8" s="131" t="s">
        <v>1476</v>
      </c>
      <c r="M8" s="61" t="s">
        <v>350</v>
      </c>
    </row>
    <row r="9" spans="1:13" ht="12.75">
      <c r="A9" s="23">
        <v>3</v>
      </c>
      <c r="B9" s="62" t="s">
        <v>268</v>
      </c>
      <c r="C9" s="62" t="s">
        <v>1491</v>
      </c>
      <c r="D9" s="62">
        <v>2</v>
      </c>
      <c r="E9" s="132" t="s">
        <v>1492</v>
      </c>
      <c r="F9" s="130">
        <v>45505</v>
      </c>
      <c r="G9" s="61">
        <v>2024</v>
      </c>
      <c r="H9" s="61" t="s">
        <v>1479</v>
      </c>
      <c r="I9" s="61" t="s">
        <v>1480</v>
      </c>
      <c r="J9" s="61"/>
      <c r="K9" s="131" t="s">
        <v>1493</v>
      </c>
      <c r="L9" s="131" t="s">
        <v>1497</v>
      </c>
      <c r="M9" s="61" t="s">
        <v>1499</v>
      </c>
    </row>
    <row r="10" spans="1:13" ht="25.5">
      <c r="A10" s="23">
        <v>4</v>
      </c>
      <c r="B10" s="62" t="s">
        <v>113</v>
      </c>
      <c r="C10" s="62" t="s">
        <v>1500</v>
      </c>
      <c r="D10" s="62">
        <v>1</v>
      </c>
      <c r="E10" s="132" t="s">
        <v>1501</v>
      </c>
      <c r="F10" s="130">
        <v>45487</v>
      </c>
      <c r="G10" s="61">
        <v>2024</v>
      </c>
      <c r="H10" s="61" t="s">
        <v>1479</v>
      </c>
      <c r="I10" s="61" t="s">
        <v>1480</v>
      </c>
      <c r="J10" s="61"/>
      <c r="K10" s="131" t="s">
        <v>1502</v>
      </c>
      <c r="L10" s="131" t="s">
        <v>1497</v>
      </c>
      <c r="M10" s="61" t="s">
        <v>350</v>
      </c>
    </row>
    <row r="11" spans="1:13" ht="25.5">
      <c r="A11" s="23">
        <v>5</v>
      </c>
      <c r="B11" s="62" t="s">
        <v>113</v>
      </c>
      <c r="C11" s="62" t="s">
        <v>82</v>
      </c>
      <c r="D11" s="62">
        <v>1</v>
      </c>
      <c r="E11" s="132" t="s">
        <v>1507</v>
      </c>
      <c r="F11" s="130">
        <v>45574</v>
      </c>
      <c r="G11" s="61">
        <v>2024</v>
      </c>
      <c r="H11" s="61" t="s">
        <v>1479</v>
      </c>
      <c r="I11" s="61" t="s">
        <v>1480</v>
      </c>
      <c r="J11" s="61"/>
      <c r="K11" s="131" t="s">
        <v>1508</v>
      </c>
      <c r="L11" s="131" t="s">
        <v>1497</v>
      </c>
      <c r="M11" s="61" t="s">
        <v>350</v>
      </c>
    </row>
    <row r="12" spans="1:13" ht="25.5">
      <c r="A12" s="23">
        <v>6</v>
      </c>
      <c r="B12" s="62" t="s">
        <v>81</v>
      </c>
      <c r="C12" s="61" t="s">
        <v>320</v>
      </c>
      <c r="D12" s="61">
        <v>1</v>
      </c>
      <c r="E12" s="61" t="s">
        <v>322</v>
      </c>
      <c r="F12" s="130">
        <v>45553</v>
      </c>
      <c r="G12" s="61">
        <v>2024</v>
      </c>
      <c r="H12" s="61" t="s">
        <v>1479</v>
      </c>
      <c r="I12" s="61" t="s">
        <v>1512</v>
      </c>
      <c r="J12" s="61" t="s">
        <v>1515</v>
      </c>
      <c r="K12" s="131" t="s">
        <v>1516</v>
      </c>
      <c r="L12" s="131" t="s">
        <v>1497</v>
      </c>
      <c r="M12" s="61"/>
    </row>
    <row r="13" spans="1:13" ht="25.5">
      <c r="A13" s="23">
        <v>7</v>
      </c>
      <c r="B13" s="61" t="s">
        <v>67</v>
      </c>
      <c r="C13" s="61" t="s">
        <v>1518</v>
      </c>
      <c r="D13" s="61">
        <v>1</v>
      </c>
      <c r="E13" s="61" t="s">
        <v>552</v>
      </c>
      <c r="F13" s="130">
        <v>45636</v>
      </c>
      <c r="G13" s="61">
        <v>2024</v>
      </c>
      <c r="H13" s="61" t="s">
        <v>1479</v>
      </c>
      <c r="I13" s="61" t="s">
        <v>1512</v>
      </c>
      <c r="J13" s="138">
        <v>45688</v>
      </c>
      <c r="K13" s="131" t="s">
        <v>552</v>
      </c>
      <c r="L13" s="140"/>
      <c r="M13" s="61" t="s">
        <v>1523</v>
      </c>
    </row>
    <row r="14" spans="1:13" ht="12.75">
      <c r="A14" s="23">
        <v>8</v>
      </c>
      <c r="B14" s="61" t="s">
        <v>81</v>
      </c>
      <c r="C14" s="61"/>
      <c r="D14" s="61">
        <v>1</v>
      </c>
      <c r="E14" s="61" t="s">
        <v>1524</v>
      </c>
      <c r="F14" s="130">
        <v>45604</v>
      </c>
      <c r="G14" s="61">
        <v>2024</v>
      </c>
      <c r="H14" s="61" t="s">
        <v>1479</v>
      </c>
      <c r="I14" s="61" t="s">
        <v>1512</v>
      </c>
      <c r="J14" s="61"/>
      <c r="K14" s="131" t="s">
        <v>1524</v>
      </c>
      <c r="L14" s="131" t="s">
        <v>1476</v>
      </c>
      <c r="M14" s="61" t="s">
        <v>1529</v>
      </c>
    </row>
    <row r="15" spans="1:13" ht="12.75">
      <c r="A15" s="23">
        <v>9</v>
      </c>
      <c r="B15" s="61" t="s">
        <v>140</v>
      </c>
      <c r="C15" s="61" t="s">
        <v>1530</v>
      </c>
      <c r="D15" s="61">
        <v>1</v>
      </c>
      <c r="E15" s="142" t="s">
        <v>1531</v>
      </c>
      <c r="F15" s="130">
        <v>45608</v>
      </c>
      <c r="G15" s="61">
        <v>2024</v>
      </c>
      <c r="H15" s="61" t="s">
        <v>1479</v>
      </c>
      <c r="I15" s="61" t="s">
        <v>1512</v>
      </c>
      <c r="J15" s="61"/>
      <c r="K15" s="131" t="s">
        <v>1530</v>
      </c>
      <c r="L15" s="131" t="s">
        <v>1476</v>
      </c>
      <c r="M15" s="61" t="s">
        <v>1536</v>
      </c>
    </row>
    <row r="16" spans="1:13" ht="12.75">
      <c r="A16" s="23">
        <v>10</v>
      </c>
      <c r="B16" s="61" t="s">
        <v>268</v>
      </c>
      <c r="C16" s="61" t="s">
        <v>1537</v>
      </c>
      <c r="D16" s="61">
        <v>2</v>
      </c>
      <c r="E16" s="143" t="s">
        <v>1538</v>
      </c>
      <c r="F16" s="130">
        <v>45421</v>
      </c>
      <c r="G16" s="61">
        <v>2024</v>
      </c>
      <c r="H16" s="61" t="s">
        <v>1479</v>
      </c>
      <c r="I16" s="61" t="s">
        <v>1480</v>
      </c>
      <c r="J16" s="61"/>
      <c r="K16" s="131" t="s">
        <v>1538</v>
      </c>
      <c r="L16" s="131" t="s">
        <v>1476</v>
      </c>
      <c r="M16" s="61"/>
    </row>
    <row r="17" spans="1:13" ht="25.5">
      <c r="A17" s="23">
        <v>11</v>
      </c>
      <c r="B17" s="61" t="s">
        <v>81</v>
      </c>
      <c r="C17" s="61" t="s">
        <v>141</v>
      </c>
      <c r="D17" s="61">
        <v>1</v>
      </c>
      <c r="E17" s="144" t="s">
        <v>1543</v>
      </c>
      <c r="F17" s="130">
        <v>45538</v>
      </c>
      <c r="G17" s="61">
        <v>2024</v>
      </c>
      <c r="H17" s="61" t="s">
        <v>1479</v>
      </c>
      <c r="I17" s="61"/>
      <c r="J17" s="61"/>
      <c r="K17" s="131" t="s">
        <v>1544</v>
      </c>
      <c r="L17" s="131" t="s">
        <v>1476</v>
      </c>
      <c r="M17" s="61"/>
    </row>
    <row r="18" spans="1:13" ht="25.5">
      <c r="A18" s="23">
        <v>12</v>
      </c>
      <c r="B18" s="61" t="s">
        <v>81</v>
      </c>
      <c r="C18" s="61" t="s">
        <v>320</v>
      </c>
      <c r="D18" s="61">
        <v>1</v>
      </c>
      <c r="E18" s="147" t="s">
        <v>1548</v>
      </c>
      <c r="F18" s="130">
        <v>45561</v>
      </c>
      <c r="G18" s="61">
        <v>2024</v>
      </c>
      <c r="H18" s="61" t="s">
        <v>1479</v>
      </c>
      <c r="I18" s="61" t="s">
        <v>1480</v>
      </c>
      <c r="J18" s="61"/>
      <c r="K18" s="131" t="s">
        <v>1548</v>
      </c>
      <c r="L18" s="131" t="s">
        <v>1476</v>
      </c>
      <c r="M18" s="61" t="s">
        <v>350</v>
      </c>
    </row>
    <row r="19" spans="1:13" ht="12.75">
      <c r="A19" s="23">
        <v>13</v>
      </c>
      <c r="B19" s="61" t="s">
        <v>268</v>
      </c>
      <c r="C19" s="61" t="s">
        <v>4</v>
      </c>
      <c r="D19" s="61">
        <v>2</v>
      </c>
      <c r="E19" s="61" t="s">
        <v>1561</v>
      </c>
      <c r="F19" s="130">
        <v>45537</v>
      </c>
      <c r="G19" s="61">
        <v>2024</v>
      </c>
      <c r="H19" s="61" t="s">
        <v>1479</v>
      </c>
      <c r="I19" s="61" t="s">
        <v>1512</v>
      </c>
      <c r="J19" s="61"/>
      <c r="K19" s="131" t="s">
        <v>1561</v>
      </c>
      <c r="L19" s="131" t="s">
        <v>1476</v>
      </c>
      <c r="M19" s="61"/>
    </row>
    <row r="20" spans="1:13" ht="12.75">
      <c r="A20" s="23">
        <v>14</v>
      </c>
      <c r="B20" s="61" t="s">
        <v>113</v>
      </c>
      <c r="C20" s="61" t="s">
        <v>1567</v>
      </c>
      <c r="D20" s="61">
        <v>1</v>
      </c>
      <c r="E20" s="147" t="s">
        <v>1568</v>
      </c>
      <c r="F20" s="130">
        <v>45541</v>
      </c>
      <c r="G20" s="61">
        <v>2024</v>
      </c>
      <c r="H20" s="61" t="s">
        <v>1479</v>
      </c>
      <c r="I20" s="61" t="s">
        <v>1480</v>
      </c>
      <c r="J20" s="61"/>
      <c r="K20" s="131" t="s">
        <v>1570</v>
      </c>
      <c r="L20" s="131" t="s">
        <v>1476</v>
      </c>
      <c r="M20" s="61" t="s">
        <v>1582</v>
      </c>
    </row>
    <row r="21" spans="1:13" ht="12.75">
      <c r="A21" s="23">
        <v>15</v>
      </c>
      <c r="B21" s="61" t="s">
        <v>140</v>
      </c>
      <c r="C21" s="61" t="s">
        <v>191</v>
      </c>
      <c r="D21" s="61">
        <v>1</v>
      </c>
      <c r="E21" s="61" t="s">
        <v>1587</v>
      </c>
      <c r="F21" s="130">
        <v>45552</v>
      </c>
      <c r="G21" s="61">
        <v>2024</v>
      </c>
      <c r="H21" s="61" t="s">
        <v>1479</v>
      </c>
      <c r="I21" s="61" t="s">
        <v>1512</v>
      </c>
      <c r="J21" s="61"/>
      <c r="K21" s="131" t="s">
        <v>1588</v>
      </c>
      <c r="L21" s="131" t="s">
        <v>1476</v>
      </c>
      <c r="M21" s="61"/>
    </row>
    <row r="22" spans="1:13" ht="25.5">
      <c r="A22" s="23">
        <v>16</v>
      </c>
      <c r="B22" s="62" t="s">
        <v>140</v>
      </c>
      <c r="C22" s="62" t="s">
        <v>141</v>
      </c>
      <c r="D22" s="62">
        <v>1</v>
      </c>
      <c r="E22" s="62" t="s">
        <v>1596</v>
      </c>
      <c r="F22" s="130">
        <v>45642</v>
      </c>
      <c r="G22" s="61">
        <v>2024</v>
      </c>
      <c r="H22" s="61" t="s">
        <v>1555</v>
      </c>
      <c r="I22" s="61" t="s">
        <v>1512</v>
      </c>
      <c r="J22" s="61" t="s">
        <v>1598</v>
      </c>
      <c r="K22" s="131" t="s">
        <v>1555</v>
      </c>
      <c r="L22" s="131" t="s">
        <v>1476</v>
      </c>
      <c r="M22" s="61"/>
    </row>
    <row r="23" spans="1:13" ht="25.5">
      <c r="A23" s="23">
        <v>17</v>
      </c>
      <c r="B23" s="62" t="s">
        <v>176</v>
      </c>
      <c r="C23" s="62" t="s">
        <v>1600</v>
      </c>
      <c r="D23" s="62">
        <v>1</v>
      </c>
      <c r="E23" s="62" t="s">
        <v>1601</v>
      </c>
      <c r="F23" s="130">
        <v>45665</v>
      </c>
      <c r="G23" s="61">
        <v>2025</v>
      </c>
      <c r="H23" s="61" t="s">
        <v>1479</v>
      </c>
      <c r="I23" s="61" t="s">
        <v>1512</v>
      </c>
      <c r="J23" s="61"/>
      <c r="K23" s="131" t="s">
        <v>1604</v>
      </c>
      <c r="L23" s="131" t="s">
        <v>1476</v>
      </c>
      <c r="M23" s="61"/>
    </row>
    <row r="24" spans="1:13" ht="38.25">
      <c r="A24" s="23">
        <v>18</v>
      </c>
      <c r="B24" s="62" t="s">
        <v>176</v>
      </c>
      <c r="C24" s="62" t="s">
        <v>1611</v>
      </c>
      <c r="D24" s="62">
        <v>1</v>
      </c>
      <c r="E24" s="132" t="s">
        <v>1612</v>
      </c>
      <c r="F24" s="130">
        <v>45672</v>
      </c>
      <c r="G24" s="61">
        <v>2025</v>
      </c>
      <c r="H24" s="61" t="s">
        <v>1479</v>
      </c>
      <c r="I24" s="61" t="s">
        <v>1480</v>
      </c>
      <c r="J24" s="61"/>
      <c r="K24" s="131" t="s">
        <v>1614</v>
      </c>
      <c r="L24" s="140"/>
      <c r="M24" s="61" t="s">
        <v>1616</v>
      </c>
    </row>
    <row r="25" spans="1:13" ht="12.75">
      <c r="A25" s="23">
        <v>19</v>
      </c>
      <c r="B25" s="62" t="s">
        <v>67</v>
      </c>
      <c r="C25" s="62" t="s">
        <v>1617</v>
      </c>
      <c r="D25" s="62">
        <v>1</v>
      </c>
      <c r="E25" s="132" t="s">
        <v>1618</v>
      </c>
      <c r="F25" s="130">
        <v>45681</v>
      </c>
      <c r="G25" s="61">
        <v>2025</v>
      </c>
      <c r="H25" s="61" t="s">
        <v>1479</v>
      </c>
      <c r="I25" s="61" t="s">
        <v>1480</v>
      </c>
      <c r="J25" s="61"/>
      <c r="K25" s="131" t="s">
        <v>1619</v>
      </c>
      <c r="L25" s="131" t="s">
        <v>1497</v>
      </c>
      <c r="M25" s="61" t="s">
        <v>350</v>
      </c>
    </row>
    <row r="26" spans="1:13" ht="25.5">
      <c r="A26" s="23">
        <v>20</v>
      </c>
      <c r="B26" s="62" t="s">
        <v>67</v>
      </c>
      <c r="C26" s="62" t="s">
        <v>354</v>
      </c>
      <c r="D26" s="62">
        <v>1</v>
      </c>
      <c r="E26" s="164" t="s">
        <v>1626</v>
      </c>
      <c r="F26" s="130">
        <v>45687</v>
      </c>
      <c r="G26" s="61">
        <v>2025</v>
      </c>
      <c r="H26" s="61" t="s">
        <v>1479</v>
      </c>
      <c r="I26" s="61"/>
      <c r="J26" s="61"/>
      <c r="K26" s="131" t="s">
        <v>1627</v>
      </c>
      <c r="L26" s="131" t="s">
        <v>1497</v>
      </c>
      <c r="M26" s="61"/>
    </row>
    <row r="27" spans="1:13" ht="12.75">
      <c r="A27" s="23">
        <v>21</v>
      </c>
      <c r="B27" s="62" t="s">
        <v>196</v>
      </c>
      <c r="C27" s="62" t="s">
        <v>1629</v>
      </c>
      <c r="D27" s="62">
        <v>1</v>
      </c>
      <c r="E27" s="62" t="s">
        <v>606</v>
      </c>
      <c r="F27" s="130">
        <v>45702</v>
      </c>
      <c r="G27" s="61">
        <v>2025</v>
      </c>
      <c r="H27" s="61" t="s">
        <v>1479</v>
      </c>
      <c r="I27" s="61" t="s">
        <v>1512</v>
      </c>
      <c r="J27" s="130">
        <v>45706</v>
      </c>
      <c r="K27" s="131" t="s">
        <v>1632</v>
      </c>
      <c r="L27" s="131" t="s">
        <v>1497</v>
      </c>
      <c r="M27" s="61" t="s">
        <v>1637</v>
      </c>
    </row>
    <row r="28" spans="1:13" ht="25.5">
      <c r="A28" s="23">
        <v>22</v>
      </c>
      <c r="B28" s="62" t="s">
        <v>196</v>
      </c>
      <c r="C28" s="62" t="s">
        <v>1638</v>
      </c>
      <c r="D28" s="62">
        <v>1</v>
      </c>
      <c r="E28" s="62" t="s">
        <v>1639</v>
      </c>
      <c r="F28" s="130">
        <v>45716</v>
      </c>
      <c r="G28" s="61">
        <v>2025</v>
      </c>
      <c r="H28" s="61" t="s">
        <v>1479</v>
      </c>
      <c r="I28" s="61" t="s">
        <v>1512</v>
      </c>
      <c r="J28" s="130"/>
      <c r="K28" s="131" t="s">
        <v>1640</v>
      </c>
      <c r="L28" s="131" t="s">
        <v>1497</v>
      </c>
      <c r="M28" s="61" t="s">
        <v>1637</v>
      </c>
    </row>
    <row r="29" spans="1:13" ht="25.5">
      <c r="A29" s="23">
        <v>23</v>
      </c>
      <c r="B29" s="62" t="s">
        <v>81</v>
      </c>
      <c r="C29" s="62" t="s">
        <v>1645</v>
      </c>
      <c r="D29" s="62">
        <v>1</v>
      </c>
      <c r="E29" s="164" t="s">
        <v>1543</v>
      </c>
      <c r="F29" s="130">
        <v>45733</v>
      </c>
      <c r="G29" s="61">
        <v>2025</v>
      </c>
      <c r="H29" s="61" t="s">
        <v>1479</v>
      </c>
      <c r="I29" s="61"/>
      <c r="J29" s="130"/>
      <c r="K29" s="131" t="s">
        <v>1646</v>
      </c>
      <c r="L29" s="131" t="s">
        <v>1497</v>
      </c>
      <c r="M29" s="61"/>
    </row>
    <row r="30" spans="1:13" ht="12.75">
      <c r="A30" s="23">
        <v>24</v>
      </c>
      <c r="B30" s="62" t="s">
        <v>117</v>
      </c>
      <c r="C30" s="62" t="s">
        <v>191</v>
      </c>
      <c r="D30" s="62">
        <v>2</v>
      </c>
      <c r="E30" s="129" t="s">
        <v>1653</v>
      </c>
      <c r="F30" s="130">
        <v>45736</v>
      </c>
      <c r="G30" s="61">
        <v>2025</v>
      </c>
      <c r="H30" s="61" t="s">
        <v>1479</v>
      </c>
      <c r="I30" s="61" t="s">
        <v>1480</v>
      </c>
      <c r="J30" s="130"/>
      <c r="K30" s="131" t="s">
        <v>1481</v>
      </c>
      <c r="L30" s="131" t="s">
        <v>1497</v>
      </c>
      <c r="M30" s="61" t="s">
        <v>1660</v>
      </c>
    </row>
    <row r="31" spans="1:13" ht="12.75">
      <c r="A31" s="23">
        <v>25</v>
      </c>
      <c r="B31" s="62" t="s">
        <v>117</v>
      </c>
      <c r="C31" s="62" t="s">
        <v>191</v>
      </c>
      <c r="D31" s="62">
        <v>2</v>
      </c>
      <c r="E31" s="62" t="s">
        <v>108</v>
      </c>
      <c r="F31" s="130">
        <v>45736</v>
      </c>
      <c r="G31" s="61">
        <v>2025</v>
      </c>
      <c r="H31" s="61" t="s">
        <v>1479</v>
      </c>
      <c r="I31" s="61" t="s">
        <v>1512</v>
      </c>
      <c r="J31" s="130"/>
      <c r="K31" s="131" t="s">
        <v>1481</v>
      </c>
      <c r="L31" s="131" t="s">
        <v>1497</v>
      </c>
      <c r="M31" s="61" t="s">
        <v>1668</v>
      </c>
    </row>
    <row r="32" spans="1:13" ht="12.75">
      <c r="A32" s="23">
        <v>26</v>
      </c>
      <c r="B32" s="62" t="s">
        <v>1669</v>
      </c>
      <c r="C32" s="62" t="s">
        <v>1669</v>
      </c>
      <c r="D32" s="62">
        <v>1</v>
      </c>
      <c r="E32" s="62" t="s">
        <v>1670</v>
      </c>
      <c r="F32" s="130">
        <v>45736</v>
      </c>
      <c r="G32" s="61">
        <v>2025</v>
      </c>
      <c r="H32" s="61" t="s">
        <v>1555</v>
      </c>
      <c r="I32" s="61" t="s">
        <v>1512</v>
      </c>
      <c r="J32" s="130"/>
      <c r="K32" s="140"/>
      <c r="L32" s="140"/>
      <c r="M32" s="61"/>
    </row>
    <row r="33" spans="1:13" ht="12.75">
      <c r="A33" s="23">
        <v>27</v>
      </c>
      <c r="B33" s="62" t="s">
        <v>67</v>
      </c>
      <c r="C33" s="62" t="s">
        <v>67</v>
      </c>
      <c r="D33" s="62">
        <v>1</v>
      </c>
      <c r="E33" s="62" t="s">
        <v>1671</v>
      </c>
      <c r="F33" s="130">
        <v>45782</v>
      </c>
      <c r="G33" s="61">
        <v>2025</v>
      </c>
      <c r="H33" s="61" t="s">
        <v>1555</v>
      </c>
      <c r="I33" s="61" t="s">
        <v>1512</v>
      </c>
      <c r="J33" s="130"/>
      <c r="K33" s="131" t="s">
        <v>1481</v>
      </c>
      <c r="L33" s="131" t="s">
        <v>1497</v>
      </c>
      <c r="M33" s="61"/>
    </row>
    <row r="34" spans="1:13" ht="12.75">
      <c r="A34" s="23">
        <v>28</v>
      </c>
      <c r="B34" s="62" t="s">
        <v>268</v>
      </c>
      <c r="C34" s="62" t="s">
        <v>268</v>
      </c>
      <c r="D34" s="62">
        <v>2</v>
      </c>
      <c r="E34" s="132" t="s">
        <v>1674</v>
      </c>
      <c r="F34" s="130">
        <v>45783</v>
      </c>
      <c r="G34" s="61">
        <v>2025</v>
      </c>
      <c r="H34" s="61" t="s">
        <v>1479</v>
      </c>
      <c r="I34" s="61" t="s">
        <v>1480</v>
      </c>
      <c r="J34" s="130"/>
      <c r="K34" s="131" t="s">
        <v>1481</v>
      </c>
      <c r="L34" s="131" t="s">
        <v>1497</v>
      </c>
      <c r="M34" s="61" t="s">
        <v>1680</v>
      </c>
    </row>
    <row r="35" spans="1:13" ht="12.75">
      <c r="A35" s="23">
        <v>29</v>
      </c>
      <c r="B35" s="62" t="s">
        <v>67</v>
      </c>
      <c r="C35" s="62" t="s">
        <v>1681</v>
      </c>
      <c r="D35" s="62">
        <v>1</v>
      </c>
      <c r="E35" s="132" t="s">
        <v>1682</v>
      </c>
      <c r="F35" s="130">
        <v>45834</v>
      </c>
      <c r="G35" s="61"/>
      <c r="H35" s="61" t="s">
        <v>1479</v>
      </c>
      <c r="I35" s="61" t="s">
        <v>1480</v>
      </c>
      <c r="J35" s="130"/>
      <c r="K35" s="131" t="s">
        <v>1481</v>
      </c>
      <c r="L35" s="140"/>
      <c r="M35" s="61" t="s">
        <v>1517</v>
      </c>
    </row>
    <row r="36" spans="1:13" ht="12.75">
      <c r="A36" s="23">
        <v>30</v>
      </c>
      <c r="B36" s="62" t="s">
        <v>268</v>
      </c>
      <c r="C36" s="62" t="s">
        <v>268</v>
      </c>
      <c r="D36" s="62">
        <v>2</v>
      </c>
      <c r="E36" s="62" t="s">
        <v>1685</v>
      </c>
      <c r="F36" s="61" t="s">
        <v>1686</v>
      </c>
      <c r="G36" s="61">
        <v>2025</v>
      </c>
      <c r="H36" s="61" t="s">
        <v>1555</v>
      </c>
      <c r="I36" s="61" t="s">
        <v>1512</v>
      </c>
      <c r="J36" s="130"/>
      <c r="K36" s="131" t="s">
        <v>1481</v>
      </c>
      <c r="L36" s="131" t="s">
        <v>1497</v>
      </c>
      <c r="M36" s="61"/>
    </row>
    <row r="37" spans="1:13" ht="12.75">
      <c r="A37" s="23">
        <v>31</v>
      </c>
      <c r="B37" s="62" t="s">
        <v>268</v>
      </c>
      <c r="C37" s="62" t="s">
        <v>381</v>
      </c>
      <c r="D37" s="62">
        <v>2</v>
      </c>
      <c r="E37" s="62" t="s">
        <v>1690</v>
      </c>
      <c r="F37" s="130">
        <v>45849</v>
      </c>
      <c r="G37" s="61">
        <v>2025</v>
      </c>
      <c r="H37" s="61" t="s">
        <v>1479</v>
      </c>
      <c r="I37" s="61" t="s">
        <v>1512</v>
      </c>
      <c r="J37" s="130"/>
      <c r="K37" s="131" t="s">
        <v>1481</v>
      </c>
      <c r="L37" s="131" t="s">
        <v>1497</v>
      </c>
      <c r="M37" s="61" t="s">
        <v>1698</v>
      </c>
    </row>
    <row r="38" spans="1:13" ht="12.75">
      <c r="A38" s="23">
        <v>32</v>
      </c>
      <c r="B38" s="13" t="s">
        <v>140</v>
      </c>
      <c r="C38" s="13" t="s">
        <v>141</v>
      </c>
      <c r="D38" s="62">
        <v>1</v>
      </c>
      <c r="E38" s="62" t="s">
        <v>1699</v>
      </c>
      <c r="F38" s="130">
        <v>45852</v>
      </c>
      <c r="G38" s="61">
        <v>2025</v>
      </c>
      <c r="H38" s="61" t="s">
        <v>1479</v>
      </c>
      <c r="I38" s="61" t="s">
        <v>1512</v>
      </c>
      <c r="J38" s="130"/>
      <c r="K38" s="131" t="s">
        <v>1481</v>
      </c>
      <c r="L38" s="131" t="s">
        <v>1497</v>
      </c>
      <c r="M38" s="61" t="s">
        <v>1706</v>
      </c>
    </row>
    <row r="39" spans="1:13" ht="12.75">
      <c r="A39" s="23">
        <v>33</v>
      </c>
      <c r="B39" s="62" t="s">
        <v>268</v>
      </c>
      <c r="C39" s="13" t="s">
        <v>1707</v>
      </c>
      <c r="D39" s="62">
        <v>2</v>
      </c>
      <c r="E39" s="62" t="s">
        <v>1708</v>
      </c>
      <c r="F39" s="130">
        <v>45852</v>
      </c>
      <c r="G39" s="61">
        <v>2025</v>
      </c>
      <c r="H39" s="61" t="s">
        <v>1709</v>
      </c>
      <c r="I39" s="61" t="s">
        <v>1512</v>
      </c>
      <c r="J39" s="130"/>
      <c r="K39" s="131" t="s">
        <v>1712</v>
      </c>
      <c r="L39" s="131" t="s">
        <v>1497</v>
      </c>
      <c r="M39" s="61"/>
    </row>
    <row r="40" spans="1:13" ht="12.75">
      <c r="A40" s="23">
        <v>34</v>
      </c>
      <c r="B40" s="62" t="s">
        <v>268</v>
      </c>
      <c r="C40" s="13" t="s">
        <v>40</v>
      </c>
      <c r="D40" s="62">
        <v>2</v>
      </c>
      <c r="E40" s="62" t="s">
        <v>1716</v>
      </c>
      <c r="F40" s="130">
        <v>45852</v>
      </c>
      <c r="G40" s="61">
        <v>2025</v>
      </c>
      <c r="H40" s="61" t="s">
        <v>1555</v>
      </c>
      <c r="I40" s="61" t="s">
        <v>1512</v>
      </c>
      <c r="J40" s="130"/>
      <c r="K40" s="131" t="s">
        <v>1481</v>
      </c>
      <c r="L40" s="140"/>
      <c r="M40" s="61"/>
    </row>
    <row r="41" spans="1:13" ht="12.75">
      <c r="A41" s="23">
        <v>35</v>
      </c>
      <c r="B41" s="62" t="s">
        <v>67</v>
      </c>
      <c r="C41" s="13" t="s">
        <v>1720</v>
      </c>
      <c r="D41" s="62">
        <v>1</v>
      </c>
      <c r="E41" s="62" t="s">
        <v>1722</v>
      </c>
      <c r="F41" s="130">
        <v>45863</v>
      </c>
      <c r="G41" s="61">
        <v>2025</v>
      </c>
      <c r="H41" s="61" t="s">
        <v>1479</v>
      </c>
      <c r="I41" s="61" t="s">
        <v>1512</v>
      </c>
      <c r="J41" s="130"/>
      <c r="K41" s="131" t="s">
        <v>1481</v>
      </c>
      <c r="L41" s="131" t="s">
        <v>1497</v>
      </c>
      <c r="M41" s="61"/>
    </row>
    <row r="42" spans="1:13" ht="12.75">
      <c r="A42" s="23">
        <v>36</v>
      </c>
      <c r="B42" s="62" t="s">
        <v>268</v>
      </c>
      <c r="C42" s="13" t="s">
        <v>18</v>
      </c>
      <c r="D42" s="62">
        <v>2</v>
      </c>
      <c r="E42" s="62" t="s">
        <v>1736</v>
      </c>
      <c r="F42" s="130">
        <v>45876</v>
      </c>
      <c r="G42" s="61">
        <v>2025</v>
      </c>
      <c r="H42" s="61" t="s">
        <v>1555</v>
      </c>
      <c r="I42" s="61" t="s">
        <v>1512</v>
      </c>
      <c r="J42" s="130"/>
      <c r="K42" s="131" t="s">
        <v>1481</v>
      </c>
      <c r="L42" s="140"/>
      <c r="M42" s="61"/>
    </row>
    <row r="43" spans="1:13" ht="25.5">
      <c r="A43" s="23">
        <v>37</v>
      </c>
      <c r="B43" s="62" t="s">
        <v>67</v>
      </c>
      <c r="C43" s="62" t="s">
        <v>1744</v>
      </c>
      <c r="D43" s="62">
        <v>1</v>
      </c>
      <c r="E43" s="62" t="s">
        <v>1745</v>
      </c>
      <c r="F43" s="130">
        <v>45908</v>
      </c>
      <c r="G43" s="61">
        <v>2025</v>
      </c>
      <c r="H43" s="61" t="s">
        <v>1479</v>
      </c>
      <c r="I43" s="61" t="s">
        <v>1512</v>
      </c>
      <c r="J43" s="130"/>
      <c r="K43" s="131" t="s">
        <v>1481</v>
      </c>
      <c r="L43" s="131" t="s">
        <v>1497</v>
      </c>
      <c r="M43" s="61" t="s">
        <v>1750</v>
      </c>
    </row>
    <row r="44" spans="1:13" ht="25.5">
      <c r="A44" s="23">
        <v>38</v>
      </c>
      <c r="B44" s="62" t="s">
        <v>268</v>
      </c>
      <c r="C44" s="62"/>
      <c r="D44" s="62"/>
      <c r="E44" s="62" t="s">
        <v>1751</v>
      </c>
      <c r="F44" s="130">
        <v>45909</v>
      </c>
      <c r="G44" s="61">
        <v>2025</v>
      </c>
      <c r="H44" s="61" t="s">
        <v>1555</v>
      </c>
      <c r="I44" s="61" t="s">
        <v>1512</v>
      </c>
      <c r="J44" s="130"/>
      <c r="K44" s="131" t="s">
        <v>1481</v>
      </c>
      <c r="L44" s="131" t="s">
        <v>1497</v>
      </c>
      <c r="M44" s="61"/>
    </row>
    <row r="45" spans="1:13" ht="12.75">
      <c r="A45" s="23">
        <v>39</v>
      </c>
      <c r="B45" s="62" t="s">
        <v>257</v>
      </c>
      <c r="C45" s="62" t="s">
        <v>415</v>
      </c>
      <c r="D45" s="62">
        <v>2</v>
      </c>
      <c r="E45" s="132" t="s">
        <v>1758</v>
      </c>
      <c r="F45" s="130">
        <v>45923</v>
      </c>
      <c r="G45" s="61">
        <v>2025</v>
      </c>
      <c r="H45" s="61" t="s">
        <v>1479</v>
      </c>
      <c r="I45" s="61" t="s">
        <v>1480</v>
      </c>
      <c r="J45" s="18"/>
      <c r="K45" s="131" t="s">
        <v>1481</v>
      </c>
      <c r="L45" s="131" t="s">
        <v>1497</v>
      </c>
      <c r="M45" s="140" t="s">
        <v>1761</v>
      </c>
    </row>
    <row r="46" spans="1:13" ht="12.75">
      <c r="A46" s="23">
        <v>40</v>
      </c>
      <c r="B46" s="62" t="s">
        <v>268</v>
      </c>
      <c r="C46" s="62" t="s">
        <v>290</v>
      </c>
      <c r="D46" s="62">
        <v>2</v>
      </c>
      <c r="E46" s="132" t="s">
        <v>1762</v>
      </c>
      <c r="F46" s="130">
        <v>45924</v>
      </c>
      <c r="G46" s="61">
        <v>2025</v>
      </c>
      <c r="H46" s="61" t="s">
        <v>1479</v>
      </c>
      <c r="I46" s="61" t="s">
        <v>1480</v>
      </c>
      <c r="J46" s="18"/>
      <c r="K46" s="131" t="s">
        <v>1481</v>
      </c>
      <c r="L46" s="131" t="s">
        <v>1497</v>
      </c>
      <c r="M46" s="16" t="s">
        <v>1770</v>
      </c>
    </row>
    <row r="47" spans="1:13" ht="12.75">
      <c r="A47" s="23">
        <v>41</v>
      </c>
      <c r="B47" s="62" t="s">
        <v>79</v>
      </c>
      <c r="C47" s="62"/>
      <c r="D47" s="62"/>
      <c r="E47" s="62" t="s">
        <v>1771</v>
      </c>
      <c r="F47" s="130">
        <v>45936</v>
      </c>
      <c r="G47" s="61">
        <v>2025</v>
      </c>
      <c r="H47" s="61" t="s">
        <v>1555</v>
      </c>
      <c r="I47" s="61" t="s">
        <v>1512</v>
      </c>
      <c r="K47" s="131" t="s">
        <v>1481</v>
      </c>
      <c r="L47" s="131" t="s">
        <v>1497</v>
      </c>
      <c r="M47" s="140"/>
    </row>
    <row r="48" spans="1:13" ht="12.75">
      <c r="A48" s="23">
        <v>42</v>
      </c>
      <c r="B48" s="62" t="s">
        <v>268</v>
      </c>
      <c r="C48" s="62"/>
      <c r="D48" s="62"/>
      <c r="E48" s="62" t="s">
        <v>1783</v>
      </c>
      <c r="F48" s="130">
        <v>45936</v>
      </c>
      <c r="G48" s="61">
        <v>2025</v>
      </c>
      <c r="H48" s="61" t="s">
        <v>1555</v>
      </c>
      <c r="I48" s="61" t="s">
        <v>1512</v>
      </c>
      <c r="J48" s="18"/>
      <c r="K48" s="131" t="s">
        <v>1481</v>
      </c>
      <c r="L48" s="131" t="s">
        <v>1497</v>
      </c>
      <c r="M48" s="18"/>
    </row>
    <row r="49" spans="1:13" ht="12.75">
      <c r="A49" s="23">
        <v>43</v>
      </c>
      <c r="B49" s="62" t="s">
        <v>268</v>
      </c>
      <c r="C49" s="62"/>
      <c r="D49" s="62"/>
      <c r="E49" s="62" t="s">
        <v>1794</v>
      </c>
      <c r="F49" s="130">
        <v>45937</v>
      </c>
      <c r="G49" s="61">
        <v>2025</v>
      </c>
      <c r="H49" s="61" t="s">
        <v>1555</v>
      </c>
      <c r="I49" s="61" t="s">
        <v>1512</v>
      </c>
      <c r="J49" s="18"/>
      <c r="K49" s="131" t="s">
        <v>1481</v>
      </c>
      <c r="L49" s="131" t="s">
        <v>1497</v>
      </c>
      <c r="M49" s="18"/>
    </row>
    <row r="50" spans="1:13" ht="25.5">
      <c r="A50" s="23">
        <v>44</v>
      </c>
      <c r="B50" s="62" t="s">
        <v>81</v>
      </c>
      <c r="C50" s="62"/>
      <c r="D50" s="62">
        <v>1</v>
      </c>
      <c r="E50" s="62" t="s">
        <v>1801</v>
      </c>
      <c r="F50" s="130">
        <v>45937</v>
      </c>
      <c r="G50" s="61">
        <v>2025</v>
      </c>
      <c r="H50" s="61" t="s">
        <v>1555</v>
      </c>
      <c r="I50" s="61" t="s">
        <v>1512</v>
      </c>
      <c r="J50" s="18"/>
      <c r="K50" s="131" t="s">
        <v>1481</v>
      </c>
      <c r="L50" s="131" t="s">
        <v>1497</v>
      </c>
      <c r="M50" s="18"/>
    </row>
    <row r="51" spans="1:13" ht="25.5">
      <c r="A51" s="23">
        <v>45</v>
      </c>
      <c r="B51" s="62" t="s">
        <v>268</v>
      </c>
      <c r="C51" s="62" t="s">
        <v>35</v>
      </c>
      <c r="D51" s="62">
        <v>2</v>
      </c>
      <c r="E51" s="62" t="s">
        <v>1817</v>
      </c>
      <c r="F51" s="130">
        <v>45944</v>
      </c>
      <c r="G51" s="61">
        <v>2025</v>
      </c>
      <c r="H51" s="61" t="s">
        <v>1479</v>
      </c>
      <c r="I51" s="61"/>
      <c r="J51" s="18"/>
      <c r="K51" s="131" t="s">
        <v>1481</v>
      </c>
      <c r="L51" s="131" t="s">
        <v>1497</v>
      </c>
      <c r="M51" s="18"/>
    </row>
    <row r="52" spans="1:13" ht="25.5">
      <c r="A52" s="23">
        <v>46</v>
      </c>
      <c r="B52" s="62" t="s">
        <v>268</v>
      </c>
      <c r="C52" s="62" t="s">
        <v>1830</v>
      </c>
      <c r="D52" s="62">
        <v>2</v>
      </c>
      <c r="E52" s="132" t="s">
        <v>1831</v>
      </c>
      <c r="F52" s="130">
        <v>45944</v>
      </c>
      <c r="G52" s="61">
        <v>2025</v>
      </c>
      <c r="H52" s="61" t="s">
        <v>1479</v>
      </c>
      <c r="I52" s="61" t="s">
        <v>1480</v>
      </c>
      <c r="J52" s="18"/>
      <c r="K52" s="131" t="s">
        <v>1481</v>
      </c>
      <c r="L52" s="131" t="s">
        <v>1497</v>
      </c>
      <c r="M52" s="61" t="s">
        <v>1838</v>
      </c>
    </row>
    <row r="53" spans="1:13" ht="12.75">
      <c r="A53" s="23">
        <v>47</v>
      </c>
      <c r="B53" s="62" t="s">
        <v>268</v>
      </c>
      <c r="C53" s="62" t="s">
        <v>1839</v>
      </c>
      <c r="D53" s="62">
        <v>2</v>
      </c>
      <c r="E53" s="148" t="s">
        <v>1840</v>
      </c>
      <c r="F53" s="130"/>
      <c r="G53" s="61">
        <v>2026</v>
      </c>
      <c r="H53" s="61" t="s">
        <v>1479</v>
      </c>
      <c r="I53" s="61"/>
      <c r="J53" s="18"/>
      <c r="K53" s="140"/>
      <c r="L53" s="140"/>
      <c r="M53" s="61" t="s">
        <v>1841</v>
      </c>
    </row>
    <row r="54" spans="1:13" ht="25.5">
      <c r="A54" s="23">
        <v>47</v>
      </c>
      <c r="B54" s="62" t="s">
        <v>79</v>
      </c>
      <c r="C54" s="62"/>
      <c r="D54" s="62">
        <v>1</v>
      </c>
      <c r="E54" s="62" t="s">
        <v>1842</v>
      </c>
      <c r="F54" s="130">
        <v>45950</v>
      </c>
      <c r="G54" s="61">
        <v>2025</v>
      </c>
      <c r="H54" s="61" t="s">
        <v>1555</v>
      </c>
      <c r="I54" s="61" t="s">
        <v>1512</v>
      </c>
      <c r="J54" s="18"/>
      <c r="K54" s="131" t="s">
        <v>1481</v>
      </c>
      <c r="L54" s="131" t="s">
        <v>1476</v>
      </c>
      <c r="M54" s="18"/>
    </row>
    <row r="55" spans="1:13" ht="12.75">
      <c r="A55" s="23">
        <v>48</v>
      </c>
      <c r="B55" s="62" t="s">
        <v>79</v>
      </c>
      <c r="C55" s="62"/>
      <c r="D55" s="62">
        <v>1</v>
      </c>
      <c r="E55" s="62" t="s">
        <v>1857</v>
      </c>
      <c r="F55" s="130">
        <v>45974</v>
      </c>
      <c r="G55" s="61">
        <v>2025</v>
      </c>
      <c r="H55" s="61" t="s">
        <v>1555</v>
      </c>
      <c r="I55" s="61" t="s">
        <v>1512</v>
      </c>
      <c r="J55" s="18"/>
      <c r="K55" s="131" t="s">
        <v>1481</v>
      </c>
      <c r="L55" s="140"/>
      <c r="M55" s="18"/>
    </row>
  </sheetData>
  <mergeCells count="3">
    <mergeCell ref="A1:M1"/>
    <mergeCell ref="A2:M2"/>
    <mergeCell ref="A3:M3"/>
  </mergeCells>
  <conditionalFormatting sqref="I35:I36">
    <cfRule type="expression" dxfId="6" priority="1">
      <formula>"Done"</formula>
    </cfRule>
  </conditionalFormatting>
  <conditionalFormatting sqref="A3:A55 B3:H36">
    <cfRule type="expression" dxfId="5" priority="2">
      <formula>AND($V$3:$V947="Done",$X$3:$X947="Done")</formula>
    </cfRule>
  </conditionalFormatting>
  <conditionalFormatting sqref="A7:A55 B7:H7">
    <cfRule type="expression" dxfId="4" priority="3">
      <formula>AND($I$7:$I947="Done")</formula>
    </cfRule>
  </conditionalFormatting>
  <conditionalFormatting sqref="A7:H55">
    <cfRule type="expression" dxfId="3" priority="4">
      <formula>AND($I$7:$I947="Done")</formula>
    </cfRule>
  </conditionalFormatting>
  <dataValidations count="2">
    <dataValidation type="list" allowBlank="1" showErrorMessage="1" sqref="H7:H55" xr:uid="{00000000-0002-0000-0B00-000000000000}">
      <formula1>"Request,Provision,Validation"</formula1>
    </dataValidation>
    <dataValidation type="list" allowBlank="1" showErrorMessage="1" sqref="I7:I55" xr:uid="{00000000-0002-0000-0B00-000001000000}">
      <formula1>"DONE,PIPELINE,Canceled"</formula1>
    </dataValidation>
  </dataValidations>
  <hyperlinks>
    <hyperlink ref="K7" r:id="rId1" xr:uid="{00000000-0004-0000-0B00-000000000000}"/>
    <hyperlink ref="L7" r:id="rId2" xr:uid="{00000000-0004-0000-0B00-000001000000}"/>
    <hyperlink ref="K8" r:id="rId3" xr:uid="{00000000-0004-0000-0B00-000002000000}"/>
    <hyperlink ref="L8" r:id="rId4" xr:uid="{00000000-0004-0000-0B00-000003000000}"/>
    <hyperlink ref="K9" r:id="rId5" xr:uid="{00000000-0004-0000-0B00-000004000000}"/>
    <hyperlink ref="L9" r:id="rId6" xr:uid="{00000000-0004-0000-0B00-000005000000}"/>
    <hyperlink ref="K10" r:id="rId7" xr:uid="{00000000-0004-0000-0B00-000006000000}"/>
    <hyperlink ref="L10" r:id="rId8" xr:uid="{00000000-0004-0000-0B00-000007000000}"/>
    <hyperlink ref="K11" r:id="rId9" xr:uid="{00000000-0004-0000-0B00-000008000000}"/>
    <hyperlink ref="L11" r:id="rId10" xr:uid="{00000000-0004-0000-0B00-000009000000}"/>
    <hyperlink ref="K12" r:id="rId11" xr:uid="{00000000-0004-0000-0B00-00000A000000}"/>
    <hyperlink ref="L12" r:id="rId12" xr:uid="{00000000-0004-0000-0B00-00000B000000}"/>
    <hyperlink ref="K13" r:id="rId13" xr:uid="{00000000-0004-0000-0B00-00000C000000}"/>
    <hyperlink ref="K14" r:id="rId14" xr:uid="{00000000-0004-0000-0B00-00000D000000}"/>
    <hyperlink ref="L14" r:id="rId15" xr:uid="{00000000-0004-0000-0B00-00000E000000}"/>
    <hyperlink ref="K15" r:id="rId16" xr:uid="{00000000-0004-0000-0B00-00000F000000}"/>
    <hyperlink ref="L15" r:id="rId17" xr:uid="{00000000-0004-0000-0B00-000010000000}"/>
    <hyperlink ref="K16" r:id="rId18" xr:uid="{00000000-0004-0000-0B00-000011000000}"/>
    <hyperlink ref="L16" r:id="rId19" xr:uid="{00000000-0004-0000-0B00-000012000000}"/>
    <hyperlink ref="K17" r:id="rId20" xr:uid="{00000000-0004-0000-0B00-000013000000}"/>
    <hyperlink ref="L17" r:id="rId21" xr:uid="{00000000-0004-0000-0B00-000014000000}"/>
    <hyperlink ref="K18" r:id="rId22" xr:uid="{00000000-0004-0000-0B00-000015000000}"/>
    <hyperlink ref="L18" r:id="rId23" xr:uid="{00000000-0004-0000-0B00-000016000000}"/>
    <hyperlink ref="K19" r:id="rId24" xr:uid="{00000000-0004-0000-0B00-000017000000}"/>
    <hyperlink ref="L19" r:id="rId25" xr:uid="{00000000-0004-0000-0B00-000018000000}"/>
    <hyperlink ref="K20" r:id="rId26" xr:uid="{00000000-0004-0000-0B00-000019000000}"/>
    <hyperlink ref="L20" r:id="rId27" xr:uid="{00000000-0004-0000-0B00-00001A000000}"/>
    <hyperlink ref="K21" r:id="rId28" xr:uid="{00000000-0004-0000-0B00-00001B000000}"/>
    <hyperlink ref="L21" r:id="rId29" xr:uid="{00000000-0004-0000-0B00-00001C000000}"/>
    <hyperlink ref="K22" r:id="rId30" xr:uid="{00000000-0004-0000-0B00-00001D000000}"/>
    <hyperlink ref="L22" r:id="rId31" xr:uid="{00000000-0004-0000-0B00-00001E000000}"/>
    <hyperlink ref="K23" r:id="rId32" xr:uid="{00000000-0004-0000-0B00-00001F000000}"/>
    <hyperlink ref="L23" r:id="rId33" xr:uid="{00000000-0004-0000-0B00-000020000000}"/>
    <hyperlink ref="K24" r:id="rId34" xr:uid="{00000000-0004-0000-0B00-000021000000}"/>
    <hyperlink ref="K25" r:id="rId35" xr:uid="{00000000-0004-0000-0B00-000022000000}"/>
    <hyperlink ref="L25" r:id="rId36" xr:uid="{00000000-0004-0000-0B00-000023000000}"/>
    <hyperlink ref="K26" r:id="rId37" xr:uid="{00000000-0004-0000-0B00-000024000000}"/>
    <hyperlink ref="L26" r:id="rId38" xr:uid="{00000000-0004-0000-0B00-000025000000}"/>
    <hyperlink ref="K27" r:id="rId39" xr:uid="{00000000-0004-0000-0B00-000026000000}"/>
    <hyperlink ref="L27" r:id="rId40" xr:uid="{00000000-0004-0000-0B00-000027000000}"/>
    <hyperlink ref="K28" r:id="rId41" xr:uid="{00000000-0004-0000-0B00-000028000000}"/>
    <hyperlink ref="L28" r:id="rId42" xr:uid="{00000000-0004-0000-0B00-000029000000}"/>
    <hyperlink ref="K29" r:id="rId43" xr:uid="{00000000-0004-0000-0B00-00002A000000}"/>
    <hyperlink ref="L29" r:id="rId44" xr:uid="{00000000-0004-0000-0B00-00002B000000}"/>
    <hyperlink ref="K30" r:id="rId45" xr:uid="{00000000-0004-0000-0B00-00002C000000}"/>
    <hyperlink ref="L30" r:id="rId46" xr:uid="{00000000-0004-0000-0B00-00002D000000}"/>
    <hyperlink ref="K31" r:id="rId47" xr:uid="{00000000-0004-0000-0B00-00002E000000}"/>
    <hyperlink ref="L31" r:id="rId48" xr:uid="{00000000-0004-0000-0B00-00002F000000}"/>
    <hyperlink ref="K33" r:id="rId49" xr:uid="{00000000-0004-0000-0B00-000030000000}"/>
    <hyperlink ref="L33" r:id="rId50" xr:uid="{00000000-0004-0000-0B00-000031000000}"/>
    <hyperlink ref="K34" r:id="rId51" xr:uid="{00000000-0004-0000-0B00-000032000000}"/>
    <hyperlink ref="L34" r:id="rId52" xr:uid="{00000000-0004-0000-0B00-000033000000}"/>
    <hyperlink ref="K35" r:id="rId53" xr:uid="{00000000-0004-0000-0B00-000034000000}"/>
    <hyperlink ref="K36" r:id="rId54" xr:uid="{00000000-0004-0000-0B00-000035000000}"/>
    <hyperlink ref="L36" r:id="rId55" xr:uid="{00000000-0004-0000-0B00-000036000000}"/>
    <hyperlink ref="K37" r:id="rId56" xr:uid="{00000000-0004-0000-0B00-000037000000}"/>
    <hyperlink ref="L37" r:id="rId57" xr:uid="{00000000-0004-0000-0B00-000038000000}"/>
    <hyperlink ref="K38" r:id="rId58" xr:uid="{00000000-0004-0000-0B00-000039000000}"/>
    <hyperlink ref="L38" r:id="rId59" xr:uid="{00000000-0004-0000-0B00-00003A000000}"/>
    <hyperlink ref="K39" r:id="rId60" xr:uid="{00000000-0004-0000-0B00-00003B000000}"/>
    <hyperlink ref="L39" r:id="rId61" xr:uid="{00000000-0004-0000-0B00-00003C000000}"/>
    <hyperlink ref="K40" r:id="rId62" xr:uid="{00000000-0004-0000-0B00-00003D000000}"/>
    <hyperlink ref="K41" r:id="rId63" xr:uid="{00000000-0004-0000-0B00-00003E000000}"/>
    <hyperlink ref="L41" r:id="rId64" xr:uid="{00000000-0004-0000-0B00-00003F000000}"/>
    <hyperlink ref="K42" r:id="rId65" xr:uid="{00000000-0004-0000-0B00-000040000000}"/>
    <hyperlink ref="K43" r:id="rId66" xr:uid="{00000000-0004-0000-0B00-000041000000}"/>
    <hyperlink ref="L43" r:id="rId67" xr:uid="{00000000-0004-0000-0B00-000042000000}"/>
    <hyperlink ref="K44" r:id="rId68" xr:uid="{00000000-0004-0000-0B00-000043000000}"/>
    <hyperlink ref="L44" r:id="rId69" xr:uid="{00000000-0004-0000-0B00-000044000000}"/>
    <hyperlink ref="K45" r:id="rId70" xr:uid="{00000000-0004-0000-0B00-000045000000}"/>
    <hyperlink ref="L45" r:id="rId71" xr:uid="{00000000-0004-0000-0B00-000046000000}"/>
    <hyperlink ref="K46" r:id="rId72" xr:uid="{00000000-0004-0000-0B00-000047000000}"/>
    <hyperlink ref="L46" r:id="rId73" xr:uid="{00000000-0004-0000-0B00-000048000000}"/>
    <hyperlink ref="K47" r:id="rId74" xr:uid="{00000000-0004-0000-0B00-000049000000}"/>
    <hyperlink ref="L47" r:id="rId75" xr:uid="{00000000-0004-0000-0B00-00004A000000}"/>
    <hyperlink ref="K48" r:id="rId76" xr:uid="{00000000-0004-0000-0B00-00004B000000}"/>
    <hyperlink ref="L48" r:id="rId77" xr:uid="{00000000-0004-0000-0B00-00004C000000}"/>
    <hyperlink ref="K49" r:id="rId78" xr:uid="{00000000-0004-0000-0B00-00004D000000}"/>
    <hyperlink ref="L49" r:id="rId79" xr:uid="{00000000-0004-0000-0B00-00004E000000}"/>
    <hyperlink ref="K50" r:id="rId80" xr:uid="{00000000-0004-0000-0B00-00004F000000}"/>
    <hyperlink ref="L50" r:id="rId81" xr:uid="{00000000-0004-0000-0B00-000050000000}"/>
    <hyperlink ref="K51" r:id="rId82" xr:uid="{00000000-0004-0000-0B00-000051000000}"/>
    <hyperlink ref="L51" r:id="rId83" xr:uid="{00000000-0004-0000-0B00-000052000000}"/>
    <hyperlink ref="K52" r:id="rId84" xr:uid="{00000000-0004-0000-0B00-000053000000}"/>
    <hyperlink ref="L52" r:id="rId85" xr:uid="{00000000-0004-0000-0B00-000054000000}"/>
    <hyperlink ref="K54" r:id="rId86" xr:uid="{00000000-0004-0000-0B00-000055000000}"/>
    <hyperlink ref="L54" r:id="rId87" xr:uid="{00000000-0004-0000-0B00-000056000000}"/>
    <hyperlink ref="K55" r:id="rId88" xr:uid="{00000000-0004-0000-0B00-000057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M38"/>
  <sheetViews>
    <sheetView showGridLines="0" workbookViewId="0">
      <pane ySplit="6" topLeftCell="A7" activePane="bottomLeft" state="frozen"/>
      <selection pane="bottomLeft" activeCell="B8" sqref="B8"/>
    </sheetView>
  </sheetViews>
  <sheetFormatPr defaultColWidth="12.5703125" defaultRowHeight="15.75" customHeight="1"/>
  <cols>
    <col min="1" max="1" width="6.140625" customWidth="1"/>
    <col min="2" max="2" width="16.28515625" customWidth="1"/>
    <col min="3" max="3" width="14.85546875" customWidth="1"/>
    <col min="4" max="4" width="13.7109375" customWidth="1"/>
    <col min="5" max="5" width="34.140625" customWidth="1"/>
    <col min="6" max="9" width="19.42578125" customWidth="1"/>
    <col min="10" max="10" width="21.140625" customWidth="1"/>
    <col min="11" max="12" width="20.85546875" customWidth="1"/>
    <col min="13" max="13" width="38.42578125" customWidth="1"/>
  </cols>
  <sheetData>
    <row r="1" spans="1:13" ht="15.75" customHeight="1">
      <c r="A1" s="539"/>
      <c r="B1" s="517"/>
      <c r="C1" s="517"/>
      <c r="D1" s="517"/>
      <c r="E1" s="517"/>
      <c r="F1" s="517"/>
      <c r="G1" s="517"/>
      <c r="H1" s="517"/>
      <c r="I1" s="517"/>
      <c r="J1" s="517"/>
      <c r="K1" s="517"/>
      <c r="L1" s="517"/>
      <c r="M1" s="517"/>
    </row>
    <row r="2" spans="1:13" ht="15.75" customHeight="1">
      <c r="A2" s="540" t="s">
        <v>1464</v>
      </c>
      <c r="B2" s="517"/>
      <c r="C2" s="517"/>
      <c r="D2" s="517"/>
      <c r="E2" s="517"/>
      <c r="F2" s="517"/>
      <c r="G2" s="517"/>
      <c r="H2" s="517"/>
      <c r="I2" s="517"/>
      <c r="J2" s="517"/>
      <c r="K2" s="517"/>
      <c r="L2" s="517"/>
      <c r="M2" s="517"/>
    </row>
    <row r="3" spans="1:13" ht="12.75">
      <c r="A3" s="541">
        <f ca="1">NOW()</f>
        <v>46308.848431481485</v>
      </c>
      <c r="B3" s="517"/>
      <c r="C3" s="517"/>
      <c r="D3" s="517"/>
      <c r="E3" s="517"/>
      <c r="F3" s="517"/>
      <c r="G3" s="517"/>
      <c r="H3" s="517"/>
      <c r="I3" s="517"/>
      <c r="J3" s="517"/>
      <c r="K3" s="517"/>
      <c r="L3" s="517"/>
      <c r="M3" s="517"/>
    </row>
    <row r="4" spans="1:13" ht="12.75">
      <c r="K4" s="31"/>
      <c r="L4" s="31"/>
      <c r="M4" s="31"/>
    </row>
    <row r="6" spans="1:13" ht="25.5">
      <c r="A6" s="127" t="s">
        <v>1466</v>
      </c>
      <c r="B6" s="127" t="s">
        <v>2</v>
      </c>
      <c r="C6" s="127" t="s">
        <v>1</v>
      </c>
      <c r="D6" s="127" t="s">
        <v>0</v>
      </c>
      <c r="E6" s="127" t="s">
        <v>1469</v>
      </c>
      <c r="F6" s="127" t="s">
        <v>1470</v>
      </c>
      <c r="G6" s="127" t="s">
        <v>1471</v>
      </c>
      <c r="H6" s="127" t="s">
        <v>1472</v>
      </c>
      <c r="I6" s="127" t="s">
        <v>1473</v>
      </c>
      <c r="J6" s="127" t="s">
        <v>1474</v>
      </c>
      <c r="K6" s="146" t="s">
        <v>1545</v>
      </c>
      <c r="L6" s="146" t="s">
        <v>1547</v>
      </c>
      <c r="M6" s="127" t="s">
        <v>240</v>
      </c>
    </row>
    <row r="7" spans="1:13" ht="12.75">
      <c r="A7" s="542" t="s">
        <v>1551</v>
      </c>
      <c r="B7" s="543"/>
      <c r="C7" s="543"/>
      <c r="D7" s="543"/>
      <c r="E7" s="543"/>
      <c r="F7" s="543"/>
      <c r="G7" s="543"/>
      <c r="H7" s="543"/>
      <c r="I7" s="543"/>
      <c r="J7" s="543"/>
      <c r="K7" s="543"/>
      <c r="L7" s="543"/>
      <c r="M7" s="544"/>
    </row>
    <row r="8" spans="1:13" ht="25.5">
      <c r="A8" s="23">
        <v>1</v>
      </c>
      <c r="B8" s="62" t="s">
        <v>79</v>
      </c>
      <c r="C8" s="62"/>
      <c r="D8" s="62">
        <v>1</v>
      </c>
      <c r="E8" s="148" t="s">
        <v>1552</v>
      </c>
      <c r="F8" s="130">
        <v>46028</v>
      </c>
      <c r="G8" s="61">
        <v>2026</v>
      </c>
      <c r="H8" s="61" t="s">
        <v>1555</v>
      </c>
      <c r="I8" s="61"/>
      <c r="J8" s="61"/>
      <c r="K8" s="151" t="s">
        <v>1559</v>
      </c>
      <c r="L8" s="152" t="s">
        <v>1562</v>
      </c>
      <c r="M8" s="61" t="s">
        <v>1563</v>
      </c>
    </row>
    <row r="9" spans="1:13" ht="38.25">
      <c r="A9" s="23">
        <v>2</v>
      </c>
      <c r="B9" s="148" t="s">
        <v>268</v>
      </c>
      <c r="C9" s="148" t="s">
        <v>1564</v>
      </c>
      <c r="D9" s="148">
        <v>2</v>
      </c>
      <c r="E9" s="148" t="s">
        <v>1565</v>
      </c>
      <c r="F9" s="153">
        <v>46055</v>
      </c>
      <c r="G9" s="96">
        <v>2026</v>
      </c>
      <c r="H9" s="96" t="s">
        <v>1479</v>
      </c>
      <c r="I9" s="96"/>
      <c r="J9" s="96"/>
      <c r="K9" s="155" t="s">
        <v>1566</v>
      </c>
      <c r="L9" s="155" t="s">
        <v>1569</v>
      </c>
      <c r="M9" s="96"/>
    </row>
    <row r="10" spans="1:13" ht="38.25">
      <c r="A10" s="23">
        <v>3</v>
      </c>
      <c r="B10" s="148" t="s">
        <v>67</v>
      </c>
      <c r="C10" s="148"/>
      <c r="D10" s="148">
        <v>1</v>
      </c>
      <c r="E10" s="148" t="s">
        <v>1571</v>
      </c>
      <c r="F10" s="96" t="s">
        <v>1572</v>
      </c>
      <c r="G10" s="96">
        <v>2026</v>
      </c>
      <c r="H10" s="96" t="s">
        <v>1573</v>
      </c>
      <c r="I10" s="96"/>
      <c r="J10" s="96"/>
      <c r="K10" s="155" t="s">
        <v>1575</v>
      </c>
      <c r="L10" s="155" t="s">
        <v>1580</v>
      </c>
      <c r="M10" s="96"/>
    </row>
    <row r="11" spans="1:13" ht="25.5">
      <c r="A11" s="23">
        <v>4</v>
      </c>
      <c r="B11" s="148" t="s">
        <v>113</v>
      </c>
      <c r="C11" s="148"/>
      <c r="D11" s="148">
        <v>1</v>
      </c>
      <c r="E11" s="148" t="s">
        <v>1581</v>
      </c>
      <c r="F11" s="153">
        <v>46087</v>
      </c>
      <c r="G11" s="96">
        <v>2026</v>
      </c>
      <c r="H11" s="96" t="s">
        <v>1583</v>
      </c>
      <c r="I11" s="96"/>
      <c r="J11" s="96"/>
      <c r="K11" s="155" t="s">
        <v>1585</v>
      </c>
      <c r="L11" s="155" t="s">
        <v>1589</v>
      </c>
      <c r="M11" s="96"/>
    </row>
    <row r="12" spans="1:13" ht="51">
      <c r="A12" s="23">
        <v>5</v>
      </c>
      <c r="B12" s="148" t="s">
        <v>67</v>
      </c>
      <c r="C12" s="148"/>
      <c r="D12" s="148">
        <v>1</v>
      </c>
      <c r="E12" s="148" t="s">
        <v>1593</v>
      </c>
      <c r="F12" s="153">
        <v>46125</v>
      </c>
      <c r="G12" s="96">
        <v>2026</v>
      </c>
      <c r="H12" s="96" t="s">
        <v>1555</v>
      </c>
      <c r="I12" s="96" t="s">
        <v>1512</v>
      </c>
      <c r="J12" s="96"/>
      <c r="K12" s="155" t="s">
        <v>1594</v>
      </c>
      <c r="L12" s="159"/>
      <c r="M12" s="96"/>
    </row>
    <row r="13" spans="1:13" ht="12.75">
      <c r="A13" s="23"/>
      <c r="B13" s="148"/>
      <c r="C13" s="148"/>
      <c r="D13" s="148"/>
      <c r="E13" s="148"/>
      <c r="F13" s="153"/>
      <c r="G13" s="96"/>
      <c r="H13" s="96"/>
      <c r="I13" s="96"/>
      <c r="J13" s="96"/>
      <c r="K13" s="159"/>
      <c r="L13" s="159"/>
      <c r="M13" s="96"/>
    </row>
    <row r="14" spans="1:13" ht="12.75">
      <c r="A14" s="23"/>
      <c r="B14" s="148"/>
      <c r="C14" s="148"/>
      <c r="D14" s="148"/>
      <c r="E14" s="148"/>
      <c r="F14" s="153"/>
      <c r="G14" s="96"/>
      <c r="H14" s="96"/>
      <c r="I14" s="96"/>
      <c r="J14" s="96"/>
      <c r="K14" s="159"/>
      <c r="L14" s="159"/>
      <c r="M14" s="96"/>
    </row>
    <row r="15" spans="1:13" ht="12.75">
      <c r="A15" s="23"/>
      <c r="B15" s="148"/>
      <c r="C15" s="148"/>
      <c r="D15" s="148"/>
      <c r="E15" s="148"/>
      <c r="F15" s="153"/>
      <c r="G15" s="96"/>
      <c r="H15" s="96"/>
      <c r="I15" s="96"/>
      <c r="J15" s="96"/>
      <c r="K15" s="159"/>
      <c r="L15" s="159"/>
      <c r="M15" s="96"/>
    </row>
    <row r="16" spans="1:13" ht="12.75">
      <c r="A16" s="23"/>
      <c r="B16" s="148"/>
      <c r="C16" s="148"/>
      <c r="D16" s="148"/>
      <c r="E16" s="148"/>
      <c r="F16" s="153"/>
      <c r="G16" s="96"/>
      <c r="H16" s="96"/>
      <c r="I16" s="96"/>
      <c r="J16" s="96"/>
      <c r="K16" s="159"/>
      <c r="L16" s="159"/>
      <c r="M16" s="96"/>
    </row>
    <row r="17" spans="1:13" ht="12.75">
      <c r="A17" s="23"/>
      <c r="B17" s="148"/>
      <c r="C17" s="148"/>
      <c r="D17" s="148"/>
      <c r="E17" s="148"/>
      <c r="F17" s="153"/>
      <c r="G17" s="96"/>
      <c r="H17" s="96"/>
      <c r="I17" s="96"/>
      <c r="J17" s="96"/>
      <c r="K17" s="159"/>
      <c r="L17" s="159"/>
      <c r="M17" s="96"/>
    </row>
    <row r="18" spans="1:13" ht="12.75">
      <c r="A18" s="23"/>
      <c r="B18" s="148"/>
      <c r="C18" s="148"/>
      <c r="D18" s="148"/>
      <c r="E18" s="148"/>
      <c r="F18" s="153"/>
      <c r="G18" s="96"/>
      <c r="H18" s="96"/>
      <c r="I18" s="96"/>
      <c r="J18" s="96"/>
      <c r="K18" s="159"/>
      <c r="L18" s="159"/>
      <c r="M18" s="96"/>
    </row>
    <row r="19" spans="1:13" ht="12.75">
      <c r="A19" s="23"/>
      <c r="B19" s="148"/>
      <c r="C19" s="148"/>
      <c r="D19" s="148"/>
      <c r="E19" s="148"/>
      <c r="F19" s="153"/>
      <c r="G19" s="96"/>
      <c r="H19" s="96"/>
      <c r="I19" s="96"/>
      <c r="J19" s="96"/>
      <c r="K19" s="159"/>
      <c r="L19" s="159"/>
      <c r="M19" s="96"/>
    </row>
    <row r="20" spans="1:13" ht="12.75">
      <c r="A20" s="23"/>
      <c r="B20" s="148"/>
      <c r="C20" s="148"/>
      <c r="D20" s="148"/>
      <c r="E20" s="148"/>
      <c r="F20" s="153"/>
      <c r="G20" s="96"/>
      <c r="H20" s="96"/>
      <c r="I20" s="96"/>
      <c r="J20" s="96"/>
      <c r="K20" s="159"/>
      <c r="L20" s="159"/>
      <c r="M20" s="96"/>
    </row>
    <row r="21" spans="1:13" ht="12.75">
      <c r="A21" s="23"/>
      <c r="B21" s="148"/>
      <c r="C21" s="148"/>
      <c r="D21" s="148"/>
      <c r="E21" s="148"/>
      <c r="F21" s="153"/>
      <c r="G21" s="96"/>
      <c r="H21" s="96"/>
      <c r="I21" s="96"/>
      <c r="J21" s="96"/>
      <c r="K21" s="159"/>
      <c r="L21" s="159"/>
      <c r="M21" s="96"/>
    </row>
    <row r="22" spans="1:13" ht="12.75">
      <c r="A22" s="23"/>
      <c r="B22" s="148"/>
      <c r="C22" s="148"/>
      <c r="D22" s="148"/>
      <c r="E22" s="148"/>
      <c r="F22" s="153"/>
      <c r="G22" s="96"/>
      <c r="H22" s="96"/>
      <c r="I22" s="96"/>
      <c r="J22" s="96"/>
      <c r="K22" s="159"/>
      <c r="L22" s="159"/>
      <c r="M22" s="96"/>
    </row>
    <row r="23" spans="1:13" ht="12.75">
      <c r="A23" s="23"/>
      <c r="B23" s="148"/>
      <c r="C23" s="148"/>
      <c r="D23" s="148"/>
      <c r="E23" s="148"/>
      <c r="F23" s="153"/>
      <c r="G23" s="96"/>
      <c r="H23" s="96"/>
      <c r="I23" s="96"/>
      <c r="J23" s="96"/>
      <c r="K23" s="159"/>
      <c r="L23" s="159"/>
      <c r="M23" s="96"/>
    </row>
    <row r="24" spans="1:13" ht="12.75">
      <c r="A24" s="23"/>
      <c r="B24" s="148"/>
      <c r="C24" s="148"/>
      <c r="D24" s="148"/>
      <c r="E24" s="148"/>
      <c r="F24" s="153"/>
      <c r="G24" s="96"/>
      <c r="H24" s="96"/>
      <c r="I24" s="96"/>
      <c r="J24" s="96"/>
      <c r="K24" s="159"/>
      <c r="L24" s="159"/>
      <c r="M24" s="96"/>
    </row>
    <row r="25" spans="1:13" ht="12.75">
      <c r="A25" s="23"/>
      <c r="B25" s="148"/>
      <c r="C25" s="148"/>
      <c r="D25" s="148"/>
      <c r="E25" s="148"/>
      <c r="F25" s="153"/>
      <c r="G25" s="96"/>
      <c r="H25" s="96"/>
      <c r="I25" s="96"/>
      <c r="J25" s="96"/>
      <c r="K25" s="159"/>
      <c r="L25" s="159"/>
      <c r="M25" s="96"/>
    </row>
    <row r="26" spans="1:13" ht="12.75">
      <c r="A26" s="23"/>
      <c r="B26" s="148"/>
      <c r="C26" s="148"/>
      <c r="D26" s="148"/>
      <c r="E26" s="148"/>
      <c r="F26" s="153"/>
      <c r="G26" s="96"/>
      <c r="H26" s="96"/>
      <c r="I26" s="96"/>
      <c r="J26" s="96"/>
      <c r="K26" s="159"/>
      <c r="L26" s="159"/>
      <c r="M26" s="96"/>
    </row>
    <row r="27" spans="1:13" ht="12.75">
      <c r="A27" s="23"/>
      <c r="B27" s="148"/>
      <c r="C27" s="148"/>
      <c r="D27" s="148"/>
      <c r="E27" s="148"/>
      <c r="F27" s="153"/>
      <c r="G27" s="96"/>
      <c r="H27" s="96"/>
      <c r="I27" s="96"/>
      <c r="J27" s="96"/>
      <c r="K27" s="159"/>
      <c r="L27" s="159"/>
      <c r="M27" s="96"/>
    </row>
    <row r="28" spans="1:13" ht="12.75">
      <c r="A28" s="23"/>
      <c r="B28" s="148"/>
      <c r="C28" s="148"/>
      <c r="D28" s="148"/>
      <c r="E28" s="148"/>
      <c r="F28" s="153"/>
      <c r="G28" s="96"/>
      <c r="H28" s="96"/>
      <c r="I28" s="96"/>
      <c r="J28" s="96"/>
      <c r="K28" s="159"/>
      <c r="L28" s="159"/>
      <c r="M28" s="96"/>
    </row>
    <row r="29" spans="1:13" ht="12.75">
      <c r="A29" s="23"/>
      <c r="B29" s="148"/>
      <c r="C29" s="148"/>
      <c r="D29" s="148"/>
      <c r="E29" s="148"/>
      <c r="F29" s="153"/>
      <c r="G29" s="96"/>
      <c r="H29" s="96"/>
      <c r="I29" s="96"/>
      <c r="J29" s="96"/>
      <c r="K29" s="159"/>
      <c r="L29" s="159"/>
      <c r="M29" s="96"/>
    </row>
    <row r="30" spans="1:13" ht="12.75">
      <c r="A30" s="23"/>
      <c r="B30" s="148"/>
      <c r="C30" s="148"/>
      <c r="D30" s="148"/>
      <c r="E30" s="148"/>
      <c r="F30" s="153"/>
      <c r="G30" s="96"/>
      <c r="H30" s="96"/>
      <c r="I30" s="96"/>
      <c r="J30" s="96"/>
      <c r="K30" s="159"/>
      <c r="L30" s="159"/>
      <c r="M30" s="96"/>
    </row>
    <row r="31" spans="1:13" ht="12.75">
      <c r="A31" s="23"/>
      <c r="B31" s="148"/>
      <c r="C31" s="148"/>
      <c r="D31" s="148"/>
      <c r="E31" s="148"/>
      <c r="F31" s="153"/>
      <c r="G31" s="96"/>
      <c r="H31" s="96"/>
      <c r="I31" s="96"/>
      <c r="J31" s="96"/>
      <c r="K31" s="159"/>
      <c r="L31" s="159"/>
      <c r="M31" s="96"/>
    </row>
    <row r="32" spans="1:13" ht="12.75">
      <c r="A32" s="23"/>
      <c r="B32" s="148"/>
      <c r="C32" s="148"/>
      <c r="D32" s="148"/>
      <c r="E32" s="148"/>
      <c r="F32" s="153"/>
      <c r="G32" s="96"/>
      <c r="H32" s="96"/>
      <c r="I32" s="96"/>
      <c r="J32" s="96"/>
      <c r="K32" s="159"/>
      <c r="L32" s="159"/>
      <c r="M32" s="96"/>
    </row>
    <row r="33" spans="1:13" ht="12.75">
      <c r="A33" s="23"/>
      <c r="B33" s="148"/>
      <c r="C33" s="148"/>
      <c r="D33" s="148"/>
      <c r="E33" s="148"/>
      <c r="F33" s="153"/>
      <c r="G33" s="96"/>
      <c r="H33" s="96"/>
      <c r="I33" s="96"/>
      <c r="J33" s="96"/>
      <c r="K33" s="159"/>
      <c r="L33" s="159"/>
      <c r="M33" s="96"/>
    </row>
    <row r="34" spans="1:13" ht="12.75">
      <c r="A34" s="23"/>
      <c r="B34" s="148"/>
      <c r="C34" s="148"/>
      <c r="D34" s="148"/>
      <c r="E34" s="148"/>
      <c r="F34" s="153"/>
      <c r="G34" s="96"/>
      <c r="H34" s="96"/>
      <c r="I34" s="96"/>
      <c r="J34" s="96"/>
      <c r="K34" s="159"/>
      <c r="L34" s="159"/>
      <c r="M34" s="96"/>
    </row>
    <row r="35" spans="1:13" ht="12.75">
      <c r="A35" s="23"/>
      <c r="B35" s="148"/>
      <c r="C35" s="148"/>
      <c r="D35" s="148"/>
      <c r="E35" s="148"/>
      <c r="F35" s="153"/>
      <c r="G35" s="96"/>
      <c r="H35" s="96"/>
      <c r="I35" s="96"/>
      <c r="J35" s="96"/>
      <c r="K35" s="159"/>
      <c r="L35" s="159"/>
      <c r="M35" s="96"/>
    </row>
    <row r="36" spans="1:13" ht="12.75">
      <c r="A36" s="23"/>
      <c r="B36" s="148"/>
      <c r="C36" s="148"/>
      <c r="D36" s="148"/>
      <c r="E36" s="148"/>
      <c r="F36" s="153"/>
      <c r="G36" s="96"/>
      <c r="H36" s="96"/>
      <c r="I36" s="96"/>
      <c r="J36" s="96"/>
      <c r="K36" s="159"/>
      <c r="L36" s="159"/>
      <c r="M36" s="96"/>
    </row>
    <row r="37" spans="1:13" ht="12.75">
      <c r="A37" s="23"/>
      <c r="B37" s="148"/>
      <c r="C37" s="148"/>
      <c r="D37" s="148"/>
      <c r="E37" s="148"/>
      <c r="F37" s="153"/>
      <c r="G37" s="96"/>
      <c r="H37" s="96"/>
      <c r="I37" s="96"/>
      <c r="J37" s="96"/>
      <c r="K37" s="159"/>
      <c r="L37" s="159"/>
      <c r="M37" s="96"/>
    </row>
    <row r="38" spans="1:13" ht="12.75">
      <c r="A38" s="23"/>
      <c r="B38" s="148"/>
      <c r="C38" s="148"/>
      <c r="D38" s="148"/>
      <c r="E38" s="148"/>
      <c r="F38" s="153"/>
      <c r="G38" s="96"/>
      <c r="H38" s="96"/>
      <c r="I38" s="96"/>
      <c r="J38" s="96"/>
      <c r="K38" s="159"/>
      <c r="L38" s="159"/>
      <c r="M38" s="96"/>
    </row>
  </sheetData>
  <mergeCells count="4">
    <mergeCell ref="A1:M1"/>
    <mergeCell ref="A2:M2"/>
    <mergeCell ref="A3:M3"/>
    <mergeCell ref="A7:M7"/>
  </mergeCells>
  <conditionalFormatting sqref="A3:H38">
    <cfRule type="expression" dxfId="2" priority="1">
      <formula>AND($V$3:$V900="Done",$X$3:$X900="Done")</formula>
    </cfRule>
  </conditionalFormatting>
  <conditionalFormatting sqref="A8:H38">
    <cfRule type="expression" dxfId="1" priority="2">
      <formula>AND($I$8:$I900="Done")</formula>
    </cfRule>
  </conditionalFormatting>
  <conditionalFormatting sqref="A8:H38">
    <cfRule type="expression" dxfId="0" priority="3">
      <formula>AND($I$8:$I900="Done")</formula>
    </cfRule>
  </conditionalFormatting>
  <dataValidations count="2">
    <dataValidation type="list" allowBlank="1" showErrorMessage="1" sqref="I8:I38" xr:uid="{00000000-0002-0000-0C00-000000000000}">
      <formula1>"DONE,PIPELINE,Canceled"</formula1>
    </dataValidation>
    <dataValidation type="list" allowBlank="1" showErrorMessage="1" sqref="H8:H38" xr:uid="{00000000-0002-0000-0C00-000001000000}">
      <formula1>"Request,Provision,Validation,CapDev Training,Blocking"</formula1>
    </dataValidation>
  </dataValidations>
  <hyperlinks>
    <hyperlink ref="K6" r:id="rId1" xr:uid="{00000000-0004-0000-0C00-000000000000}"/>
    <hyperlink ref="L6" r:id="rId2" xr:uid="{00000000-0004-0000-0C00-000001000000}"/>
    <hyperlink ref="K8" r:id="rId3" xr:uid="{00000000-0004-0000-0C00-000002000000}"/>
    <hyperlink ref="L8" r:id="rId4" xr:uid="{00000000-0004-0000-0C00-000003000000}"/>
    <hyperlink ref="K9" r:id="rId5" xr:uid="{00000000-0004-0000-0C00-000004000000}"/>
    <hyperlink ref="L9" r:id="rId6" xr:uid="{00000000-0004-0000-0C00-000005000000}"/>
    <hyperlink ref="K10" r:id="rId7" xr:uid="{00000000-0004-0000-0C00-000006000000}"/>
    <hyperlink ref="L10" r:id="rId8" xr:uid="{00000000-0004-0000-0C00-000007000000}"/>
    <hyperlink ref="K11" r:id="rId9" xr:uid="{00000000-0004-0000-0C00-000008000000}"/>
    <hyperlink ref="L11" r:id="rId10" xr:uid="{00000000-0004-0000-0C00-000009000000}"/>
    <hyperlink ref="K12" r:id="rId11" xr:uid="{00000000-0004-0000-0C00-00000A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E1022"/>
  <sheetViews>
    <sheetView tabSelected="1" zoomScale="70" zoomScaleNormal="70" workbookViewId="0">
      <pane xSplit="7" ySplit="2" topLeftCell="R3" activePane="bottomRight" state="frozen"/>
      <selection pane="topRight" activeCell="H1" sqref="H1"/>
      <selection pane="bottomLeft" activeCell="A3" sqref="A3"/>
      <selection pane="bottomRight" activeCell="N2" sqref="N2"/>
    </sheetView>
  </sheetViews>
  <sheetFormatPr defaultColWidth="12.5703125" defaultRowHeight="15.75" customHeight="1"/>
  <cols>
    <col min="1" max="1" width="7.7109375" customWidth="1"/>
    <col min="2" max="2" width="10.5703125" customWidth="1"/>
    <col min="3" max="3" width="10.85546875" customWidth="1"/>
    <col min="4" max="4" width="10.28515625" customWidth="1"/>
    <col min="5" max="5" width="14.28515625" customWidth="1"/>
    <col min="6" max="6" width="14.140625" customWidth="1"/>
    <col min="7" max="7" width="29.42578125" customWidth="1"/>
    <col min="8" max="8" width="28.140625" customWidth="1"/>
    <col min="9" max="9" width="25.28515625" customWidth="1"/>
    <col min="10" max="10" width="21.140625" customWidth="1"/>
    <col min="11" max="11" width="9.85546875" customWidth="1"/>
    <col min="12" max="12" width="10" customWidth="1"/>
    <col min="17" max="18" width="32.42578125" customWidth="1"/>
    <col min="19" max="19" width="12.5703125" customWidth="1"/>
    <col min="20" max="20" width="12.42578125" customWidth="1"/>
    <col min="21" max="21" width="32.42578125" customWidth="1"/>
    <col min="22" max="22" width="19.7109375" customWidth="1"/>
    <col min="28" max="28" width="37.85546875" customWidth="1"/>
    <col min="29" max="29" width="24.42578125" customWidth="1"/>
  </cols>
  <sheetData>
    <row r="1" spans="1:29" ht="24.75" customHeight="1">
      <c r="A1" s="581" t="s">
        <v>1718</v>
      </c>
      <c r="B1" s="564" t="s">
        <v>2</v>
      </c>
      <c r="C1" s="579" t="s">
        <v>1</v>
      </c>
      <c r="D1" s="584" t="s">
        <v>0</v>
      </c>
      <c r="E1" s="564" t="s">
        <v>1728</v>
      </c>
      <c r="F1" s="572" t="s">
        <v>1729</v>
      </c>
      <c r="G1" s="564" t="s">
        <v>1730</v>
      </c>
      <c r="H1" s="580" t="s">
        <v>1731</v>
      </c>
      <c r="I1" s="580" t="s">
        <v>20</v>
      </c>
      <c r="J1" s="580" t="s">
        <v>645</v>
      </c>
      <c r="K1" s="564" t="s">
        <v>1732</v>
      </c>
      <c r="L1" s="579" t="s">
        <v>14</v>
      </c>
      <c r="M1" s="575" t="s">
        <v>640</v>
      </c>
      <c r="N1" s="575"/>
      <c r="O1" s="575" t="s">
        <v>1739</v>
      </c>
      <c r="P1" s="575"/>
      <c r="Q1" s="575" t="s">
        <v>1741</v>
      </c>
      <c r="R1" s="576"/>
      <c r="S1" s="577" t="s">
        <v>1746</v>
      </c>
      <c r="T1" s="578"/>
      <c r="U1" s="564" t="s">
        <v>7</v>
      </c>
      <c r="V1" s="564" t="s">
        <v>1747</v>
      </c>
      <c r="W1" s="565" t="s">
        <v>1748</v>
      </c>
      <c r="X1" s="566" t="s">
        <v>1749</v>
      </c>
      <c r="Y1" s="567" t="s">
        <v>1752</v>
      </c>
      <c r="Z1" s="568" t="s">
        <v>1754</v>
      </c>
      <c r="AA1" s="569" t="s">
        <v>657</v>
      </c>
      <c r="AB1" s="570" t="s">
        <v>1759</v>
      </c>
      <c r="AC1" s="544"/>
    </row>
    <row r="2" spans="1:29" ht="60">
      <c r="A2" s="582"/>
      <c r="B2" s="574"/>
      <c r="C2" s="583"/>
      <c r="D2" s="585"/>
      <c r="E2" s="574"/>
      <c r="F2" s="573"/>
      <c r="G2" s="574"/>
      <c r="H2" s="580"/>
      <c r="I2" s="580"/>
      <c r="J2" s="580"/>
      <c r="K2" s="564"/>
      <c r="L2" s="579"/>
      <c r="M2" s="173" t="s">
        <v>640</v>
      </c>
      <c r="N2" s="173" t="s">
        <v>1760</v>
      </c>
      <c r="O2" s="170" t="s">
        <v>641</v>
      </c>
      <c r="P2" s="170" t="s">
        <v>642</v>
      </c>
      <c r="Q2" s="174" t="s">
        <v>1741</v>
      </c>
      <c r="R2" s="174" t="s">
        <v>1763</v>
      </c>
      <c r="S2" s="171" t="s">
        <v>386</v>
      </c>
      <c r="T2" s="171" t="s">
        <v>1428</v>
      </c>
      <c r="U2" s="512"/>
      <c r="V2" s="512"/>
      <c r="W2" s="512"/>
      <c r="X2" s="512"/>
      <c r="Y2" s="512"/>
      <c r="Z2" s="512"/>
      <c r="AA2" s="512"/>
      <c r="AB2" s="175" t="s">
        <v>71</v>
      </c>
      <c r="AC2" s="175" t="s">
        <v>1766</v>
      </c>
    </row>
    <row r="3" spans="1:29" ht="29.25" customHeight="1">
      <c r="A3" s="32">
        <v>1</v>
      </c>
      <c r="B3" s="176" t="s">
        <v>57</v>
      </c>
      <c r="C3" s="176" t="s">
        <v>191</v>
      </c>
      <c r="D3" s="177" t="s">
        <v>1767</v>
      </c>
      <c r="E3" s="176" t="s">
        <v>26</v>
      </c>
      <c r="F3" s="176" t="s">
        <v>1768</v>
      </c>
      <c r="G3" s="178" t="s">
        <v>26</v>
      </c>
      <c r="H3" s="179"/>
      <c r="I3" s="179" t="s">
        <v>1769</v>
      </c>
      <c r="J3" s="179" t="s">
        <v>667</v>
      </c>
      <c r="K3" s="176"/>
      <c r="L3" s="176" t="s">
        <v>31</v>
      </c>
      <c r="M3" s="180">
        <v>45255</v>
      </c>
      <c r="N3" s="181"/>
      <c r="O3" s="181">
        <v>9.4644279999999998</v>
      </c>
      <c r="P3" s="181">
        <v>125.574708</v>
      </c>
      <c r="Q3" s="182" t="s">
        <v>1775</v>
      </c>
      <c r="R3" s="183" t="s">
        <v>1776</v>
      </c>
      <c r="S3" s="176" t="b">
        <v>0</v>
      </c>
      <c r="T3" s="176" t="b">
        <v>0</v>
      </c>
      <c r="U3" s="181" t="s">
        <v>22</v>
      </c>
      <c r="V3" s="184" t="s">
        <v>1781</v>
      </c>
      <c r="W3" s="185" t="s">
        <v>1782</v>
      </c>
      <c r="X3" s="18"/>
      <c r="Y3" s="18"/>
      <c r="Z3" s="18"/>
      <c r="AA3" s="18"/>
      <c r="AB3" s="96"/>
      <c r="AC3" s="18"/>
    </row>
    <row r="4" spans="1:29" ht="25.5">
      <c r="A4" s="32">
        <v>2</v>
      </c>
      <c r="B4" s="176" t="s">
        <v>57</v>
      </c>
      <c r="C4" s="176" t="s">
        <v>212</v>
      </c>
      <c r="D4" s="177" t="s">
        <v>1767</v>
      </c>
      <c r="E4" s="545" t="s">
        <v>1784</v>
      </c>
      <c r="F4" s="545" t="s">
        <v>1768</v>
      </c>
      <c r="G4" s="178" t="s">
        <v>61</v>
      </c>
      <c r="H4" s="187"/>
      <c r="I4" s="179" t="s">
        <v>1769</v>
      </c>
      <c r="J4" s="187" t="s">
        <v>670</v>
      </c>
      <c r="K4" s="176"/>
      <c r="L4" s="176" t="s">
        <v>65</v>
      </c>
      <c r="M4" s="180">
        <v>45246</v>
      </c>
      <c r="N4" s="181"/>
      <c r="O4" s="181">
        <v>9.4632009999999998</v>
      </c>
      <c r="P4" s="181">
        <v>125.57586000000001</v>
      </c>
      <c r="Q4" s="182" t="s">
        <v>1775</v>
      </c>
      <c r="R4" s="183" t="s">
        <v>1776</v>
      </c>
      <c r="S4" s="545" t="b">
        <v>0</v>
      </c>
      <c r="T4" s="545" t="b">
        <v>0</v>
      </c>
      <c r="U4" s="181" t="s">
        <v>22</v>
      </c>
      <c r="V4" s="184" t="s">
        <v>1781</v>
      </c>
      <c r="W4" s="185" t="s">
        <v>1782</v>
      </c>
      <c r="X4" s="18"/>
      <c r="Y4" s="18"/>
      <c r="Z4" s="18"/>
      <c r="AA4" s="18"/>
      <c r="AB4" s="525" t="s">
        <v>1792</v>
      </c>
      <c r="AC4" s="525" t="s">
        <v>1793</v>
      </c>
    </row>
    <row r="5" spans="1:29" ht="25.5">
      <c r="A5" s="32">
        <v>3</v>
      </c>
      <c r="B5" s="176" t="s">
        <v>57</v>
      </c>
      <c r="C5" s="176" t="s">
        <v>212</v>
      </c>
      <c r="D5" s="177" t="s">
        <v>1767</v>
      </c>
      <c r="E5" s="546"/>
      <c r="F5" s="546"/>
      <c r="G5" s="178" t="s">
        <v>87</v>
      </c>
      <c r="H5" s="187"/>
      <c r="I5" s="179" t="s">
        <v>1769</v>
      </c>
      <c r="J5" s="187" t="s">
        <v>672</v>
      </c>
      <c r="K5" s="176"/>
      <c r="L5" s="176" t="s">
        <v>65</v>
      </c>
      <c r="M5" s="180">
        <v>45246</v>
      </c>
      <c r="N5" s="181"/>
      <c r="O5" s="181">
        <v>9.4632009999999998</v>
      </c>
      <c r="P5" s="181">
        <v>125.57586000000001</v>
      </c>
      <c r="Q5" s="182" t="s">
        <v>1775</v>
      </c>
      <c r="R5" s="183" t="s">
        <v>1776</v>
      </c>
      <c r="S5" s="546"/>
      <c r="T5" s="546"/>
      <c r="U5" s="181" t="s">
        <v>22</v>
      </c>
      <c r="V5" s="184" t="s">
        <v>1781</v>
      </c>
      <c r="W5" s="185" t="s">
        <v>1782</v>
      </c>
      <c r="X5" s="18"/>
      <c r="Y5" s="18"/>
      <c r="Z5" s="18"/>
      <c r="AA5" s="18"/>
      <c r="AB5" s="511"/>
      <c r="AC5" s="511"/>
    </row>
    <row r="6" spans="1:29" ht="38.25">
      <c r="A6" s="32">
        <v>4</v>
      </c>
      <c r="B6" s="188" t="s">
        <v>1797</v>
      </c>
      <c r="C6" s="176" t="s">
        <v>212</v>
      </c>
      <c r="D6" s="177" t="s">
        <v>1767</v>
      </c>
      <c r="E6" s="547"/>
      <c r="F6" s="547"/>
      <c r="G6" s="178" t="s">
        <v>91</v>
      </c>
      <c r="H6" s="187"/>
      <c r="I6" s="179" t="s">
        <v>1769</v>
      </c>
      <c r="J6" s="187" t="s">
        <v>674</v>
      </c>
      <c r="K6" s="176"/>
      <c r="L6" s="176" t="s">
        <v>65</v>
      </c>
      <c r="M6" s="180">
        <v>45246</v>
      </c>
      <c r="N6" s="181"/>
      <c r="O6" s="181">
        <v>9.4632009999999998</v>
      </c>
      <c r="P6" s="181">
        <v>125.57586000000001</v>
      </c>
      <c r="Q6" s="182" t="s">
        <v>1775</v>
      </c>
      <c r="R6" s="183" t="s">
        <v>1776</v>
      </c>
      <c r="S6" s="547"/>
      <c r="T6" s="547"/>
      <c r="U6" s="181" t="s">
        <v>22</v>
      </c>
      <c r="V6" s="184" t="s">
        <v>1781</v>
      </c>
      <c r="W6" s="185" t="s">
        <v>1782</v>
      </c>
      <c r="X6" s="18"/>
      <c r="Y6" s="18"/>
      <c r="Z6" s="18"/>
      <c r="AA6" s="18"/>
      <c r="AB6" s="512"/>
      <c r="AC6" s="512"/>
    </row>
    <row r="7" spans="1:29" ht="38.25">
      <c r="A7" s="32">
        <v>5</v>
      </c>
      <c r="B7" s="176" t="s">
        <v>57</v>
      </c>
      <c r="C7" s="176" t="s">
        <v>212</v>
      </c>
      <c r="D7" s="177" t="s">
        <v>1767</v>
      </c>
      <c r="E7" s="176" t="s">
        <v>96</v>
      </c>
      <c r="F7" s="176" t="s">
        <v>1768</v>
      </c>
      <c r="G7" s="178" t="s">
        <v>96</v>
      </c>
      <c r="H7" s="187"/>
      <c r="I7" s="179" t="s">
        <v>1769</v>
      </c>
      <c r="J7" s="187" t="s">
        <v>676</v>
      </c>
      <c r="K7" s="176"/>
      <c r="L7" s="176" t="s">
        <v>99</v>
      </c>
      <c r="M7" s="180">
        <v>45255</v>
      </c>
      <c r="N7" s="181"/>
      <c r="O7" s="181">
        <v>9.4626529999999995</v>
      </c>
      <c r="P7" s="181">
        <v>125.576849</v>
      </c>
      <c r="Q7" s="182" t="s">
        <v>1775</v>
      </c>
      <c r="R7" s="183" t="s">
        <v>1776</v>
      </c>
      <c r="S7" s="176" t="b">
        <v>0</v>
      </c>
      <c r="T7" s="176" t="b">
        <v>0</v>
      </c>
      <c r="U7" s="181" t="s">
        <v>22</v>
      </c>
      <c r="V7" s="184" t="s">
        <v>1781</v>
      </c>
      <c r="W7" s="185" t="s">
        <v>1782</v>
      </c>
      <c r="X7" s="18"/>
      <c r="Y7" s="18"/>
      <c r="Z7" s="18"/>
      <c r="AA7" s="18"/>
      <c r="AB7" s="96"/>
      <c r="AC7" s="102"/>
    </row>
    <row r="8" spans="1:29" ht="38.25">
      <c r="A8" s="32">
        <v>6</v>
      </c>
      <c r="B8" s="176" t="s">
        <v>57</v>
      </c>
      <c r="C8" s="176" t="s">
        <v>212</v>
      </c>
      <c r="D8" s="177" t="s">
        <v>1767</v>
      </c>
      <c r="E8" s="176" t="s">
        <v>102</v>
      </c>
      <c r="F8" s="176" t="s">
        <v>1768</v>
      </c>
      <c r="G8" s="178" t="s">
        <v>102</v>
      </c>
      <c r="H8" s="187"/>
      <c r="I8" s="179" t="s">
        <v>1769</v>
      </c>
      <c r="J8" s="187" t="s">
        <v>679</v>
      </c>
      <c r="K8" s="176"/>
      <c r="L8" s="176" t="s">
        <v>103</v>
      </c>
      <c r="M8" s="180">
        <v>45255</v>
      </c>
      <c r="N8" s="181"/>
      <c r="O8" s="181">
        <v>9.4641950000000001</v>
      </c>
      <c r="P8" s="181">
        <v>125.576086</v>
      </c>
      <c r="Q8" s="182" t="s">
        <v>1775</v>
      </c>
      <c r="R8" s="183" t="s">
        <v>1776</v>
      </c>
      <c r="S8" s="176" t="b">
        <v>0</v>
      </c>
      <c r="T8" s="176" t="b">
        <v>0</v>
      </c>
      <c r="U8" s="181" t="s">
        <v>22</v>
      </c>
      <c r="V8" s="184" t="s">
        <v>1781</v>
      </c>
      <c r="W8" s="185" t="s">
        <v>1782</v>
      </c>
      <c r="X8" s="18"/>
      <c r="Y8" s="18"/>
      <c r="Z8" s="18"/>
      <c r="AA8" s="18"/>
      <c r="AB8" s="96"/>
      <c r="AC8" s="18"/>
    </row>
    <row r="9" spans="1:29" ht="25.5">
      <c r="A9" s="32">
        <v>7</v>
      </c>
      <c r="B9" s="181" t="s">
        <v>57</v>
      </c>
      <c r="C9" s="185" t="s">
        <v>1808</v>
      </c>
      <c r="D9" s="189" t="s">
        <v>1767</v>
      </c>
      <c r="E9" s="545" t="s">
        <v>1809</v>
      </c>
      <c r="F9" s="545" t="s">
        <v>1810</v>
      </c>
      <c r="G9" s="190" t="s">
        <v>1811</v>
      </c>
      <c r="H9" s="179"/>
      <c r="I9" s="179"/>
      <c r="J9" s="179" t="s">
        <v>1812</v>
      </c>
      <c r="K9" s="185"/>
      <c r="L9" s="185" t="s">
        <v>374</v>
      </c>
      <c r="M9" s="180">
        <v>46101</v>
      </c>
      <c r="N9" s="181"/>
      <c r="O9" s="181">
        <v>9.4683969700000006</v>
      </c>
      <c r="P9" s="181">
        <v>125.5810142</v>
      </c>
      <c r="Q9" s="182" t="s">
        <v>1813</v>
      </c>
      <c r="R9" s="183" t="s">
        <v>1814</v>
      </c>
      <c r="S9" s="545" t="b">
        <v>0</v>
      </c>
      <c r="T9" s="545" t="b">
        <v>0</v>
      </c>
      <c r="U9" s="181" t="s">
        <v>1815</v>
      </c>
      <c r="V9" s="185" t="s">
        <v>89</v>
      </c>
      <c r="W9" s="185" t="s">
        <v>1782</v>
      </c>
      <c r="X9" s="18"/>
      <c r="Y9" s="18"/>
      <c r="Z9" s="18"/>
      <c r="AA9" s="18"/>
      <c r="AB9" s="18"/>
      <c r="AC9" s="18"/>
    </row>
    <row r="10" spans="1:29" ht="25.5">
      <c r="A10" s="32">
        <v>8</v>
      </c>
      <c r="B10" s="181" t="s">
        <v>57</v>
      </c>
      <c r="C10" s="185" t="s">
        <v>1808</v>
      </c>
      <c r="D10" s="189" t="s">
        <v>1767</v>
      </c>
      <c r="E10" s="546"/>
      <c r="F10" s="546"/>
      <c r="G10" s="190" t="s">
        <v>1816</v>
      </c>
      <c r="H10" s="179"/>
      <c r="I10" s="179"/>
      <c r="J10" s="179" t="s">
        <v>1812</v>
      </c>
      <c r="K10" s="185"/>
      <c r="L10" s="185" t="s">
        <v>374</v>
      </c>
      <c r="M10" s="180">
        <v>46101</v>
      </c>
      <c r="N10" s="181"/>
      <c r="O10" s="181">
        <v>9.4683969700000006</v>
      </c>
      <c r="P10" s="181">
        <v>125.5810142</v>
      </c>
      <c r="Q10" s="182" t="s">
        <v>1813</v>
      </c>
      <c r="R10" s="183" t="s">
        <v>1814</v>
      </c>
      <c r="S10" s="546"/>
      <c r="T10" s="546"/>
      <c r="U10" s="181" t="s">
        <v>1815</v>
      </c>
      <c r="V10" s="185" t="s">
        <v>89</v>
      </c>
      <c r="W10" s="185" t="s">
        <v>1782</v>
      </c>
      <c r="X10" s="18"/>
      <c r="Y10" s="18"/>
      <c r="Z10" s="18"/>
      <c r="AA10" s="18"/>
      <c r="AB10" s="18"/>
      <c r="AC10" s="18"/>
    </row>
    <row r="11" spans="1:29" ht="25.5">
      <c r="A11" s="32">
        <v>9</v>
      </c>
      <c r="B11" s="181" t="s">
        <v>57</v>
      </c>
      <c r="C11" s="185" t="s">
        <v>1808</v>
      </c>
      <c r="D11" s="189" t="s">
        <v>1767</v>
      </c>
      <c r="E11" s="547"/>
      <c r="F11" s="547"/>
      <c r="G11" s="190" t="s">
        <v>1821</v>
      </c>
      <c r="H11" s="179"/>
      <c r="I11" s="179"/>
      <c r="J11" s="179" t="s">
        <v>1812</v>
      </c>
      <c r="K11" s="185"/>
      <c r="L11" s="185" t="s">
        <v>374</v>
      </c>
      <c r="M11" s="180">
        <v>46101</v>
      </c>
      <c r="N11" s="181"/>
      <c r="O11" s="181">
        <v>9.4683969700000006</v>
      </c>
      <c r="P11" s="181">
        <v>125.5810142</v>
      </c>
      <c r="Q11" s="182" t="s">
        <v>1813</v>
      </c>
      <c r="R11" s="183" t="s">
        <v>1814</v>
      </c>
      <c r="S11" s="547"/>
      <c r="T11" s="547"/>
      <c r="U11" s="181" t="s">
        <v>1815</v>
      </c>
      <c r="V11" s="185" t="s">
        <v>89</v>
      </c>
      <c r="W11" s="185" t="s">
        <v>1782</v>
      </c>
      <c r="X11" s="18"/>
      <c r="Y11" s="18"/>
      <c r="Z11" s="18"/>
      <c r="AA11" s="18"/>
      <c r="AB11" s="18"/>
      <c r="AC11" s="18"/>
    </row>
    <row r="12" spans="1:29" ht="25.5">
      <c r="A12" s="32">
        <v>1</v>
      </c>
      <c r="B12" s="188" t="s">
        <v>117</v>
      </c>
      <c r="C12" s="176" t="s">
        <v>191</v>
      </c>
      <c r="D12" s="177" t="s">
        <v>1767</v>
      </c>
      <c r="E12" s="545" t="s">
        <v>108</v>
      </c>
      <c r="F12" s="545" t="s">
        <v>1825</v>
      </c>
      <c r="G12" s="178" t="s">
        <v>105</v>
      </c>
      <c r="H12" s="187"/>
      <c r="I12" s="187"/>
      <c r="J12" s="187" t="s">
        <v>681</v>
      </c>
      <c r="K12" s="176"/>
      <c r="L12" s="176" t="s">
        <v>65</v>
      </c>
      <c r="M12" s="180">
        <v>45245</v>
      </c>
      <c r="N12" s="181"/>
      <c r="O12" s="181">
        <v>9.6080570000000005</v>
      </c>
      <c r="P12" s="181">
        <v>125.640231</v>
      </c>
      <c r="Q12" s="182" t="s">
        <v>1775</v>
      </c>
      <c r="R12" s="183" t="s">
        <v>1776</v>
      </c>
      <c r="S12" s="545" t="b">
        <v>0</v>
      </c>
      <c r="T12" s="545" t="b">
        <v>0</v>
      </c>
      <c r="U12" s="181" t="s">
        <v>22</v>
      </c>
      <c r="V12" s="185" t="s">
        <v>89</v>
      </c>
      <c r="W12" s="185" t="s">
        <v>1782</v>
      </c>
      <c r="X12" s="18"/>
      <c r="Y12" s="18"/>
      <c r="Z12" s="18"/>
      <c r="AA12" s="18"/>
      <c r="AB12" s="525" t="s">
        <v>1829</v>
      </c>
      <c r="AC12" s="522">
        <v>9321043937</v>
      </c>
    </row>
    <row r="13" spans="1:29" ht="25.5">
      <c r="A13" s="32">
        <v>2</v>
      </c>
      <c r="B13" s="176" t="s">
        <v>117</v>
      </c>
      <c r="C13" s="176" t="s">
        <v>191</v>
      </c>
      <c r="D13" s="177" t="s">
        <v>1767</v>
      </c>
      <c r="E13" s="546"/>
      <c r="F13" s="546"/>
      <c r="G13" s="178" t="s">
        <v>120</v>
      </c>
      <c r="H13" s="187"/>
      <c r="I13" s="187"/>
      <c r="J13" s="187" t="s">
        <v>683</v>
      </c>
      <c r="K13" s="176"/>
      <c r="L13" s="176" t="s">
        <v>65</v>
      </c>
      <c r="M13" s="180">
        <v>45245</v>
      </c>
      <c r="N13" s="181"/>
      <c r="O13" s="181">
        <v>9.6080570000000005</v>
      </c>
      <c r="P13" s="181">
        <v>125.640231</v>
      </c>
      <c r="Q13" s="182" t="s">
        <v>1775</v>
      </c>
      <c r="R13" s="183" t="s">
        <v>1776</v>
      </c>
      <c r="S13" s="546"/>
      <c r="T13" s="546"/>
      <c r="U13" s="181" t="s">
        <v>22</v>
      </c>
      <c r="V13" s="185" t="s">
        <v>89</v>
      </c>
      <c r="W13" s="185" t="s">
        <v>1782</v>
      </c>
      <c r="X13" s="18"/>
      <c r="Y13" s="18"/>
      <c r="Z13" s="18"/>
      <c r="AA13" s="18"/>
      <c r="AB13" s="511"/>
      <c r="AC13" s="511"/>
    </row>
    <row r="14" spans="1:29" ht="25.5">
      <c r="A14" s="32">
        <v>3</v>
      </c>
      <c r="B14" s="176" t="s">
        <v>117</v>
      </c>
      <c r="C14" s="176" t="s">
        <v>191</v>
      </c>
      <c r="D14" s="177" t="s">
        <v>1767</v>
      </c>
      <c r="E14" s="547"/>
      <c r="F14" s="547"/>
      <c r="G14" s="178" t="s">
        <v>124</v>
      </c>
      <c r="H14" s="187"/>
      <c r="I14" s="187"/>
      <c r="J14" s="187" t="s">
        <v>685</v>
      </c>
      <c r="K14" s="176"/>
      <c r="L14" s="176" t="s">
        <v>65</v>
      </c>
      <c r="M14" s="180">
        <v>45245</v>
      </c>
      <c r="N14" s="181"/>
      <c r="O14" s="181">
        <v>9.6080570000000005</v>
      </c>
      <c r="P14" s="181">
        <v>125.640231</v>
      </c>
      <c r="Q14" s="182" t="s">
        <v>1775</v>
      </c>
      <c r="R14" s="183" t="s">
        <v>1776</v>
      </c>
      <c r="S14" s="547"/>
      <c r="T14" s="547"/>
      <c r="U14" s="181" t="s">
        <v>22</v>
      </c>
      <c r="V14" s="185" t="s">
        <v>89</v>
      </c>
      <c r="W14" s="185" t="s">
        <v>1782</v>
      </c>
      <c r="X14" s="18"/>
      <c r="Y14" s="18"/>
      <c r="Z14" s="18"/>
      <c r="AA14" s="18"/>
      <c r="AB14" s="512"/>
      <c r="AC14" s="512"/>
    </row>
    <row r="15" spans="1:29" ht="25.5">
      <c r="A15" s="191">
        <v>4</v>
      </c>
      <c r="B15" s="176" t="s">
        <v>117</v>
      </c>
      <c r="C15" s="176" t="s">
        <v>191</v>
      </c>
      <c r="D15" s="177" t="s">
        <v>1767</v>
      </c>
      <c r="E15" s="176" t="s">
        <v>130</v>
      </c>
      <c r="F15" s="176" t="s">
        <v>1825</v>
      </c>
      <c r="G15" s="178" t="s">
        <v>130</v>
      </c>
      <c r="H15" s="187"/>
      <c r="I15" s="187"/>
      <c r="J15" s="187" t="s">
        <v>689</v>
      </c>
      <c r="K15" s="176"/>
      <c r="L15" s="176" t="s">
        <v>31</v>
      </c>
      <c r="M15" s="180">
        <v>45257</v>
      </c>
      <c r="N15" s="181"/>
      <c r="O15" s="181">
        <v>9.6088850000000008</v>
      </c>
      <c r="P15" s="181">
        <v>125.640559</v>
      </c>
      <c r="Q15" s="182" t="s">
        <v>1775</v>
      </c>
      <c r="R15" s="183" t="s">
        <v>1776</v>
      </c>
      <c r="S15" s="176" t="b">
        <v>0</v>
      </c>
      <c r="T15" s="176" t="b">
        <v>0</v>
      </c>
      <c r="U15" s="181" t="s">
        <v>22</v>
      </c>
      <c r="V15" s="185" t="s">
        <v>89</v>
      </c>
      <c r="W15" s="185" t="s">
        <v>1782</v>
      </c>
      <c r="X15" s="18"/>
      <c r="Y15" s="18"/>
      <c r="Z15" s="18"/>
      <c r="AA15" s="18"/>
      <c r="AB15" s="96"/>
      <c r="AC15" s="18"/>
    </row>
    <row r="16" spans="1:29" ht="17.25" customHeight="1">
      <c r="A16" s="32">
        <v>5</v>
      </c>
      <c r="B16" s="176" t="s">
        <v>117</v>
      </c>
      <c r="C16" s="176" t="s">
        <v>191</v>
      </c>
      <c r="D16" s="177" t="s">
        <v>1767</v>
      </c>
      <c r="E16" s="545" t="s">
        <v>234</v>
      </c>
      <c r="F16" s="545" t="s">
        <v>1843</v>
      </c>
      <c r="G16" s="190" t="s">
        <v>234</v>
      </c>
      <c r="H16" s="192" t="s">
        <v>1844</v>
      </c>
      <c r="I16" s="179" t="s">
        <v>1769</v>
      </c>
      <c r="J16" s="187" t="s">
        <v>687</v>
      </c>
      <c r="K16" s="176"/>
      <c r="L16" s="176" t="s">
        <v>128</v>
      </c>
      <c r="M16" s="180">
        <v>45265</v>
      </c>
      <c r="N16" s="181"/>
      <c r="O16" s="181">
        <v>9.6137576760000005</v>
      </c>
      <c r="P16" s="181">
        <v>125.636044</v>
      </c>
      <c r="Q16" s="182" t="s">
        <v>1775</v>
      </c>
      <c r="R16" s="183" t="s">
        <v>1776</v>
      </c>
      <c r="S16" s="545" t="b">
        <v>0</v>
      </c>
      <c r="T16" s="545" t="b">
        <v>0</v>
      </c>
      <c r="U16" s="181" t="s">
        <v>22</v>
      </c>
      <c r="V16" s="184" t="s">
        <v>1847</v>
      </c>
      <c r="W16" s="185" t="s">
        <v>1782</v>
      </c>
      <c r="X16" s="18"/>
      <c r="Y16" s="18"/>
      <c r="Z16" s="18"/>
      <c r="AA16" s="18"/>
      <c r="AB16" s="96"/>
      <c r="AC16" s="18"/>
    </row>
    <row r="17" spans="1:29" ht="12.75">
      <c r="A17" s="32">
        <v>6</v>
      </c>
      <c r="B17" s="176" t="s">
        <v>117</v>
      </c>
      <c r="C17" s="176" t="s">
        <v>191</v>
      </c>
      <c r="D17" s="177" t="s">
        <v>1767</v>
      </c>
      <c r="E17" s="547"/>
      <c r="F17" s="547"/>
      <c r="G17" s="178" t="s">
        <v>131</v>
      </c>
      <c r="H17" s="192" t="s">
        <v>1849</v>
      </c>
      <c r="I17" s="187"/>
      <c r="J17" s="187" t="s">
        <v>693</v>
      </c>
      <c r="K17" s="176"/>
      <c r="L17" s="176" t="s">
        <v>103</v>
      </c>
      <c r="M17" s="180">
        <v>45257</v>
      </c>
      <c r="N17" s="181"/>
      <c r="O17" s="181">
        <v>9.6085552760000006</v>
      </c>
      <c r="P17" s="181">
        <v>125.640615</v>
      </c>
      <c r="Q17" s="182" t="s">
        <v>1775</v>
      </c>
      <c r="R17" s="183" t="s">
        <v>1776</v>
      </c>
      <c r="S17" s="547"/>
      <c r="T17" s="547"/>
      <c r="U17" s="181" t="s">
        <v>22</v>
      </c>
      <c r="V17" s="184" t="s">
        <v>89</v>
      </c>
      <c r="W17" s="185" t="s">
        <v>1782</v>
      </c>
      <c r="X17" s="18"/>
      <c r="Y17" s="18"/>
      <c r="Z17" s="18"/>
      <c r="AA17" s="18"/>
      <c r="AB17" s="96"/>
      <c r="AC17" s="18"/>
    </row>
    <row r="18" spans="1:29" ht="12.75">
      <c r="A18" s="32">
        <v>7</v>
      </c>
      <c r="B18" s="181" t="s">
        <v>117</v>
      </c>
      <c r="C18" s="185" t="s">
        <v>1852</v>
      </c>
      <c r="D18" s="189" t="s">
        <v>1767</v>
      </c>
      <c r="E18" s="545" t="s">
        <v>1853</v>
      </c>
      <c r="F18" s="545" t="s">
        <v>1854</v>
      </c>
      <c r="G18" s="190" t="s">
        <v>1855</v>
      </c>
      <c r="H18" s="187"/>
      <c r="I18" s="187"/>
      <c r="J18" s="187" t="s">
        <v>1856</v>
      </c>
      <c r="K18" s="185"/>
      <c r="L18" s="185" t="s">
        <v>374</v>
      </c>
      <c r="M18" s="180">
        <v>46101</v>
      </c>
      <c r="N18" s="181"/>
      <c r="O18" s="181">
        <v>9.5590600000000006</v>
      </c>
      <c r="P18" s="181">
        <v>125.63517</v>
      </c>
      <c r="Q18" s="182" t="s">
        <v>1813</v>
      </c>
      <c r="R18" s="183" t="s">
        <v>1814</v>
      </c>
      <c r="S18" s="545" t="b">
        <v>0</v>
      </c>
      <c r="T18" s="545" t="b">
        <v>0</v>
      </c>
      <c r="U18" s="181" t="s">
        <v>1815</v>
      </c>
      <c r="V18" s="184" t="s">
        <v>89</v>
      </c>
      <c r="W18" s="185" t="s">
        <v>1782</v>
      </c>
      <c r="X18" s="18"/>
      <c r="Y18" s="18"/>
      <c r="Z18" s="18"/>
      <c r="AA18" s="18"/>
      <c r="AB18" s="18"/>
      <c r="AC18" s="18"/>
    </row>
    <row r="19" spans="1:29" ht="12.75">
      <c r="A19" s="32">
        <v>8</v>
      </c>
      <c r="B19" s="181" t="s">
        <v>117</v>
      </c>
      <c r="C19" s="185" t="s">
        <v>1852</v>
      </c>
      <c r="D19" s="189" t="s">
        <v>1767</v>
      </c>
      <c r="E19" s="546"/>
      <c r="F19" s="546"/>
      <c r="G19" s="190" t="s">
        <v>1858</v>
      </c>
      <c r="H19" s="187"/>
      <c r="I19" s="187"/>
      <c r="J19" s="187" t="s">
        <v>1856</v>
      </c>
      <c r="K19" s="185"/>
      <c r="L19" s="185" t="s">
        <v>374</v>
      </c>
      <c r="M19" s="180">
        <v>46101</v>
      </c>
      <c r="N19" s="181"/>
      <c r="O19" s="181">
        <v>9.5590600000000006</v>
      </c>
      <c r="P19" s="181">
        <v>125.63517</v>
      </c>
      <c r="Q19" s="182" t="s">
        <v>1813</v>
      </c>
      <c r="R19" s="183" t="s">
        <v>1814</v>
      </c>
      <c r="S19" s="546"/>
      <c r="T19" s="546"/>
      <c r="U19" s="181" t="s">
        <v>1815</v>
      </c>
      <c r="V19" s="184" t="s">
        <v>89</v>
      </c>
      <c r="W19" s="185" t="s">
        <v>1782</v>
      </c>
      <c r="X19" s="18"/>
      <c r="Y19" s="18"/>
      <c r="Z19" s="18"/>
      <c r="AA19" s="18"/>
      <c r="AB19" s="18"/>
      <c r="AC19" s="18"/>
    </row>
    <row r="20" spans="1:29" ht="12.75">
      <c r="A20" s="32">
        <v>9</v>
      </c>
      <c r="B20" s="181" t="s">
        <v>117</v>
      </c>
      <c r="C20" s="185" t="s">
        <v>1852</v>
      </c>
      <c r="D20" s="189" t="s">
        <v>1767</v>
      </c>
      <c r="E20" s="547"/>
      <c r="F20" s="547"/>
      <c r="G20" s="190" t="s">
        <v>1859</v>
      </c>
      <c r="H20" s="187"/>
      <c r="I20" s="187"/>
      <c r="J20" s="187" t="s">
        <v>1856</v>
      </c>
      <c r="K20" s="185"/>
      <c r="L20" s="185" t="s">
        <v>374</v>
      </c>
      <c r="M20" s="180">
        <v>46101</v>
      </c>
      <c r="N20" s="181"/>
      <c r="O20" s="181">
        <v>9.5590600000000006</v>
      </c>
      <c r="P20" s="181">
        <v>125.63517</v>
      </c>
      <c r="Q20" s="182" t="s">
        <v>1813</v>
      </c>
      <c r="R20" s="183" t="s">
        <v>1814</v>
      </c>
      <c r="S20" s="547"/>
      <c r="T20" s="547"/>
      <c r="U20" s="181" t="s">
        <v>1815</v>
      </c>
      <c r="V20" s="184" t="s">
        <v>89</v>
      </c>
      <c r="W20" s="185" t="s">
        <v>1782</v>
      </c>
      <c r="X20" s="18"/>
      <c r="Y20" s="18"/>
      <c r="Z20" s="18"/>
      <c r="AA20" s="18"/>
      <c r="AB20" s="18"/>
      <c r="AC20" s="18"/>
    </row>
    <row r="21" spans="1:29" ht="25.5">
      <c r="A21" s="32">
        <v>10</v>
      </c>
      <c r="B21" s="181" t="s">
        <v>117</v>
      </c>
      <c r="C21" s="185" t="s">
        <v>1860</v>
      </c>
      <c r="D21" s="189" t="s">
        <v>1767</v>
      </c>
      <c r="E21" s="545" t="s">
        <v>1861</v>
      </c>
      <c r="F21" s="545" t="s">
        <v>1854</v>
      </c>
      <c r="G21" s="190" t="s">
        <v>1862</v>
      </c>
      <c r="H21" s="193"/>
      <c r="I21" s="193"/>
      <c r="J21" s="193" t="s">
        <v>1863</v>
      </c>
      <c r="K21" s="185"/>
      <c r="L21" s="185" t="s">
        <v>374</v>
      </c>
      <c r="M21" s="180">
        <v>46101</v>
      </c>
      <c r="N21" s="181"/>
      <c r="O21" s="181">
        <v>9.5500295689999994</v>
      </c>
      <c r="P21" s="181">
        <v>125.6188284</v>
      </c>
      <c r="Q21" s="182" t="s">
        <v>1813</v>
      </c>
      <c r="R21" s="183" t="s">
        <v>1814</v>
      </c>
      <c r="S21" s="545" t="b">
        <v>0</v>
      </c>
      <c r="T21" s="545" t="b">
        <v>0</v>
      </c>
      <c r="U21" s="181" t="s">
        <v>1815</v>
      </c>
      <c r="V21" s="185" t="s">
        <v>89</v>
      </c>
      <c r="W21" s="185" t="s">
        <v>1782</v>
      </c>
      <c r="X21" s="18"/>
      <c r="Y21" s="18"/>
      <c r="Z21" s="18"/>
      <c r="AA21" s="18"/>
      <c r="AB21" s="18"/>
      <c r="AC21" s="18"/>
    </row>
    <row r="22" spans="1:29" ht="25.5">
      <c r="A22" s="32">
        <v>11</v>
      </c>
      <c r="B22" s="181" t="s">
        <v>117</v>
      </c>
      <c r="C22" s="185" t="s">
        <v>1860</v>
      </c>
      <c r="D22" s="189" t="s">
        <v>1767</v>
      </c>
      <c r="E22" s="546"/>
      <c r="F22" s="546"/>
      <c r="G22" s="190" t="s">
        <v>1867</v>
      </c>
      <c r="H22" s="193"/>
      <c r="I22" s="193"/>
      <c r="J22" s="193" t="s">
        <v>1863</v>
      </c>
      <c r="K22" s="185"/>
      <c r="L22" s="185" t="s">
        <v>374</v>
      </c>
      <c r="M22" s="180">
        <v>46101</v>
      </c>
      <c r="N22" s="181"/>
      <c r="O22" s="181">
        <v>9.5500295689999994</v>
      </c>
      <c r="P22" s="181">
        <v>125.6188284</v>
      </c>
      <c r="Q22" s="182" t="s">
        <v>1813</v>
      </c>
      <c r="R22" s="183" t="s">
        <v>1814</v>
      </c>
      <c r="S22" s="546"/>
      <c r="T22" s="546"/>
      <c r="U22" s="181" t="s">
        <v>1815</v>
      </c>
      <c r="V22" s="185" t="s">
        <v>89</v>
      </c>
      <c r="W22" s="185" t="s">
        <v>1782</v>
      </c>
      <c r="X22" s="18"/>
      <c r="Y22" s="18"/>
      <c r="Z22" s="18"/>
      <c r="AA22" s="18"/>
      <c r="AB22" s="18"/>
      <c r="AC22" s="18"/>
    </row>
    <row r="23" spans="1:29" ht="25.5">
      <c r="A23" s="32">
        <v>12</v>
      </c>
      <c r="B23" s="181" t="s">
        <v>117</v>
      </c>
      <c r="C23" s="185" t="s">
        <v>1860</v>
      </c>
      <c r="D23" s="189" t="s">
        <v>1767</v>
      </c>
      <c r="E23" s="547"/>
      <c r="F23" s="547"/>
      <c r="G23" s="190" t="s">
        <v>1870</v>
      </c>
      <c r="H23" s="193"/>
      <c r="I23" s="193"/>
      <c r="J23" s="193" t="s">
        <v>1863</v>
      </c>
      <c r="K23" s="185"/>
      <c r="L23" s="185" t="s">
        <v>374</v>
      </c>
      <c r="M23" s="180">
        <v>46101</v>
      </c>
      <c r="N23" s="181"/>
      <c r="O23" s="181">
        <v>9.5500295689999994</v>
      </c>
      <c r="P23" s="181">
        <v>125.6188284</v>
      </c>
      <c r="Q23" s="182" t="s">
        <v>1813</v>
      </c>
      <c r="R23" s="183" t="s">
        <v>1814</v>
      </c>
      <c r="S23" s="547"/>
      <c r="T23" s="547"/>
      <c r="U23" s="181" t="s">
        <v>1815</v>
      </c>
      <c r="V23" s="185" t="s">
        <v>89</v>
      </c>
      <c r="W23" s="185" t="s">
        <v>1782</v>
      </c>
      <c r="X23" s="18"/>
      <c r="Y23" s="18"/>
      <c r="Z23" s="18"/>
      <c r="AA23" s="18"/>
      <c r="AB23" s="18"/>
      <c r="AC23" s="18"/>
    </row>
    <row r="24" spans="1:29" ht="25.5">
      <c r="A24" s="32">
        <v>13</v>
      </c>
      <c r="B24" s="181" t="s">
        <v>117</v>
      </c>
      <c r="C24" s="185" t="s">
        <v>1873</v>
      </c>
      <c r="D24" s="189" t="s">
        <v>1767</v>
      </c>
      <c r="E24" s="545" t="s">
        <v>1874</v>
      </c>
      <c r="F24" s="545" t="s">
        <v>1810</v>
      </c>
      <c r="G24" s="190" t="s">
        <v>1875</v>
      </c>
      <c r="H24" s="179"/>
      <c r="I24" s="179"/>
      <c r="J24" s="179" t="s">
        <v>1876</v>
      </c>
      <c r="K24" s="185"/>
      <c r="L24" s="185" t="s">
        <v>374</v>
      </c>
      <c r="M24" s="180">
        <v>46101</v>
      </c>
      <c r="N24" s="181"/>
      <c r="O24" s="181">
        <v>9.5871670000000009</v>
      </c>
      <c r="P24" s="181">
        <v>125.61393</v>
      </c>
      <c r="Q24" s="182" t="s">
        <v>1813</v>
      </c>
      <c r="R24" s="183" t="s">
        <v>1814</v>
      </c>
      <c r="S24" s="545" t="b">
        <v>0</v>
      </c>
      <c r="T24" s="545" t="b">
        <v>0</v>
      </c>
      <c r="U24" s="181" t="s">
        <v>1815</v>
      </c>
      <c r="V24" s="185" t="s">
        <v>89</v>
      </c>
      <c r="W24" s="185" t="s">
        <v>1782</v>
      </c>
      <c r="X24" s="18"/>
      <c r="Y24" s="18"/>
      <c r="Z24" s="18"/>
      <c r="AA24" s="18"/>
      <c r="AB24" s="18"/>
      <c r="AC24" s="18"/>
    </row>
    <row r="25" spans="1:29" ht="25.5">
      <c r="A25" s="32">
        <v>14</v>
      </c>
      <c r="B25" s="181" t="s">
        <v>117</v>
      </c>
      <c r="C25" s="185" t="s">
        <v>1873</v>
      </c>
      <c r="D25" s="189" t="s">
        <v>1767</v>
      </c>
      <c r="E25" s="546"/>
      <c r="F25" s="546"/>
      <c r="G25" s="190" t="s">
        <v>1877</v>
      </c>
      <c r="H25" s="179"/>
      <c r="I25" s="179"/>
      <c r="J25" s="179" t="s">
        <v>1876</v>
      </c>
      <c r="K25" s="185"/>
      <c r="L25" s="185" t="s">
        <v>374</v>
      </c>
      <c r="M25" s="180">
        <v>46101</v>
      </c>
      <c r="N25" s="181"/>
      <c r="O25" s="181">
        <v>9.5871670000000009</v>
      </c>
      <c r="P25" s="181">
        <v>125.61393</v>
      </c>
      <c r="Q25" s="182" t="s">
        <v>1813</v>
      </c>
      <c r="R25" s="183" t="s">
        <v>1814</v>
      </c>
      <c r="S25" s="546"/>
      <c r="T25" s="546"/>
      <c r="U25" s="181" t="s">
        <v>1815</v>
      </c>
      <c r="V25" s="185" t="s">
        <v>89</v>
      </c>
      <c r="W25" s="185" t="s">
        <v>1782</v>
      </c>
      <c r="X25" s="18"/>
      <c r="Y25" s="18"/>
      <c r="Z25" s="18"/>
      <c r="AA25" s="18"/>
      <c r="AB25" s="18"/>
      <c r="AC25" s="18"/>
    </row>
    <row r="26" spans="1:29" ht="25.5">
      <c r="A26" s="32">
        <v>15</v>
      </c>
      <c r="B26" s="181" t="s">
        <v>117</v>
      </c>
      <c r="C26" s="185" t="s">
        <v>1873</v>
      </c>
      <c r="D26" s="189" t="s">
        <v>1767</v>
      </c>
      <c r="E26" s="547"/>
      <c r="F26" s="547"/>
      <c r="G26" s="190" t="s">
        <v>1878</v>
      </c>
      <c r="H26" s="179"/>
      <c r="I26" s="179"/>
      <c r="J26" s="179" t="s">
        <v>1876</v>
      </c>
      <c r="K26" s="185"/>
      <c r="L26" s="185" t="s">
        <v>374</v>
      </c>
      <c r="M26" s="180">
        <v>46101</v>
      </c>
      <c r="N26" s="181"/>
      <c r="O26" s="181">
        <v>9.5871670000000009</v>
      </c>
      <c r="P26" s="181">
        <v>125.61393</v>
      </c>
      <c r="Q26" s="182" t="s">
        <v>1813</v>
      </c>
      <c r="R26" s="183" t="s">
        <v>1814</v>
      </c>
      <c r="S26" s="547"/>
      <c r="T26" s="547"/>
      <c r="U26" s="181" t="s">
        <v>1815</v>
      </c>
      <c r="V26" s="185" t="s">
        <v>89</v>
      </c>
      <c r="W26" s="185" t="s">
        <v>1782</v>
      </c>
      <c r="X26" s="18"/>
      <c r="Y26" s="18"/>
      <c r="Z26" s="18"/>
      <c r="AA26" s="18"/>
      <c r="AB26" s="18"/>
      <c r="AC26" s="18"/>
    </row>
    <row r="27" spans="1:29" ht="12.75">
      <c r="A27" s="32">
        <v>1</v>
      </c>
      <c r="B27" s="176" t="s">
        <v>136</v>
      </c>
      <c r="C27" s="176" t="s">
        <v>251</v>
      </c>
      <c r="D27" s="177" t="s">
        <v>1767</v>
      </c>
      <c r="E27" s="545" t="s">
        <v>1882</v>
      </c>
      <c r="F27" s="545" t="s">
        <v>1768</v>
      </c>
      <c r="G27" s="178" t="s">
        <v>133</v>
      </c>
      <c r="H27" s="187"/>
      <c r="I27" s="187"/>
      <c r="J27" s="187" t="s">
        <v>695</v>
      </c>
      <c r="K27" s="176"/>
      <c r="L27" s="176" t="s">
        <v>65</v>
      </c>
      <c r="M27" s="180">
        <v>45233</v>
      </c>
      <c r="N27" s="181"/>
      <c r="O27" s="181">
        <v>9.5739180000000008</v>
      </c>
      <c r="P27" s="181">
        <v>125.73276</v>
      </c>
      <c r="Q27" s="182" t="s">
        <v>1775</v>
      </c>
      <c r="R27" s="183" t="s">
        <v>1776</v>
      </c>
      <c r="S27" s="545" t="b">
        <v>0</v>
      </c>
      <c r="T27" s="545" t="b">
        <v>0</v>
      </c>
      <c r="U27" s="181" t="s">
        <v>22</v>
      </c>
      <c r="V27" s="185" t="s">
        <v>89</v>
      </c>
      <c r="W27" s="185" t="s">
        <v>1782</v>
      </c>
      <c r="X27" s="18"/>
      <c r="Y27" s="18"/>
      <c r="Z27" s="18"/>
      <c r="AA27" s="18"/>
      <c r="AB27" s="525" t="s">
        <v>1885</v>
      </c>
      <c r="AC27" s="525" t="s">
        <v>1886</v>
      </c>
    </row>
    <row r="28" spans="1:29" ht="12.75">
      <c r="A28" s="32">
        <v>2</v>
      </c>
      <c r="B28" s="176" t="s">
        <v>136</v>
      </c>
      <c r="C28" s="176" t="s">
        <v>251</v>
      </c>
      <c r="D28" s="177" t="s">
        <v>1767</v>
      </c>
      <c r="E28" s="547"/>
      <c r="F28" s="547"/>
      <c r="G28" s="178" t="s">
        <v>138</v>
      </c>
      <c r="H28" s="187"/>
      <c r="I28" s="187"/>
      <c r="J28" s="187" t="s">
        <v>697</v>
      </c>
      <c r="K28" s="176"/>
      <c r="L28" s="176" t="s">
        <v>65</v>
      </c>
      <c r="M28" s="180">
        <v>45236</v>
      </c>
      <c r="N28" s="181"/>
      <c r="O28" s="181">
        <v>9.5739180000000008</v>
      </c>
      <c r="P28" s="181">
        <v>125.73276</v>
      </c>
      <c r="Q28" s="182" t="s">
        <v>1775</v>
      </c>
      <c r="R28" s="183" t="s">
        <v>1776</v>
      </c>
      <c r="S28" s="547"/>
      <c r="T28" s="547"/>
      <c r="U28" s="181" t="s">
        <v>22</v>
      </c>
      <c r="V28" s="184" t="s">
        <v>199</v>
      </c>
      <c r="W28" s="185" t="s">
        <v>1782</v>
      </c>
      <c r="X28" s="18"/>
      <c r="Y28" s="18"/>
      <c r="Z28" s="18"/>
      <c r="AA28" s="18"/>
      <c r="AB28" s="512"/>
      <c r="AC28" s="512"/>
    </row>
    <row r="29" spans="1:29" ht="38.25" customHeight="1">
      <c r="A29" s="32">
        <v>3</v>
      </c>
      <c r="B29" s="176" t="s">
        <v>136</v>
      </c>
      <c r="C29" s="176" t="s">
        <v>251</v>
      </c>
      <c r="D29" s="177" t="s">
        <v>1767</v>
      </c>
      <c r="E29" s="181" t="s">
        <v>145</v>
      </c>
      <c r="F29" s="181" t="s">
        <v>1768</v>
      </c>
      <c r="G29" s="178" t="s">
        <v>145</v>
      </c>
      <c r="H29" s="187"/>
      <c r="I29" s="187"/>
      <c r="J29" s="187" t="s">
        <v>699</v>
      </c>
      <c r="K29" s="176"/>
      <c r="L29" s="176" t="s">
        <v>65</v>
      </c>
      <c r="M29" s="180">
        <v>45239</v>
      </c>
      <c r="N29" s="181"/>
      <c r="O29" s="181">
        <v>9.5735050000000008</v>
      </c>
      <c r="P29" s="181">
        <v>125.732704</v>
      </c>
      <c r="Q29" s="182" t="s">
        <v>1775</v>
      </c>
      <c r="R29" s="183" t="s">
        <v>1776</v>
      </c>
      <c r="S29" s="181" t="b">
        <v>0</v>
      </c>
      <c r="T29" s="181" t="b">
        <v>0</v>
      </c>
      <c r="U29" s="181" t="s">
        <v>22</v>
      </c>
      <c r="V29" s="184" t="s">
        <v>199</v>
      </c>
      <c r="W29" s="185" t="s">
        <v>1782</v>
      </c>
      <c r="X29" s="18"/>
      <c r="Y29" s="18"/>
      <c r="Z29" s="18"/>
      <c r="AA29" s="18"/>
      <c r="AB29" s="18"/>
      <c r="AC29" s="18"/>
    </row>
    <row r="30" spans="1:29" ht="29.25" customHeight="1">
      <c r="A30" s="32">
        <v>4</v>
      </c>
      <c r="B30" s="176" t="s">
        <v>136</v>
      </c>
      <c r="C30" s="176" t="s">
        <v>251</v>
      </c>
      <c r="D30" s="177" t="s">
        <v>1767</v>
      </c>
      <c r="E30" s="176" t="s">
        <v>147</v>
      </c>
      <c r="F30" s="176" t="s">
        <v>1843</v>
      </c>
      <c r="G30" s="178" t="s">
        <v>147</v>
      </c>
      <c r="H30" s="187"/>
      <c r="I30" s="187"/>
      <c r="J30" s="187" t="s">
        <v>702</v>
      </c>
      <c r="K30" s="176"/>
      <c r="L30" s="176" t="s">
        <v>103</v>
      </c>
      <c r="M30" s="180">
        <v>45258</v>
      </c>
      <c r="N30" s="181"/>
      <c r="O30" s="181">
        <v>9.5738990000000008</v>
      </c>
      <c r="P30" s="181">
        <v>125.73335</v>
      </c>
      <c r="Q30" s="182" t="s">
        <v>1775</v>
      </c>
      <c r="R30" s="183" t="s">
        <v>1776</v>
      </c>
      <c r="S30" s="176" t="b">
        <v>0</v>
      </c>
      <c r="T30" s="176" t="b">
        <v>0</v>
      </c>
      <c r="U30" s="181" t="s">
        <v>22</v>
      </c>
      <c r="V30" s="185" t="s">
        <v>89</v>
      </c>
      <c r="W30" s="185" t="s">
        <v>1782</v>
      </c>
      <c r="X30" s="18"/>
      <c r="Y30" s="18"/>
      <c r="Z30" s="18"/>
      <c r="AA30" s="18"/>
      <c r="AB30" s="18"/>
      <c r="AC30" s="18"/>
    </row>
    <row r="31" spans="1:29" ht="25.5" customHeight="1">
      <c r="A31" s="32">
        <v>5</v>
      </c>
      <c r="B31" s="176" t="s">
        <v>136</v>
      </c>
      <c r="C31" s="176" t="s">
        <v>251</v>
      </c>
      <c r="D31" s="177" t="s">
        <v>1767</v>
      </c>
      <c r="E31" s="176" t="s">
        <v>150</v>
      </c>
      <c r="F31" s="176" t="s">
        <v>1768</v>
      </c>
      <c r="G31" s="178" t="s">
        <v>150</v>
      </c>
      <c r="H31" s="187"/>
      <c r="I31" s="187"/>
      <c r="J31" s="187" t="s">
        <v>704</v>
      </c>
      <c r="K31" s="176"/>
      <c r="L31" s="176" t="s">
        <v>151</v>
      </c>
      <c r="M31" s="180">
        <v>45258</v>
      </c>
      <c r="N31" s="181"/>
      <c r="O31" s="181">
        <v>9.5722498080000005</v>
      </c>
      <c r="P31" s="181">
        <v>125.73289</v>
      </c>
      <c r="Q31" s="182" t="s">
        <v>1775</v>
      </c>
      <c r="R31" s="183" t="s">
        <v>1776</v>
      </c>
      <c r="S31" s="176" t="b">
        <v>0</v>
      </c>
      <c r="T31" s="176" t="b">
        <v>0</v>
      </c>
      <c r="U31" s="181" t="s">
        <v>22</v>
      </c>
      <c r="V31" s="184" t="s">
        <v>89</v>
      </c>
      <c r="W31" s="185" t="s">
        <v>1782</v>
      </c>
      <c r="X31" s="18"/>
      <c r="Y31" s="18"/>
      <c r="Z31" s="18"/>
      <c r="AA31" s="18"/>
      <c r="AB31" s="18"/>
      <c r="AC31" s="18"/>
    </row>
    <row r="32" spans="1:29" ht="25.5" customHeight="1">
      <c r="A32" s="32">
        <v>6</v>
      </c>
      <c r="B32" s="176" t="s">
        <v>136</v>
      </c>
      <c r="C32" s="176" t="s">
        <v>283</v>
      </c>
      <c r="D32" s="177" t="s">
        <v>1767</v>
      </c>
      <c r="E32" s="176" t="s">
        <v>154</v>
      </c>
      <c r="F32" s="176" t="s">
        <v>1768</v>
      </c>
      <c r="G32" s="178" t="s">
        <v>154</v>
      </c>
      <c r="H32" s="187"/>
      <c r="I32" s="187"/>
      <c r="J32" s="187" t="s">
        <v>706</v>
      </c>
      <c r="K32" s="176"/>
      <c r="L32" s="176" t="s">
        <v>155</v>
      </c>
      <c r="M32" s="180">
        <v>45258</v>
      </c>
      <c r="N32" s="181"/>
      <c r="O32" s="181">
        <v>9.5767249999999997</v>
      </c>
      <c r="P32" s="181">
        <v>125.731375</v>
      </c>
      <c r="Q32" s="182" t="s">
        <v>1775</v>
      </c>
      <c r="R32" s="183" t="s">
        <v>1776</v>
      </c>
      <c r="S32" s="176" t="b">
        <v>0</v>
      </c>
      <c r="T32" s="176" t="b">
        <v>0</v>
      </c>
      <c r="U32" s="181" t="s">
        <v>22</v>
      </c>
      <c r="V32" s="185" t="s">
        <v>89</v>
      </c>
      <c r="W32" s="185" t="s">
        <v>1782</v>
      </c>
      <c r="X32" s="18"/>
      <c r="Y32" s="18"/>
      <c r="Z32" s="18"/>
      <c r="AA32" s="18"/>
      <c r="AB32" s="18"/>
      <c r="AC32" s="18"/>
    </row>
    <row r="33" spans="1:29" ht="25.5">
      <c r="A33" s="32">
        <v>7</v>
      </c>
      <c r="B33" s="181" t="s">
        <v>136</v>
      </c>
      <c r="C33" s="185" t="s">
        <v>1893</v>
      </c>
      <c r="D33" s="189" t="s">
        <v>1767</v>
      </c>
      <c r="E33" s="545" t="s">
        <v>1894</v>
      </c>
      <c r="F33" s="545" t="s">
        <v>1810</v>
      </c>
      <c r="G33" s="190" t="s">
        <v>1898</v>
      </c>
      <c r="H33" s="193"/>
      <c r="I33" s="193"/>
      <c r="J33" s="193" t="s">
        <v>1899</v>
      </c>
      <c r="K33" s="185"/>
      <c r="L33" s="185" t="s">
        <v>374</v>
      </c>
      <c r="M33" s="180">
        <v>46101</v>
      </c>
      <c r="N33" s="181"/>
      <c r="O33" s="181">
        <v>9.5758310000000009</v>
      </c>
      <c r="P33" s="181">
        <v>125.764191</v>
      </c>
      <c r="Q33" s="182" t="s">
        <v>1813</v>
      </c>
      <c r="R33" s="183" t="s">
        <v>1814</v>
      </c>
      <c r="S33" s="545" t="b">
        <v>0</v>
      </c>
      <c r="T33" s="545" t="b">
        <v>0</v>
      </c>
      <c r="U33" s="181" t="s">
        <v>1815</v>
      </c>
      <c r="V33" s="185" t="s">
        <v>89</v>
      </c>
      <c r="W33" s="185" t="s">
        <v>1782</v>
      </c>
      <c r="X33" s="18"/>
      <c r="Y33" s="18"/>
      <c r="Z33" s="18"/>
      <c r="AA33" s="18"/>
      <c r="AB33" s="18"/>
      <c r="AC33" s="18"/>
    </row>
    <row r="34" spans="1:29" ht="25.5">
      <c r="A34" s="32">
        <v>8</v>
      </c>
      <c r="B34" s="181" t="s">
        <v>136</v>
      </c>
      <c r="C34" s="185" t="s">
        <v>1893</v>
      </c>
      <c r="D34" s="189" t="s">
        <v>1767</v>
      </c>
      <c r="E34" s="546"/>
      <c r="F34" s="546"/>
      <c r="G34" s="190" t="s">
        <v>1903</v>
      </c>
      <c r="H34" s="193"/>
      <c r="I34" s="193"/>
      <c r="J34" s="193" t="s">
        <v>1899</v>
      </c>
      <c r="K34" s="185"/>
      <c r="L34" s="185" t="s">
        <v>374</v>
      </c>
      <c r="M34" s="180">
        <v>46101</v>
      </c>
      <c r="N34" s="181"/>
      <c r="O34" s="181">
        <v>9.5758310000000009</v>
      </c>
      <c r="P34" s="181">
        <v>125.764191</v>
      </c>
      <c r="Q34" s="182" t="s">
        <v>1813</v>
      </c>
      <c r="R34" s="183" t="s">
        <v>1814</v>
      </c>
      <c r="S34" s="546"/>
      <c r="T34" s="546"/>
      <c r="U34" s="181" t="s">
        <v>1815</v>
      </c>
      <c r="V34" s="185" t="s">
        <v>89</v>
      </c>
      <c r="W34" s="185" t="s">
        <v>1782</v>
      </c>
      <c r="X34" s="18"/>
      <c r="Y34" s="18"/>
      <c r="Z34" s="18"/>
      <c r="AA34" s="18"/>
      <c r="AB34" s="18"/>
      <c r="AC34" s="18"/>
    </row>
    <row r="35" spans="1:29" ht="25.5">
      <c r="A35" s="32">
        <v>9</v>
      </c>
      <c r="B35" s="181" t="s">
        <v>136</v>
      </c>
      <c r="C35" s="185" t="s">
        <v>1893</v>
      </c>
      <c r="D35" s="189" t="s">
        <v>1767</v>
      </c>
      <c r="E35" s="547"/>
      <c r="F35" s="547"/>
      <c r="G35" s="190" t="s">
        <v>1904</v>
      </c>
      <c r="H35" s="193"/>
      <c r="I35" s="193"/>
      <c r="J35" s="193" t="s">
        <v>1899</v>
      </c>
      <c r="K35" s="185"/>
      <c r="L35" s="185" t="s">
        <v>374</v>
      </c>
      <c r="M35" s="180">
        <v>46101</v>
      </c>
      <c r="N35" s="181"/>
      <c r="O35" s="181">
        <v>9.5758310000000009</v>
      </c>
      <c r="P35" s="181">
        <v>125.764191</v>
      </c>
      <c r="Q35" s="182" t="s">
        <v>1813</v>
      </c>
      <c r="R35" s="183" t="s">
        <v>1814</v>
      </c>
      <c r="S35" s="547"/>
      <c r="T35" s="547"/>
      <c r="U35" s="181" t="s">
        <v>1815</v>
      </c>
      <c r="V35" s="184" t="s">
        <v>89</v>
      </c>
      <c r="W35" s="185" t="s">
        <v>1782</v>
      </c>
      <c r="X35" s="18"/>
      <c r="Y35" s="18"/>
      <c r="Z35" s="18"/>
      <c r="AA35" s="18"/>
      <c r="AB35" s="18"/>
      <c r="AC35" s="18"/>
    </row>
    <row r="36" spans="1:29" ht="25.5">
      <c r="A36" s="32">
        <v>10</v>
      </c>
      <c r="B36" s="181" t="s">
        <v>136</v>
      </c>
      <c r="C36" s="185" t="s">
        <v>1905</v>
      </c>
      <c r="D36" s="189" t="s">
        <v>1767</v>
      </c>
      <c r="E36" s="545" t="s">
        <v>1906</v>
      </c>
      <c r="F36" s="545" t="s">
        <v>1810</v>
      </c>
      <c r="G36" s="190" t="s">
        <v>1907</v>
      </c>
      <c r="H36" s="193"/>
      <c r="I36" s="193"/>
      <c r="J36" s="193" t="s">
        <v>1908</v>
      </c>
      <c r="K36" s="185"/>
      <c r="L36" s="185" t="s">
        <v>374</v>
      </c>
      <c r="M36" s="180">
        <v>46101</v>
      </c>
      <c r="N36" s="181"/>
      <c r="O36" s="181">
        <v>9.5761690000000002</v>
      </c>
      <c r="P36" s="181">
        <v>125.712332</v>
      </c>
      <c r="Q36" s="182" t="s">
        <v>1813</v>
      </c>
      <c r="R36" s="183" t="s">
        <v>1814</v>
      </c>
      <c r="S36" s="545" t="b">
        <v>0</v>
      </c>
      <c r="T36" s="545" t="b">
        <v>0</v>
      </c>
      <c r="U36" s="181" t="s">
        <v>1815</v>
      </c>
      <c r="V36" s="184" t="s">
        <v>89</v>
      </c>
      <c r="W36" s="185" t="s">
        <v>1782</v>
      </c>
      <c r="X36" s="18"/>
      <c r="Y36" s="18"/>
      <c r="Z36" s="18"/>
      <c r="AA36" s="18"/>
      <c r="AB36" s="18"/>
      <c r="AC36" s="18"/>
    </row>
    <row r="37" spans="1:29" ht="25.5">
      <c r="A37" s="32">
        <v>11</v>
      </c>
      <c r="B37" s="181" t="s">
        <v>136</v>
      </c>
      <c r="C37" s="185" t="s">
        <v>1905</v>
      </c>
      <c r="D37" s="189" t="s">
        <v>1767</v>
      </c>
      <c r="E37" s="546"/>
      <c r="F37" s="546"/>
      <c r="G37" s="190" t="s">
        <v>1909</v>
      </c>
      <c r="H37" s="193"/>
      <c r="I37" s="193"/>
      <c r="J37" s="193" t="s">
        <v>1908</v>
      </c>
      <c r="K37" s="185"/>
      <c r="L37" s="185" t="s">
        <v>374</v>
      </c>
      <c r="M37" s="180">
        <v>46101</v>
      </c>
      <c r="N37" s="181"/>
      <c r="O37" s="181">
        <v>9.5761690000000002</v>
      </c>
      <c r="P37" s="181">
        <v>125.712332</v>
      </c>
      <c r="Q37" s="182" t="s">
        <v>1813</v>
      </c>
      <c r="R37" s="183" t="s">
        <v>1814</v>
      </c>
      <c r="S37" s="546"/>
      <c r="T37" s="546"/>
      <c r="U37" s="181" t="s">
        <v>1815</v>
      </c>
      <c r="V37" s="184" t="s">
        <v>89</v>
      </c>
      <c r="W37" s="185" t="s">
        <v>1782</v>
      </c>
      <c r="X37" s="18"/>
      <c r="Y37" s="18"/>
      <c r="Z37" s="18"/>
      <c r="AA37" s="18"/>
      <c r="AB37" s="18"/>
      <c r="AC37" s="18"/>
    </row>
    <row r="38" spans="1:29" ht="25.5">
      <c r="A38" s="32">
        <v>12</v>
      </c>
      <c r="B38" s="181" t="s">
        <v>136</v>
      </c>
      <c r="C38" s="185" t="s">
        <v>1905</v>
      </c>
      <c r="D38" s="189" t="s">
        <v>1767</v>
      </c>
      <c r="E38" s="547"/>
      <c r="F38" s="547"/>
      <c r="G38" s="190" t="s">
        <v>1912</v>
      </c>
      <c r="H38" s="193"/>
      <c r="I38" s="193"/>
      <c r="J38" s="193" t="s">
        <v>1908</v>
      </c>
      <c r="K38" s="185"/>
      <c r="L38" s="185" t="s">
        <v>374</v>
      </c>
      <c r="M38" s="180">
        <v>46101</v>
      </c>
      <c r="N38" s="181"/>
      <c r="O38" s="181">
        <v>9.5761690000000002</v>
      </c>
      <c r="P38" s="181">
        <v>125.712332</v>
      </c>
      <c r="Q38" s="182" t="s">
        <v>1813</v>
      </c>
      <c r="R38" s="183" t="s">
        <v>1814</v>
      </c>
      <c r="S38" s="547"/>
      <c r="T38" s="547"/>
      <c r="U38" s="181" t="s">
        <v>1815</v>
      </c>
      <c r="V38" s="184" t="s">
        <v>89</v>
      </c>
      <c r="W38" s="185" t="s">
        <v>1782</v>
      </c>
      <c r="X38" s="18"/>
      <c r="Y38" s="18"/>
      <c r="Z38" s="18"/>
      <c r="AA38" s="18"/>
      <c r="AB38" s="18"/>
      <c r="AC38" s="18"/>
    </row>
    <row r="39" spans="1:29" ht="12.75">
      <c r="A39" s="32">
        <v>13</v>
      </c>
      <c r="B39" s="181" t="s">
        <v>136</v>
      </c>
      <c r="C39" s="185" t="s">
        <v>1915</v>
      </c>
      <c r="D39" s="189" t="s">
        <v>1767</v>
      </c>
      <c r="E39" s="545" t="s">
        <v>1916</v>
      </c>
      <c r="F39" s="545" t="s">
        <v>1810</v>
      </c>
      <c r="G39" s="190" t="s">
        <v>1917</v>
      </c>
      <c r="H39" s="193"/>
      <c r="I39" s="193"/>
      <c r="J39" s="193" t="s">
        <v>1918</v>
      </c>
      <c r="K39" s="185"/>
      <c r="L39" s="185" t="s">
        <v>374</v>
      </c>
      <c r="M39" s="180">
        <v>46101</v>
      </c>
      <c r="N39" s="181"/>
      <c r="O39" s="181">
        <v>9.5324369999999998</v>
      </c>
      <c r="P39" s="181">
        <v>125.728662</v>
      </c>
      <c r="Q39" s="182" t="s">
        <v>1813</v>
      </c>
      <c r="R39" s="183" t="s">
        <v>1814</v>
      </c>
      <c r="S39" s="545" t="b">
        <v>0</v>
      </c>
      <c r="T39" s="545" t="b">
        <v>0</v>
      </c>
      <c r="U39" s="181" t="s">
        <v>1815</v>
      </c>
      <c r="V39" s="184" t="s">
        <v>89</v>
      </c>
      <c r="W39" s="185" t="s">
        <v>1782</v>
      </c>
      <c r="X39" s="18"/>
      <c r="Y39" s="18"/>
      <c r="Z39" s="18"/>
      <c r="AA39" s="18"/>
      <c r="AB39" s="18"/>
      <c r="AC39" s="18"/>
    </row>
    <row r="40" spans="1:29" ht="12.75">
      <c r="A40" s="32">
        <v>14</v>
      </c>
      <c r="B40" s="181" t="s">
        <v>136</v>
      </c>
      <c r="C40" s="185" t="s">
        <v>1915</v>
      </c>
      <c r="D40" s="189" t="s">
        <v>1767</v>
      </c>
      <c r="E40" s="546"/>
      <c r="F40" s="546"/>
      <c r="G40" s="190" t="s">
        <v>1919</v>
      </c>
      <c r="H40" s="193"/>
      <c r="I40" s="193"/>
      <c r="J40" s="193" t="s">
        <v>1918</v>
      </c>
      <c r="K40" s="185"/>
      <c r="L40" s="185" t="s">
        <v>374</v>
      </c>
      <c r="M40" s="180">
        <v>46101</v>
      </c>
      <c r="N40" s="181"/>
      <c r="O40" s="181">
        <v>9.5324369999999998</v>
      </c>
      <c r="P40" s="181">
        <v>125.728662</v>
      </c>
      <c r="Q40" s="182" t="s">
        <v>1813</v>
      </c>
      <c r="R40" s="183" t="s">
        <v>1814</v>
      </c>
      <c r="S40" s="546"/>
      <c r="T40" s="546"/>
      <c r="U40" s="181" t="s">
        <v>1815</v>
      </c>
      <c r="V40" s="184" t="s">
        <v>89</v>
      </c>
      <c r="W40" s="185" t="s">
        <v>1782</v>
      </c>
      <c r="X40" s="18"/>
      <c r="Y40" s="18"/>
      <c r="Z40" s="18"/>
      <c r="AA40" s="18"/>
      <c r="AB40" s="18"/>
      <c r="AC40" s="18"/>
    </row>
    <row r="41" spans="1:29" ht="12.75">
      <c r="A41" s="32">
        <v>15</v>
      </c>
      <c r="B41" s="181" t="s">
        <v>136</v>
      </c>
      <c r="C41" s="185" t="s">
        <v>1915</v>
      </c>
      <c r="D41" s="189" t="s">
        <v>1767</v>
      </c>
      <c r="E41" s="547"/>
      <c r="F41" s="547"/>
      <c r="G41" s="190" t="s">
        <v>1920</v>
      </c>
      <c r="H41" s="193"/>
      <c r="I41" s="193"/>
      <c r="J41" s="193" t="s">
        <v>1918</v>
      </c>
      <c r="K41" s="185"/>
      <c r="L41" s="185" t="s">
        <v>374</v>
      </c>
      <c r="M41" s="180">
        <v>46101</v>
      </c>
      <c r="N41" s="181"/>
      <c r="O41" s="181">
        <v>9.5324369999999998</v>
      </c>
      <c r="P41" s="181">
        <v>125.728662</v>
      </c>
      <c r="Q41" s="182" t="s">
        <v>1813</v>
      </c>
      <c r="R41" s="183" t="s">
        <v>1814</v>
      </c>
      <c r="S41" s="547"/>
      <c r="T41" s="547"/>
      <c r="U41" s="181" t="s">
        <v>1815</v>
      </c>
      <c r="V41" s="184" t="s">
        <v>89</v>
      </c>
      <c r="W41" s="185" t="s">
        <v>1782</v>
      </c>
      <c r="X41" s="18"/>
      <c r="Y41" s="18"/>
      <c r="Z41" s="18"/>
      <c r="AA41" s="18"/>
      <c r="AB41" s="18"/>
      <c r="AC41" s="18"/>
    </row>
    <row r="42" spans="1:29" ht="25.5">
      <c r="A42" s="32">
        <v>16</v>
      </c>
      <c r="B42" s="181" t="s">
        <v>136</v>
      </c>
      <c r="C42" s="185" t="s">
        <v>1921</v>
      </c>
      <c r="D42" s="189" t="s">
        <v>1767</v>
      </c>
      <c r="E42" s="545" t="s">
        <v>1922</v>
      </c>
      <c r="F42" s="545" t="s">
        <v>1810</v>
      </c>
      <c r="G42" s="190" t="s">
        <v>1923</v>
      </c>
      <c r="H42" s="193"/>
      <c r="I42" s="193"/>
      <c r="J42" s="193" t="s">
        <v>1924</v>
      </c>
      <c r="K42" s="185"/>
      <c r="L42" s="185" t="s">
        <v>374</v>
      </c>
      <c r="M42" s="180">
        <v>46101</v>
      </c>
      <c r="N42" s="181"/>
      <c r="O42" s="181">
        <v>9.5626599999999993</v>
      </c>
      <c r="P42" s="181">
        <v>125.70233399999999</v>
      </c>
      <c r="Q42" s="182" t="s">
        <v>1813</v>
      </c>
      <c r="R42" s="183" t="s">
        <v>1814</v>
      </c>
      <c r="S42" s="545" t="b">
        <v>0</v>
      </c>
      <c r="T42" s="545" t="b">
        <v>0</v>
      </c>
      <c r="U42" s="181" t="s">
        <v>1815</v>
      </c>
      <c r="V42" s="185" t="s">
        <v>89</v>
      </c>
      <c r="W42" s="185" t="s">
        <v>1782</v>
      </c>
      <c r="X42" s="18"/>
      <c r="Y42" s="18"/>
      <c r="Z42" s="18"/>
      <c r="AA42" s="18"/>
      <c r="AB42" s="18"/>
      <c r="AC42" s="18"/>
    </row>
    <row r="43" spans="1:29" ht="25.5">
      <c r="A43" s="32">
        <v>17</v>
      </c>
      <c r="B43" s="181" t="s">
        <v>136</v>
      </c>
      <c r="C43" s="185" t="s">
        <v>1921</v>
      </c>
      <c r="D43" s="189" t="s">
        <v>1767</v>
      </c>
      <c r="E43" s="546"/>
      <c r="F43" s="546"/>
      <c r="G43" s="190" t="s">
        <v>1928</v>
      </c>
      <c r="H43" s="193"/>
      <c r="I43" s="193"/>
      <c r="J43" s="193" t="s">
        <v>1924</v>
      </c>
      <c r="K43" s="185"/>
      <c r="L43" s="185" t="s">
        <v>374</v>
      </c>
      <c r="M43" s="180">
        <v>46101</v>
      </c>
      <c r="N43" s="181"/>
      <c r="O43" s="181">
        <v>9.5626599999999993</v>
      </c>
      <c r="P43" s="181">
        <v>125.70233399999999</v>
      </c>
      <c r="Q43" s="182" t="s">
        <v>1813</v>
      </c>
      <c r="R43" s="183" t="s">
        <v>1814</v>
      </c>
      <c r="S43" s="546"/>
      <c r="T43" s="546"/>
      <c r="U43" s="181" t="s">
        <v>1815</v>
      </c>
      <c r="V43" s="185" t="s">
        <v>89</v>
      </c>
      <c r="W43" s="185" t="s">
        <v>1782</v>
      </c>
      <c r="X43" s="18"/>
      <c r="Y43" s="18"/>
      <c r="Z43" s="18"/>
      <c r="AA43" s="18"/>
      <c r="AB43" s="18"/>
      <c r="AC43" s="18"/>
    </row>
    <row r="44" spans="1:29" ht="25.5">
      <c r="A44" s="32">
        <v>18</v>
      </c>
      <c r="B44" s="181" t="s">
        <v>136</v>
      </c>
      <c r="C44" s="185" t="s">
        <v>1921</v>
      </c>
      <c r="D44" s="189" t="s">
        <v>1767</v>
      </c>
      <c r="E44" s="547"/>
      <c r="F44" s="547"/>
      <c r="G44" s="190" t="s">
        <v>1929</v>
      </c>
      <c r="H44" s="193"/>
      <c r="I44" s="193"/>
      <c r="J44" s="193" t="s">
        <v>1924</v>
      </c>
      <c r="K44" s="185"/>
      <c r="L44" s="185" t="s">
        <v>374</v>
      </c>
      <c r="M44" s="180">
        <v>46101</v>
      </c>
      <c r="N44" s="181"/>
      <c r="O44" s="181">
        <v>9.5626599999999993</v>
      </c>
      <c r="P44" s="181">
        <v>125.70233399999999</v>
      </c>
      <c r="Q44" s="182" t="s">
        <v>1813</v>
      </c>
      <c r="R44" s="183" t="s">
        <v>1814</v>
      </c>
      <c r="S44" s="547"/>
      <c r="T44" s="547"/>
      <c r="U44" s="181" t="s">
        <v>1815</v>
      </c>
      <c r="V44" s="185" t="s">
        <v>89</v>
      </c>
      <c r="W44" s="185" t="s">
        <v>1782</v>
      </c>
      <c r="X44" s="18"/>
      <c r="Y44" s="18"/>
      <c r="Z44" s="18"/>
      <c r="AA44" s="18"/>
      <c r="AB44" s="18"/>
      <c r="AC44" s="18"/>
    </row>
    <row r="45" spans="1:29" ht="25.5">
      <c r="A45" s="32">
        <v>19</v>
      </c>
      <c r="B45" s="181" t="s">
        <v>136</v>
      </c>
      <c r="C45" s="185" t="s">
        <v>1930</v>
      </c>
      <c r="D45" s="189" t="s">
        <v>1767</v>
      </c>
      <c r="E45" s="545" t="s">
        <v>1931</v>
      </c>
      <c r="F45" s="545" t="s">
        <v>1768</v>
      </c>
      <c r="G45" s="190" t="s">
        <v>1931</v>
      </c>
      <c r="H45" s="194"/>
      <c r="I45" s="179" t="s">
        <v>1935</v>
      </c>
      <c r="J45" s="194"/>
      <c r="K45" s="185"/>
      <c r="L45" s="185" t="s">
        <v>622</v>
      </c>
      <c r="M45" s="195"/>
      <c r="N45" s="181"/>
      <c r="O45" s="181">
        <v>9.5733499999999996</v>
      </c>
      <c r="P45" s="181">
        <v>125.73269000000001</v>
      </c>
      <c r="Q45" s="182" t="s">
        <v>1775</v>
      </c>
      <c r="R45" s="183" t="s">
        <v>1776</v>
      </c>
      <c r="S45" s="545" t="b">
        <v>0</v>
      </c>
      <c r="T45" s="545" t="b">
        <v>0</v>
      </c>
      <c r="U45" s="181" t="s">
        <v>1940</v>
      </c>
      <c r="V45" s="184" t="s">
        <v>199</v>
      </c>
      <c r="W45" s="185" t="s">
        <v>1782</v>
      </c>
      <c r="X45" s="18"/>
      <c r="Y45" s="18"/>
      <c r="Z45" s="18"/>
      <c r="AA45" s="18"/>
      <c r="AB45" s="545" t="s">
        <v>1942</v>
      </c>
      <c r="AC45" s="545" t="s">
        <v>1943</v>
      </c>
    </row>
    <row r="46" spans="1:29" ht="25.5">
      <c r="A46" s="32">
        <v>20</v>
      </c>
      <c r="B46" s="181" t="s">
        <v>136</v>
      </c>
      <c r="C46" s="185" t="s">
        <v>1930</v>
      </c>
      <c r="D46" s="189" t="s">
        <v>1767</v>
      </c>
      <c r="E46" s="547"/>
      <c r="F46" s="547"/>
      <c r="G46" s="190" t="s">
        <v>1931</v>
      </c>
      <c r="H46" s="194"/>
      <c r="I46" s="179" t="s">
        <v>1935</v>
      </c>
      <c r="J46" s="194"/>
      <c r="K46" s="185"/>
      <c r="L46" s="185" t="s">
        <v>622</v>
      </c>
      <c r="M46" s="195"/>
      <c r="N46" s="181"/>
      <c r="O46" s="181">
        <v>9.5733499999999996</v>
      </c>
      <c r="P46" s="181">
        <v>125.73269000000001</v>
      </c>
      <c r="Q46" s="182" t="s">
        <v>1775</v>
      </c>
      <c r="R46" s="183" t="s">
        <v>1776</v>
      </c>
      <c r="S46" s="547"/>
      <c r="T46" s="547"/>
      <c r="U46" s="181" t="s">
        <v>1940</v>
      </c>
      <c r="V46" s="184" t="s">
        <v>199</v>
      </c>
      <c r="W46" s="185" t="s">
        <v>1782</v>
      </c>
      <c r="X46" s="18"/>
      <c r="Y46" s="18"/>
      <c r="Z46" s="18"/>
      <c r="AA46" s="18"/>
      <c r="AB46" s="512"/>
      <c r="AC46" s="512"/>
    </row>
    <row r="47" spans="1:29" ht="25.5">
      <c r="A47" s="32">
        <v>1</v>
      </c>
      <c r="B47" s="176" t="s">
        <v>167</v>
      </c>
      <c r="C47" s="176" t="s">
        <v>290</v>
      </c>
      <c r="D47" s="177" t="s">
        <v>1767</v>
      </c>
      <c r="E47" s="545" t="s">
        <v>160</v>
      </c>
      <c r="F47" s="545" t="s">
        <v>1768</v>
      </c>
      <c r="G47" s="75" t="s">
        <v>1944</v>
      </c>
      <c r="H47" s="187"/>
      <c r="I47" s="187"/>
      <c r="J47" s="187" t="s">
        <v>710</v>
      </c>
      <c r="K47" s="176"/>
      <c r="L47" s="176" t="s">
        <v>65</v>
      </c>
      <c r="M47" s="180">
        <v>45247</v>
      </c>
      <c r="N47" s="181"/>
      <c r="O47" s="181">
        <v>9.5953529999999994</v>
      </c>
      <c r="P47" s="181">
        <v>125.69732999999999</v>
      </c>
      <c r="Q47" s="182" t="s">
        <v>1775</v>
      </c>
      <c r="R47" s="183" t="s">
        <v>1776</v>
      </c>
      <c r="S47" s="545" t="b">
        <v>0</v>
      </c>
      <c r="T47" s="545" t="b">
        <v>0</v>
      </c>
      <c r="U47" s="181" t="s">
        <v>22</v>
      </c>
      <c r="V47" s="185" t="s">
        <v>89</v>
      </c>
      <c r="W47" s="185" t="s">
        <v>1782</v>
      </c>
      <c r="X47" s="18"/>
      <c r="Y47" s="18"/>
      <c r="Z47" s="18"/>
      <c r="AA47" s="18"/>
      <c r="AB47" s="545" t="s">
        <v>1946</v>
      </c>
      <c r="AC47" s="545" t="s">
        <v>1947</v>
      </c>
    </row>
    <row r="48" spans="1:29" ht="25.5">
      <c r="A48" s="32">
        <v>2</v>
      </c>
      <c r="B48" s="176" t="s">
        <v>167</v>
      </c>
      <c r="C48" s="176" t="s">
        <v>290</v>
      </c>
      <c r="D48" s="177" t="s">
        <v>1767</v>
      </c>
      <c r="E48" s="546"/>
      <c r="F48" s="546"/>
      <c r="G48" s="178" t="s">
        <v>169</v>
      </c>
      <c r="H48" s="187"/>
      <c r="I48" s="187"/>
      <c r="J48" s="187" t="s">
        <v>713</v>
      </c>
      <c r="K48" s="176"/>
      <c r="L48" s="176" t="s">
        <v>65</v>
      </c>
      <c r="M48" s="180">
        <v>45247</v>
      </c>
      <c r="N48" s="181"/>
      <c r="O48" s="181">
        <v>9.5953529999999994</v>
      </c>
      <c r="P48" s="181">
        <v>125.69732999999999</v>
      </c>
      <c r="Q48" s="182" t="s">
        <v>1775</v>
      </c>
      <c r="R48" s="183" t="s">
        <v>1776</v>
      </c>
      <c r="S48" s="546"/>
      <c r="T48" s="546"/>
      <c r="U48" s="181" t="s">
        <v>22</v>
      </c>
      <c r="V48" s="185" t="s">
        <v>89</v>
      </c>
      <c r="W48" s="185" t="s">
        <v>1782</v>
      </c>
      <c r="X48" s="18"/>
      <c r="Y48" s="18"/>
      <c r="Z48" s="18"/>
      <c r="AA48" s="18"/>
      <c r="AB48" s="511"/>
      <c r="AC48" s="511"/>
    </row>
    <row r="49" spans="1:29" ht="25.5">
      <c r="A49" s="32">
        <v>3</v>
      </c>
      <c r="B49" s="176" t="s">
        <v>167</v>
      </c>
      <c r="C49" s="176" t="s">
        <v>290</v>
      </c>
      <c r="D49" s="177" t="s">
        <v>1767</v>
      </c>
      <c r="E49" s="547"/>
      <c r="F49" s="547"/>
      <c r="G49" s="75" t="s">
        <v>1951</v>
      </c>
      <c r="H49" s="187"/>
      <c r="I49" s="187"/>
      <c r="J49" s="187" t="s">
        <v>715</v>
      </c>
      <c r="K49" s="176"/>
      <c r="L49" s="176" t="s">
        <v>65</v>
      </c>
      <c r="M49" s="180">
        <v>45247</v>
      </c>
      <c r="N49" s="181"/>
      <c r="O49" s="181">
        <v>9.5953529999999994</v>
      </c>
      <c r="P49" s="181">
        <v>125.69732999999999</v>
      </c>
      <c r="Q49" s="182" t="s">
        <v>1775</v>
      </c>
      <c r="R49" s="183" t="s">
        <v>1776</v>
      </c>
      <c r="S49" s="547"/>
      <c r="T49" s="547"/>
      <c r="U49" s="181" t="s">
        <v>22</v>
      </c>
      <c r="V49" s="185" t="s">
        <v>89</v>
      </c>
      <c r="W49" s="185" t="s">
        <v>1782</v>
      </c>
      <c r="X49" s="18"/>
      <c r="Y49" s="18"/>
      <c r="Z49" s="18"/>
      <c r="AA49" s="18"/>
      <c r="AB49" s="511"/>
      <c r="AC49" s="511"/>
    </row>
    <row r="50" spans="1:29" ht="27" customHeight="1">
      <c r="A50" s="32">
        <v>4</v>
      </c>
      <c r="B50" s="176" t="s">
        <v>167</v>
      </c>
      <c r="C50" s="176" t="s">
        <v>290</v>
      </c>
      <c r="D50" s="177" t="s">
        <v>1767</v>
      </c>
      <c r="E50" s="176" t="s">
        <v>177</v>
      </c>
      <c r="F50" s="176" t="s">
        <v>1768</v>
      </c>
      <c r="G50" s="178" t="s">
        <v>177</v>
      </c>
      <c r="H50" s="187"/>
      <c r="I50" s="187"/>
      <c r="J50" s="187" t="s">
        <v>717</v>
      </c>
      <c r="K50" s="176"/>
      <c r="L50" s="176" t="s">
        <v>103</v>
      </c>
      <c r="M50" s="180">
        <v>45256</v>
      </c>
      <c r="N50" s="181"/>
      <c r="O50" s="181">
        <v>9.5959573850000002</v>
      </c>
      <c r="P50" s="181">
        <v>125.698106</v>
      </c>
      <c r="Q50" s="182" t="s">
        <v>1775</v>
      </c>
      <c r="R50" s="183" t="s">
        <v>1776</v>
      </c>
      <c r="S50" s="176" t="b">
        <v>0</v>
      </c>
      <c r="T50" s="176" t="b">
        <v>0</v>
      </c>
      <c r="U50" s="181" t="s">
        <v>22</v>
      </c>
      <c r="V50" s="185" t="s">
        <v>89</v>
      </c>
      <c r="W50" s="185" t="s">
        <v>1782</v>
      </c>
      <c r="X50" s="18"/>
      <c r="Y50" s="18"/>
      <c r="Z50" s="18"/>
      <c r="AA50" s="18"/>
      <c r="AB50" s="511"/>
      <c r="AC50" s="511"/>
    </row>
    <row r="51" spans="1:29" ht="27.75" customHeight="1">
      <c r="A51" s="32">
        <v>5</v>
      </c>
      <c r="B51" s="176" t="s">
        <v>167</v>
      </c>
      <c r="C51" s="176" t="s">
        <v>140</v>
      </c>
      <c r="D51" s="177" t="s">
        <v>1767</v>
      </c>
      <c r="E51" s="181" t="s">
        <v>1957</v>
      </c>
      <c r="F51" s="181" t="s">
        <v>1768</v>
      </c>
      <c r="G51" s="178" t="s">
        <v>181</v>
      </c>
      <c r="H51" s="187"/>
      <c r="I51" s="187"/>
      <c r="J51" s="187" t="s">
        <v>719</v>
      </c>
      <c r="K51" s="176"/>
      <c r="L51" s="176" t="s">
        <v>65</v>
      </c>
      <c r="M51" s="180">
        <v>45256</v>
      </c>
      <c r="N51" s="181"/>
      <c r="O51" s="181">
        <v>9.5958871979999998</v>
      </c>
      <c r="P51" s="181">
        <v>125.697434</v>
      </c>
      <c r="Q51" s="182" t="s">
        <v>1775</v>
      </c>
      <c r="R51" s="183" t="s">
        <v>1776</v>
      </c>
      <c r="S51" s="181" t="b">
        <v>0</v>
      </c>
      <c r="T51" s="181" t="b">
        <v>0</v>
      </c>
      <c r="U51" s="181" t="s">
        <v>22</v>
      </c>
      <c r="V51" s="185" t="s">
        <v>89</v>
      </c>
      <c r="W51" s="185" t="s">
        <v>1782</v>
      </c>
      <c r="X51" s="18"/>
      <c r="Y51" s="18"/>
      <c r="Z51" s="18"/>
      <c r="AA51" s="18"/>
      <c r="AB51" s="511"/>
      <c r="AC51" s="511"/>
    </row>
    <row r="52" spans="1:29" ht="28.5" customHeight="1">
      <c r="A52" s="32">
        <v>6</v>
      </c>
      <c r="B52" s="176" t="s">
        <v>167</v>
      </c>
      <c r="C52" s="176" t="s">
        <v>290</v>
      </c>
      <c r="D52" s="177" t="s">
        <v>1767</v>
      </c>
      <c r="E52" s="176" t="s">
        <v>184</v>
      </c>
      <c r="F52" s="176" t="s">
        <v>1768</v>
      </c>
      <c r="G52" s="178" t="s">
        <v>184</v>
      </c>
      <c r="H52" s="187"/>
      <c r="I52" s="187"/>
      <c r="J52" s="187" t="s">
        <v>721</v>
      </c>
      <c r="K52" s="176"/>
      <c r="L52" s="176" t="s">
        <v>155</v>
      </c>
      <c r="M52" s="180">
        <v>45256</v>
      </c>
      <c r="N52" s="181"/>
      <c r="O52" s="181">
        <v>9.593778855</v>
      </c>
      <c r="P52" s="181">
        <v>125.699009</v>
      </c>
      <c r="Q52" s="182" t="s">
        <v>1775</v>
      </c>
      <c r="R52" s="183" t="s">
        <v>1776</v>
      </c>
      <c r="S52" s="176" t="b">
        <v>0</v>
      </c>
      <c r="T52" s="176" t="b">
        <v>0</v>
      </c>
      <c r="U52" s="181" t="s">
        <v>22</v>
      </c>
      <c r="V52" s="185" t="s">
        <v>89</v>
      </c>
      <c r="W52" s="185" t="s">
        <v>1782</v>
      </c>
      <c r="X52" s="18"/>
      <c r="Y52" s="18"/>
      <c r="Z52" s="18"/>
      <c r="AA52" s="18"/>
      <c r="AB52" s="512"/>
      <c r="AC52" s="512"/>
    </row>
    <row r="53" spans="1:29" ht="25.5">
      <c r="A53" s="32">
        <v>7</v>
      </c>
      <c r="B53" s="181" t="s">
        <v>167</v>
      </c>
      <c r="C53" s="185" t="s">
        <v>1962</v>
      </c>
      <c r="D53" s="189" t="s">
        <v>1767</v>
      </c>
      <c r="E53" s="545" t="s">
        <v>1963</v>
      </c>
      <c r="F53" s="545" t="s">
        <v>1810</v>
      </c>
      <c r="G53" s="190" t="s">
        <v>1964</v>
      </c>
      <c r="H53" s="193"/>
      <c r="I53" s="193"/>
      <c r="J53" s="193" t="s">
        <v>1966</v>
      </c>
      <c r="K53" s="185"/>
      <c r="L53" s="185" t="s">
        <v>374</v>
      </c>
      <c r="M53" s="180">
        <v>46101</v>
      </c>
      <c r="N53" s="181"/>
      <c r="O53" s="181">
        <v>9.5073720000000002</v>
      </c>
      <c r="P53" s="181">
        <v>125.667</v>
      </c>
      <c r="Q53" s="182" t="s">
        <v>1813</v>
      </c>
      <c r="R53" s="183" t="s">
        <v>1814</v>
      </c>
      <c r="S53" s="545" t="b">
        <v>0</v>
      </c>
      <c r="T53" s="545" t="b">
        <v>0</v>
      </c>
      <c r="U53" s="181" t="s">
        <v>1815</v>
      </c>
      <c r="V53" s="184" t="s">
        <v>199</v>
      </c>
      <c r="W53" s="185" t="s">
        <v>1782</v>
      </c>
      <c r="X53" s="18"/>
      <c r="Y53" s="18"/>
      <c r="Z53" s="18"/>
      <c r="AA53" s="18"/>
      <c r="AB53" s="18"/>
      <c r="AC53" s="18"/>
    </row>
    <row r="54" spans="1:29" ht="25.5">
      <c r="A54" s="32">
        <v>8</v>
      </c>
      <c r="B54" s="181" t="s">
        <v>167</v>
      </c>
      <c r="C54" s="185" t="s">
        <v>1962</v>
      </c>
      <c r="D54" s="189" t="s">
        <v>1767</v>
      </c>
      <c r="E54" s="546"/>
      <c r="F54" s="546"/>
      <c r="G54" s="190" t="s">
        <v>1970</v>
      </c>
      <c r="H54" s="193"/>
      <c r="I54" s="193"/>
      <c r="J54" s="193" t="s">
        <v>1966</v>
      </c>
      <c r="K54" s="185"/>
      <c r="L54" s="185" t="s">
        <v>374</v>
      </c>
      <c r="M54" s="180">
        <v>46101</v>
      </c>
      <c r="N54" s="181"/>
      <c r="O54" s="181">
        <v>9.5073720000000002</v>
      </c>
      <c r="P54" s="181">
        <v>125.667</v>
      </c>
      <c r="Q54" s="182" t="s">
        <v>1813</v>
      </c>
      <c r="R54" s="183" t="s">
        <v>1814</v>
      </c>
      <c r="S54" s="546"/>
      <c r="T54" s="546"/>
      <c r="U54" s="181" t="s">
        <v>1815</v>
      </c>
      <c r="V54" s="184" t="s">
        <v>199</v>
      </c>
      <c r="W54" s="185" t="s">
        <v>1782</v>
      </c>
      <c r="X54" s="18"/>
      <c r="Y54" s="18"/>
      <c r="Z54" s="18"/>
      <c r="AA54" s="18"/>
      <c r="AB54" s="18"/>
      <c r="AC54" s="18"/>
    </row>
    <row r="55" spans="1:29" ht="25.5">
      <c r="A55" s="32">
        <v>9</v>
      </c>
      <c r="B55" s="181" t="s">
        <v>167</v>
      </c>
      <c r="C55" s="185" t="s">
        <v>1962</v>
      </c>
      <c r="D55" s="189" t="s">
        <v>1767</v>
      </c>
      <c r="E55" s="547"/>
      <c r="F55" s="547"/>
      <c r="G55" s="190" t="s">
        <v>1977</v>
      </c>
      <c r="H55" s="193"/>
      <c r="I55" s="193"/>
      <c r="J55" s="193" t="s">
        <v>1966</v>
      </c>
      <c r="K55" s="185"/>
      <c r="L55" s="185" t="s">
        <v>374</v>
      </c>
      <c r="M55" s="180">
        <v>46101</v>
      </c>
      <c r="N55" s="181"/>
      <c r="O55" s="181">
        <v>9.5073720000000002</v>
      </c>
      <c r="P55" s="181">
        <v>125.667</v>
      </c>
      <c r="Q55" s="182" t="s">
        <v>1813</v>
      </c>
      <c r="R55" s="183" t="s">
        <v>1814</v>
      </c>
      <c r="S55" s="547"/>
      <c r="T55" s="547"/>
      <c r="U55" s="181" t="s">
        <v>1815</v>
      </c>
      <c r="V55" s="184" t="s">
        <v>199</v>
      </c>
      <c r="W55" s="185" t="s">
        <v>1782</v>
      </c>
      <c r="X55" s="18"/>
      <c r="Y55" s="18"/>
      <c r="Z55" s="18"/>
      <c r="AA55" s="18"/>
      <c r="AB55" s="18"/>
      <c r="AC55" s="18"/>
    </row>
    <row r="56" spans="1:29" ht="25.5">
      <c r="A56" s="32">
        <v>10</v>
      </c>
      <c r="B56" s="185" t="s">
        <v>167</v>
      </c>
      <c r="C56" s="185" t="s">
        <v>140</v>
      </c>
      <c r="D56" s="189" t="s">
        <v>1767</v>
      </c>
      <c r="E56" s="548" t="s">
        <v>1440</v>
      </c>
      <c r="F56" s="548" t="s">
        <v>1810</v>
      </c>
      <c r="G56" s="209" t="s">
        <v>1982</v>
      </c>
      <c r="H56" s="179"/>
      <c r="I56" s="179"/>
      <c r="J56" s="179" t="s">
        <v>1983</v>
      </c>
      <c r="K56" s="185"/>
      <c r="L56" s="185" t="s">
        <v>553</v>
      </c>
      <c r="M56" s="180">
        <v>46127</v>
      </c>
      <c r="N56" s="185"/>
      <c r="O56" s="185">
        <v>9.5601299999999991</v>
      </c>
      <c r="P56" s="185">
        <v>125.68634</v>
      </c>
      <c r="Q56" s="182" t="s">
        <v>1775</v>
      </c>
      <c r="R56" s="183" t="s">
        <v>1814</v>
      </c>
      <c r="S56" s="548" t="b">
        <v>0</v>
      </c>
      <c r="T56" s="548" t="b">
        <v>0</v>
      </c>
      <c r="U56" s="181" t="s">
        <v>1695</v>
      </c>
      <c r="V56" s="185" t="s">
        <v>89</v>
      </c>
      <c r="W56" s="185" t="s">
        <v>1782</v>
      </c>
      <c r="X56" s="18"/>
      <c r="Y56" s="18"/>
      <c r="Z56" s="18"/>
      <c r="AA56" s="18"/>
      <c r="AB56" s="18"/>
      <c r="AC56" s="18"/>
    </row>
    <row r="57" spans="1:29" ht="25.5">
      <c r="A57" s="32">
        <v>11</v>
      </c>
      <c r="B57" s="185" t="s">
        <v>167</v>
      </c>
      <c r="C57" s="185" t="s">
        <v>140</v>
      </c>
      <c r="D57" s="189" t="s">
        <v>1767</v>
      </c>
      <c r="E57" s="553"/>
      <c r="F57" s="553"/>
      <c r="G57" s="209" t="s">
        <v>1988</v>
      </c>
      <c r="H57" s="179"/>
      <c r="I57" s="179"/>
      <c r="J57" s="179" t="s">
        <v>1983</v>
      </c>
      <c r="K57" s="185"/>
      <c r="L57" s="185" t="s">
        <v>553</v>
      </c>
      <c r="M57" s="180">
        <v>46127</v>
      </c>
      <c r="N57" s="185"/>
      <c r="O57" s="185">
        <v>9.5601299999999991</v>
      </c>
      <c r="P57" s="185">
        <v>125.68634</v>
      </c>
      <c r="Q57" s="182" t="s">
        <v>1775</v>
      </c>
      <c r="R57" s="183" t="s">
        <v>1814</v>
      </c>
      <c r="S57" s="553"/>
      <c r="T57" s="553"/>
      <c r="U57" s="181" t="s">
        <v>1695</v>
      </c>
      <c r="V57" s="185" t="s">
        <v>89</v>
      </c>
      <c r="W57" s="185" t="s">
        <v>1782</v>
      </c>
      <c r="X57" s="18"/>
      <c r="Y57" s="18"/>
      <c r="Z57" s="18"/>
      <c r="AA57" s="18"/>
      <c r="AB57" s="18"/>
      <c r="AC57" s="18"/>
    </row>
    <row r="58" spans="1:29" ht="25.5">
      <c r="A58" s="32">
        <v>12</v>
      </c>
      <c r="B58" s="185" t="s">
        <v>167</v>
      </c>
      <c r="C58" s="185" t="s">
        <v>140</v>
      </c>
      <c r="D58" s="189" t="s">
        <v>1767</v>
      </c>
      <c r="E58" s="549"/>
      <c r="F58" s="549"/>
      <c r="G58" s="209" t="s">
        <v>1991</v>
      </c>
      <c r="H58" s="179"/>
      <c r="I58" s="179"/>
      <c r="J58" s="179" t="s">
        <v>1983</v>
      </c>
      <c r="K58" s="185"/>
      <c r="L58" s="185" t="s">
        <v>553</v>
      </c>
      <c r="M58" s="180">
        <v>46127</v>
      </c>
      <c r="N58" s="185"/>
      <c r="O58" s="185">
        <v>9.5601299999999991</v>
      </c>
      <c r="P58" s="185">
        <v>125.68634</v>
      </c>
      <c r="Q58" s="182" t="s">
        <v>1775</v>
      </c>
      <c r="R58" s="183" t="s">
        <v>1814</v>
      </c>
      <c r="S58" s="549"/>
      <c r="T58" s="549"/>
      <c r="U58" s="181" t="s">
        <v>1695</v>
      </c>
      <c r="V58" s="185" t="s">
        <v>89</v>
      </c>
      <c r="W58" s="185" t="s">
        <v>1782</v>
      </c>
      <c r="X58" s="18"/>
      <c r="Y58" s="18"/>
      <c r="Z58" s="18"/>
      <c r="AA58" s="18"/>
      <c r="AB58" s="18"/>
      <c r="AC58" s="18"/>
    </row>
    <row r="59" spans="1:29" ht="25.5">
      <c r="A59" s="32">
        <v>13</v>
      </c>
      <c r="B59" s="185" t="s">
        <v>167</v>
      </c>
      <c r="C59" s="185" t="s">
        <v>1962</v>
      </c>
      <c r="D59" s="189" t="s">
        <v>1767</v>
      </c>
      <c r="E59" s="548" t="s">
        <v>1993</v>
      </c>
      <c r="F59" s="548" t="s">
        <v>1810</v>
      </c>
      <c r="G59" s="213" t="s">
        <v>1995</v>
      </c>
      <c r="H59" s="194"/>
      <c r="I59" s="194"/>
      <c r="J59" s="194"/>
      <c r="K59" s="185"/>
      <c r="L59" s="185" t="s">
        <v>374</v>
      </c>
      <c r="M59" s="214">
        <v>46148</v>
      </c>
      <c r="N59" s="185"/>
      <c r="O59" s="185">
        <v>9.5525579999999994</v>
      </c>
      <c r="P59" s="185">
        <v>125.680775</v>
      </c>
      <c r="Q59" s="182" t="s">
        <v>1775</v>
      </c>
      <c r="R59" s="183" t="s">
        <v>1776</v>
      </c>
      <c r="S59" s="548" t="b">
        <v>0</v>
      </c>
      <c r="T59" s="548" t="b">
        <v>0</v>
      </c>
      <c r="U59" s="181" t="s">
        <v>1999</v>
      </c>
      <c r="V59" s="185" t="s">
        <v>89</v>
      </c>
      <c r="W59" s="185" t="s">
        <v>1782</v>
      </c>
      <c r="X59" s="18"/>
      <c r="Y59" s="18"/>
      <c r="Z59" s="18"/>
      <c r="AA59" s="18"/>
      <c r="AB59" s="18"/>
      <c r="AC59" s="18"/>
    </row>
    <row r="60" spans="1:29" ht="25.5">
      <c r="A60" s="32">
        <v>14</v>
      </c>
      <c r="B60" s="185" t="s">
        <v>167</v>
      </c>
      <c r="C60" s="185" t="s">
        <v>1962</v>
      </c>
      <c r="D60" s="189" t="s">
        <v>1767</v>
      </c>
      <c r="E60" s="549"/>
      <c r="F60" s="549"/>
      <c r="G60" s="213" t="s">
        <v>2002</v>
      </c>
      <c r="H60" s="194"/>
      <c r="I60" s="194"/>
      <c r="J60" s="194"/>
      <c r="K60" s="185"/>
      <c r="L60" s="185" t="s">
        <v>374</v>
      </c>
      <c r="M60" s="214">
        <v>46148</v>
      </c>
      <c r="N60" s="185"/>
      <c r="O60" s="185">
        <v>9.5525579999999994</v>
      </c>
      <c r="P60" s="185">
        <v>125.680775</v>
      </c>
      <c r="Q60" s="182" t="s">
        <v>1775</v>
      </c>
      <c r="R60" s="183" t="s">
        <v>1776</v>
      </c>
      <c r="S60" s="549"/>
      <c r="T60" s="549"/>
      <c r="U60" s="181" t="s">
        <v>1999</v>
      </c>
      <c r="V60" s="184" t="s">
        <v>89</v>
      </c>
      <c r="W60" s="185" t="s">
        <v>1782</v>
      </c>
      <c r="X60" s="18"/>
      <c r="Y60" s="18"/>
      <c r="Z60" s="18"/>
      <c r="AA60" s="18"/>
      <c r="AB60" s="18"/>
      <c r="AC60" s="18"/>
    </row>
    <row r="61" spans="1:29" ht="25.5">
      <c r="A61" s="32">
        <v>1</v>
      </c>
      <c r="B61" s="176" t="s">
        <v>198</v>
      </c>
      <c r="C61" s="176" t="s">
        <v>327</v>
      </c>
      <c r="D61" s="177" t="s">
        <v>1767</v>
      </c>
      <c r="E61" s="181" t="s">
        <v>190</v>
      </c>
      <c r="F61" s="181" t="s">
        <v>1768</v>
      </c>
      <c r="G61" s="178" t="s">
        <v>188</v>
      </c>
      <c r="H61" s="187"/>
      <c r="I61" s="187"/>
      <c r="J61" s="187" t="s">
        <v>724</v>
      </c>
      <c r="K61" s="176"/>
      <c r="L61" s="176" t="s">
        <v>65</v>
      </c>
      <c r="M61" s="180">
        <v>45255</v>
      </c>
      <c r="N61" s="181"/>
      <c r="O61" s="181">
        <v>9.5406747420000002</v>
      </c>
      <c r="P61" s="181">
        <v>125.522983</v>
      </c>
      <c r="Q61" s="182" t="s">
        <v>1775</v>
      </c>
      <c r="R61" s="183" t="s">
        <v>1776</v>
      </c>
      <c r="S61" s="181" t="b">
        <v>0</v>
      </c>
      <c r="T61" s="181" t="b">
        <v>0</v>
      </c>
      <c r="U61" s="181" t="s">
        <v>22</v>
      </c>
      <c r="V61" s="185" t="s">
        <v>89</v>
      </c>
      <c r="W61" s="185" t="s">
        <v>1782</v>
      </c>
      <c r="X61" s="18"/>
      <c r="Y61" s="18"/>
      <c r="Z61" s="18"/>
      <c r="AA61" s="18"/>
      <c r="AB61" s="545" t="s">
        <v>2005</v>
      </c>
      <c r="AC61" s="545" t="s">
        <v>2006</v>
      </c>
    </row>
    <row r="62" spans="1:29" ht="25.5">
      <c r="A62" s="32">
        <v>2</v>
      </c>
      <c r="B62" s="176" t="s">
        <v>198</v>
      </c>
      <c r="C62" s="176" t="s">
        <v>327</v>
      </c>
      <c r="D62" s="177" t="s">
        <v>1767</v>
      </c>
      <c r="E62" s="545" t="s">
        <v>583</v>
      </c>
      <c r="F62" s="545" t="s">
        <v>1768</v>
      </c>
      <c r="G62" s="178" t="s">
        <v>201</v>
      </c>
      <c r="H62" s="187"/>
      <c r="I62" s="187"/>
      <c r="J62" s="187" t="s">
        <v>729</v>
      </c>
      <c r="K62" s="176"/>
      <c r="L62" s="176" t="s">
        <v>65</v>
      </c>
      <c r="M62" s="180">
        <v>45255</v>
      </c>
      <c r="N62" s="181"/>
      <c r="O62" s="181">
        <v>9.5404671749999999</v>
      </c>
      <c r="P62" s="181">
        <v>125.52278800000001</v>
      </c>
      <c r="Q62" s="182" t="s">
        <v>1775</v>
      </c>
      <c r="R62" s="183" t="s">
        <v>1776</v>
      </c>
      <c r="S62" s="545" t="b">
        <v>0</v>
      </c>
      <c r="T62" s="545" t="b">
        <v>0</v>
      </c>
      <c r="U62" s="181" t="s">
        <v>22</v>
      </c>
      <c r="V62" s="185" t="s">
        <v>89</v>
      </c>
      <c r="W62" s="185" t="s">
        <v>1782</v>
      </c>
      <c r="X62" s="18"/>
      <c r="Y62" s="18"/>
      <c r="Z62" s="18"/>
      <c r="AA62" s="18"/>
      <c r="AB62" s="511"/>
      <c r="AC62" s="511"/>
    </row>
    <row r="63" spans="1:29" ht="25.5">
      <c r="A63" s="32">
        <v>3</v>
      </c>
      <c r="B63" s="176" t="s">
        <v>198</v>
      </c>
      <c r="C63" s="176" t="s">
        <v>327</v>
      </c>
      <c r="D63" s="177" t="s">
        <v>1767</v>
      </c>
      <c r="E63" s="547"/>
      <c r="F63" s="547"/>
      <c r="G63" s="178" t="s">
        <v>203</v>
      </c>
      <c r="H63" s="187"/>
      <c r="I63" s="187"/>
      <c r="J63" s="187" t="s">
        <v>731</v>
      </c>
      <c r="K63" s="176"/>
      <c r="L63" s="176" t="s">
        <v>65</v>
      </c>
      <c r="M63" s="180">
        <v>45255</v>
      </c>
      <c r="N63" s="181"/>
      <c r="O63" s="181">
        <v>9.5404671749999999</v>
      </c>
      <c r="P63" s="181">
        <v>125.52278800000001</v>
      </c>
      <c r="Q63" s="182" t="s">
        <v>1775</v>
      </c>
      <c r="R63" s="183" t="s">
        <v>1776</v>
      </c>
      <c r="S63" s="547"/>
      <c r="T63" s="547"/>
      <c r="U63" s="181" t="s">
        <v>22</v>
      </c>
      <c r="V63" s="185" t="s">
        <v>89</v>
      </c>
      <c r="W63" s="185" t="s">
        <v>1782</v>
      </c>
      <c r="X63" s="18"/>
      <c r="Y63" s="18"/>
      <c r="Z63" s="18"/>
      <c r="AA63" s="18"/>
      <c r="AB63" s="512"/>
      <c r="AC63" s="512"/>
    </row>
    <row r="64" spans="1:29" ht="30" customHeight="1">
      <c r="A64" s="32">
        <v>4</v>
      </c>
      <c r="B64" s="176" t="s">
        <v>198</v>
      </c>
      <c r="C64" s="176" t="s">
        <v>345</v>
      </c>
      <c r="D64" s="177" t="s">
        <v>1767</v>
      </c>
      <c r="E64" s="176" t="s">
        <v>205</v>
      </c>
      <c r="F64" s="176" t="s">
        <v>1768</v>
      </c>
      <c r="G64" s="178" t="s">
        <v>205</v>
      </c>
      <c r="H64" s="187"/>
      <c r="I64" s="187"/>
      <c r="J64" s="187" t="s">
        <v>735</v>
      </c>
      <c r="K64" s="176"/>
      <c r="L64" s="176" t="s">
        <v>207</v>
      </c>
      <c r="M64" s="180">
        <v>45256</v>
      </c>
      <c r="N64" s="181"/>
      <c r="O64" s="181">
        <v>9.535276498</v>
      </c>
      <c r="P64" s="181">
        <v>125.523989</v>
      </c>
      <c r="Q64" s="182" t="s">
        <v>1775</v>
      </c>
      <c r="R64" s="183" t="s">
        <v>1776</v>
      </c>
      <c r="S64" s="176" t="b">
        <v>0</v>
      </c>
      <c r="T64" s="176" t="b">
        <v>0</v>
      </c>
      <c r="U64" s="181" t="s">
        <v>22</v>
      </c>
      <c r="V64" s="185" t="s">
        <v>89</v>
      </c>
      <c r="W64" s="185" t="s">
        <v>1782</v>
      </c>
      <c r="X64" s="18"/>
      <c r="Y64" s="18"/>
      <c r="Z64" s="18"/>
      <c r="AA64" s="18"/>
      <c r="AB64" s="96" t="s">
        <v>2020</v>
      </c>
      <c r="AC64" s="188" t="s">
        <v>2021</v>
      </c>
    </row>
    <row r="65" spans="1:29" ht="30" customHeight="1">
      <c r="A65" s="32">
        <v>5</v>
      </c>
      <c r="B65" s="176" t="s">
        <v>198</v>
      </c>
      <c r="C65" s="176" t="s">
        <v>327</v>
      </c>
      <c r="D65" s="177" t="s">
        <v>1767</v>
      </c>
      <c r="E65" s="176" t="s">
        <v>208</v>
      </c>
      <c r="F65" s="176" t="s">
        <v>1768</v>
      </c>
      <c r="G65" s="178" t="s">
        <v>208</v>
      </c>
      <c r="H65" s="187"/>
      <c r="I65" s="187" t="s">
        <v>1935</v>
      </c>
      <c r="J65" s="187" t="s">
        <v>740</v>
      </c>
      <c r="K65" s="176"/>
      <c r="L65" s="176" t="s">
        <v>103</v>
      </c>
      <c r="M65" s="180">
        <v>45267</v>
      </c>
      <c r="N65" s="181"/>
      <c r="O65" s="181">
        <v>9.5404892950000004</v>
      </c>
      <c r="P65" s="181">
        <v>125.523382</v>
      </c>
      <c r="Q65" s="182" t="s">
        <v>1775</v>
      </c>
      <c r="R65" s="183" t="s">
        <v>1776</v>
      </c>
      <c r="S65" s="176" t="b">
        <v>0</v>
      </c>
      <c r="T65" s="176" t="b">
        <v>0</v>
      </c>
      <c r="U65" s="181" t="s">
        <v>22</v>
      </c>
      <c r="V65" s="184" t="s">
        <v>199</v>
      </c>
      <c r="W65" s="185" t="s">
        <v>1782</v>
      </c>
      <c r="X65" s="18"/>
      <c r="Y65" s="18"/>
      <c r="Z65" s="18"/>
      <c r="AA65" s="18"/>
      <c r="AB65" s="525" t="s">
        <v>2026</v>
      </c>
      <c r="AC65" s="545" t="s">
        <v>2027</v>
      </c>
    </row>
    <row r="66" spans="1:29" ht="16.5" customHeight="1">
      <c r="A66" s="32">
        <v>6</v>
      </c>
      <c r="B66" s="176" t="s">
        <v>198</v>
      </c>
      <c r="C66" s="176" t="s">
        <v>327</v>
      </c>
      <c r="D66" s="177" t="s">
        <v>1767</v>
      </c>
      <c r="E66" s="181" t="s">
        <v>2028</v>
      </c>
      <c r="F66" s="181" t="s">
        <v>1768</v>
      </c>
      <c r="G66" s="178" t="s">
        <v>209</v>
      </c>
      <c r="H66" s="187"/>
      <c r="I66" s="187"/>
      <c r="J66" s="187" t="s">
        <v>746</v>
      </c>
      <c r="K66" s="176"/>
      <c r="L66" s="176" t="s">
        <v>155</v>
      </c>
      <c r="M66" s="180">
        <v>45257</v>
      </c>
      <c r="N66" s="181"/>
      <c r="O66" s="181">
        <v>9.5359444440000001</v>
      </c>
      <c r="P66" s="181">
        <v>125.523819</v>
      </c>
      <c r="Q66" s="182" t="s">
        <v>1775</v>
      </c>
      <c r="R66" s="183" t="s">
        <v>1776</v>
      </c>
      <c r="S66" s="181" t="b">
        <v>0</v>
      </c>
      <c r="T66" s="181" t="b">
        <v>0</v>
      </c>
      <c r="U66" s="181" t="s">
        <v>22</v>
      </c>
      <c r="V66" s="184" t="s">
        <v>89</v>
      </c>
      <c r="W66" s="185" t="s">
        <v>1782</v>
      </c>
      <c r="X66" s="18"/>
      <c r="Y66" s="18"/>
      <c r="Z66" s="18"/>
      <c r="AA66" s="18"/>
      <c r="AB66" s="512"/>
      <c r="AC66" s="512"/>
    </row>
    <row r="67" spans="1:29" ht="29.25" customHeight="1">
      <c r="A67" s="32">
        <v>7</v>
      </c>
      <c r="B67" s="176" t="s">
        <v>198</v>
      </c>
      <c r="C67" s="176" t="s">
        <v>356</v>
      </c>
      <c r="D67" s="177" t="s">
        <v>1767</v>
      </c>
      <c r="E67" s="181" t="s">
        <v>358</v>
      </c>
      <c r="F67" s="181" t="s">
        <v>1768</v>
      </c>
      <c r="G67" s="213" t="s">
        <v>363</v>
      </c>
      <c r="H67" s="179"/>
      <c r="I67" s="179"/>
      <c r="J67" s="179" t="s">
        <v>1642</v>
      </c>
      <c r="K67" s="176"/>
      <c r="L67" s="176" t="s">
        <v>155</v>
      </c>
      <c r="M67" s="180">
        <v>45562</v>
      </c>
      <c r="N67" s="181"/>
      <c r="O67" s="181">
        <v>9.5420627800000002</v>
      </c>
      <c r="P67" s="181">
        <v>125.5224181</v>
      </c>
      <c r="Q67" s="182" t="s">
        <v>1775</v>
      </c>
      <c r="R67" s="183" t="s">
        <v>1776</v>
      </c>
      <c r="S67" s="181" t="b">
        <v>0</v>
      </c>
      <c r="T67" s="181" t="b">
        <v>0</v>
      </c>
      <c r="U67" s="181" t="s">
        <v>22</v>
      </c>
      <c r="V67" s="184" t="s">
        <v>89</v>
      </c>
      <c r="W67" s="185" t="s">
        <v>1782</v>
      </c>
      <c r="X67" s="18"/>
      <c r="Y67" s="161" t="s">
        <v>1643</v>
      </c>
      <c r="Z67" s="162" t="s">
        <v>1644</v>
      </c>
      <c r="AA67" s="18"/>
      <c r="AB67" s="188" t="s">
        <v>2036</v>
      </c>
      <c r="AC67" s="188" t="s">
        <v>2027</v>
      </c>
    </row>
    <row r="68" spans="1:29" ht="25.5">
      <c r="A68" s="32">
        <v>8</v>
      </c>
      <c r="B68" s="176" t="s">
        <v>198</v>
      </c>
      <c r="C68" s="176" t="s">
        <v>345</v>
      </c>
      <c r="D68" s="189" t="s">
        <v>1767</v>
      </c>
      <c r="E68" s="545" t="s">
        <v>627</v>
      </c>
      <c r="F68" s="545" t="s">
        <v>1810</v>
      </c>
      <c r="G68" s="222" t="s">
        <v>626</v>
      </c>
      <c r="H68" s="223"/>
      <c r="I68" s="179" t="s">
        <v>2037</v>
      </c>
      <c r="J68" s="223"/>
      <c r="K68" s="176"/>
      <c r="L68" s="176" t="s">
        <v>622</v>
      </c>
      <c r="M68" s="180">
        <v>45251</v>
      </c>
      <c r="N68" s="181"/>
      <c r="O68" s="181">
        <v>9.5350731890000002</v>
      </c>
      <c r="P68" s="181">
        <v>125.5581854</v>
      </c>
      <c r="Q68" s="182" t="s">
        <v>1813</v>
      </c>
      <c r="R68" s="183" t="s">
        <v>1814</v>
      </c>
      <c r="S68" s="545" t="b">
        <v>0</v>
      </c>
      <c r="T68" s="545" t="b">
        <v>0</v>
      </c>
      <c r="U68" s="181" t="s">
        <v>623</v>
      </c>
      <c r="V68" s="185" t="s">
        <v>2037</v>
      </c>
      <c r="W68" s="185" t="s">
        <v>1782</v>
      </c>
      <c r="X68" s="18"/>
      <c r="Y68" s="18"/>
      <c r="Z68" s="18"/>
      <c r="AA68" s="18"/>
      <c r="AB68" s="188"/>
      <c r="AC68" s="188"/>
    </row>
    <row r="69" spans="1:29" ht="38.25">
      <c r="A69" s="32">
        <v>9</v>
      </c>
      <c r="B69" s="176" t="s">
        <v>198</v>
      </c>
      <c r="C69" s="176" t="s">
        <v>345</v>
      </c>
      <c r="D69" s="189" t="s">
        <v>1767</v>
      </c>
      <c r="E69" s="546"/>
      <c r="F69" s="546"/>
      <c r="G69" s="222" t="s">
        <v>628</v>
      </c>
      <c r="H69" s="223"/>
      <c r="I69" s="179" t="s">
        <v>2037</v>
      </c>
      <c r="J69" s="223"/>
      <c r="K69" s="176"/>
      <c r="L69" s="176" t="s">
        <v>622</v>
      </c>
      <c r="M69" s="180">
        <v>45251</v>
      </c>
      <c r="N69" s="181"/>
      <c r="O69" s="181">
        <v>9.5350731890000002</v>
      </c>
      <c r="P69" s="181">
        <v>125.5581854</v>
      </c>
      <c r="Q69" s="182" t="s">
        <v>1813</v>
      </c>
      <c r="R69" s="183" t="s">
        <v>1814</v>
      </c>
      <c r="S69" s="546"/>
      <c r="T69" s="546"/>
      <c r="U69" s="181" t="s">
        <v>623</v>
      </c>
      <c r="V69" s="185" t="s">
        <v>2037</v>
      </c>
      <c r="W69" s="185" t="s">
        <v>1782</v>
      </c>
      <c r="X69" s="18"/>
      <c r="Y69" s="18"/>
      <c r="Z69" s="18"/>
      <c r="AA69" s="18"/>
      <c r="AB69" s="188"/>
      <c r="AC69" s="18"/>
    </row>
    <row r="70" spans="1:29" ht="25.5">
      <c r="A70" s="32">
        <v>10</v>
      </c>
      <c r="B70" s="176" t="s">
        <v>198</v>
      </c>
      <c r="C70" s="176" t="s">
        <v>345</v>
      </c>
      <c r="D70" s="189" t="s">
        <v>1767</v>
      </c>
      <c r="E70" s="547"/>
      <c r="F70" s="547"/>
      <c r="G70" s="222" t="s">
        <v>629</v>
      </c>
      <c r="H70" s="223"/>
      <c r="I70" s="179" t="s">
        <v>2037</v>
      </c>
      <c r="J70" s="223"/>
      <c r="K70" s="176"/>
      <c r="L70" s="176" t="s">
        <v>622</v>
      </c>
      <c r="M70" s="180">
        <v>45251</v>
      </c>
      <c r="N70" s="181"/>
      <c r="O70" s="181">
        <v>9.5350731890000002</v>
      </c>
      <c r="P70" s="181">
        <v>125.5581854</v>
      </c>
      <c r="Q70" s="182" t="s">
        <v>1813</v>
      </c>
      <c r="R70" s="183" t="s">
        <v>1814</v>
      </c>
      <c r="S70" s="547"/>
      <c r="T70" s="547"/>
      <c r="U70" s="181" t="s">
        <v>623</v>
      </c>
      <c r="V70" s="185" t="s">
        <v>2037</v>
      </c>
      <c r="W70" s="185" t="s">
        <v>1782</v>
      </c>
      <c r="X70" s="18"/>
      <c r="Y70" s="18"/>
      <c r="Z70" s="18"/>
      <c r="AA70" s="18"/>
      <c r="AB70" s="18"/>
      <c r="AC70" s="18"/>
    </row>
    <row r="71" spans="1:29" ht="25.5">
      <c r="A71" s="32">
        <v>11</v>
      </c>
      <c r="B71" s="185" t="s">
        <v>198</v>
      </c>
      <c r="C71" s="185" t="s">
        <v>327</v>
      </c>
      <c r="D71" s="189" t="s">
        <v>1767</v>
      </c>
      <c r="E71" s="548" t="s">
        <v>1441</v>
      </c>
      <c r="F71" s="548" t="s">
        <v>1810</v>
      </c>
      <c r="G71" s="209" t="s">
        <v>2053</v>
      </c>
      <c r="H71" s="179"/>
      <c r="I71" s="179"/>
      <c r="J71" s="179" t="s">
        <v>2054</v>
      </c>
      <c r="K71" s="185"/>
      <c r="L71" s="185" t="s">
        <v>553</v>
      </c>
      <c r="M71" s="180">
        <v>46127</v>
      </c>
      <c r="N71" s="185"/>
      <c r="O71" s="185">
        <v>9.5401100000000003</v>
      </c>
      <c r="P71" s="185">
        <v>125.52427</v>
      </c>
      <c r="Q71" s="182" t="s">
        <v>1775</v>
      </c>
      <c r="R71" s="183" t="s">
        <v>1814</v>
      </c>
      <c r="S71" s="548" t="b">
        <v>0</v>
      </c>
      <c r="T71" s="548" t="b">
        <v>0</v>
      </c>
      <c r="U71" s="181" t="s">
        <v>1695</v>
      </c>
      <c r="V71" s="185" t="s">
        <v>89</v>
      </c>
      <c r="W71" s="185" t="s">
        <v>1782</v>
      </c>
      <c r="X71" s="18"/>
      <c r="Y71" s="18"/>
      <c r="Z71" s="18"/>
      <c r="AA71" s="18"/>
      <c r="AB71" s="18"/>
      <c r="AC71" s="18"/>
    </row>
    <row r="72" spans="1:29" ht="25.5">
      <c r="A72" s="32">
        <v>12</v>
      </c>
      <c r="B72" s="185" t="s">
        <v>198</v>
      </c>
      <c r="C72" s="185" t="s">
        <v>327</v>
      </c>
      <c r="D72" s="189" t="s">
        <v>1767</v>
      </c>
      <c r="E72" s="553"/>
      <c r="F72" s="553"/>
      <c r="G72" s="209" t="s">
        <v>2059</v>
      </c>
      <c r="H72" s="179"/>
      <c r="I72" s="179"/>
      <c r="J72" s="179" t="s">
        <v>2054</v>
      </c>
      <c r="K72" s="185"/>
      <c r="L72" s="185" t="s">
        <v>553</v>
      </c>
      <c r="M72" s="180">
        <v>46127</v>
      </c>
      <c r="N72" s="185"/>
      <c r="O72" s="185">
        <v>9.5401100000000003</v>
      </c>
      <c r="P72" s="185">
        <v>125.52427</v>
      </c>
      <c r="Q72" s="182" t="s">
        <v>1775</v>
      </c>
      <c r="R72" s="183" t="s">
        <v>1814</v>
      </c>
      <c r="S72" s="553"/>
      <c r="T72" s="553"/>
      <c r="U72" s="181" t="s">
        <v>1695</v>
      </c>
      <c r="V72" s="185" t="s">
        <v>89</v>
      </c>
      <c r="W72" s="185" t="s">
        <v>1782</v>
      </c>
      <c r="X72" s="18"/>
      <c r="Y72" s="18"/>
      <c r="Z72" s="18"/>
      <c r="AA72" s="18"/>
      <c r="AB72" s="18"/>
      <c r="AC72" s="18"/>
    </row>
    <row r="73" spans="1:29" ht="25.5">
      <c r="A73" s="32">
        <v>13</v>
      </c>
      <c r="B73" s="185" t="s">
        <v>198</v>
      </c>
      <c r="C73" s="185" t="s">
        <v>327</v>
      </c>
      <c r="D73" s="189" t="s">
        <v>1767</v>
      </c>
      <c r="E73" s="549"/>
      <c r="F73" s="549"/>
      <c r="G73" s="209" t="s">
        <v>2062</v>
      </c>
      <c r="H73" s="179"/>
      <c r="I73" s="179"/>
      <c r="J73" s="179" t="s">
        <v>2054</v>
      </c>
      <c r="K73" s="185"/>
      <c r="L73" s="185" t="s">
        <v>553</v>
      </c>
      <c r="M73" s="180">
        <v>46127</v>
      </c>
      <c r="N73" s="185"/>
      <c r="O73" s="185">
        <v>9.5401100000000003</v>
      </c>
      <c r="P73" s="185">
        <v>125.52427</v>
      </c>
      <c r="Q73" s="182" t="s">
        <v>1775</v>
      </c>
      <c r="R73" s="183" t="s">
        <v>1814</v>
      </c>
      <c r="S73" s="549"/>
      <c r="T73" s="549"/>
      <c r="U73" s="181" t="s">
        <v>1695</v>
      </c>
      <c r="V73" s="185" t="s">
        <v>89</v>
      </c>
      <c r="W73" s="185" t="s">
        <v>1782</v>
      </c>
      <c r="X73" s="18"/>
      <c r="Y73" s="18"/>
      <c r="Z73" s="18"/>
      <c r="AA73" s="18"/>
      <c r="AB73" s="18"/>
      <c r="AC73" s="18"/>
    </row>
    <row r="74" spans="1:29" ht="38.25">
      <c r="A74" s="32">
        <v>14</v>
      </c>
      <c r="B74" s="185" t="s">
        <v>198</v>
      </c>
      <c r="C74" s="185" t="s">
        <v>345</v>
      </c>
      <c r="D74" s="189" t="s">
        <v>1767</v>
      </c>
      <c r="E74" s="589" t="s">
        <v>2063</v>
      </c>
      <c r="F74" s="548" t="s">
        <v>1768</v>
      </c>
      <c r="G74" s="213" t="s">
        <v>2063</v>
      </c>
      <c r="H74" s="194"/>
      <c r="I74" s="194"/>
      <c r="J74" s="194"/>
      <c r="K74" s="185"/>
      <c r="L74" s="185" t="s">
        <v>622</v>
      </c>
      <c r="M74" s="195"/>
      <c r="N74" s="185"/>
      <c r="O74" s="185">
        <v>9.5364400000000007</v>
      </c>
      <c r="P74" s="185">
        <v>125.55824</v>
      </c>
      <c r="Q74" s="182" t="s">
        <v>1775</v>
      </c>
      <c r="R74" s="183" t="s">
        <v>1776</v>
      </c>
      <c r="S74" s="548" t="b">
        <v>0</v>
      </c>
      <c r="T74" s="548" t="b">
        <v>0</v>
      </c>
      <c r="U74" s="181" t="s">
        <v>1940</v>
      </c>
      <c r="V74" s="184" t="s">
        <v>89</v>
      </c>
      <c r="W74" s="185" t="s">
        <v>1782</v>
      </c>
      <c r="X74" s="18"/>
      <c r="Y74" s="18"/>
      <c r="Z74" s="18"/>
      <c r="AA74" s="18"/>
      <c r="AB74" s="525" t="s">
        <v>2064</v>
      </c>
      <c r="AC74" s="545">
        <v>9639579520</v>
      </c>
    </row>
    <row r="75" spans="1:29" ht="38.25">
      <c r="A75" s="32">
        <v>15</v>
      </c>
      <c r="B75" s="185" t="s">
        <v>198</v>
      </c>
      <c r="C75" s="185" t="s">
        <v>345</v>
      </c>
      <c r="D75" s="189" t="s">
        <v>1767</v>
      </c>
      <c r="E75" s="590"/>
      <c r="F75" s="549"/>
      <c r="G75" s="213" t="s">
        <v>2063</v>
      </c>
      <c r="H75" s="194"/>
      <c r="I75" s="194"/>
      <c r="J75" s="194"/>
      <c r="K75" s="185"/>
      <c r="L75" s="185" t="s">
        <v>622</v>
      </c>
      <c r="M75" s="195"/>
      <c r="N75" s="185"/>
      <c r="O75" s="185">
        <v>9.5364400000000007</v>
      </c>
      <c r="P75" s="185">
        <v>125.55824</v>
      </c>
      <c r="Q75" s="182" t="s">
        <v>1775</v>
      </c>
      <c r="R75" s="183" t="s">
        <v>1776</v>
      </c>
      <c r="S75" s="549"/>
      <c r="T75" s="549"/>
      <c r="U75" s="181" t="s">
        <v>1940</v>
      </c>
      <c r="V75" s="184" t="s">
        <v>89</v>
      </c>
      <c r="W75" s="185" t="s">
        <v>1782</v>
      </c>
      <c r="X75" s="18"/>
      <c r="Y75" s="18"/>
      <c r="Z75" s="18"/>
      <c r="AA75" s="18"/>
      <c r="AB75" s="512"/>
      <c r="AC75" s="512"/>
    </row>
    <row r="76" spans="1:29" ht="18" customHeight="1">
      <c r="A76" s="191">
        <v>1</v>
      </c>
      <c r="B76" s="176" t="s">
        <v>381</v>
      </c>
      <c r="C76" s="176" t="s">
        <v>140</v>
      </c>
      <c r="D76" s="177" t="s">
        <v>1767</v>
      </c>
      <c r="E76" s="545" t="s">
        <v>2068</v>
      </c>
      <c r="F76" s="545" t="s">
        <v>1810</v>
      </c>
      <c r="G76" s="178" t="s">
        <v>378</v>
      </c>
      <c r="H76" s="187"/>
      <c r="I76" s="187"/>
      <c r="J76" s="187" t="s">
        <v>962</v>
      </c>
      <c r="K76" s="176"/>
      <c r="L76" s="176" t="s">
        <v>65</v>
      </c>
      <c r="M76" s="180">
        <v>45262</v>
      </c>
      <c r="N76" s="181"/>
      <c r="O76" s="181">
        <v>9.6183148900000006</v>
      </c>
      <c r="P76" s="181">
        <v>125.401832</v>
      </c>
      <c r="Q76" s="182" t="s">
        <v>1775</v>
      </c>
      <c r="R76" s="183" t="s">
        <v>1776</v>
      </c>
      <c r="S76" s="545" t="b">
        <v>0</v>
      </c>
      <c r="T76" s="545" t="b">
        <v>0</v>
      </c>
      <c r="U76" s="181" t="s">
        <v>22</v>
      </c>
      <c r="V76" s="184" t="s">
        <v>89</v>
      </c>
      <c r="W76" s="185" t="s">
        <v>1782</v>
      </c>
      <c r="X76" s="18"/>
      <c r="Y76" s="18"/>
      <c r="Z76" s="18"/>
      <c r="AA76" s="18"/>
      <c r="AB76" s="525" t="s">
        <v>2074</v>
      </c>
      <c r="AC76" s="525" t="s">
        <v>2075</v>
      </c>
    </row>
    <row r="77" spans="1:29" ht="17.25" customHeight="1">
      <c r="A77" s="191">
        <v>2</v>
      </c>
      <c r="B77" s="176" t="s">
        <v>381</v>
      </c>
      <c r="C77" s="176" t="s">
        <v>140</v>
      </c>
      <c r="D77" s="177" t="s">
        <v>1767</v>
      </c>
      <c r="E77" s="546"/>
      <c r="F77" s="546"/>
      <c r="G77" s="178" t="s">
        <v>383</v>
      </c>
      <c r="H77" s="187"/>
      <c r="I77" s="187"/>
      <c r="J77" s="187" t="s">
        <v>966</v>
      </c>
      <c r="K77" s="176"/>
      <c r="L77" s="176" t="s">
        <v>65</v>
      </c>
      <c r="M77" s="180">
        <v>45262</v>
      </c>
      <c r="N77" s="181"/>
      <c r="O77" s="181">
        <v>9.6183148900000006</v>
      </c>
      <c r="P77" s="181">
        <v>125.401832</v>
      </c>
      <c r="Q77" s="182" t="s">
        <v>1775</v>
      </c>
      <c r="R77" s="183" t="s">
        <v>1776</v>
      </c>
      <c r="S77" s="546"/>
      <c r="T77" s="546"/>
      <c r="U77" s="181" t="s">
        <v>22</v>
      </c>
      <c r="V77" s="184" t="s">
        <v>89</v>
      </c>
      <c r="W77" s="185" t="s">
        <v>1782</v>
      </c>
      <c r="X77" s="18"/>
      <c r="Y77" s="18"/>
      <c r="Z77" s="18"/>
      <c r="AA77" s="18"/>
      <c r="AB77" s="511"/>
      <c r="AC77" s="511"/>
    </row>
    <row r="78" spans="1:29" ht="15.75" customHeight="1">
      <c r="A78" s="191">
        <v>3</v>
      </c>
      <c r="B78" s="176" t="s">
        <v>381</v>
      </c>
      <c r="C78" s="176" t="s">
        <v>140</v>
      </c>
      <c r="D78" s="177" t="s">
        <v>1767</v>
      </c>
      <c r="E78" s="546"/>
      <c r="F78" s="546"/>
      <c r="G78" s="178" t="s">
        <v>385</v>
      </c>
      <c r="H78" s="187"/>
      <c r="I78" s="187"/>
      <c r="J78" s="187" t="s">
        <v>969</v>
      </c>
      <c r="K78" s="176"/>
      <c r="L78" s="176" t="s">
        <v>65</v>
      </c>
      <c r="M78" s="180">
        <v>45262</v>
      </c>
      <c r="N78" s="181"/>
      <c r="O78" s="181">
        <v>9.6183148900000006</v>
      </c>
      <c r="P78" s="181">
        <v>125.401832</v>
      </c>
      <c r="Q78" s="182" t="s">
        <v>1775</v>
      </c>
      <c r="R78" s="183" t="s">
        <v>1776</v>
      </c>
      <c r="S78" s="546"/>
      <c r="T78" s="546"/>
      <c r="U78" s="181" t="s">
        <v>22</v>
      </c>
      <c r="V78" s="184" t="s">
        <v>89</v>
      </c>
      <c r="W78" s="185" t="s">
        <v>1782</v>
      </c>
      <c r="X78" s="18"/>
      <c r="Y78" s="18"/>
      <c r="Z78" s="18"/>
      <c r="AA78" s="18"/>
      <c r="AB78" s="512"/>
      <c r="AC78" s="512"/>
    </row>
    <row r="79" spans="1:29" ht="14.25" customHeight="1">
      <c r="A79" s="191">
        <v>4</v>
      </c>
      <c r="B79" s="176" t="s">
        <v>381</v>
      </c>
      <c r="C79" s="176" t="s">
        <v>140</v>
      </c>
      <c r="D79" s="177" t="s">
        <v>1767</v>
      </c>
      <c r="E79" s="546"/>
      <c r="F79" s="546"/>
      <c r="G79" s="178" t="s">
        <v>387</v>
      </c>
      <c r="H79" s="187"/>
      <c r="I79" s="187"/>
      <c r="J79" s="187" t="s">
        <v>973</v>
      </c>
      <c r="K79" s="176"/>
      <c r="L79" s="176" t="s">
        <v>155</v>
      </c>
      <c r="M79" s="180">
        <v>45262</v>
      </c>
      <c r="N79" s="181"/>
      <c r="O79" s="181">
        <v>9.6167219999999993</v>
      </c>
      <c r="P79" s="181">
        <v>125.40130000000001</v>
      </c>
      <c r="Q79" s="182" t="s">
        <v>1775</v>
      </c>
      <c r="R79" s="183" t="s">
        <v>1776</v>
      </c>
      <c r="S79" s="546"/>
      <c r="T79" s="546"/>
      <c r="U79" s="181" t="s">
        <v>22</v>
      </c>
      <c r="V79" s="184" t="s">
        <v>199</v>
      </c>
      <c r="W79" s="185" t="s">
        <v>2080</v>
      </c>
      <c r="X79" s="18"/>
      <c r="Y79" s="18"/>
      <c r="Z79" s="18"/>
      <c r="AA79" s="18"/>
      <c r="AB79" s="96" t="s">
        <v>2081</v>
      </c>
      <c r="AC79" s="16">
        <v>9092576121</v>
      </c>
    </row>
    <row r="80" spans="1:29" ht="12.75" customHeight="1">
      <c r="A80" s="191">
        <v>5</v>
      </c>
      <c r="B80" s="176" t="s">
        <v>381</v>
      </c>
      <c r="C80" s="176" t="s">
        <v>140</v>
      </c>
      <c r="D80" s="177" t="s">
        <v>1767</v>
      </c>
      <c r="E80" s="546"/>
      <c r="F80" s="546"/>
      <c r="G80" s="178" t="s">
        <v>390</v>
      </c>
      <c r="H80" s="187"/>
      <c r="I80" s="187"/>
      <c r="J80" s="187" t="s">
        <v>976</v>
      </c>
      <c r="K80" s="176"/>
      <c r="L80" s="176" t="s">
        <v>103</v>
      </c>
      <c r="M80" s="180">
        <v>45262</v>
      </c>
      <c r="N80" s="181"/>
      <c r="O80" s="181">
        <v>9.6181610000000006</v>
      </c>
      <c r="P80" s="181">
        <v>125.40159199999999</v>
      </c>
      <c r="Q80" s="182" t="s">
        <v>1775</v>
      </c>
      <c r="R80" s="183" t="s">
        <v>1776</v>
      </c>
      <c r="S80" s="546"/>
      <c r="T80" s="546"/>
      <c r="U80" s="181" t="s">
        <v>22</v>
      </c>
      <c r="V80" s="184" t="s">
        <v>89</v>
      </c>
      <c r="W80" s="185" t="s">
        <v>1782</v>
      </c>
      <c r="X80" s="18"/>
      <c r="Y80" s="18"/>
      <c r="Z80" s="18"/>
      <c r="AA80" s="18"/>
      <c r="AB80" s="96"/>
      <c r="AC80" s="18"/>
    </row>
    <row r="81" spans="1:29" ht="16.5" customHeight="1">
      <c r="A81" s="191">
        <v>6</v>
      </c>
      <c r="B81" s="176" t="s">
        <v>381</v>
      </c>
      <c r="C81" s="176" t="s">
        <v>140</v>
      </c>
      <c r="D81" s="177" t="s">
        <v>1767</v>
      </c>
      <c r="E81" s="547"/>
      <c r="F81" s="547"/>
      <c r="G81" s="178" t="s">
        <v>391</v>
      </c>
      <c r="H81" s="187"/>
      <c r="I81" s="187"/>
      <c r="J81" s="187" t="s">
        <v>980</v>
      </c>
      <c r="K81" s="176"/>
      <c r="L81" s="176" t="s">
        <v>31</v>
      </c>
      <c r="M81" s="180">
        <v>45262</v>
      </c>
      <c r="N81" s="181"/>
      <c r="O81" s="181">
        <v>9.6191619999999993</v>
      </c>
      <c r="P81" s="181">
        <v>125.40141800000001</v>
      </c>
      <c r="Q81" s="182" t="s">
        <v>1775</v>
      </c>
      <c r="R81" s="183" t="s">
        <v>1776</v>
      </c>
      <c r="S81" s="547"/>
      <c r="T81" s="547"/>
      <c r="U81" s="181" t="s">
        <v>22</v>
      </c>
      <c r="V81" s="184" t="s">
        <v>199</v>
      </c>
      <c r="W81" s="185" t="s">
        <v>2080</v>
      </c>
      <c r="X81" s="18"/>
      <c r="Y81" s="18"/>
      <c r="Z81" s="18"/>
      <c r="AA81" s="18"/>
      <c r="AB81" s="96"/>
      <c r="AC81" s="18"/>
    </row>
    <row r="82" spans="1:29" ht="25.5">
      <c r="A82" s="191">
        <v>7</v>
      </c>
      <c r="B82" s="176" t="s">
        <v>381</v>
      </c>
      <c r="C82" s="176" t="s">
        <v>2082</v>
      </c>
      <c r="D82" s="189" t="s">
        <v>1767</v>
      </c>
      <c r="E82" s="545" t="s">
        <v>631</v>
      </c>
      <c r="F82" s="545" t="s">
        <v>1810</v>
      </c>
      <c r="G82" s="222" t="s">
        <v>630</v>
      </c>
      <c r="H82" s="223"/>
      <c r="I82" s="179" t="s">
        <v>2037</v>
      </c>
      <c r="J82" s="223"/>
      <c r="K82" s="176"/>
      <c r="L82" s="176" t="s">
        <v>622</v>
      </c>
      <c r="M82" s="180">
        <v>45252</v>
      </c>
      <c r="N82" s="181"/>
      <c r="O82" s="181">
        <v>9.6412243830000008</v>
      </c>
      <c r="P82" s="181">
        <v>125.39583500000001</v>
      </c>
      <c r="Q82" s="182" t="s">
        <v>1813</v>
      </c>
      <c r="R82" s="183" t="s">
        <v>1814</v>
      </c>
      <c r="S82" s="545" t="b">
        <v>0</v>
      </c>
      <c r="T82" s="545" t="b">
        <v>0</v>
      </c>
      <c r="U82" s="181" t="s">
        <v>623</v>
      </c>
      <c r="V82" s="185" t="s">
        <v>2037</v>
      </c>
      <c r="W82" s="185" t="s">
        <v>1782</v>
      </c>
      <c r="X82" s="18"/>
      <c r="Y82" s="18"/>
      <c r="Z82" s="18"/>
      <c r="AA82" s="18"/>
      <c r="AB82" s="18"/>
      <c r="AC82" s="18"/>
    </row>
    <row r="83" spans="1:29" ht="25.5">
      <c r="A83" s="191">
        <v>8</v>
      </c>
      <c r="B83" s="176" t="s">
        <v>381</v>
      </c>
      <c r="C83" s="176" t="s">
        <v>2082</v>
      </c>
      <c r="D83" s="189" t="s">
        <v>1767</v>
      </c>
      <c r="E83" s="546"/>
      <c r="F83" s="546"/>
      <c r="G83" s="222" t="s">
        <v>632</v>
      </c>
      <c r="H83" s="223"/>
      <c r="I83" s="179" t="s">
        <v>2037</v>
      </c>
      <c r="J83" s="223"/>
      <c r="K83" s="176"/>
      <c r="L83" s="176" t="s">
        <v>622</v>
      </c>
      <c r="M83" s="180">
        <v>45252</v>
      </c>
      <c r="N83" s="181"/>
      <c r="O83" s="181">
        <v>9.6415168359999992</v>
      </c>
      <c r="P83" s="181">
        <v>125.3955224</v>
      </c>
      <c r="Q83" s="182" t="s">
        <v>1813</v>
      </c>
      <c r="R83" s="183" t="s">
        <v>1814</v>
      </c>
      <c r="S83" s="546"/>
      <c r="T83" s="546"/>
      <c r="U83" s="181" t="s">
        <v>623</v>
      </c>
      <c r="V83" s="185" t="s">
        <v>2037</v>
      </c>
      <c r="W83" s="185" t="s">
        <v>1782</v>
      </c>
      <c r="X83" s="18"/>
      <c r="Y83" s="18"/>
      <c r="Z83" s="18"/>
      <c r="AA83" s="18"/>
      <c r="AB83" s="18"/>
      <c r="AC83" s="18"/>
    </row>
    <row r="84" spans="1:29" ht="25.5">
      <c r="A84" s="191">
        <v>9</v>
      </c>
      <c r="B84" s="176" t="s">
        <v>381</v>
      </c>
      <c r="C84" s="176" t="s">
        <v>2082</v>
      </c>
      <c r="D84" s="189" t="s">
        <v>1767</v>
      </c>
      <c r="E84" s="547"/>
      <c r="F84" s="547"/>
      <c r="G84" s="222" t="s">
        <v>633</v>
      </c>
      <c r="H84" s="223"/>
      <c r="I84" s="179" t="s">
        <v>2037</v>
      </c>
      <c r="J84" s="223"/>
      <c r="K84" s="176"/>
      <c r="L84" s="176" t="s">
        <v>622</v>
      </c>
      <c r="M84" s="180">
        <v>45252</v>
      </c>
      <c r="N84" s="181"/>
      <c r="O84" s="181">
        <v>9.6408941949999996</v>
      </c>
      <c r="P84" s="181">
        <v>125.3958956</v>
      </c>
      <c r="Q84" s="182" t="s">
        <v>1813</v>
      </c>
      <c r="R84" s="183" t="s">
        <v>1814</v>
      </c>
      <c r="S84" s="547"/>
      <c r="T84" s="547"/>
      <c r="U84" s="181" t="s">
        <v>623</v>
      </c>
      <c r="V84" s="185" t="s">
        <v>2037</v>
      </c>
      <c r="W84" s="185" t="s">
        <v>1782</v>
      </c>
      <c r="X84" s="18"/>
      <c r="Y84" s="18"/>
      <c r="Z84" s="18"/>
      <c r="AA84" s="18"/>
      <c r="AB84" s="18"/>
      <c r="AC84" s="18"/>
    </row>
    <row r="85" spans="1:29" ht="12.75">
      <c r="A85" s="191">
        <v>10</v>
      </c>
      <c r="B85" s="185" t="s">
        <v>381</v>
      </c>
      <c r="C85" s="185" t="s">
        <v>466</v>
      </c>
      <c r="D85" s="189" t="s">
        <v>1767</v>
      </c>
      <c r="E85" s="548" t="s">
        <v>467</v>
      </c>
      <c r="F85" s="548" t="s">
        <v>1810</v>
      </c>
      <c r="G85" s="213" t="s">
        <v>467</v>
      </c>
      <c r="H85" s="179"/>
      <c r="I85" s="179"/>
      <c r="J85" s="179" t="s">
        <v>2091</v>
      </c>
      <c r="K85" s="185"/>
      <c r="L85" s="185" t="s">
        <v>553</v>
      </c>
      <c r="M85" s="180">
        <v>45889</v>
      </c>
      <c r="N85" s="181"/>
      <c r="O85" s="181">
        <v>9.6230820000000001</v>
      </c>
      <c r="P85" s="181">
        <v>125.40059100000001</v>
      </c>
      <c r="Q85" s="182" t="s">
        <v>1775</v>
      </c>
      <c r="R85" s="183" t="s">
        <v>1776</v>
      </c>
      <c r="S85" s="548" t="b">
        <v>0</v>
      </c>
      <c r="T85" s="548" t="b">
        <v>0</v>
      </c>
      <c r="U85" s="181" t="s">
        <v>350</v>
      </c>
      <c r="V85" s="185" t="s">
        <v>89</v>
      </c>
      <c r="W85" s="213"/>
      <c r="X85" s="18"/>
      <c r="Y85" s="128" t="s">
        <v>1428</v>
      </c>
      <c r="Z85" s="18"/>
      <c r="AA85" s="18"/>
      <c r="AB85" s="96" t="s">
        <v>2097</v>
      </c>
      <c r="AC85" s="96">
        <v>9850604313</v>
      </c>
    </row>
    <row r="86" spans="1:29" ht="14.25" customHeight="1">
      <c r="A86" s="191">
        <v>11</v>
      </c>
      <c r="B86" s="185" t="s">
        <v>381</v>
      </c>
      <c r="C86" s="185" t="s">
        <v>466</v>
      </c>
      <c r="D86" s="189" t="s">
        <v>1767</v>
      </c>
      <c r="E86" s="549"/>
      <c r="F86" s="549"/>
      <c r="G86" s="213" t="s">
        <v>469</v>
      </c>
      <c r="H86" s="179"/>
      <c r="I86" s="179"/>
      <c r="J86" s="179" t="s">
        <v>2098</v>
      </c>
      <c r="K86" s="185"/>
      <c r="L86" s="185" t="s">
        <v>374</v>
      </c>
      <c r="M86" s="180">
        <v>45903</v>
      </c>
      <c r="N86" s="181"/>
      <c r="O86" s="181">
        <v>9.6239659999999994</v>
      </c>
      <c r="P86" s="181">
        <v>125.40291499999999</v>
      </c>
      <c r="Q86" s="182" t="s">
        <v>1775</v>
      </c>
      <c r="R86" s="183" t="s">
        <v>1776</v>
      </c>
      <c r="S86" s="549"/>
      <c r="T86" s="549"/>
      <c r="U86" s="181" t="s">
        <v>350</v>
      </c>
      <c r="V86" s="185" t="s">
        <v>89</v>
      </c>
      <c r="W86" s="213"/>
      <c r="X86" s="18"/>
      <c r="Y86" s="18"/>
      <c r="Z86" s="18"/>
      <c r="AA86" s="18"/>
      <c r="AB86" s="96" t="s">
        <v>2099</v>
      </c>
      <c r="AC86" s="96" t="s">
        <v>2100</v>
      </c>
    </row>
    <row r="87" spans="1:29" ht="25.5">
      <c r="A87" s="191">
        <v>12</v>
      </c>
      <c r="B87" s="181" t="s">
        <v>381</v>
      </c>
      <c r="C87" s="185" t="s">
        <v>2101</v>
      </c>
      <c r="D87" s="189" t="s">
        <v>1767</v>
      </c>
      <c r="E87" s="545" t="s">
        <v>2102</v>
      </c>
      <c r="F87" s="545" t="s">
        <v>1810</v>
      </c>
      <c r="G87" s="190" t="s">
        <v>2106</v>
      </c>
      <c r="H87" s="193"/>
      <c r="I87" s="193"/>
      <c r="J87" s="193" t="s">
        <v>2107</v>
      </c>
      <c r="K87" s="185"/>
      <c r="L87" s="185" t="s">
        <v>374</v>
      </c>
      <c r="M87" s="180">
        <v>46101</v>
      </c>
      <c r="N87" s="181"/>
      <c r="O87" s="181">
        <v>9.6141360000000002</v>
      </c>
      <c r="P87" s="181">
        <v>125.41115499999999</v>
      </c>
      <c r="Q87" s="182" t="s">
        <v>1813</v>
      </c>
      <c r="R87" s="183" t="s">
        <v>1814</v>
      </c>
      <c r="S87" s="545" t="b">
        <v>0</v>
      </c>
      <c r="T87" s="545" t="b">
        <v>0</v>
      </c>
      <c r="U87" s="181" t="s">
        <v>1815</v>
      </c>
      <c r="V87" s="185" t="s">
        <v>89</v>
      </c>
      <c r="W87" s="213"/>
      <c r="X87" s="18"/>
      <c r="Y87" s="18"/>
      <c r="Z87" s="18"/>
      <c r="AA87" s="18"/>
      <c r="AB87" s="18"/>
      <c r="AC87" s="18"/>
    </row>
    <row r="88" spans="1:29" ht="25.5">
      <c r="A88" s="191">
        <v>13</v>
      </c>
      <c r="B88" s="181" t="s">
        <v>381</v>
      </c>
      <c r="C88" s="185" t="s">
        <v>2101</v>
      </c>
      <c r="D88" s="189" t="s">
        <v>1767</v>
      </c>
      <c r="E88" s="546"/>
      <c r="F88" s="546"/>
      <c r="G88" s="190" t="s">
        <v>2112</v>
      </c>
      <c r="H88" s="193"/>
      <c r="I88" s="193"/>
      <c r="J88" s="193" t="s">
        <v>2107</v>
      </c>
      <c r="K88" s="185"/>
      <c r="L88" s="185" t="s">
        <v>374</v>
      </c>
      <c r="M88" s="180">
        <v>46101</v>
      </c>
      <c r="N88" s="181"/>
      <c r="O88" s="181">
        <v>9.6141360000000002</v>
      </c>
      <c r="P88" s="181">
        <v>125.41115499999999</v>
      </c>
      <c r="Q88" s="182" t="s">
        <v>1813</v>
      </c>
      <c r="R88" s="183" t="s">
        <v>1814</v>
      </c>
      <c r="S88" s="546"/>
      <c r="T88" s="546"/>
      <c r="U88" s="181" t="s">
        <v>1815</v>
      </c>
      <c r="V88" s="185" t="s">
        <v>89</v>
      </c>
      <c r="W88" s="213"/>
      <c r="X88" s="18"/>
      <c r="Y88" s="18"/>
      <c r="Z88" s="18"/>
      <c r="AA88" s="18"/>
      <c r="AB88" s="18"/>
      <c r="AC88" s="18"/>
    </row>
    <row r="89" spans="1:29" ht="25.5">
      <c r="A89" s="191">
        <v>14</v>
      </c>
      <c r="B89" s="181" t="s">
        <v>381</v>
      </c>
      <c r="C89" s="185" t="s">
        <v>2101</v>
      </c>
      <c r="D89" s="189" t="s">
        <v>1767</v>
      </c>
      <c r="E89" s="547"/>
      <c r="F89" s="547"/>
      <c r="G89" s="190" t="s">
        <v>2113</v>
      </c>
      <c r="H89" s="193"/>
      <c r="I89" s="193"/>
      <c r="J89" s="193" t="s">
        <v>2107</v>
      </c>
      <c r="K89" s="185"/>
      <c r="L89" s="185" t="s">
        <v>374</v>
      </c>
      <c r="M89" s="180">
        <v>46101</v>
      </c>
      <c r="N89" s="181"/>
      <c r="O89" s="181">
        <v>9.6141360000000002</v>
      </c>
      <c r="P89" s="181">
        <v>125.41115499999999</v>
      </c>
      <c r="Q89" s="182" t="s">
        <v>1813</v>
      </c>
      <c r="R89" s="183" t="s">
        <v>1814</v>
      </c>
      <c r="S89" s="547"/>
      <c r="T89" s="547"/>
      <c r="U89" s="181" t="s">
        <v>1815</v>
      </c>
      <c r="V89" s="185" t="s">
        <v>89</v>
      </c>
      <c r="W89" s="213"/>
      <c r="X89" s="18"/>
      <c r="Y89" s="18"/>
      <c r="Z89" s="18"/>
      <c r="AA89" s="18"/>
      <c r="AB89" s="18"/>
      <c r="AC89" s="18"/>
    </row>
    <row r="90" spans="1:29" ht="12.75" customHeight="1">
      <c r="A90" s="32">
        <v>1</v>
      </c>
      <c r="B90" s="176" t="s">
        <v>216</v>
      </c>
      <c r="C90" s="176" t="s">
        <v>376</v>
      </c>
      <c r="D90" s="177" t="s">
        <v>1767</v>
      </c>
      <c r="E90" s="545" t="s">
        <v>214</v>
      </c>
      <c r="F90" s="545" t="s">
        <v>1768</v>
      </c>
      <c r="G90" s="178" t="s">
        <v>213</v>
      </c>
      <c r="H90" s="187"/>
      <c r="I90" s="187"/>
      <c r="J90" s="187" t="s">
        <v>752</v>
      </c>
      <c r="K90" s="176"/>
      <c r="L90" s="176" t="s">
        <v>65</v>
      </c>
      <c r="M90" s="180">
        <v>45244</v>
      </c>
      <c r="N90" s="181"/>
      <c r="O90" s="181">
        <v>9.6564809999999994</v>
      </c>
      <c r="P90" s="181">
        <v>125.602485</v>
      </c>
      <c r="Q90" s="182" t="s">
        <v>1775</v>
      </c>
      <c r="R90" s="183" t="s">
        <v>1776</v>
      </c>
      <c r="S90" s="545" t="b">
        <v>0</v>
      </c>
      <c r="T90" s="545" t="b">
        <v>0</v>
      </c>
      <c r="U90" s="181" t="s">
        <v>22</v>
      </c>
      <c r="V90" s="184" t="s">
        <v>89</v>
      </c>
      <c r="W90" s="185" t="s">
        <v>1782</v>
      </c>
      <c r="X90" s="18"/>
      <c r="Y90" s="18"/>
      <c r="Z90" s="18"/>
      <c r="AA90" s="18"/>
      <c r="AB90" s="525" t="s">
        <v>2121</v>
      </c>
      <c r="AC90" s="522">
        <v>9380344961</v>
      </c>
    </row>
    <row r="91" spans="1:29" ht="13.5" customHeight="1">
      <c r="A91" s="32">
        <v>2</v>
      </c>
      <c r="B91" s="176" t="s">
        <v>216</v>
      </c>
      <c r="C91" s="176" t="s">
        <v>376</v>
      </c>
      <c r="D91" s="177" t="s">
        <v>1767</v>
      </c>
      <c r="E91" s="546"/>
      <c r="F91" s="546"/>
      <c r="G91" s="178" t="s">
        <v>218</v>
      </c>
      <c r="H91" s="187"/>
      <c r="I91" s="187"/>
      <c r="J91" s="187" t="s">
        <v>761</v>
      </c>
      <c r="K91" s="176"/>
      <c r="L91" s="176" t="s">
        <v>65</v>
      </c>
      <c r="M91" s="180">
        <v>45244</v>
      </c>
      <c r="N91" s="181"/>
      <c r="O91" s="181">
        <v>9.6564809999999994</v>
      </c>
      <c r="P91" s="181">
        <v>125.602485</v>
      </c>
      <c r="Q91" s="182" t="s">
        <v>1775</v>
      </c>
      <c r="R91" s="183" t="s">
        <v>1776</v>
      </c>
      <c r="S91" s="546"/>
      <c r="T91" s="546"/>
      <c r="U91" s="181" t="s">
        <v>22</v>
      </c>
      <c r="V91" s="184" t="s">
        <v>89</v>
      </c>
      <c r="W91" s="185" t="s">
        <v>1782</v>
      </c>
      <c r="X91" s="18"/>
      <c r="Y91" s="18"/>
      <c r="Z91" s="18"/>
      <c r="AA91" s="18"/>
      <c r="AB91" s="511"/>
      <c r="AC91" s="511"/>
    </row>
    <row r="92" spans="1:29" ht="14.25" customHeight="1">
      <c r="A92" s="32">
        <v>3</v>
      </c>
      <c r="B92" s="176" t="s">
        <v>216</v>
      </c>
      <c r="C92" s="176" t="s">
        <v>376</v>
      </c>
      <c r="D92" s="177" t="s">
        <v>1767</v>
      </c>
      <c r="E92" s="547"/>
      <c r="F92" s="547"/>
      <c r="G92" s="178" t="s">
        <v>220</v>
      </c>
      <c r="H92" s="187"/>
      <c r="I92" s="187"/>
      <c r="J92" s="187" t="s">
        <v>767</v>
      </c>
      <c r="K92" s="176"/>
      <c r="L92" s="176" t="s">
        <v>65</v>
      </c>
      <c r="M92" s="180">
        <v>45244</v>
      </c>
      <c r="N92" s="181"/>
      <c r="O92" s="181">
        <v>9.6564809999999994</v>
      </c>
      <c r="P92" s="181">
        <v>125.602485</v>
      </c>
      <c r="Q92" s="182" t="s">
        <v>1775</v>
      </c>
      <c r="R92" s="183" t="s">
        <v>1776</v>
      </c>
      <c r="S92" s="547"/>
      <c r="T92" s="547"/>
      <c r="U92" s="181" t="s">
        <v>22</v>
      </c>
      <c r="V92" s="184" t="s">
        <v>89</v>
      </c>
      <c r="W92" s="185" t="s">
        <v>1782</v>
      </c>
      <c r="X92" s="18"/>
      <c r="Y92" s="18"/>
      <c r="Z92" s="18"/>
      <c r="AA92" s="18"/>
      <c r="AB92" s="511"/>
      <c r="AC92" s="511"/>
    </row>
    <row r="93" spans="1:29" ht="16.5" customHeight="1">
      <c r="A93" s="32">
        <v>4</v>
      </c>
      <c r="B93" s="176" t="s">
        <v>216</v>
      </c>
      <c r="C93" s="176" t="s">
        <v>356</v>
      </c>
      <c r="D93" s="177" t="s">
        <v>1767</v>
      </c>
      <c r="E93" s="181" t="s">
        <v>2076</v>
      </c>
      <c r="F93" s="181" t="s">
        <v>1768</v>
      </c>
      <c r="G93" s="178" t="s">
        <v>221</v>
      </c>
      <c r="H93" s="187"/>
      <c r="I93" s="179" t="s">
        <v>2127</v>
      </c>
      <c r="J93" s="187" t="s">
        <v>773</v>
      </c>
      <c r="K93" s="176"/>
      <c r="L93" s="176" t="s">
        <v>155</v>
      </c>
      <c r="M93" s="180">
        <v>45244</v>
      </c>
      <c r="N93" s="181"/>
      <c r="O93" s="181">
        <v>9.6567349999999994</v>
      </c>
      <c r="P93" s="181">
        <v>125.59986600000001</v>
      </c>
      <c r="Q93" s="182" t="s">
        <v>1775</v>
      </c>
      <c r="R93" s="183" t="s">
        <v>1776</v>
      </c>
      <c r="S93" s="181" t="b">
        <v>0</v>
      </c>
      <c r="T93" s="181" t="b">
        <v>0</v>
      </c>
      <c r="U93" s="181" t="s">
        <v>22</v>
      </c>
      <c r="V93" s="185" t="s">
        <v>199</v>
      </c>
      <c r="W93" s="185" t="s">
        <v>1782</v>
      </c>
      <c r="X93" s="18"/>
      <c r="Y93" s="18"/>
      <c r="Z93" s="18"/>
      <c r="AA93" s="18"/>
      <c r="AB93" s="511"/>
      <c r="AC93" s="511"/>
    </row>
    <row r="94" spans="1:29" ht="14.25" customHeight="1">
      <c r="A94" s="32">
        <v>5</v>
      </c>
      <c r="B94" s="176" t="s">
        <v>216</v>
      </c>
      <c r="C94" s="176" t="s">
        <v>376</v>
      </c>
      <c r="D94" s="177" t="s">
        <v>1767</v>
      </c>
      <c r="E94" s="176" t="s">
        <v>223</v>
      </c>
      <c r="F94" s="176" t="s">
        <v>1768</v>
      </c>
      <c r="G94" s="178" t="s">
        <v>223</v>
      </c>
      <c r="H94" s="187"/>
      <c r="I94" s="187"/>
      <c r="J94" s="187" t="s">
        <v>779</v>
      </c>
      <c r="K94" s="176"/>
      <c r="L94" s="176" t="s">
        <v>31</v>
      </c>
      <c r="M94" s="180">
        <v>45244</v>
      </c>
      <c r="N94" s="181"/>
      <c r="O94" s="181">
        <v>9.6584730000000008</v>
      </c>
      <c r="P94" s="181">
        <v>125.60086699999999</v>
      </c>
      <c r="Q94" s="182" t="s">
        <v>1775</v>
      </c>
      <c r="R94" s="183" t="s">
        <v>1776</v>
      </c>
      <c r="S94" s="176" t="b">
        <v>0</v>
      </c>
      <c r="T94" s="176" t="b">
        <v>0</v>
      </c>
      <c r="U94" s="181" t="s">
        <v>22</v>
      </c>
      <c r="V94" s="184" t="s">
        <v>89</v>
      </c>
      <c r="W94" s="185" t="s">
        <v>1782</v>
      </c>
      <c r="X94" s="18"/>
      <c r="Y94" s="18"/>
      <c r="Z94" s="18"/>
      <c r="AA94" s="18"/>
      <c r="AB94" s="511"/>
      <c r="AC94" s="511"/>
    </row>
    <row r="95" spans="1:29" ht="15.75" customHeight="1">
      <c r="A95" s="32">
        <v>6</v>
      </c>
      <c r="B95" s="176" t="s">
        <v>216</v>
      </c>
      <c r="C95" s="176" t="s">
        <v>376</v>
      </c>
      <c r="D95" s="177" t="s">
        <v>1767</v>
      </c>
      <c r="E95" s="176" t="s">
        <v>225</v>
      </c>
      <c r="F95" s="176" t="s">
        <v>1768</v>
      </c>
      <c r="G95" s="178" t="s">
        <v>225</v>
      </c>
      <c r="H95" s="187"/>
      <c r="I95" s="179" t="s">
        <v>1769</v>
      </c>
      <c r="J95" s="187" t="s">
        <v>786</v>
      </c>
      <c r="K95" s="176"/>
      <c r="L95" s="176" t="s">
        <v>103</v>
      </c>
      <c r="M95" s="180">
        <v>45257</v>
      </c>
      <c r="N95" s="181"/>
      <c r="O95" s="181">
        <v>9.6566426849999996</v>
      </c>
      <c r="P95" s="181">
        <v>125.60230199999999</v>
      </c>
      <c r="Q95" s="182" t="s">
        <v>1775</v>
      </c>
      <c r="R95" s="183" t="s">
        <v>1776</v>
      </c>
      <c r="S95" s="176" t="b">
        <v>0</v>
      </c>
      <c r="T95" s="176" t="b">
        <v>0</v>
      </c>
      <c r="U95" s="181" t="s">
        <v>22</v>
      </c>
      <c r="V95" s="185" t="s">
        <v>199</v>
      </c>
      <c r="W95" s="185" t="s">
        <v>1782</v>
      </c>
      <c r="X95" s="18"/>
      <c r="Y95" s="18"/>
      <c r="Z95" s="18"/>
      <c r="AA95" s="18"/>
      <c r="AB95" s="512"/>
      <c r="AC95" s="512"/>
    </row>
    <row r="96" spans="1:29" ht="25.5">
      <c r="A96" s="32">
        <v>7</v>
      </c>
      <c r="B96" s="176" t="s">
        <v>216</v>
      </c>
      <c r="C96" s="176" t="s">
        <v>1981</v>
      </c>
      <c r="D96" s="177" t="s">
        <v>1767</v>
      </c>
      <c r="E96" s="550" t="str">
        <f>LEFT(G96,FIND("_",G96) - 1)</f>
        <v>SDN Provincial Hospital</v>
      </c>
      <c r="F96" s="550" t="s">
        <v>1810</v>
      </c>
      <c r="G96" s="213" t="s">
        <v>615</v>
      </c>
      <c r="H96" s="179"/>
      <c r="I96" s="179"/>
      <c r="J96" s="179" t="s">
        <v>2134</v>
      </c>
      <c r="K96" s="176"/>
      <c r="L96" s="176" t="s">
        <v>553</v>
      </c>
      <c r="M96" s="180">
        <v>45702</v>
      </c>
      <c r="N96" s="181"/>
      <c r="O96" s="181">
        <v>9.6327929799999996</v>
      </c>
      <c r="P96" s="181">
        <v>125.56125350000001</v>
      </c>
      <c r="Q96" s="182" t="s">
        <v>1775</v>
      </c>
      <c r="R96" s="183" t="s">
        <v>1776</v>
      </c>
      <c r="S96" s="550" t="b">
        <v>0</v>
      </c>
      <c r="T96" s="550" t="b">
        <v>0</v>
      </c>
      <c r="U96" s="181" t="s">
        <v>513</v>
      </c>
      <c r="V96" s="184" t="s">
        <v>89</v>
      </c>
      <c r="W96" s="185" t="s">
        <v>1782</v>
      </c>
      <c r="X96" s="18"/>
      <c r="Y96" s="527" t="s">
        <v>1428</v>
      </c>
      <c r="Z96" s="18"/>
      <c r="AA96" s="18"/>
      <c r="AB96" s="525" t="s">
        <v>2137</v>
      </c>
      <c r="AC96" s="525" t="s">
        <v>2138</v>
      </c>
    </row>
    <row r="97" spans="1:29" ht="25.5">
      <c r="A97" s="32">
        <v>8</v>
      </c>
      <c r="B97" s="176" t="s">
        <v>216</v>
      </c>
      <c r="C97" s="176" t="s">
        <v>1981</v>
      </c>
      <c r="D97" s="177" t="s">
        <v>1767</v>
      </c>
      <c r="E97" s="551"/>
      <c r="F97" s="551"/>
      <c r="G97" s="213" t="s">
        <v>617</v>
      </c>
      <c r="H97" s="179"/>
      <c r="I97" s="179"/>
      <c r="J97" s="179" t="s">
        <v>2141</v>
      </c>
      <c r="K97" s="176"/>
      <c r="L97" s="176" t="s">
        <v>553</v>
      </c>
      <c r="M97" s="180">
        <v>45702</v>
      </c>
      <c r="N97" s="181"/>
      <c r="O97" s="181">
        <v>9.6324792600000002</v>
      </c>
      <c r="P97" s="181">
        <v>125.56162860000001</v>
      </c>
      <c r="Q97" s="182" t="s">
        <v>1775</v>
      </c>
      <c r="R97" s="183" t="s">
        <v>1776</v>
      </c>
      <c r="S97" s="551"/>
      <c r="T97" s="551"/>
      <c r="U97" s="181" t="s">
        <v>513</v>
      </c>
      <c r="V97" s="184" t="s">
        <v>89</v>
      </c>
      <c r="W97" s="185" t="s">
        <v>1782</v>
      </c>
      <c r="X97" s="18"/>
      <c r="Y97" s="511"/>
      <c r="Z97" s="18"/>
      <c r="AA97" s="18"/>
      <c r="AB97" s="511"/>
      <c r="AC97" s="511"/>
    </row>
    <row r="98" spans="1:29" ht="12.75">
      <c r="A98" s="32">
        <v>9</v>
      </c>
      <c r="B98" s="176" t="s">
        <v>216</v>
      </c>
      <c r="C98" s="176" t="s">
        <v>1981</v>
      </c>
      <c r="D98" s="177" t="s">
        <v>1767</v>
      </c>
      <c r="E98" s="551"/>
      <c r="F98" s="551"/>
      <c r="G98" s="213" t="s">
        <v>618</v>
      </c>
      <c r="H98" s="179"/>
      <c r="I98" s="179"/>
      <c r="J98" s="179" t="s">
        <v>2143</v>
      </c>
      <c r="K98" s="176"/>
      <c r="L98" s="176" t="s">
        <v>553</v>
      </c>
      <c r="M98" s="180">
        <v>45702</v>
      </c>
      <c r="N98" s="181"/>
      <c r="O98" s="181">
        <v>9.6323211900000008</v>
      </c>
      <c r="P98" s="181">
        <v>125.56157803000001</v>
      </c>
      <c r="Q98" s="182" t="s">
        <v>1775</v>
      </c>
      <c r="R98" s="183" t="s">
        <v>1776</v>
      </c>
      <c r="S98" s="551"/>
      <c r="T98" s="551"/>
      <c r="U98" s="181" t="s">
        <v>513</v>
      </c>
      <c r="V98" s="185" t="s">
        <v>89</v>
      </c>
      <c r="W98" s="185" t="s">
        <v>1782</v>
      </c>
      <c r="X98" s="18"/>
      <c r="Y98" s="511"/>
      <c r="Z98" s="18"/>
      <c r="AA98" s="18"/>
      <c r="AB98" s="511"/>
      <c r="AC98" s="511"/>
    </row>
    <row r="99" spans="1:29" ht="25.5">
      <c r="A99" s="32">
        <v>10</v>
      </c>
      <c r="B99" s="176" t="s">
        <v>216</v>
      </c>
      <c r="C99" s="176" t="s">
        <v>1981</v>
      </c>
      <c r="D99" s="177" t="s">
        <v>1767</v>
      </c>
      <c r="E99" s="552"/>
      <c r="F99" s="552"/>
      <c r="G99" s="213" t="s">
        <v>619</v>
      </c>
      <c r="H99" s="179"/>
      <c r="I99" s="179"/>
      <c r="J99" s="179" t="s">
        <v>2145</v>
      </c>
      <c r="K99" s="176"/>
      <c r="L99" s="176" t="s">
        <v>553</v>
      </c>
      <c r="M99" s="180">
        <v>45702</v>
      </c>
      <c r="N99" s="181"/>
      <c r="O99" s="181">
        <v>9.6328659299999995</v>
      </c>
      <c r="P99" s="181">
        <v>125.56170324</v>
      </c>
      <c r="Q99" s="182" t="s">
        <v>1775</v>
      </c>
      <c r="R99" s="183" t="s">
        <v>1776</v>
      </c>
      <c r="S99" s="552"/>
      <c r="T99" s="552"/>
      <c r="U99" s="181" t="s">
        <v>513</v>
      </c>
      <c r="V99" s="185" t="s">
        <v>89</v>
      </c>
      <c r="W99" s="185" t="s">
        <v>1782</v>
      </c>
      <c r="X99" s="18"/>
      <c r="Y99" s="512"/>
      <c r="Z99" s="18"/>
      <c r="AA99" s="18"/>
      <c r="AB99" s="512"/>
      <c r="AC99" s="512"/>
    </row>
    <row r="100" spans="1:29" ht="25.5">
      <c r="A100" s="32">
        <v>11</v>
      </c>
      <c r="B100" s="181" t="s">
        <v>216</v>
      </c>
      <c r="C100" s="185" t="s">
        <v>471</v>
      </c>
      <c r="D100" s="189" t="s">
        <v>1767</v>
      </c>
      <c r="E100" s="548" t="s">
        <v>472</v>
      </c>
      <c r="F100" s="548" t="s">
        <v>1810</v>
      </c>
      <c r="G100" s="213" t="s">
        <v>472</v>
      </c>
      <c r="H100" s="179"/>
      <c r="I100" s="179"/>
      <c r="J100" s="179" t="s">
        <v>2148</v>
      </c>
      <c r="K100" s="185"/>
      <c r="L100" s="185" t="s">
        <v>374</v>
      </c>
      <c r="M100" s="180">
        <v>45905</v>
      </c>
      <c r="N100" s="181"/>
      <c r="O100" s="181">
        <v>9.628952</v>
      </c>
      <c r="P100" s="181">
        <v>125.617459</v>
      </c>
      <c r="Q100" s="182" t="s">
        <v>1775</v>
      </c>
      <c r="R100" s="183" t="s">
        <v>1776</v>
      </c>
      <c r="S100" s="548" t="b">
        <v>0</v>
      </c>
      <c r="T100" s="548" t="b">
        <v>0</v>
      </c>
      <c r="U100" s="181" t="s">
        <v>350</v>
      </c>
      <c r="V100" s="185" t="s">
        <v>89</v>
      </c>
      <c r="W100" s="185" t="s">
        <v>1782</v>
      </c>
      <c r="X100" s="18"/>
      <c r="Y100" s="18"/>
      <c r="Z100" s="18"/>
      <c r="AA100" s="18"/>
      <c r="AB100" s="96" t="s">
        <v>2149</v>
      </c>
      <c r="AC100" s="18"/>
    </row>
    <row r="101" spans="1:29" ht="25.5">
      <c r="A101" s="32">
        <v>12</v>
      </c>
      <c r="B101" s="181" t="s">
        <v>216</v>
      </c>
      <c r="C101" s="185" t="s">
        <v>471</v>
      </c>
      <c r="D101" s="189" t="s">
        <v>1767</v>
      </c>
      <c r="E101" s="549"/>
      <c r="F101" s="549"/>
      <c r="G101" s="213" t="s">
        <v>474</v>
      </c>
      <c r="H101" s="179"/>
      <c r="I101" s="179"/>
      <c r="J101" s="179" t="s">
        <v>2151</v>
      </c>
      <c r="K101" s="185"/>
      <c r="L101" s="185" t="s">
        <v>666</v>
      </c>
      <c r="M101" s="180">
        <v>45905</v>
      </c>
      <c r="N101" s="181"/>
      <c r="O101" s="181">
        <v>9.6294880000000003</v>
      </c>
      <c r="P101" s="181">
        <v>125.61735299999999</v>
      </c>
      <c r="Q101" s="182" t="s">
        <v>1775</v>
      </c>
      <c r="R101" s="183" t="s">
        <v>1776</v>
      </c>
      <c r="S101" s="549"/>
      <c r="T101" s="549"/>
      <c r="U101" s="181" t="s">
        <v>350</v>
      </c>
      <c r="V101" s="185" t="s">
        <v>89</v>
      </c>
      <c r="W101" s="185" t="s">
        <v>1782</v>
      </c>
      <c r="X101" s="18"/>
      <c r="Y101" s="18"/>
      <c r="Z101" s="18"/>
      <c r="AA101" s="18"/>
      <c r="AB101" s="96" t="s">
        <v>2153</v>
      </c>
      <c r="AC101" s="18"/>
    </row>
    <row r="102" spans="1:29" ht="25.5">
      <c r="A102" s="32">
        <v>13</v>
      </c>
      <c r="B102" s="181" t="s">
        <v>216</v>
      </c>
      <c r="C102" s="185" t="s">
        <v>2154</v>
      </c>
      <c r="D102" s="189" t="s">
        <v>1767</v>
      </c>
      <c r="E102" s="545" t="s">
        <v>2156</v>
      </c>
      <c r="F102" s="545" t="s">
        <v>1810</v>
      </c>
      <c r="G102" s="190" t="s">
        <v>2157</v>
      </c>
      <c r="H102" s="193"/>
      <c r="I102" s="193"/>
      <c r="J102" s="193" t="s">
        <v>2158</v>
      </c>
      <c r="K102" s="185"/>
      <c r="L102" s="185" t="s">
        <v>374</v>
      </c>
      <c r="M102" s="180">
        <v>46101</v>
      </c>
      <c r="N102" s="181"/>
      <c r="O102" s="181">
        <v>9.6915829999999996</v>
      </c>
      <c r="P102" s="181">
        <v>125.654656</v>
      </c>
      <c r="Q102" s="182" t="s">
        <v>1813</v>
      </c>
      <c r="R102" s="183" t="s">
        <v>1814</v>
      </c>
      <c r="S102" s="545" t="b">
        <v>0</v>
      </c>
      <c r="T102" s="545" t="b">
        <v>0</v>
      </c>
      <c r="U102" s="181" t="s">
        <v>1815</v>
      </c>
      <c r="V102" s="184" t="s">
        <v>89</v>
      </c>
      <c r="W102" s="185" t="s">
        <v>1782</v>
      </c>
      <c r="X102" s="18"/>
      <c r="Y102" s="18"/>
      <c r="Z102" s="18"/>
      <c r="AA102" s="18"/>
      <c r="AB102" s="18"/>
      <c r="AC102" s="18"/>
    </row>
    <row r="103" spans="1:29" ht="25.5">
      <c r="A103" s="32">
        <v>14</v>
      </c>
      <c r="B103" s="181" t="s">
        <v>216</v>
      </c>
      <c r="C103" s="185" t="s">
        <v>2154</v>
      </c>
      <c r="D103" s="189" t="s">
        <v>1767</v>
      </c>
      <c r="E103" s="546"/>
      <c r="F103" s="546"/>
      <c r="G103" s="190" t="s">
        <v>2160</v>
      </c>
      <c r="H103" s="193"/>
      <c r="I103" s="193"/>
      <c r="J103" s="193" t="s">
        <v>2158</v>
      </c>
      <c r="K103" s="185"/>
      <c r="L103" s="185" t="s">
        <v>374</v>
      </c>
      <c r="M103" s="180">
        <v>46101</v>
      </c>
      <c r="N103" s="181"/>
      <c r="O103" s="181">
        <v>9.6915829999999996</v>
      </c>
      <c r="P103" s="181">
        <v>125.654656</v>
      </c>
      <c r="Q103" s="182" t="s">
        <v>1813</v>
      </c>
      <c r="R103" s="183" t="s">
        <v>1814</v>
      </c>
      <c r="S103" s="546"/>
      <c r="T103" s="546"/>
      <c r="U103" s="181" t="s">
        <v>1815</v>
      </c>
      <c r="V103" s="184" t="s">
        <v>89</v>
      </c>
      <c r="W103" s="185" t="s">
        <v>1782</v>
      </c>
      <c r="X103" s="18"/>
      <c r="Y103" s="18"/>
      <c r="Z103" s="18"/>
      <c r="AA103" s="18"/>
      <c r="AB103" s="18"/>
      <c r="AC103" s="18"/>
    </row>
    <row r="104" spans="1:29" ht="25.5">
      <c r="A104" s="32">
        <v>15</v>
      </c>
      <c r="B104" s="181" t="s">
        <v>216</v>
      </c>
      <c r="C104" s="185" t="s">
        <v>2154</v>
      </c>
      <c r="D104" s="189" t="s">
        <v>1767</v>
      </c>
      <c r="E104" s="547"/>
      <c r="F104" s="547"/>
      <c r="G104" s="190" t="s">
        <v>2163</v>
      </c>
      <c r="H104" s="193"/>
      <c r="I104" s="193"/>
      <c r="J104" s="193" t="s">
        <v>2158</v>
      </c>
      <c r="K104" s="185"/>
      <c r="L104" s="185" t="s">
        <v>374</v>
      </c>
      <c r="M104" s="180">
        <v>46101</v>
      </c>
      <c r="N104" s="181"/>
      <c r="O104" s="181">
        <v>9.6915829999999996</v>
      </c>
      <c r="P104" s="181">
        <v>125.654656</v>
      </c>
      <c r="Q104" s="182" t="s">
        <v>1813</v>
      </c>
      <c r="R104" s="183" t="s">
        <v>1814</v>
      </c>
      <c r="S104" s="547"/>
      <c r="T104" s="547"/>
      <c r="U104" s="181" t="s">
        <v>1815</v>
      </c>
      <c r="V104" s="184" t="s">
        <v>89</v>
      </c>
      <c r="W104" s="185" t="s">
        <v>1782</v>
      </c>
      <c r="X104" s="18"/>
      <c r="Y104" s="18"/>
      <c r="Z104" s="18"/>
      <c r="AA104" s="18"/>
      <c r="AB104" s="18"/>
      <c r="AC104" s="18"/>
    </row>
    <row r="105" spans="1:29" ht="12.75">
      <c r="A105" s="32">
        <v>16</v>
      </c>
      <c r="B105" s="185" t="s">
        <v>216</v>
      </c>
      <c r="C105" s="185" t="s">
        <v>2164</v>
      </c>
      <c r="D105" s="189" t="s">
        <v>1767</v>
      </c>
      <c r="E105" s="545" t="s">
        <v>2167</v>
      </c>
      <c r="F105" s="545" t="s">
        <v>1810</v>
      </c>
      <c r="G105" s="190" t="s">
        <v>2169</v>
      </c>
      <c r="H105" s="193"/>
      <c r="I105" s="193"/>
      <c r="J105" s="193" t="s">
        <v>2171</v>
      </c>
      <c r="K105" s="185"/>
      <c r="L105" s="185" t="s">
        <v>374</v>
      </c>
      <c r="M105" s="180">
        <v>46101</v>
      </c>
      <c r="N105" s="181"/>
      <c r="O105" s="181">
        <v>9.6639730000000004</v>
      </c>
      <c r="P105" s="181">
        <v>125.57485</v>
      </c>
      <c r="Q105" s="182" t="s">
        <v>1813</v>
      </c>
      <c r="R105" s="183" t="s">
        <v>1814</v>
      </c>
      <c r="S105" s="545" t="b">
        <v>0</v>
      </c>
      <c r="T105" s="545" t="b">
        <v>0</v>
      </c>
      <c r="U105" s="181" t="s">
        <v>1815</v>
      </c>
      <c r="V105" s="184" t="s">
        <v>89</v>
      </c>
      <c r="W105" s="185" t="s">
        <v>1782</v>
      </c>
      <c r="X105" s="18"/>
      <c r="Y105" s="18"/>
      <c r="Z105" s="18"/>
      <c r="AA105" s="18"/>
      <c r="AB105" s="18"/>
      <c r="AC105" s="18"/>
    </row>
    <row r="106" spans="1:29" ht="12.75">
      <c r="A106" s="32">
        <v>17</v>
      </c>
      <c r="B106" s="185" t="s">
        <v>216</v>
      </c>
      <c r="C106" s="185" t="s">
        <v>2164</v>
      </c>
      <c r="D106" s="189" t="s">
        <v>1767</v>
      </c>
      <c r="E106" s="546"/>
      <c r="F106" s="546"/>
      <c r="G106" s="190" t="s">
        <v>2176</v>
      </c>
      <c r="H106" s="193"/>
      <c r="I106" s="193"/>
      <c r="J106" s="193" t="s">
        <v>2171</v>
      </c>
      <c r="K106" s="185"/>
      <c r="L106" s="185" t="s">
        <v>374</v>
      </c>
      <c r="M106" s="180">
        <v>46101</v>
      </c>
      <c r="N106" s="181"/>
      <c r="O106" s="181">
        <v>9.6639730000000004</v>
      </c>
      <c r="P106" s="181">
        <v>125.57485</v>
      </c>
      <c r="Q106" s="182" t="s">
        <v>1813</v>
      </c>
      <c r="R106" s="183" t="s">
        <v>1814</v>
      </c>
      <c r="S106" s="546"/>
      <c r="T106" s="546"/>
      <c r="U106" s="181" t="s">
        <v>1815</v>
      </c>
      <c r="V106" s="184" t="s">
        <v>89</v>
      </c>
      <c r="W106" s="185" t="s">
        <v>1782</v>
      </c>
      <c r="X106" s="18"/>
      <c r="Y106" s="18"/>
      <c r="Z106" s="18"/>
      <c r="AA106" s="18"/>
      <c r="AB106" s="18"/>
      <c r="AC106" s="18"/>
    </row>
    <row r="107" spans="1:29" ht="12.75">
      <c r="A107" s="32">
        <v>18</v>
      </c>
      <c r="B107" s="185" t="s">
        <v>216</v>
      </c>
      <c r="C107" s="185" t="s">
        <v>2164</v>
      </c>
      <c r="D107" s="189" t="s">
        <v>1767</v>
      </c>
      <c r="E107" s="547"/>
      <c r="F107" s="547"/>
      <c r="G107" s="190" t="s">
        <v>2177</v>
      </c>
      <c r="H107" s="193"/>
      <c r="I107" s="193"/>
      <c r="J107" s="193" t="s">
        <v>2171</v>
      </c>
      <c r="K107" s="185"/>
      <c r="L107" s="185" t="s">
        <v>374</v>
      </c>
      <c r="M107" s="180">
        <v>46101</v>
      </c>
      <c r="N107" s="181"/>
      <c r="O107" s="181">
        <v>9.6639730000000004</v>
      </c>
      <c r="P107" s="181">
        <v>125.57485</v>
      </c>
      <c r="Q107" s="182" t="s">
        <v>1813</v>
      </c>
      <c r="R107" s="183" t="s">
        <v>1814</v>
      </c>
      <c r="S107" s="547"/>
      <c r="T107" s="547"/>
      <c r="U107" s="181" t="s">
        <v>1815</v>
      </c>
      <c r="V107" s="184" t="s">
        <v>89</v>
      </c>
      <c r="W107" s="185" t="s">
        <v>1782</v>
      </c>
      <c r="X107" s="18"/>
      <c r="Y107" s="18"/>
      <c r="Z107" s="18"/>
      <c r="AA107" s="18"/>
      <c r="AB107" s="18"/>
      <c r="AC107" s="18"/>
    </row>
    <row r="108" spans="1:29" ht="12.75">
      <c r="A108" s="32">
        <v>19</v>
      </c>
      <c r="B108" s="181" t="s">
        <v>216</v>
      </c>
      <c r="C108" s="185" t="s">
        <v>2180</v>
      </c>
      <c r="D108" s="189" t="s">
        <v>1767</v>
      </c>
      <c r="E108" s="545" t="s">
        <v>2181</v>
      </c>
      <c r="F108" s="545" t="s">
        <v>1810</v>
      </c>
      <c r="G108" s="190" t="s">
        <v>2182</v>
      </c>
      <c r="H108" s="193"/>
      <c r="I108" s="193"/>
      <c r="J108" s="193" t="s">
        <v>2183</v>
      </c>
      <c r="K108" s="185"/>
      <c r="L108" s="185" t="s">
        <v>374</v>
      </c>
      <c r="M108" s="180">
        <v>46101</v>
      </c>
      <c r="N108" s="181"/>
      <c r="O108" s="181">
        <v>9.6864410000000003</v>
      </c>
      <c r="P108" s="181">
        <v>125.64393</v>
      </c>
      <c r="Q108" s="182" t="s">
        <v>1813</v>
      </c>
      <c r="R108" s="183" t="s">
        <v>1814</v>
      </c>
      <c r="S108" s="545" t="b">
        <v>0</v>
      </c>
      <c r="T108" s="545" t="b">
        <v>0</v>
      </c>
      <c r="U108" s="181" t="s">
        <v>1815</v>
      </c>
      <c r="V108" s="185" t="s">
        <v>89</v>
      </c>
      <c r="W108" s="185" t="s">
        <v>1782</v>
      </c>
      <c r="X108" s="18"/>
      <c r="Y108" s="18"/>
      <c r="Z108" s="18"/>
      <c r="AA108" s="18"/>
      <c r="AB108" s="18"/>
      <c r="AC108" s="18"/>
    </row>
    <row r="109" spans="1:29" ht="12.75">
      <c r="A109" s="32">
        <v>20</v>
      </c>
      <c r="B109" s="181" t="s">
        <v>216</v>
      </c>
      <c r="C109" s="185" t="s">
        <v>2180</v>
      </c>
      <c r="D109" s="189" t="s">
        <v>1767</v>
      </c>
      <c r="E109" s="546"/>
      <c r="F109" s="546"/>
      <c r="G109" s="190" t="s">
        <v>2190</v>
      </c>
      <c r="H109" s="193"/>
      <c r="I109" s="193"/>
      <c r="J109" s="193" t="s">
        <v>2183</v>
      </c>
      <c r="K109" s="185"/>
      <c r="L109" s="185" t="s">
        <v>374</v>
      </c>
      <c r="M109" s="180">
        <v>46101</v>
      </c>
      <c r="N109" s="181"/>
      <c r="O109" s="181">
        <v>9.6864410000000003</v>
      </c>
      <c r="P109" s="181">
        <v>125.64393</v>
      </c>
      <c r="Q109" s="182" t="s">
        <v>1813</v>
      </c>
      <c r="R109" s="183" t="s">
        <v>1814</v>
      </c>
      <c r="S109" s="546"/>
      <c r="T109" s="546"/>
      <c r="U109" s="181" t="s">
        <v>1815</v>
      </c>
      <c r="V109" s="185" t="s">
        <v>89</v>
      </c>
      <c r="W109" s="185" t="s">
        <v>1782</v>
      </c>
      <c r="X109" s="18"/>
      <c r="Y109" s="18"/>
      <c r="Z109" s="18"/>
      <c r="AA109" s="18"/>
      <c r="AB109" s="18"/>
      <c r="AC109" s="18"/>
    </row>
    <row r="110" spans="1:29" ht="12.75">
      <c r="A110" s="32">
        <v>21</v>
      </c>
      <c r="B110" s="181" t="s">
        <v>216</v>
      </c>
      <c r="C110" s="185" t="s">
        <v>2180</v>
      </c>
      <c r="D110" s="189" t="s">
        <v>1767</v>
      </c>
      <c r="E110" s="547"/>
      <c r="F110" s="547"/>
      <c r="G110" s="190" t="s">
        <v>2192</v>
      </c>
      <c r="H110" s="193"/>
      <c r="I110" s="193"/>
      <c r="J110" s="193" t="s">
        <v>2183</v>
      </c>
      <c r="K110" s="185"/>
      <c r="L110" s="185" t="s">
        <v>374</v>
      </c>
      <c r="M110" s="180">
        <v>46101</v>
      </c>
      <c r="N110" s="181"/>
      <c r="O110" s="181">
        <v>9.6864410000000003</v>
      </c>
      <c r="P110" s="181">
        <v>125.64393</v>
      </c>
      <c r="Q110" s="182" t="s">
        <v>1813</v>
      </c>
      <c r="R110" s="183" t="s">
        <v>1814</v>
      </c>
      <c r="S110" s="547"/>
      <c r="T110" s="547"/>
      <c r="U110" s="181" t="s">
        <v>1815</v>
      </c>
      <c r="V110" s="185" t="s">
        <v>89</v>
      </c>
      <c r="W110" s="185" t="s">
        <v>1782</v>
      </c>
      <c r="X110" s="18"/>
      <c r="Y110" s="18"/>
      <c r="Z110" s="18"/>
      <c r="AA110" s="18"/>
      <c r="AB110" s="18"/>
      <c r="AC110" s="18"/>
    </row>
    <row r="111" spans="1:29" ht="17.25" customHeight="1">
      <c r="A111" s="32">
        <v>1</v>
      </c>
      <c r="B111" s="176" t="s">
        <v>229</v>
      </c>
      <c r="C111" s="176" t="s">
        <v>191</v>
      </c>
      <c r="D111" s="177" t="s">
        <v>1767</v>
      </c>
      <c r="E111" s="545" t="s">
        <v>2079</v>
      </c>
      <c r="F111" s="545" t="s">
        <v>1768</v>
      </c>
      <c r="G111" s="178" t="s">
        <v>226</v>
      </c>
      <c r="H111" s="187"/>
      <c r="I111" s="187"/>
      <c r="J111" s="187" t="s">
        <v>791</v>
      </c>
      <c r="K111" s="176"/>
      <c r="L111" s="176" t="s">
        <v>65</v>
      </c>
      <c r="M111" s="180">
        <v>45261</v>
      </c>
      <c r="N111" s="181"/>
      <c r="O111" s="181">
        <v>9.7767267130000004</v>
      </c>
      <c r="P111" s="181">
        <v>125.421119</v>
      </c>
      <c r="Q111" s="182" t="s">
        <v>1775</v>
      </c>
      <c r="R111" s="183" t="s">
        <v>1776</v>
      </c>
      <c r="S111" s="545" t="b">
        <v>0</v>
      </c>
      <c r="T111" s="545" t="b">
        <v>0</v>
      </c>
      <c r="U111" s="181" t="s">
        <v>22</v>
      </c>
      <c r="V111" s="185" t="s">
        <v>89</v>
      </c>
      <c r="W111" s="185" t="s">
        <v>1782</v>
      </c>
      <c r="X111" s="18"/>
      <c r="Y111" s="18"/>
      <c r="Z111" s="18"/>
      <c r="AA111" s="18"/>
      <c r="AB111" s="525" t="s">
        <v>1992</v>
      </c>
      <c r="AC111" s="522">
        <v>9199975167</v>
      </c>
    </row>
    <row r="112" spans="1:29" ht="15.75" customHeight="1">
      <c r="A112" s="32">
        <v>2</v>
      </c>
      <c r="B112" s="176" t="s">
        <v>229</v>
      </c>
      <c r="C112" s="176" t="s">
        <v>191</v>
      </c>
      <c r="D112" s="177" t="s">
        <v>1767</v>
      </c>
      <c r="E112" s="547"/>
      <c r="F112" s="547"/>
      <c r="G112" s="75" t="s">
        <v>236</v>
      </c>
      <c r="H112" s="187"/>
      <c r="I112" s="187"/>
      <c r="J112" s="187" t="s">
        <v>796</v>
      </c>
      <c r="K112" s="176"/>
      <c r="L112" s="176" t="s">
        <v>65</v>
      </c>
      <c r="M112" s="180">
        <v>45261</v>
      </c>
      <c r="N112" s="181"/>
      <c r="O112" s="181">
        <v>9.7767267130000004</v>
      </c>
      <c r="P112" s="181">
        <v>125.421119</v>
      </c>
      <c r="Q112" s="182" t="s">
        <v>1775</v>
      </c>
      <c r="R112" s="183" t="s">
        <v>1776</v>
      </c>
      <c r="S112" s="547"/>
      <c r="T112" s="547"/>
      <c r="U112" s="181" t="s">
        <v>22</v>
      </c>
      <c r="V112" s="184" t="s">
        <v>89</v>
      </c>
      <c r="W112" s="185" t="s">
        <v>1782</v>
      </c>
      <c r="X112" s="18"/>
      <c r="Y112" s="18"/>
      <c r="Z112" s="18"/>
      <c r="AA112" s="18"/>
      <c r="AB112" s="511"/>
      <c r="AC112" s="511"/>
    </row>
    <row r="113" spans="1:29" ht="17.25" customHeight="1">
      <c r="A113" s="32">
        <v>3</v>
      </c>
      <c r="B113" s="176" t="s">
        <v>229</v>
      </c>
      <c r="C113" s="176" t="s">
        <v>191</v>
      </c>
      <c r="D113" s="177" t="s">
        <v>1767</v>
      </c>
      <c r="E113" s="188" t="s">
        <v>233</v>
      </c>
      <c r="F113" s="176" t="s">
        <v>1768</v>
      </c>
      <c r="G113" s="75" t="s">
        <v>233</v>
      </c>
      <c r="H113" s="187"/>
      <c r="I113" s="187" t="s">
        <v>1935</v>
      </c>
      <c r="J113" s="187" t="s">
        <v>802</v>
      </c>
      <c r="K113" s="176"/>
      <c r="L113" s="176" t="s">
        <v>238</v>
      </c>
      <c r="M113" s="180">
        <v>45261</v>
      </c>
      <c r="N113" s="181"/>
      <c r="O113" s="181">
        <v>9.7765506000000002</v>
      </c>
      <c r="P113" s="181">
        <v>125.421609</v>
      </c>
      <c r="Q113" s="182" t="s">
        <v>1775</v>
      </c>
      <c r="R113" s="183" t="s">
        <v>1776</v>
      </c>
      <c r="S113" s="176" t="b">
        <v>0</v>
      </c>
      <c r="T113" s="176" t="b">
        <v>0</v>
      </c>
      <c r="U113" s="181" t="s">
        <v>22</v>
      </c>
      <c r="V113" s="185" t="s">
        <v>89</v>
      </c>
      <c r="W113" s="185" t="s">
        <v>1782</v>
      </c>
      <c r="X113" s="18"/>
      <c r="Y113" s="18"/>
      <c r="Z113" s="18"/>
      <c r="AA113" s="18"/>
      <c r="AB113" s="511"/>
      <c r="AC113" s="511"/>
    </row>
    <row r="114" spans="1:29" ht="17.25" customHeight="1">
      <c r="A114" s="32">
        <v>4</v>
      </c>
      <c r="B114" s="176" t="s">
        <v>229</v>
      </c>
      <c r="C114" s="176" t="s">
        <v>191</v>
      </c>
      <c r="D114" s="177" t="s">
        <v>1767</v>
      </c>
      <c r="E114" s="176" t="s">
        <v>243</v>
      </c>
      <c r="F114" s="176" t="s">
        <v>1768</v>
      </c>
      <c r="G114" s="178" t="s">
        <v>243</v>
      </c>
      <c r="H114" s="187"/>
      <c r="I114" s="187"/>
      <c r="J114" s="187" t="s">
        <v>806</v>
      </c>
      <c r="K114" s="176"/>
      <c r="L114" s="176" t="s">
        <v>238</v>
      </c>
      <c r="M114" s="180">
        <v>45261</v>
      </c>
      <c r="N114" s="181"/>
      <c r="O114" s="181">
        <v>9.7768519999999999</v>
      </c>
      <c r="P114" s="181">
        <v>125.421207</v>
      </c>
      <c r="Q114" s="182" t="s">
        <v>1775</v>
      </c>
      <c r="R114" s="183" t="s">
        <v>1776</v>
      </c>
      <c r="S114" s="176" t="b">
        <v>0</v>
      </c>
      <c r="T114" s="176" t="b">
        <v>0</v>
      </c>
      <c r="U114" s="181" t="s">
        <v>22</v>
      </c>
      <c r="V114" s="185" t="s">
        <v>89</v>
      </c>
      <c r="W114" s="185" t="s">
        <v>1782</v>
      </c>
      <c r="X114" s="18"/>
      <c r="Y114" s="18"/>
      <c r="Z114" s="18"/>
      <c r="AA114" s="18"/>
      <c r="AB114" s="511"/>
      <c r="AC114" s="511"/>
    </row>
    <row r="115" spans="1:29" ht="16.5" customHeight="1">
      <c r="A115" s="32">
        <v>5</v>
      </c>
      <c r="B115" s="176" t="s">
        <v>229</v>
      </c>
      <c r="C115" s="176" t="s">
        <v>191</v>
      </c>
      <c r="D115" s="177" t="s">
        <v>1767</v>
      </c>
      <c r="E115" s="176" t="s">
        <v>246</v>
      </c>
      <c r="F115" s="176" t="s">
        <v>1768</v>
      </c>
      <c r="G115" s="178" t="s">
        <v>246</v>
      </c>
      <c r="H115" s="187"/>
      <c r="I115" s="187"/>
      <c r="J115" s="187" t="s">
        <v>810</v>
      </c>
      <c r="K115" s="176"/>
      <c r="L115" s="176" t="s">
        <v>103</v>
      </c>
      <c r="M115" s="180">
        <v>45265</v>
      </c>
      <c r="N115" s="181"/>
      <c r="O115" s="181">
        <v>9.7785509820000005</v>
      </c>
      <c r="P115" s="181">
        <v>125.42179299999999</v>
      </c>
      <c r="Q115" s="182" t="s">
        <v>1775</v>
      </c>
      <c r="R115" s="183" t="s">
        <v>1776</v>
      </c>
      <c r="S115" s="176" t="b">
        <v>0</v>
      </c>
      <c r="T115" s="176" t="b">
        <v>0</v>
      </c>
      <c r="U115" s="181" t="s">
        <v>22</v>
      </c>
      <c r="V115" s="185" t="s">
        <v>89</v>
      </c>
      <c r="W115" s="185" t="s">
        <v>1782</v>
      </c>
      <c r="X115" s="18"/>
      <c r="Y115" s="18"/>
      <c r="Z115" s="18"/>
      <c r="AA115" s="18"/>
      <c r="AB115" s="512"/>
      <c r="AC115" s="512"/>
    </row>
    <row r="116" spans="1:29" ht="15.75" customHeight="1">
      <c r="A116" s="32">
        <v>6</v>
      </c>
      <c r="B116" s="176" t="s">
        <v>229</v>
      </c>
      <c r="C116" s="176" t="s">
        <v>403</v>
      </c>
      <c r="D116" s="177" t="s">
        <v>1767</v>
      </c>
      <c r="E116" s="176" t="s">
        <v>248</v>
      </c>
      <c r="F116" s="176" t="s">
        <v>1768</v>
      </c>
      <c r="G116" s="178" t="s">
        <v>248</v>
      </c>
      <c r="H116" s="187"/>
      <c r="I116" s="187"/>
      <c r="J116" s="187" t="s">
        <v>816</v>
      </c>
      <c r="K116" s="176"/>
      <c r="L116" s="176" t="s">
        <v>207</v>
      </c>
      <c r="M116" s="180">
        <v>45265</v>
      </c>
      <c r="N116" s="181"/>
      <c r="O116" s="181">
        <v>9.7753305610000005</v>
      </c>
      <c r="P116" s="181">
        <v>125.424452</v>
      </c>
      <c r="Q116" s="182" t="s">
        <v>1775</v>
      </c>
      <c r="R116" s="183" t="s">
        <v>1776</v>
      </c>
      <c r="S116" s="176" t="b">
        <v>0</v>
      </c>
      <c r="T116" s="176" t="b">
        <v>0</v>
      </c>
      <c r="U116" s="181" t="s">
        <v>22</v>
      </c>
      <c r="V116" s="185" t="s">
        <v>89</v>
      </c>
      <c r="W116" s="185" t="s">
        <v>1782</v>
      </c>
      <c r="X116" s="18"/>
      <c r="Y116" s="18"/>
      <c r="Z116" s="18"/>
      <c r="AA116" s="18"/>
      <c r="AB116" s="96" t="s">
        <v>2213</v>
      </c>
      <c r="AC116" s="23">
        <v>9464372759</v>
      </c>
    </row>
    <row r="117" spans="1:29" ht="18" customHeight="1">
      <c r="A117" s="32">
        <v>7</v>
      </c>
      <c r="B117" s="176" t="s">
        <v>229</v>
      </c>
      <c r="C117" s="185" t="s">
        <v>2214</v>
      </c>
      <c r="D117" s="189" t="s">
        <v>1767</v>
      </c>
      <c r="E117" s="545" t="s">
        <v>2215</v>
      </c>
      <c r="F117" s="545" t="s">
        <v>1810</v>
      </c>
      <c r="G117" s="190" t="s">
        <v>2217</v>
      </c>
      <c r="H117" s="193"/>
      <c r="I117" s="193"/>
      <c r="J117" s="193" t="s">
        <v>2219</v>
      </c>
      <c r="K117" s="185"/>
      <c r="L117" s="185" t="s">
        <v>374</v>
      </c>
      <c r="M117" s="180">
        <v>46101</v>
      </c>
      <c r="N117" s="181"/>
      <c r="O117" s="181">
        <v>9.7162640000000007</v>
      </c>
      <c r="P117" s="181">
        <v>125.430817</v>
      </c>
      <c r="Q117" s="182" t="s">
        <v>1813</v>
      </c>
      <c r="R117" s="183" t="s">
        <v>1814</v>
      </c>
      <c r="S117" s="545" t="b">
        <v>0</v>
      </c>
      <c r="T117" s="545" t="b">
        <v>0</v>
      </c>
      <c r="U117" s="181" t="s">
        <v>1815</v>
      </c>
      <c r="V117" s="185" t="s">
        <v>89</v>
      </c>
      <c r="W117" s="185" t="s">
        <v>1782</v>
      </c>
      <c r="X117" s="18"/>
      <c r="Y117" s="18"/>
      <c r="Z117" s="18"/>
      <c r="AA117" s="18"/>
      <c r="AB117" s="18"/>
      <c r="AC117" s="18"/>
    </row>
    <row r="118" spans="1:29" ht="25.5">
      <c r="A118" s="32">
        <v>8</v>
      </c>
      <c r="B118" s="176" t="s">
        <v>229</v>
      </c>
      <c r="C118" s="185" t="s">
        <v>2214</v>
      </c>
      <c r="D118" s="189" t="s">
        <v>1767</v>
      </c>
      <c r="E118" s="546"/>
      <c r="F118" s="546"/>
      <c r="G118" s="190" t="s">
        <v>2221</v>
      </c>
      <c r="H118" s="193"/>
      <c r="I118" s="193"/>
      <c r="J118" s="193" t="s">
        <v>2219</v>
      </c>
      <c r="K118" s="185"/>
      <c r="L118" s="185" t="s">
        <v>374</v>
      </c>
      <c r="M118" s="180">
        <v>46101</v>
      </c>
      <c r="N118" s="181"/>
      <c r="O118" s="181">
        <v>9.7162640000000007</v>
      </c>
      <c r="P118" s="181">
        <v>125.430817</v>
      </c>
      <c r="Q118" s="182" t="s">
        <v>1813</v>
      </c>
      <c r="R118" s="183" t="s">
        <v>1814</v>
      </c>
      <c r="S118" s="546"/>
      <c r="T118" s="546"/>
      <c r="U118" s="181" t="s">
        <v>1815</v>
      </c>
      <c r="V118" s="185" t="s">
        <v>89</v>
      </c>
      <c r="W118" s="185" t="s">
        <v>1782</v>
      </c>
      <c r="X118" s="18"/>
      <c r="Y118" s="18"/>
      <c r="Z118" s="18"/>
      <c r="AA118" s="18"/>
      <c r="AB118" s="18"/>
      <c r="AC118" s="18"/>
    </row>
    <row r="119" spans="1:29" ht="25.5">
      <c r="A119" s="32">
        <v>9</v>
      </c>
      <c r="B119" s="176" t="s">
        <v>229</v>
      </c>
      <c r="C119" s="185" t="s">
        <v>2214</v>
      </c>
      <c r="D119" s="189" t="s">
        <v>1767</v>
      </c>
      <c r="E119" s="547"/>
      <c r="F119" s="547"/>
      <c r="G119" s="190" t="s">
        <v>2223</v>
      </c>
      <c r="H119" s="193"/>
      <c r="I119" s="193"/>
      <c r="J119" s="193" t="s">
        <v>2219</v>
      </c>
      <c r="K119" s="185"/>
      <c r="L119" s="185" t="s">
        <v>374</v>
      </c>
      <c r="M119" s="180">
        <v>46101</v>
      </c>
      <c r="N119" s="181"/>
      <c r="O119" s="181">
        <v>9.7162640000000007</v>
      </c>
      <c r="P119" s="181">
        <v>125.430817</v>
      </c>
      <c r="Q119" s="182" t="s">
        <v>1813</v>
      </c>
      <c r="R119" s="183" t="s">
        <v>1814</v>
      </c>
      <c r="S119" s="547"/>
      <c r="T119" s="547"/>
      <c r="U119" s="181" t="s">
        <v>1815</v>
      </c>
      <c r="V119" s="185" t="s">
        <v>89</v>
      </c>
      <c r="W119" s="185" t="s">
        <v>1782</v>
      </c>
      <c r="X119" s="18"/>
      <c r="Y119" s="18"/>
      <c r="Z119" s="18"/>
      <c r="AA119" s="18"/>
      <c r="AB119" s="18"/>
      <c r="AC119" s="18"/>
    </row>
    <row r="120" spans="1:29" ht="18.75" customHeight="1">
      <c r="A120" s="32">
        <v>1</v>
      </c>
      <c r="B120" s="176" t="s">
        <v>257</v>
      </c>
      <c r="C120" s="176" t="s">
        <v>405</v>
      </c>
      <c r="D120" s="177" t="s">
        <v>1767</v>
      </c>
      <c r="E120" s="545" t="s">
        <v>2083</v>
      </c>
      <c r="F120" s="545" t="s">
        <v>1768</v>
      </c>
      <c r="G120" s="178" t="s">
        <v>252</v>
      </c>
      <c r="H120" s="192" t="s">
        <v>2228</v>
      </c>
      <c r="I120" s="179" t="s">
        <v>1769</v>
      </c>
      <c r="J120" s="187" t="s">
        <v>821</v>
      </c>
      <c r="K120" s="176"/>
      <c r="L120" s="176" t="s">
        <v>65</v>
      </c>
      <c r="M120" s="180">
        <v>45256</v>
      </c>
      <c r="N120" s="181"/>
      <c r="O120" s="181">
        <v>9.6578099999999996</v>
      </c>
      <c r="P120" s="181">
        <v>125.528361</v>
      </c>
      <c r="Q120" s="182" t="s">
        <v>1775</v>
      </c>
      <c r="R120" s="183" t="s">
        <v>1776</v>
      </c>
      <c r="S120" s="545" t="b">
        <v>0</v>
      </c>
      <c r="T120" s="545" t="b">
        <v>0</v>
      </c>
      <c r="U120" s="181" t="s">
        <v>22</v>
      </c>
      <c r="V120" s="184" t="s">
        <v>199</v>
      </c>
      <c r="W120" s="185" t="s">
        <v>1782</v>
      </c>
      <c r="X120" s="18"/>
      <c r="Y120" s="18"/>
      <c r="Z120" s="18"/>
      <c r="AA120" s="18"/>
      <c r="AB120" s="545" t="s">
        <v>2231</v>
      </c>
      <c r="AC120" s="545" t="s">
        <v>2232</v>
      </c>
    </row>
    <row r="121" spans="1:29" ht="13.5" customHeight="1">
      <c r="A121" s="32">
        <v>2</v>
      </c>
      <c r="B121" s="176" t="s">
        <v>257</v>
      </c>
      <c r="C121" s="176" t="s">
        <v>405</v>
      </c>
      <c r="D121" s="177" t="s">
        <v>1767</v>
      </c>
      <c r="E121" s="547"/>
      <c r="F121" s="547"/>
      <c r="G121" s="178" t="s">
        <v>262</v>
      </c>
      <c r="H121" s="192" t="s">
        <v>2228</v>
      </c>
      <c r="I121" s="187"/>
      <c r="J121" s="187" t="s">
        <v>828</v>
      </c>
      <c r="K121" s="176"/>
      <c r="L121" s="176" t="s">
        <v>65</v>
      </c>
      <c r="M121" s="180">
        <v>45256</v>
      </c>
      <c r="N121" s="181"/>
      <c r="O121" s="181">
        <v>9.6578099999999996</v>
      </c>
      <c r="P121" s="181">
        <v>125.528361</v>
      </c>
      <c r="Q121" s="182" t="s">
        <v>1775</v>
      </c>
      <c r="R121" s="183" t="s">
        <v>1776</v>
      </c>
      <c r="S121" s="547"/>
      <c r="T121" s="547"/>
      <c r="U121" s="181" t="s">
        <v>22</v>
      </c>
      <c r="V121" s="184" t="s">
        <v>199</v>
      </c>
      <c r="W121" s="185" t="s">
        <v>1782</v>
      </c>
      <c r="X121" s="18"/>
      <c r="Y121" s="18"/>
      <c r="Z121" s="18"/>
      <c r="AA121" s="18"/>
      <c r="AB121" s="512"/>
      <c r="AC121" s="512"/>
    </row>
    <row r="122" spans="1:29" ht="15.75" customHeight="1">
      <c r="A122" s="32">
        <v>3</v>
      </c>
      <c r="B122" s="176" t="s">
        <v>257</v>
      </c>
      <c r="C122" s="176" t="s">
        <v>405</v>
      </c>
      <c r="D122" s="177" t="s">
        <v>1767</v>
      </c>
      <c r="E122" s="176" t="s">
        <v>266</v>
      </c>
      <c r="F122" s="176" t="s">
        <v>1768</v>
      </c>
      <c r="G122" s="178" t="s">
        <v>266</v>
      </c>
      <c r="H122" s="192" t="s">
        <v>2228</v>
      </c>
      <c r="I122" s="179" t="s">
        <v>1769</v>
      </c>
      <c r="J122" s="187" t="s">
        <v>835</v>
      </c>
      <c r="K122" s="176"/>
      <c r="L122" s="176" t="s">
        <v>31</v>
      </c>
      <c r="M122" s="180">
        <v>45256</v>
      </c>
      <c r="N122" s="181"/>
      <c r="O122" s="181">
        <v>9.6578742020000004</v>
      </c>
      <c r="P122" s="181">
        <v>125.52857299999999</v>
      </c>
      <c r="Q122" s="182" t="s">
        <v>1775</v>
      </c>
      <c r="R122" s="183" t="s">
        <v>1776</v>
      </c>
      <c r="S122" s="176" t="b">
        <v>0</v>
      </c>
      <c r="T122" s="176" t="b">
        <v>0</v>
      </c>
      <c r="U122" s="181" t="s">
        <v>22</v>
      </c>
      <c r="V122" s="184" t="s">
        <v>199</v>
      </c>
      <c r="W122" s="185" t="s">
        <v>1782</v>
      </c>
      <c r="X122" s="18"/>
      <c r="Y122" s="18"/>
      <c r="Z122" s="18"/>
      <c r="AA122" s="18"/>
      <c r="AB122" s="229"/>
      <c r="AC122" s="18"/>
    </row>
    <row r="123" spans="1:29" ht="32.25" customHeight="1">
      <c r="A123" s="32">
        <v>4</v>
      </c>
      <c r="B123" s="176" t="s">
        <v>257</v>
      </c>
      <c r="C123" s="176" t="s">
        <v>405</v>
      </c>
      <c r="D123" s="177" t="s">
        <v>1767</v>
      </c>
      <c r="E123" s="176" t="s">
        <v>270</v>
      </c>
      <c r="F123" s="176" t="s">
        <v>1768</v>
      </c>
      <c r="G123" s="178" t="s">
        <v>270</v>
      </c>
      <c r="H123" s="187"/>
      <c r="I123" s="179" t="s">
        <v>1769</v>
      </c>
      <c r="J123" s="187" t="s">
        <v>841</v>
      </c>
      <c r="K123" s="176"/>
      <c r="L123" s="176" t="s">
        <v>271</v>
      </c>
      <c r="M123" s="180">
        <v>45260</v>
      </c>
      <c r="N123" s="181"/>
      <c r="O123" s="181">
        <v>9.6573385799999993</v>
      </c>
      <c r="P123" s="181">
        <v>125.52869</v>
      </c>
      <c r="Q123" s="182" t="s">
        <v>1775</v>
      </c>
      <c r="R123" s="183" t="s">
        <v>1776</v>
      </c>
      <c r="S123" s="176" t="b">
        <v>0</v>
      </c>
      <c r="T123" s="176" t="b">
        <v>0</v>
      </c>
      <c r="U123" s="181" t="s">
        <v>22</v>
      </c>
      <c r="V123" s="184" t="s">
        <v>199</v>
      </c>
      <c r="W123" s="185" t="s">
        <v>1782</v>
      </c>
      <c r="X123" s="18"/>
      <c r="Y123" s="18"/>
      <c r="Z123" s="18"/>
      <c r="AA123" s="18"/>
      <c r="AB123" s="229"/>
      <c r="AC123" s="18"/>
    </row>
    <row r="124" spans="1:29" ht="23.25" customHeight="1">
      <c r="A124" s="32">
        <v>5</v>
      </c>
      <c r="B124" s="176" t="s">
        <v>257</v>
      </c>
      <c r="C124" s="176" t="s">
        <v>405</v>
      </c>
      <c r="D124" s="177" t="s">
        <v>1767</v>
      </c>
      <c r="E124" s="176" t="s">
        <v>272</v>
      </c>
      <c r="F124" s="176" t="s">
        <v>1768</v>
      </c>
      <c r="G124" s="178" t="s">
        <v>272</v>
      </c>
      <c r="H124" s="187"/>
      <c r="I124" s="187"/>
      <c r="J124" s="187" t="s">
        <v>847</v>
      </c>
      <c r="K124" s="176"/>
      <c r="L124" s="176" t="s">
        <v>103</v>
      </c>
      <c r="M124" s="180">
        <v>45267</v>
      </c>
      <c r="N124" s="181"/>
      <c r="O124" s="181">
        <v>9.6578510729999998</v>
      </c>
      <c r="P124" s="181">
        <v>125.528133</v>
      </c>
      <c r="Q124" s="182" t="s">
        <v>1775</v>
      </c>
      <c r="R124" s="183" t="s">
        <v>1776</v>
      </c>
      <c r="S124" s="176" t="b">
        <v>0</v>
      </c>
      <c r="T124" s="176" t="b">
        <v>0</v>
      </c>
      <c r="U124" s="181" t="s">
        <v>22</v>
      </c>
      <c r="V124" s="184" t="s">
        <v>199</v>
      </c>
      <c r="W124" s="185" t="s">
        <v>1782</v>
      </c>
      <c r="X124" s="18"/>
      <c r="Y124" s="18"/>
      <c r="Z124" s="18"/>
      <c r="AA124" s="18"/>
      <c r="AB124" s="188"/>
      <c r="AC124" s="18"/>
    </row>
    <row r="125" spans="1:29" ht="24" customHeight="1">
      <c r="A125" s="32">
        <v>6</v>
      </c>
      <c r="B125" s="176" t="s">
        <v>257</v>
      </c>
      <c r="C125" s="176" t="s">
        <v>405</v>
      </c>
      <c r="D125" s="177" t="s">
        <v>1767</v>
      </c>
      <c r="E125" s="176" t="s">
        <v>274</v>
      </c>
      <c r="F125" s="176" t="s">
        <v>1768</v>
      </c>
      <c r="G125" s="178" t="s">
        <v>274</v>
      </c>
      <c r="H125" s="187"/>
      <c r="I125" s="187"/>
      <c r="J125" s="187" t="s">
        <v>853</v>
      </c>
      <c r="K125" s="176"/>
      <c r="L125" s="176" t="s">
        <v>155</v>
      </c>
      <c r="M125" s="180">
        <v>45260</v>
      </c>
      <c r="N125" s="181"/>
      <c r="O125" s="181">
        <v>9.6577760000000001</v>
      </c>
      <c r="P125" s="181">
        <v>125.527168</v>
      </c>
      <c r="Q125" s="182" t="s">
        <v>1775</v>
      </c>
      <c r="R125" s="183" t="s">
        <v>1776</v>
      </c>
      <c r="S125" s="176" t="b">
        <v>0</v>
      </c>
      <c r="T125" s="176" t="b">
        <v>0</v>
      </c>
      <c r="U125" s="181" t="s">
        <v>22</v>
      </c>
      <c r="V125" s="184" t="s">
        <v>199</v>
      </c>
      <c r="W125" s="185" t="s">
        <v>1782</v>
      </c>
      <c r="X125" s="18"/>
      <c r="Y125" s="18"/>
      <c r="Z125" s="18"/>
      <c r="AA125" s="18"/>
      <c r="AB125" s="188"/>
      <c r="AC125" s="18"/>
    </row>
    <row r="126" spans="1:29" ht="25.5">
      <c r="A126" s="32">
        <v>7</v>
      </c>
      <c r="B126" s="181" t="s">
        <v>257</v>
      </c>
      <c r="C126" s="185" t="s">
        <v>2237</v>
      </c>
      <c r="D126" s="189" t="s">
        <v>1767</v>
      </c>
      <c r="E126" s="545" t="s">
        <v>2238</v>
      </c>
      <c r="F126" s="545" t="s">
        <v>1810</v>
      </c>
      <c r="G126" s="190" t="s">
        <v>2239</v>
      </c>
      <c r="H126" s="193"/>
      <c r="I126" s="193"/>
      <c r="J126" s="193" t="s">
        <v>2240</v>
      </c>
      <c r="K126" s="185"/>
      <c r="L126" s="185" t="s">
        <v>374</v>
      </c>
      <c r="M126" s="180">
        <v>46101</v>
      </c>
      <c r="N126" s="181"/>
      <c r="O126" s="181">
        <v>9.6804848999999997</v>
      </c>
      <c r="P126" s="181">
        <v>125.492638</v>
      </c>
      <c r="Q126" s="182" t="s">
        <v>1813</v>
      </c>
      <c r="R126" s="183" t="s">
        <v>1814</v>
      </c>
      <c r="S126" s="545" t="b">
        <v>0</v>
      </c>
      <c r="T126" s="545" t="b">
        <v>0</v>
      </c>
      <c r="U126" s="181" t="s">
        <v>1815</v>
      </c>
      <c r="V126" s="185" t="s">
        <v>89</v>
      </c>
      <c r="W126" s="185" t="s">
        <v>1782</v>
      </c>
      <c r="X126" s="18"/>
      <c r="Y126" s="18"/>
      <c r="Z126" s="18"/>
      <c r="AA126" s="18"/>
      <c r="AB126" s="18"/>
      <c r="AC126" s="18"/>
    </row>
    <row r="127" spans="1:29" ht="25.5">
      <c r="A127" s="32">
        <v>8</v>
      </c>
      <c r="B127" s="181" t="s">
        <v>257</v>
      </c>
      <c r="C127" s="185" t="s">
        <v>2237</v>
      </c>
      <c r="D127" s="189" t="s">
        <v>1767</v>
      </c>
      <c r="E127" s="546"/>
      <c r="F127" s="546"/>
      <c r="G127" s="190" t="s">
        <v>2243</v>
      </c>
      <c r="H127" s="193"/>
      <c r="I127" s="193"/>
      <c r="J127" s="193" t="s">
        <v>2240</v>
      </c>
      <c r="K127" s="185"/>
      <c r="L127" s="185" t="s">
        <v>374</v>
      </c>
      <c r="M127" s="180">
        <v>46101</v>
      </c>
      <c r="N127" s="181"/>
      <c r="O127" s="181">
        <v>9.6804848999999997</v>
      </c>
      <c r="P127" s="181">
        <v>125.492638</v>
      </c>
      <c r="Q127" s="182" t="s">
        <v>1813</v>
      </c>
      <c r="R127" s="183" t="s">
        <v>1814</v>
      </c>
      <c r="S127" s="546"/>
      <c r="T127" s="546"/>
      <c r="U127" s="181" t="s">
        <v>1815</v>
      </c>
      <c r="V127" s="185" t="s">
        <v>89</v>
      </c>
      <c r="W127" s="185" t="s">
        <v>1782</v>
      </c>
      <c r="X127" s="18"/>
      <c r="Y127" s="18"/>
      <c r="Z127" s="18"/>
      <c r="AA127" s="18"/>
      <c r="AB127" s="18"/>
      <c r="AC127" s="18"/>
    </row>
    <row r="128" spans="1:29" ht="25.5">
      <c r="A128" s="32">
        <v>9</v>
      </c>
      <c r="B128" s="181" t="s">
        <v>257</v>
      </c>
      <c r="C128" s="185" t="s">
        <v>2237</v>
      </c>
      <c r="D128" s="189" t="s">
        <v>1767</v>
      </c>
      <c r="E128" s="547"/>
      <c r="F128" s="547"/>
      <c r="G128" s="190" t="s">
        <v>2246</v>
      </c>
      <c r="H128" s="193"/>
      <c r="I128" s="193"/>
      <c r="J128" s="193" t="s">
        <v>2240</v>
      </c>
      <c r="K128" s="185"/>
      <c r="L128" s="185" t="s">
        <v>374</v>
      </c>
      <c r="M128" s="180">
        <v>46101</v>
      </c>
      <c r="N128" s="181"/>
      <c r="O128" s="181">
        <v>9.6804848999999997</v>
      </c>
      <c r="P128" s="181">
        <v>125.492638</v>
      </c>
      <c r="Q128" s="182" t="s">
        <v>1813</v>
      </c>
      <c r="R128" s="183" t="s">
        <v>1814</v>
      </c>
      <c r="S128" s="547"/>
      <c r="T128" s="547"/>
      <c r="U128" s="181" t="s">
        <v>1815</v>
      </c>
      <c r="V128" s="185" t="s">
        <v>89</v>
      </c>
      <c r="W128" s="185" t="s">
        <v>1782</v>
      </c>
      <c r="X128" s="18"/>
      <c r="Y128" s="18"/>
      <c r="Z128" s="18"/>
      <c r="AA128" s="18"/>
      <c r="AB128" s="18"/>
      <c r="AC128" s="18"/>
    </row>
    <row r="129" spans="1:29" ht="25.5">
      <c r="A129" s="32">
        <v>10</v>
      </c>
      <c r="B129" s="181" t="s">
        <v>257</v>
      </c>
      <c r="C129" s="185" t="s">
        <v>140</v>
      </c>
      <c r="D129" s="189" t="s">
        <v>1767</v>
      </c>
      <c r="E129" s="545" t="s">
        <v>2248</v>
      </c>
      <c r="F129" s="545" t="s">
        <v>1810</v>
      </c>
      <c r="G129" s="190" t="s">
        <v>2251</v>
      </c>
      <c r="H129" s="193"/>
      <c r="I129" s="193"/>
      <c r="J129" s="193" t="s">
        <v>2252</v>
      </c>
      <c r="K129" s="185"/>
      <c r="L129" s="185" t="s">
        <v>374</v>
      </c>
      <c r="M129" s="180">
        <v>46101</v>
      </c>
      <c r="N129" s="181"/>
      <c r="O129" s="181">
        <v>9.6401660000000007</v>
      </c>
      <c r="P129" s="181">
        <v>125.506348</v>
      </c>
      <c r="Q129" s="182" t="s">
        <v>1813</v>
      </c>
      <c r="R129" s="183" t="s">
        <v>1814</v>
      </c>
      <c r="S129" s="545" t="b">
        <v>0</v>
      </c>
      <c r="T129" s="545" t="b">
        <v>0</v>
      </c>
      <c r="U129" s="181" t="s">
        <v>1815</v>
      </c>
      <c r="V129" s="184" t="s">
        <v>89</v>
      </c>
      <c r="W129" s="185" t="s">
        <v>1782</v>
      </c>
      <c r="X129" s="18"/>
      <c r="Y129" s="18"/>
      <c r="Z129" s="18"/>
      <c r="AA129" s="18"/>
      <c r="AB129" s="18"/>
      <c r="AC129" s="18"/>
    </row>
    <row r="130" spans="1:29" ht="25.5">
      <c r="A130" s="32">
        <v>11</v>
      </c>
      <c r="B130" s="181" t="s">
        <v>257</v>
      </c>
      <c r="C130" s="185" t="s">
        <v>140</v>
      </c>
      <c r="D130" s="189" t="s">
        <v>1767</v>
      </c>
      <c r="E130" s="546"/>
      <c r="F130" s="546"/>
      <c r="G130" s="190" t="s">
        <v>2253</v>
      </c>
      <c r="H130" s="193"/>
      <c r="I130" s="193"/>
      <c r="J130" s="193" t="s">
        <v>2252</v>
      </c>
      <c r="K130" s="185"/>
      <c r="L130" s="185" t="s">
        <v>374</v>
      </c>
      <c r="M130" s="180">
        <v>46101</v>
      </c>
      <c r="N130" s="181"/>
      <c r="O130" s="181">
        <v>9.6401660000000007</v>
      </c>
      <c r="P130" s="181">
        <v>125.506348</v>
      </c>
      <c r="Q130" s="182" t="s">
        <v>1813</v>
      </c>
      <c r="R130" s="183" t="s">
        <v>1814</v>
      </c>
      <c r="S130" s="546"/>
      <c r="T130" s="546"/>
      <c r="U130" s="181" t="s">
        <v>1815</v>
      </c>
      <c r="V130" s="184" t="s">
        <v>89</v>
      </c>
      <c r="W130" s="185" t="s">
        <v>1782</v>
      </c>
      <c r="X130" s="18"/>
      <c r="Y130" s="18"/>
      <c r="Z130" s="18"/>
      <c r="AA130" s="18"/>
      <c r="AB130" s="18"/>
      <c r="AC130" s="18"/>
    </row>
    <row r="131" spans="1:29" ht="25.5">
      <c r="A131" s="32">
        <v>12</v>
      </c>
      <c r="B131" s="181" t="s">
        <v>257</v>
      </c>
      <c r="C131" s="185" t="s">
        <v>140</v>
      </c>
      <c r="D131" s="189" t="s">
        <v>1767</v>
      </c>
      <c r="E131" s="547"/>
      <c r="F131" s="547"/>
      <c r="G131" s="190" t="s">
        <v>2255</v>
      </c>
      <c r="H131" s="193"/>
      <c r="I131" s="193"/>
      <c r="J131" s="193" t="s">
        <v>2252</v>
      </c>
      <c r="K131" s="185"/>
      <c r="L131" s="185" t="s">
        <v>374</v>
      </c>
      <c r="M131" s="180">
        <v>46101</v>
      </c>
      <c r="N131" s="181"/>
      <c r="O131" s="181">
        <v>9.6401660000000007</v>
      </c>
      <c r="P131" s="181">
        <v>125.506348</v>
      </c>
      <c r="Q131" s="182" t="s">
        <v>1813</v>
      </c>
      <c r="R131" s="183" t="s">
        <v>1814</v>
      </c>
      <c r="S131" s="547"/>
      <c r="T131" s="547"/>
      <c r="U131" s="181" t="s">
        <v>1815</v>
      </c>
      <c r="V131" s="184" t="s">
        <v>89</v>
      </c>
      <c r="W131" s="185" t="s">
        <v>1782</v>
      </c>
      <c r="X131" s="18"/>
      <c r="Y131" s="18"/>
      <c r="Z131" s="18"/>
      <c r="AA131" s="18"/>
      <c r="AB131" s="18"/>
      <c r="AC131" s="18"/>
    </row>
    <row r="132" spans="1:29" ht="25.5">
      <c r="A132" s="32">
        <v>1</v>
      </c>
      <c r="B132" s="176" t="s">
        <v>268</v>
      </c>
      <c r="C132" s="176" t="s">
        <v>40</v>
      </c>
      <c r="D132" s="177" t="s">
        <v>1767</v>
      </c>
      <c r="E132" s="545" t="s">
        <v>348</v>
      </c>
      <c r="F132" s="545" t="s">
        <v>1768</v>
      </c>
      <c r="G132" s="178" t="s">
        <v>42</v>
      </c>
      <c r="H132" s="187"/>
      <c r="I132" s="187"/>
      <c r="J132" s="187" t="s">
        <v>936</v>
      </c>
      <c r="K132" s="176"/>
      <c r="L132" s="176" t="s">
        <v>351</v>
      </c>
      <c r="M132" s="180">
        <v>45257</v>
      </c>
      <c r="N132" s="181"/>
      <c r="O132" s="181">
        <v>9.7852057030000008</v>
      </c>
      <c r="P132" s="181">
        <v>125.487904</v>
      </c>
      <c r="Q132" s="182" t="s">
        <v>1775</v>
      </c>
      <c r="R132" s="183" t="s">
        <v>1776</v>
      </c>
      <c r="S132" s="545" t="b">
        <v>0</v>
      </c>
      <c r="T132" s="545" t="b">
        <v>0</v>
      </c>
      <c r="U132" s="181" t="s">
        <v>22</v>
      </c>
      <c r="V132" s="185" t="s">
        <v>89</v>
      </c>
      <c r="W132" s="185" t="s">
        <v>1782</v>
      </c>
      <c r="X132" s="18"/>
      <c r="Y132" s="18"/>
      <c r="Z132" s="18"/>
      <c r="AA132" s="18"/>
      <c r="AB132" s="18"/>
      <c r="AC132" s="18"/>
    </row>
    <row r="133" spans="1:29" ht="25.5">
      <c r="A133" s="32">
        <v>2</v>
      </c>
      <c r="B133" s="176" t="s">
        <v>268</v>
      </c>
      <c r="C133" s="176" t="s">
        <v>40</v>
      </c>
      <c r="D133" s="177" t="s">
        <v>1767</v>
      </c>
      <c r="E133" s="547"/>
      <c r="F133" s="547"/>
      <c r="G133" s="178" t="s">
        <v>43</v>
      </c>
      <c r="H133" s="187"/>
      <c r="I133" s="187"/>
      <c r="J133" s="187" t="s">
        <v>940</v>
      </c>
      <c r="K133" s="176"/>
      <c r="L133" s="176" t="s">
        <v>351</v>
      </c>
      <c r="M133" s="180">
        <v>45257</v>
      </c>
      <c r="N133" s="181"/>
      <c r="O133" s="181">
        <v>9.7852057030000008</v>
      </c>
      <c r="P133" s="181">
        <v>125.487904</v>
      </c>
      <c r="Q133" s="182" t="s">
        <v>1775</v>
      </c>
      <c r="R133" s="183" t="s">
        <v>1776</v>
      </c>
      <c r="S133" s="547"/>
      <c r="T133" s="547"/>
      <c r="U133" s="181" t="s">
        <v>22</v>
      </c>
      <c r="V133" s="185" t="s">
        <v>89</v>
      </c>
      <c r="W133" s="185" t="s">
        <v>1782</v>
      </c>
      <c r="X133" s="18"/>
      <c r="Y133" s="18"/>
      <c r="Z133" s="18"/>
      <c r="AA133" s="18"/>
      <c r="AB133" s="18"/>
      <c r="AC133" s="18"/>
    </row>
    <row r="134" spans="1:29" ht="26.25" customHeight="1">
      <c r="A134" s="32">
        <v>3</v>
      </c>
      <c r="B134" s="176" t="s">
        <v>268</v>
      </c>
      <c r="C134" s="176" t="s">
        <v>40</v>
      </c>
      <c r="D134" s="177" t="s">
        <v>1767</v>
      </c>
      <c r="E134" s="181" t="s">
        <v>2105</v>
      </c>
      <c r="F134" s="181" t="s">
        <v>1768</v>
      </c>
      <c r="G134" s="178" t="s">
        <v>56</v>
      </c>
      <c r="H134" s="179" t="s">
        <v>2259</v>
      </c>
      <c r="I134" s="179" t="s">
        <v>2260</v>
      </c>
      <c r="J134" s="187" t="s">
        <v>943</v>
      </c>
      <c r="K134" s="176"/>
      <c r="L134" s="176" t="s">
        <v>155</v>
      </c>
      <c r="M134" s="180">
        <v>45257</v>
      </c>
      <c r="N134" s="181"/>
      <c r="O134" s="181">
        <v>9.7853638370000002</v>
      </c>
      <c r="P134" s="181">
        <v>125.487532</v>
      </c>
      <c r="Q134" s="182" t="s">
        <v>1775</v>
      </c>
      <c r="R134" s="183" t="s">
        <v>1776</v>
      </c>
      <c r="S134" s="181" t="b">
        <v>0</v>
      </c>
      <c r="T134" s="181" t="b">
        <v>0</v>
      </c>
      <c r="U134" s="181" t="s">
        <v>22</v>
      </c>
      <c r="V134" s="185" t="s">
        <v>89</v>
      </c>
      <c r="W134" s="185" t="s">
        <v>1782</v>
      </c>
      <c r="X134" s="18"/>
      <c r="Y134" s="18"/>
      <c r="Z134" s="18"/>
      <c r="AA134" s="18"/>
      <c r="AB134" s="18"/>
      <c r="AC134" s="18"/>
    </row>
    <row r="135" spans="1:29" ht="24.75" customHeight="1">
      <c r="A135" s="32">
        <v>4</v>
      </c>
      <c r="B135" s="176" t="s">
        <v>268</v>
      </c>
      <c r="C135" s="176" t="s">
        <v>40</v>
      </c>
      <c r="D135" s="177" t="s">
        <v>1767</v>
      </c>
      <c r="E135" s="181" t="s">
        <v>371</v>
      </c>
      <c r="F135" s="181" t="s">
        <v>1768</v>
      </c>
      <c r="G135" s="190" t="s">
        <v>423</v>
      </c>
      <c r="H135" s="187"/>
      <c r="I135" s="187"/>
      <c r="J135" s="187" t="s">
        <v>948</v>
      </c>
      <c r="K135" s="176"/>
      <c r="L135" s="176" t="s">
        <v>31</v>
      </c>
      <c r="M135" s="180">
        <v>45257</v>
      </c>
      <c r="N135" s="181"/>
      <c r="O135" s="181">
        <v>9.7855176270000008</v>
      </c>
      <c r="P135" s="181">
        <v>125.487695</v>
      </c>
      <c r="Q135" s="182" t="s">
        <v>1775</v>
      </c>
      <c r="R135" s="183" t="s">
        <v>1776</v>
      </c>
      <c r="S135" s="181" t="b">
        <v>0</v>
      </c>
      <c r="T135" s="181" t="b">
        <v>0</v>
      </c>
      <c r="U135" s="181" t="s">
        <v>22</v>
      </c>
      <c r="V135" s="184" t="s">
        <v>89</v>
      </c>
      <c r="W135" s="185" t="s">
        <v>1782</v>
      </c>
      <c r="X135" s="18"/>
      <c r="Y135" s="18"/>
      <c r="Z135" s="18"/>
      <c r="AA135" s="18"/>
      <c r="AB135" s="18"/>
      <c r="AC135" s="18"/>
    </row>
    <row r="136" spans="1:29" ht="28.5" customHeight="1">
      <c r="A136" s="32">
        <v>5</v>
      </c>
      <c r="B136" s="176" t="s">
        <v>268</v>
      </c>
      <c r="C136" s="176" t="s">
        <v>40</v>
      </c>
      <c r="D136" s="177" t="s">
        <v>1767</v>
      </c>
      <c r="E136" s="188" t="s">
        <v>2110</v>
      </c>
      <c r="F136" s="181" t="s">
        <v>1768</v>
      </c>
      <c r="G136" s="178" t="s">
        <v>51</v>
      </c>
      <c r="H136" s="187"/>
      <c r="I136" s="187"/>
      <c r="J136" s="187" t="s">
        <v>952</v>
      </c>
      <c r="K136" s="176"/>
      <c r="L136" s="176" t="s">
        <v>374</v>
      </c>
      <c r="M136" s="180">
        <v>45257</v>
      </c>
      <c r="N136" s="181"/>
      <c r="O136" s="181">
        <v>9.7862818039999997</v>
      </c>
      <c r="P136" s="181">
        <v>125.48858</v>
      </c>
      <c r="Q136" s="182" t="s">
        <v>1775</v>
      </c>
      <c r="R136" s="183" t="s">
        <v>1776</v>
      </c>
      <c r="S136" s="181" t="b">
        <v>0</v>
      </c>
      <c r="T136" s="181" t="b">
        <v>0</v>
      </c>
      <c r="U136" s="181" t="s">
        <v>22</v>
      </c>
      <c r="V136" s="184" t="s">
        <v>199</v>
      </c>
      <c r="W136" s="185" t="s">
        <v>1782</v>
      </c>
      <c r="X136" s="18"/>
      <c r="Y136" s="18"/>
      <c r="Z136" s="18"/>
      <c r="AA136" s="18"/>
      <c r="AB136" s="18"/>
      <c r="AC136" s="18"/>
    </row>
    <row r="137" spans="1:29" ht="25.5" customHeight="1">
      <c r="A137" s="32">
        <v>6</v>
      </c>
      <c r="B137" s="176" t="s">
        <v>268</v>
      </c>
      <c r="C137" s="176" t="s">
        <v>40</v>
      </c>
      <c r="D137" s="177" t="s">
        <v>1767</v>
      </c>
      <c r="E137" s="181" t="s">
        <v>2111</v>
      </c>
      <c r="F137" s="181" t="s">
        <v>1768</v>
      </c>
      <c r="G137" s="178" t="s">
        <v>41</v>
      </c>
      <c r="H137" s="187"/>
      <c r="I137" s="187"/>
      <c r="J137" s="187" t="s">
        <v>957</v>
      </c>
      <c r="K137" s="176"/>
      <c r="L137" s="176" t="s">
        <v>271</v>
      </c>
      <c r="M137" s="180">
        <v>45257</v>
      </c>
      <c r="N137" s="181"/>
      <c r="O137" s="181">
        <v>9.7858248559999996</v>
      </c>
      <c r="P137" s="181">
        <v>125.48851000000001</v>
      </c>
      <c r="Q137" s="182" t="s">
        <v>1775</v>
      </c>
      <c r="R137" s="183" t="s">
        <v>1776</v>
      </c>
      <c r="S137" s="181" t="b">
        <v>0</v>
      </c>
      <c r="T137" s="181" t="b">
        <v>0</v>
      </c>
      <c r="U137" s="181" t="s">
        <v>22</v>
      </c>
      <c r="V137" s="184" t="s">
        <v>89</v>
      </c>
      <c r="W137" s="185" t="s">
        <v>1782</v>
      </c>
      <c r="X137" s="18"/>
      <c r="Y137" s="18"/>
      <c r="Z137" s="18"/>
      <c r="AA137" s="18"/>
      <c r="AB137" s="23" t="s">
        <v>2264</v>
      </c>
      <c r="AC137" s="23">
        <v>9381848940</v>
      </c>
    </row>
    <row r="138" spans="1:29" ht="18.75" customHeight="1">
      <c r="A138" s="32">
        <v>7</v>
      </c>
      <c r="B138" s="176" t="s">
        <v>268</v>
      </c>
      <c r="C138" s="176" t="s">
        <v>29</v>
      </c>
      <c r="D138" s="177" t="s">
        <v>1767</v>
      </c>
      <c r="E138" s="545" t="s">
        <v>425</v>
      </c>
      <c r="F138" s="545" t="s">
        <v>1768</v>
      </c>
      <c r="G138" s="213" t="s">
        <v>33</v>
      </c>
      <c r="H138" s="179"/>
      <c r="I138" s="179"/>
      <c r="J138" s="179" t="s">
        <v>1610</v>
      </c>
      <c r="K138" s="176"/>
      <c r="L138" s="176" t="s">
        <v>155</v>
      </c>
      <c r="M138" s="180">
        <v>45484</v>
      </c>
      <c r="N138" s="181"/>
      <c r="O138" s="181">
        <v>9.7919999999999998</v>
      </c>
      <c r="P138" s="181">
        <v>125.484514</v>
      </c>
      <c r="Q138" s="182" t="s">
        <v>1775</v>
      </c>
      <c r="R138" s="183" t="s">
        <v>1776</v>
      </c>
      <c r="S138" s="545" t="b">
        <v>0</v>
      </c>
      <c r="T138" s="545" t="b">
        <v>0</v>
      </c>
      <c r="U138" s="181" t="s">
        <v>22</v>
      </c>
      <c r="V138" s="184" t="s">
        <v>199</v>
      </c>
      <c r="W138" s="185" t="s">
        <v>1782</v>
      </c>
      <c r="X138" s="18"/>
      <c r="Y138" s="161" t="s">
        <v>1613</v>
      </c>
      <c r="Z138" s="162" t="s">
        <v>1615</v>
      </c>
      <c r="AA138" s="18"/>
      <c r="AB138" s="522" t="s">
        <v>2270</v>
      </c>
      <c r="AC138" s="522">
        <v>9761902133</v>
      </c>
    </row>
    <row r="139" spans="1:29" ht="21" customHeight="1">
      <c r="A139" s="32">
        <v>8</v>
      </c>
      <c r="B139" s="176" t="s">
        <v>268</v>
      </c>
      <c r="C139" s="176" t="s">
        <v>29</v>
      </c>
      <c r="D139" s="177" t="s">
        <v>1767</v>
      </c>
      <c r="E139" s="547"/>
      <c r="F139" s="547"/>
      <c r="G139" s="213" t="s">
        <v>429</v>
      </c>
      <c r="H139" s="179"/>
      <c r="I139" s="179"/>
      <c r="J139" s="179" t="s">
        <v>1621</v>
      </c>
      <c r="K139" s="176"/>
      <c r="L139" s="176" t="s">
        <v>31</v>
      </c>
      <c r="M139" s="180">
        <v>45485</v>
      </c>
      <c r="N139" s="181"/>
      <c r="O139" s="181">
        <v>9.7921404279999997</v>
      </c>
      <c r="P139" s="181">
        <v>125.48480139999999</v>
      </c>
      <c r="Q139" s="182" t="s">
        <v>1775</v>
      </c>
      <c r="R139" s="183" t="s">
        <v>1776</v>
      </c>
      <c r="S139" s="547"/>
      <c r="T139" s="547"/>
      <c r="U139" s="181" t="s">
        <v>22</v>
      </c>
      <c r="V139" s="184" t="s">
        <v>199</v>
      </c>
      <c r="W139" s="185" t="s">
        <v>1782</v>
      </c>
      <c r="X139" s="18"/>
      <c r="Y139" s="18"/>
      <c r="Z139" s="162" t="s">
        <v>1622</v>
      </c>
      <c r="AA139" s="18"/>
      <c r="AB139" s="512"/>
      <c r="AC139" s="512"/>
    </row>
    <row r="140" spans="1:29" ht="25.5">
      <c r="A140" s="32">
        <v>9</v>
      </c>
      <c r="B140" s="176" t="s">
        <v>268</v>
      </c>
      <c r="C140" s="176" t="s">
        <v>40</v>
      </c>
      <c r="D140" s="177" t="s">
        <v>1767</v>
      </c>
      <c r="E140" s="545" t="s">
        <v>348</v>
      </c>
      <c r="F140" s="545" t="s">
        <v>1810</v>
      </c>
      <c r="G140" s="213" t="s">
        <v>45</v>
      </c>
      <c r="H140" s="187"/>
      <c r="I140" s="187" t="s">
        <v>2273</v>
      </c>
      <c r="J140" s="187" t="s">
        <v>1510</v>
      </c>
      <c r="K140" s="176"/>
      <c r="L140" s="176" t="s">
        <v>351</v>
      </c>
      <c r="M140" s="180">
        <v>45341</v>
      </c>
      <c r="N140" s="181"/>
      <c r="O140" s="181">
        <v>9.7852460000000008</v>
      </c>
      <c r="P140" s="181">
        <v>125.487915</v>
      </c>
      <c r="Q140" s="182" t="s">
        <v>1775</v>
      </c>
      <c r="R140" s="183" t="s">
        <v>1776</v>
      </c>
      <c r="S140" s="545" t="b">
        <v>0</v>
      </c>
      <c r="T140" s="545" t="b">
        <v>0</v>
      </c>
      <c r="U140" s="181" t="s">
        <v>261</v>
      </c>
      <c r="V140" s="185" t="s">
        <v>89</v>
      </c>
      <c r="W140" s="185" t="s">
        <v>1782</v>
      </c>
      <c r="X140" s="18"/>
      <c r="Y140" s="18"/>
      <c r="Z140" s="18"/>
      <c r="AA140" s="18"/>
      <c r="AB140" s="18"/>
      <c r="AC140" s="18"/>
    </row>
    <row r="141" spans="1:29" ht="24.75" customHeight="1">
      <c r="A141" s="32">
        <v>10</v>
      </c>
      <c r="B141" s="176" t="s">
        <v>268</v>
      </c>
      <c r="C141" s="176" t="s">
        <v>29</v>
      </c>
      <c r="D141" s="177" t="s">
        <v>1767</v>
      </c>
      <c r="E141" s="546"/>
      <c r="F141" s="546"/>
      <c r="G141" s="235" t="s">
        <v>30</v>
      </c>
      <c r="H141" s="187"/>
      <c r="I141" s="187" t="s">
        <v>2274</v>
      </c>
      <c r="J141" s="187" t="s">
        <v>1514</v>
      </c>
      <c r="K141" s="176"/>
      <c r="L141" s="176" t="s">
        <v>207</v>
      </c>
      <c r="M141" s="180">
        <v>45350</v>
      </c>
      <c r="N141" s="181"/>
      <c r="O141" s="181">
        <v>9.7888110620000006</v>
      </c>
      <c r="P141" s="181">
        <v>125.4798043</v>
      </c>
      <c r="Q141" s="182" t="s">
        <v>1775</v>
      </c>
      <c r="R141" s="183" t="s">
        <v>1776</v>
      </c>
      <c r="S141" s="546"/>
      <c r="T141" s="546"/>
      <c r="U141" s="181" t="s">
        <v>261</v>
      </c>
      <c r="V141" s="184" t="s">
        <v>89</v>
      </c>
      <c r="W141" s="185" t="s">
        <v>1782</v>
      </c>
      <c r="X141" s="18"/>
      <c r="Y141" s="530" t="s">
        <v>1428</v>
      </c>
      <c r="Z141" s="531" t="s">
        <v>386</v>
      </c>
      <c r="AA141" s="139"/>
      <c r="AB141" s="49" t="s">
        <v>1520</v>
      </c>
      <c r="AC141" s="16">
        <v>9270271711</v>
      </c>
    </row>
    <row r="142" spans="1:29" ht="24" customHeight="1">
      <c r="A142" s="32">
        <v>11</v>
      </c>
      <c r="B142" s="176" t="s">
        <v>268</v>
      </c>
      <c r="C142" s="176" t="s">
        <v>29</v>
      </c>
      <c r="D142" s="177" t="s">
        <v>1767</v>
      </c>
      <c r="E142" s="546"/>
      <c r="F142" s="546"/>
      <c r="G142" s="235" t="s">
        <v>32</v>
      </c>
      <c r="H142" s="187"/>
      <c r="I142" s="187" t="s">
        <v>2274</v>
      </c>
      <c r="J142" s="187" t="s">
        <v>1522</v>
      </c>
      <c r="K142" s="176"/>
      <c r="L142" s="176" t="s">
        <v>207</v>
      </c>
      <c r="M142" s="180">
        <v>45520</v>
      </c>
      <c r="N142" s="181"/>
      <c r="O142" s="181">
        <v>9.7882259999999999</v>
      </c>
      <c r="P142" s="181">
        <v>125.47993099999999</v>
      </c>
      <c r="Q142" s="182" t="s">
        <v>1775</v>
      </c>
      <c r="R142" s="183" t="s">
        <v>1776</v>
      </c>
      <c r="S142" s="546"/>
      <c r="T142" s="546"/>
      <c r="U142" s="181" t="s">
        <v>261</v>
      </c>
      <c r="V142" s="184" t="s">
        <v>89</v>
      </c>
      <c r="W142" s="185" t="s">
        <v>1782</v>
      </c>
      <c r="X142" s="18"/>
      <c r="Y142" s="520"/>
      <c r="Z142" s="520"/>
      <c r="AA142" s="139"/>
      <c r="AB142" s="96"/>
      <c r="AC142" s="18"/>
    </row>
    <row r="143" spans="1:29" ht="21.75" customHeight="1">
      <c r="A143" s="32">
        <v>12</v>
      </c>
      <c r="B143" s="176" t="s">
        <v>268</v>
      </c>
      <c r="C143" s="176" t="s">
        <v>18</v>
      </c>
      <c r="D143" s="177" t="s">
        <v>1767</v>
      </c>
      <c r="E143" s="546"/>
      <c r="F143" s="546"/>
      <c r="G143" s="235" t="s">
        <v>444</v>
      </c>
      <c r="H143" s="187"/>
      <c r="I143" s="187" t="s">
        <v>2280</v>
      </c>
      <c r="J143" s="187" t="s">
        <v>1528</v>
      </c>
      <c r="K143" s="176"/>
      <c r="L143" s="176" t="s">
        <v>271</v>
      </c>
      <c r="M143" s="180">
        <v>45377</v>
      </c>
      <c r="N143" s="181"/>
      <c r="O143" s="181" t="s">
        <v>1525</v>
      </c>
      <c r="P143" s="181" t="s">
        <v>1526</v>
      </c>
      <c r="Q143" s="182" t="s">
        <v>1775</v>
      </c>
      <c r="R143" s="183" t="s">
        <v>1776</v>
      </c>
      <c r="S143" s="546"/>
      <c r="T143" s="546"/>
      <c r="U143" s="181" t="s">
        <v>261</v>
      </c>
      <c r="V143" s="185" t="s">
        <v>89</v>
      </c>
      <c r="W143" s="185" t="s">
        <v>2282</v>
      </c>
      <c r="X143" s="18"/>
      <c r="Y143" s="121" t="s">
        <v>1428</v>
      </c>
      <c r="Z143" s="123" t="s">
        <v>386</v>
      </c>
      <c r="AA143" s="122"/>
      <c r="AB143" s="96" t="s">
        <v>1532</v>
      </c>
      <c r="AC143" s="16">
        <v>9939572700</v>
      </c>
    </row>
    <row r="144" spans="1:29" ht="19.5" customHeight="1">
      <c r="A144" s="32">
        <v>13</v>
      </c>
      <c r="B144" s="176" t="s">
        <v>268</v>
      </c>
      <c r="C144" s="176" t="s">
        <v>23</v>
      </c>
      <c r="D144" s="177" t="s">
        <v>1767</v>
      </c>
      <c r="E144" s="546"/>
      <c r="F144" s="546"/>
      <c r="G144" s="213" t="s">
        <v>447</v>
      </c>
      <c r="H144" s="187"/>
      <c r="I144" s="586" t="s">
        <v>2285</v>
      </c>
      <c r="J144" s="187" t="s">
        <v>1535</v>
      </c>
      <c r="K144" s="176"/>
      <c r="L144" s="176" t="s">
        <v>207</v>
      </c>
      <c r="M144" s="180">
        <v>45399</v>
      </c>
      <c r="N144" s="181"/>
      <c r="O144" s="181">
        <v>9.7809790000000003</v>
      </c>
      <c r="P144" s="181">
        <v>125.46532999999999</v>
      </c>
      <c r="Q144" s="182" t="s">
        <v>1775</v>
      </c>
      <c r="R144" s="183" t="s">
        <v>1776</v>
      </c>
      <c r="S144" s="546"/>
      <c r="T144" s="546"/>
      <c r="U144" s="181" t="s">
        <v>261</v>
      </c>
      <c r="V144" s="185" t="s">
        <v>89</v>
      </c>
      <c r="W144" s="185" t="s">
        <v>1782</v>
      </c>
      <c r="X144" s="18"/>
      <c r="Y144" s="121" t="s">
        <v>1428</v>
      </c>
      <c r="Z144" s="123" t="s">
        <v>386</v>
      </c>
      <c r="AA144" s="122"/>
      <c r="AB144" s="96" t="s">
        <v>1539</v>
      </c>
      <c r="AC144" s="23">
        <v>9855806966</v>
      </c>
    </row>
    <row r="145" spans="1:29" ht="25.5">
      <c r="A145" s="32">
        <v>14</v>
      </c>
      <c r="B145" s="176" t="s">
        <v>268</v>
      </c>
      <c r="C145" s="176" t="s">
        <v>23</v>
      </c>
      <c r="D145" s="177" t="s">
        <v>1767</v>
      </c>
      <c r="E145" s="546"/>
      <c r="F145" s="546"/>
      <c r="G145" s="213" t="s">
        <v>27</v>
      </c>
      <c r="H145" s="179"/>
      <c r="I145" s="587"/>
      <c r="J145" s="179" t="s">
        <v>1542</v>
      </c>
      <c r="K145" s="176"/>
      <c r="L145" s="176" t="s">
        <v>155</v>
      </c>
      <c r="M145" s="180">
        <v>45399</v>
      </c>
      <c r="N145" s="181"/>
      <c r="O145" s="181">
        <v>9.7801919999999996</v>
      </c>
      <c r="P145" s="181">
        <v>125.46521</v>
      </c>
      <c r="Q145" s="182" t="s">
        <v>1775</v>
      </c>
      <c r="R145" s="183" t="s">
        <v>1776</v>
      </c>
      <c r="S145" s="546"/>
      <c r="T145" s="546"/>
      <c r="U145" s="181" t="s">
        <v>261</v>
      </c>
      <c r="V145" s="184" t="s">
        <v>199</v>
      </c>
      <c r="W145" s="185" t="s">
        <v>1782</v>
      </c>
      <c r="X145" s="18"/>
      <c r="Y145" s="121" t="s">
        <v>1428</v>
      </c>
      <c r="Z145" s="123" t="s">
        <v>386</v>
      </c>
      <c r="AA145" s="18"/>
      <c r="AB145" s="18"/>
      <c r="AC145" s="18"/>
    </row>
    <row r="146" spans="1:29" ht="25.5">
      <c r="A146" s="32">
        <v>15</v>
      </c>
      <c r="B146" s="176" t="s">
        <v>268</v>
      </c>
      <c r="C146" s="176" t="s">
        <v>23</v>
      </c>
      <c r="D146" s="177" t="s">
        <v>1767</v>
      </c>
      <c r="E146" s="546"/>
      <c r="F146" s="546"/>
      <c r="G146" s="213" t="s">
        <v>24</v>
      </c>
      <c r="H146" s="187"/>
      <c r="I146" s="587"/>
      <c r="J146" s="187" t="s">
        <v>1550</v>
      </c>
      <c r="K146" s="176"/>
      <c r="L146" s="176" t="s">
        <v>374</v>
      </c>
      <c r="M146" s="180">
        <v>45415</v>
      </c>
      <c r="N146" s="181"/>
      <c r="O146" s="181">
        <v>9.7802439999999997</v>
      </c>
      <c r="P146" s="181">
        <v>125.465183</v>
      </c>
      <c r="Q146" s="182" t="s">
        <v>1775</v>
      </c>
      <c r="R146" s="183" t="s">
        <v>1776</v>
      </c>
      <c r="S146" s="546"/>
      <c r="T146" s="546"/>
      <c r="U146" s="181" t="s">
        <v>261</v>
      </c>
      <c r="V146" s="185" t="s">
        <v>89</v>
      </c>
      <c r="W146" s="185" t="s">
        <v>1782</v>
      </c>
      <c r="X146" s="18"/>
      <c r="Y146" s="121" t="s">
        <v>1428</v>
      </c>
      <c r="Z146" s="123" t="s">
        <v>386</v>
      </c>
      <c r="AA146" s="18"/>
      <c r="AB146" s="18"/>
      <c r="AC146" s="18"/>
    </row>
    <row r="147" spans="1:29" ht="25.5">
      <c r="A147" s="32">
        <v>16</v>
      </c>
      <c r="B147" s="176" t="s">
        <v>268</v>
      </c>
      <c r="C147" s="176" t="s">
        <v>23</v>
      </c>
      <c r="D147" s="177" t="s">
        <v>1767</v>
      </c>
      <c r="E147" s="547"/>
      <c r="F147" s="547"/>
      <c r="G147" s="213" t="s">
        <v>28</v>
      </c>
      <c r="H147" s="187"/>
      <c r="I147" s="588"/>
      <c r="J147" s="187" t="s">
        <v>1554</v>
      </c>
      <c r="K147" s="176"/>
      <c r="L147" s="176" t="s">
        <v>207</v>
      </c>
      <c r="M147" s="180">
        <v>45399</v>
      </c>
      <c r="N147" s="181"/>
      <c r="O147" s="181">
        <v>9.7812230000000007</v>
      </c>
      <c r="P147" s="181">
        <v>125.465266</v>
      </c>
      <c r="Q147" s="182" t="s">
        <v>1775</v>
      </c>
      <c r="R147" s="183" t="s">
        <v>1776</v>
      </c>
      <c r="S147" s="547"/>
      <c r="T147" s="547"/>
      <c r="U147" s="181" t="s">
        <v>261</v>
      </c>
      <c r="V147" s="185" t="s">
        <v>89</v>
      </c>
      <c r="W147" s="185" t="s">
        <v>1782</v>
      </c>
      <c r="X147" s="18"/>
      <c r="Y147" s="121" t="s">
        <v>1428</v>
      </c>
      <c r="Z147" s="123" t="s">
        <v>386</v>
      </c>
      <c r="AA147" s="18"/>
      <c r="AB147" s="16" t="s">
        <v>2300</v>
      </c>
      <c r="AC147" s="16">
        <v>9615364483</v>
      </c>
    </row>
    <row r="148" spans="1:29" ht="25.5">
      <c r="A148" s="32">
        <v>17</v>
      </c>
      <c r="B148" s="176" t="s">
        <v>268</v>
      </c>
      <c r="C148" s="176" t="s">
        <v>40</v>
      </c>
      <c r="D148" s="177" t="s">
        <v>1767</v>
      </c>
      <c r="E148" s="545" t="s">
        <v>52</v>
      </c>
      <c r="F148" s="545" t="s">
        <v>1810</v>
      </c>
      <c r="G148" s="213" t="s">
        <v>454</v>
      </c>
      <c r="H148" s="179"/>
      <c r="I148" s="179"/>
      <c r="J148" s="179" t="s">
        <v>1560</v>
      </c>
      <c r="K148" s="176"/>
      <c r="L148" s="176" t="s">
        <v>491</v>
      </c>
      <c r="M148" s="180">
        <v>45400</v>
      </c>
      <c r="N148" s="181"/>
      <c r="O148" s="181" t="s">
        <v>1556</v>
      </c>
      <c r="P148" s="181" t="s">
        <v>1557</v>
      </c>
      <c r="Q148" s="182" t="s">
        <v>1775</v>
      </c>
      <c r="R148" s="183" t="s">
        <v>1776</v>
      </c>
      <c r="S148" s="545" t="b">
        <v>0</v>
      </c>
      <c r="T148" s="545" t="b">
        <v>0</v>
      </c>
      <c r="U148" s="181" t="s">
        <v>261</v>
      </c>
      <c r="V148" s="184" t="s">
        <v>89</v>
      </c>
      <c r="W148" s="185" t="s">
        <v>1782</v>
      </c>
      <c r="X148" s="236" t="s">
        <v>652</v>
      </c>
      <c r="Y148" s="530" t="s">
        <v>1428</v>
      </c>
      <c r="Z148" s="531" t="s">
        <v>386</v>
      </c>
      <c r="AA148" s="139"/>
      <c r="AB148" s="525" t="s">
        <v>1574</v>
      </c>
      <c r="AC148" s="522" t="s">
        <v>2313</v>
      </c>
    </row>
    <row r="149" spans="1:29" ht="25.5">
      <c r="A149" s="32">
        <v>18</v>
      </c>
      <c r="B149" s="176" t="s">
        <v>268</v>
      </c>
      <c r="C149" s="176" t="s">
        <v>40</v>
      </c>
      <c r="D149" s="177" t="s">
        <v>1767</v>
      </c>
      <c r="E149" s="546"/>
      <c r="F149" s="546"/>
      <c r="G149" s="213" t="s">
        <v>54</v>
      </c>
      <c r="H149" s="179"/>
      <c r="I149" s="179"/>
      <c r="J149" s="179" t="s">
        <v>1579</v>
      </c>
      <c r="K149" s="176"/>
      <c r="L149" s="176" t="s">
        <v>65</v>
      </c>
      <c r="M149" s="180">
        <v>45400</v>
      </c>
      <c r="N149" s="181"/>
      <c r="O149" s="181">
        <v>9.791296762</v>
      </c>
      <c r="P149" s="181">
        <v>125.4933723</v>
      </c>
      <c r="Q149" s="182" t="s">
        <v>1775</v>
      </c>
      <c r="R149" s="183" t="s">
        <v>1776</v>
      </c>
      <c r="S149" s="546"/>
      <c r="T149" s="546"/>
      <c r="U149" s="181" t="s">
        <v>261</v>
      </c>
      <c r="V149" s="184" t="s">
        <v>89</v>
      </c>
      <c r="W149" s="185" t="s">
        <v>1782</v>
      </c>
      <c r="X149" s="137"/>
      <c r="Y149" s="519"/>
      <c r="Z149" s="519"/>
      <c r="AA149" s="139"/>
      <c r="AB149" s="511"/>
      <c r="AC149" s="511"/>
    </row>
    <row r="150" spans="1:29" ht="27" customHeight="1">
      <c r="A150" s="32">
        <v>19</v>
      </c>
      <c r="B150" s="176" t="s">
        <v>268</v>
      </c>
      <c r="C150" s="176" t="s">
        <v>40</v>
      </c>
      <c r="D150" s="177" t="s">
        <v>1767</v>
      </c>
      <c r="E150" s="547"/>
      <c r="F150" s="547"/>
      <c r="G150" s="213" t="s">
        <v>55</v>
      </c>
      <c r="H150" s="187"/>
      <c r="I150" s="187"/>
      <c r="J150" s="187" t="s">
        <v>1586</v>
      </c>
      <c r="K150" s="176"/>
      <c r="L150" s="176" t="s">
        <v>103</v>
      </c>
      <c r="M150" s="180">
        <v>45415</v>
      </c>
      <c r="N150" s="181"/>
      <c r="O150" s="181">
        <v>9.7905340019999993</v>
      </c>
      <c r="P150" s="181">
        <v>125.4937614</v>
      </c>
      <c r="Q150" s="182" t="s">
        <v>1775</v>
      </c>
      <c r="R150" s="183" t="s">
        <v>1776</v>
      </c>
      <c r="S150" s="547"/>
      <c r="T150" s="547"/>
      <c r="U150" s="181" t="s">
        <v>261</v>
      </c>
      <c r="V150" s="184" t="s">
        <v>89</v>
      </c>
      <c r="W150" s="185" t="s">
        <v>2325</v>
      </c>
      <c r="X150" s="137"/>
      <c r="Y150" s="520"/>
      <c r="Z150" s="520"/>
      <c r="AA150" s="139"/>
      <c r="AB150" s="512"/>
      <c r="AC150" s="512"/>
    </row>
    <row r="151" spans="1:29" ht="25.5">
      <c r="A151" s="32">
        <v>20</v>
      </c>
      <c r="B151" s="176" t="s">
        <v>268</v>
      </c>
      <c r="C151" s="176" t="s">
        <v>40</v>
      </c>
      <c r="D151" s="177" t="s">
        <v>1767</v>
      </c>
      <c r="E151" s="545" t="s">
        <v>459</v>
      </c>
      <c r="F151" s="545" t="s">
        <v>1810</v>
      </c>
      <c r="G151" s="213" t="s">
        <v>46</v>
      </c>
      <c r="H151" s="187"/>
      <c r="I151" s="187"/>
      <c r="J151" s="187" t="s">
        <v>1591</v>
      </c>
      <c r="K151" s="176"/>
      <c r="L151" s="176" t="s">
        <v>493</v>
      </c>
      <c r="M151" s="180">
        <v>45435</v>
      </c>
      <c r="N151" s="181"/>
      <c r="O151" s="181">
        <v>9.7814669999999992</v>
      </c>
      <c r="P151" s="181">
        <v>125.488632</v>
      </c>
      <c r="Q151" s="182" t="s">
        <v>1775</v>
      </c>
      <c r="R151" s="183" t="s">
        <v>1776</v>
      </c>
      <c r="S151" s="545" t="b">
        <v>0</v>
      </c>
      <c r="T151" s="545" t="b">
        <v>0</v>
      </c>
      <c r="U151" s="181" t="s">
        <v>261</v>
      </c>
      <c r="V151" s="184" t="s">
        <v>89</v>
      </c>
      <c r="W151" s="185" t="s">
        <v>1782</v>
      </c>
      <c r="X151" s="137"/>
      <c r="Y151" s="532" t="s">
        <v>1592</v>
      </c>
      <c r="Z151" s="533" t="s">
        <v>1595</v>
      </c>
      <c r="AA151" s="139"/>
      <c r="AB151" s="525" t="s">
        <v>1597</v>
      </c>
      <c r="AC151" s="522">
        <v>9107636296</v>
      </c>
    </row>
    <row r="152" spans="1:29" ht="25.5">
      <c r="A152" s="32">
        <v>21</v>
      </c>
      <c r="B152" s="176" t="s">
        <v>268</v>
      </c>
      <c r="C152" s="176" t="s">
        <v>40</v>
      </c>
      <c r="D152" s="177" t="s">
        <v>1767</v>
      </c>
      <c r="E152" s="546"/>
      <c r="F152" s="546"/>
      <c r="G152" s="213" t="s">
        <v>47</v>
      </c>
      <c r="H152" s="187"/>
      <c r="I152" s="187"/>
      <c r="J152" s="187" t="s">
        <v>1603</v>
      </c>
      <c r="K152" s="176"/>
      <c r="L152" s="176" t="s">
        <v>493</v>
      </c>
      <c r="M152" s="180">
        <v>45440</v>
      </c>
      <c r="N152" s="181"/>
      <c r="O152" s="181">
        <v>9.7814029999999992</v>
      </c>
      <c r="P152" s="181">
        <v>125.488497</v>
      </c>
      <c r="Q152" s="182" t="s">
        <v>1775</v>
      </c>
      <c r="R152" s="183" t="s">
        <v>1776</v>
      </c>
      <c r="S152" s="546"/>
      <c r="T152" s="546"/>
      <c r="U152" s="181" t="s">
        <v>261</v>
      </c>
      <c r="V152" s="184" t="s">
        <v>89</v>
      </c>
      <c r="W152" s="185" t="s">
        <v>1782</v>
      </c>
      <c r="X152" s="137"/>
      <c r="Y152" s="519"/>
      <c r="Z152" s="519"/>
      <c r="AA152" s="139"/>
      <c r="AB152" s="511"/>
      <c r="AC152" s="511"/>
    </row>
    <row r="153" spans="1:29" ht="25.5">
      <c r="A153" s="32">
        <v>22</v>
      </c>
      <c r="B153" s="176" t="s">
        <v>268</v>
      </c>
      <c r="C153" s="176" t="s">
        <v>40</v>
      </c>
      <c r="D153" s="177" t="s">
        <v>1767</v>
      </c>
      <c r="E153" s="546"/>
      <c r="F153" s="546"/>
      <c r="G153" s="213" t="s">
        <v>48</v>
      </c>
      <c r="H153" s="187"/>
      <c r="I153" s="187"/>
      <c r="J153" s="187" t="s">
        <v>1606</v>
      </c>
      <c r="K153" s="176"/>
      <c r="L153" s="176" t="s">
        <v>493</v>
      </c>
      <c r="M153" s="180">
        <v>45439</v>
      </c>
      <c r="N153" s="181"/>
      <c r="O153" s="181">
        <v>9.7813870000000005</v>
      </c>
      <c r="P153" s="181">
        <v>125.48945500000001</v>
      </c>
      <c r="Q153" s="182" t="s">
        <v>1775</v>
      </c>
      <c r="R153" s="183" t="s">
        <v>1776</v>
      </c>
      <c r="S153" s="546"/>
      <c r="T153" s="546"/>
      <c r="U153" s="181" t="s">
        <v>261</v>
      </c>
      <c r="V153" s="184" t="s">
        <v>199</v>
      </c>
      <c r="W153" s="185" t="s">
        <v>1782</v>
      </c>
      <c r="X153" s="137"/>
      <c r="Y153" s="519"/>
      <c r="Z153" s="519"/>
      <c r="AA153" s="139"/>
      <c r="AB153" s="511"/>
      <c r="AC153" s="511"/>
    </row>
    <row r="154" spans="1:29" ht="25.5">
      <c r="A154" s="32">
        <v>23</v>
      </c>
      <c r="B154" s="176" t="s">
        <v>268</v>
      </c>
      <c r="C154" s="176" t="s">
        <v>40</v>
      </c>
      <c r="D154" s="177" t="s">
        <v>1767</v>
      </c>
      <c r="E154" s="547"/>
      <c r="F154" s="547"/>
      <c r="G154" s="190" t="s">
        <v>463</v>
      </c>
      <c r="H154" s="179"/>
      <c r="I154" s="179"/>
      <c r="J154" s="179" t="s">
        <v>1608</v>
      </c>
      <c r="K154" s="176"/>
      <c r="L154" s="176" t="s">
        <v>238</v>
      </c>
      <c r="M154" s="180">
        <v>45440</v>
      </c>
      <c r="N154" s="181"/>
      <c r="O154" s="181">
        <v>9.7808799999999998</v>
      </c>
      <c r="P154" s="181">
        <v>125.489118</v>
      </c>
      <c r="Q154" s="182" t="s">
        <v>1775</v>
      </c>
      <c r="R154" s="183" t="s">
        <v>1776</v>
      </c>
      <c r="S154" s="547"/>
      <c r="T154" s="547"/>
      <c r="U154" s="181" t="s">
        <v>261</v>
      </c>
      <c r="V154" s="185" t="s">
        <v>199</v>
      </c>
      <c r="W154" s="185" t="s">
        <v>1782</v>
      </c>
      <c r="X154" s="137"/>
      <c r="Y154" s="520"/>
      <c r="Z154" s="520"/>
      <c r="AA154" s="139"/>
      <c r="AB154" s="512"/>
      <c r="AC154" s="512"/>
    </row>
    <row r="155" spans="1:29" ht="25.5">
      <c r="A155" s="32">
        <v>24</v>
      </c>
      <c r="B155" s="176" t="s">
        <v>268</v>
      </c>
      <c r="C155" s="176" t="s">
        <v>35</v>
      </c>
      <c r="D155" s="177" t="s">
        <v>1767</v>
      </c>
      <c r="E155" s="550" t="str">
        <f>LEFT(G155,FIND("_",G155) - 1)</f>
        <v>Surigao Public Market</v>
      </c>
      <c r="F155" s="550" t="s">
        <v>1810</v>
      </c>
      <c r="G155" s="213" t="s">
        <v>37</v>
      </c>
      <c r="H155" s="187"/>
      <c r="I155" s="187"/>
      <c r="J155" s="187" t="s">
        <v>2206</v>
      </c>
      <c r="K155" s="176"/>
      <c r="L155" s="176" t="s">
        <v>151</v>
      </c>
      <c r="M155" s="180">
        <v>45699</v>
      </c>
      <c r="N155" s="181"/>
      <c r="O155" s="181">
        <v>9.7882857699999999</v>
      </c>
      <c r="P155" s="181">
        <v>125.4982736</v>
      </c>
      <c r="Q155" s="182" t="s">
        <v>1775</v>
      </c>
      <c r="R155" s="183" t="s">
        <v>1776</v>
      </c>
      <c r="S155" s="550" t="b">
        <v>0</v>
      </c>
      <c r="T155" s="550" t="b">
        <v>0</v>
      </c>
      <c r="U155" s="181" t="s">
        <v>513</v>
      </c>
      <c r="V155" s="184" t="s">
        <v>89</v>
      </c>
      <c r="W155" s="185" t="s">
        <v>1782</v>
      </c>
      <c r="X155" s="18"/>
      <c r="Y155" s="527" t="s">
        <v>1428</v>
      </c>
      <c r="Z155" s="18"/>
      <c r="AA155" s="18"/>
      <c r="AB155" s="525" t="s">
        <v>2207</v>
      </c>
      <c r="AC155" s="525">
        <v>9104630125</v>
      </c>
    </row>
    <row r="156" spans="1:29" ht="25.5">
      <c r="A156" s="32">
        <v>25</v>
      </c>
      <c r="B156" s="176" t="s">
        <v>268</v>
      </c>
      <c r="C156" s="176" t="s">
        <v>35</v>
      </c>
      <c r="D156" s="177" t="s">
        <v>1767</v>
      </c>
      <c r="E156" s="551"/>
      <c r="F156" s="551"/>
      <c r="G156" s="213" t="s">
        <v>38</v>
      </c>
      <c r="H156" s="187"/>
      <c r="I156" s="187"/>
      <c r="J156" s="187" t="s">
        <v>2210</v>
      </c>
      <c r="K156" s="176"/>
      <c r="L156" s="176" t="s">
        <v>151</v>
      </c>
      <c r="M156" s="180">
        <v>45699</v>
      </c>
      <c r="N156" s="181"/>
      <c r="O156" s="181">
        <v>9.7889333700000005</v>
      </c>
      <c r="P156" s="181">
        <v>125.49791039999999</v>
      </c>
      <c r="Q156" s="182" t="s">
        <v>1775</v>
      </c>
      <c r="R156" s="183" t="s">
        <v>1776</v>
      </c>
      <c r="S156" s="551"/>
      <c r="T156" s="551"/>
      <c r="U156" s="181" t="s">
        <v>513</v>
      </c>
      <c r="V156" s="184" t="s">
        <v>89</v>
      </c>
      <c r="W156" s="185" t="s">
        <v>1782</v>
      </c>
      <c r="X156" s="18"/>
      <c r="Y156" s="511"/>
      <c r="Z156" s="18"/>
      <c r="AA156" s="18"/>
      <c r="AB156" s="511"/>
      <c r="AC156" s="511"/>
    </row>
    <row r="157" spans="1:29" ht="25.5">
      <c r="A157" s="32">
        <v>26</v>
      </c>
      <c r="B157" s="176" t="s">
        <v>268</v>
      </c>
      <c r="C157" s="176" t="s">
        <v>35</v>
      </c>
      <c r="D157" s="177" t="s">
        <v>1767</v>
      </c>
      <c r="E157" s="551"/>
      <c r="F157" s="551"/>
      <c r="G157" s="213" t="s">
        <v>39</v>
      </c>
      <c r="H157" s="187"/>
      <c r="I157" s="187"/>
      <c r="J157" s="187" t="s">
        <v>2212</v>
      </c>
      <c r="K157" s="176"/>
      <c r="L157" s="176" t="s">
        <v>151</v>
      </c>
      <c r="M157" s="180">
        <v>45699</v>
      </c>
      <c r="N157" s="181"/>
      <c r="O157" s="181">
        <v>9.7890107999999998</v>
      </c>
      <c r="P157" s="181">
        <v>125.49769089999999</v>
      </c>
      <c r="Q157" s="182" t="s">
        <v>1775</v>
      </c>
      <c r="R157" s="183" t="s">
        <v>1776</v>
      </c>
      <c r="S157" s="551"/>
      <c r="T157" s="551"/>
      <c r="U157" s="181" t="s">
        <v>513</v>
      </c>
      <c r="V157" s="184" t="s">
        <v>89</v>
      </c>
      <c r="W157" s="185" t="s">
        <v>1782</v>
      </c>
      <c r="X157" s="18"/>
      <c r="Y157" s="511"/>
      <c r="Z157" s="18"/>
      <c r="AA157" s="18"/>
      <c r="AB157" s="511"/>
      <c r="AC157" s="511"/>
    </row>
    <row r="158" spans="1:29" ht="25.5">
      <c r="A158" s="32">
        <v>27</v>
      </c>
      <c r="B158" s="176" t="s">
        <v>268</v>
      </c>
      <c r="C158" s="176" t="s">
        <v>35</v>
      </c>
      <c r="D158" s="177" t="s">
        <v>1767</v>
      </c>
      <c r="E158" s="552"/>
      <c r="F158" s="552"/>
      <c r="G158" s="213" t="s">
        <v>36</v>
      </c>
      <c r="H158" s="187"/>
      <c r="I158" s="187"/>
      <c r="J158" s="187" t="s">
        <v>2218</v>
      </c>
      <c r="K158" s="176"/>
      <c r="L158" s="176" t="s">
        <v>103</v>
      </c>
      <c r="M158" s="180">
        <v>45699</v>
      </c>
      <c r="N158" s="181"/>
      <c r="O158" s="181">
        <v>9.7883483099999999</v>
      </c>
      <c r="P158" s="181">
        <v>125.4987041</v>
      </c>
      <c r="Q158" s="182" t="s">
        <v>1775</v>
      </c>
      <c r="R158" s="183" t="s">
        <v>1776</v>
      </c>
      <c r="S158" s="552"/>
      <c r="T158" s="552"/>
      <c r="U158" s="181" t="s">
        <v>513</v>
      </c>
      <c r="V158" s="185" t="s">
        <v>89</v>
      </c>
      <c r="W158" s="185" t="s">
        <v>1782</v>
      </c>
      <c r="X158" s="18"/>
      <c r="Y158" s="512"/>
      <c r="Z158" s="18"/>
      <c r="AA158" s="18"/>
      <c r="AB158" s="512"/>
      <c r="AC158" s="512"/>
    </row>
    <row r="159" spans="1:29" ht="25.5">
      <c r="A159" s="32">
        <v>28</v>
      </c>
      <c r="B159" s="181" t="s">
        <v>268</v>
      </c>
      <c r="C159" s="185" t="s">
        <v>4</v>
      </c>
      <c r="D159" s="189" t="s">
        <v>1767</v>
      </c>
      <c r="E159" s="545" t="s">
        <v>11</v>
      </c>
      <c r="F159" s="545" t="s">
        <v>1810</v>
      </c>
      <c r="G159" s="190" t="s">
        <v>11</v>
      </c>
      <c r="H159" s="187"/>
      <c r="I159" s="187"/>
      <c r="J159" s="187" t="s">
        <v>2311</v>
      </c>
      <c r="K159" s="185"/>
      <c r="L159" s="185" t="s">
        <v>374</v>
      </c>
      <c r="M159" s="180">
        <v>45909</v>
      </c>
      <c r="N159" s="181"/>
      <c r="O159" s="181">
        <v>9.7399159999999991</v>
      </c>
      <c r="P159" s="181">
        <v>125.544605</v>
      </c>
      <c r="Q159" s="182" t="s">
        <v>1775</v>
      </c>
      <c r="R159" s="183" t="s">
        <v>1776</v>
      </c>
      <c r="S159" s="545" t="b">
        <v>0</v>
      </c>
      <c r="T159" s="545" t="b">
        <v>0</v>
      </c>
      <c r="U159" s="181" t="s">
        <v>350</v>
      </c>
      <c r="V159" s="185" t="s">
        <v>89</v>
      </c>
      <c r="W159" s="185" t="s">
        <v>1782</v>
      </c>
      <c r="X159" s="18"/>
      <c r="Y159" s="18"/>
      <c r="Z159" s="18"/>
      <c r="AA159" s="18"/>
      <c r="AB159" s="96" t="s">
        <v>2348</v>
      </c>
      <c r="AC159" s="16">
        <v>9104789292</v>
      </c>
    </row>
    <row r="160" spans="1:29" ht="25.5">
      <c r="A160" s="32">
        <v>29</v>
      </c>
      <c r="B160" s="181" t="s">
        <v>268</v>
      </c>
      <c r="C160" s="185" t="s">
        <v>4</v>
      </c>
      <c r="D160" s="189" t="s">
        <v>1767</v>
      </c>
      <c r="E160" s="547"/>
      <c r="F160" s="547"/>
      <c r="G160" s="190" t="s">
        <v>17</v>
      </c>
      <c r="H160" s="187"/>
      <c r="I160" s="187"/>
      <c r="J160" s="187" t="s">
        <v>2319</v>
      </c>
      <c r="K160" s="185"/>
      <c r="L160" s="185" t="s">
        <v>207</v>
      </c>
      <c r="M160" s="180">
        <v>45912</v>
      </c>
      <c r="N160" s="181"/>
      <c r="O160" s="181">
        <v>9.7388285724067902</v>
      </c>
      <c r="P160" s="181">
        <v>125.545063693682</v>
      </c>
      <c r="Q160" s="182" t="s">
        <v>1775</v>
      </c>
      <c r="R160" s="183" t="s">
        <v>1776</v>
      </c>
      <c r="S160" s="547"/>
      <c r="T160" s="547"/>
      <c r="U160" s="181" t="s">
        <v>350</v>
      </c>
      <c r="V160" s="185" t="s">
        <v>199</v>
      </c>
      <c r="W160" s="185" t="s">
        <v>2282</v>
      </c>
      <c r="X160" s="18"/>
      <c r="Y160" s="18"/>
      <c r="Z160" s="18"/>
      <c r="AA160" s="18"/>
      <c r="AB160" s="96" t="s">
        <v>2354</v>
      </c>
      <c r="AC160" s="18"/>
    </row>
    <row r="161" spans="1:29" ht="25.5">
      <c r="A161" s="32">
        <v>30</v>
      </c>
      <c r="B161" s="181" t="s">
        <v>268</v>
      </c>
      <c r="C161" s="185" t="s">
        <v>1564</v>
      </c>
      <c r="D161" s="189" t="s">
        <v>1767</v>
      </c>
      <c r="E161" s="181" t="s">
        <v>2337</v>
      </c>
      <c r="F161" s="181" t="s">
        <v>2357</v>
      </c>
      <c r="G161" s="190" t="s">
        <v>2337</v>
      </c>
      <c r="H161" s="223"/>
      <c r="I161" s="223"/>
      <c r="J161" s="223"/>
      <c r="K161" s="176"/>
      <c r="L161" s="176" t="s">
        <v>155</v>
      </c>
      <c r="M161" s="180">
        <v>45972</v>
      </c>
      <c r="N161" s="181"/>
      <c r="O161" s="181">
        <v>9.7638345999999991</v>
      </c>
      <c r="P161" s="181">
        <v>125.48305868</v>
      </c>
      <c r="Q161" s="182" t="s">
        <v>1813</v>
      </c>
      <c r="R161" s="183" t="s">
        <v>1776</v>
      </c>
      <c r="S161" s="181" t="b">
        <v>0</v>
      </c>
      <c r="T161" s="181" t="b">
        <v>0</v>
      </c>
      <c r="U161" s="181" t="s">
        <v>362</v>
      </c>
      <c r="V161" s="185" t="s">
        <v>2037</v>
      </c>
      <c r="W161" s="185" t="s">
        <v>2361</v>
      </c>
      <c r="X161" s="18"/>
      <c r="Y161" s="18"/>
      <c r="Z161" s="18"/>
      <c r="AA161" s="18"/>
      <c r="AB161" s="23" t="s">
        <v>2362</v>
      </c>
      <c r="AC161" s="16" t="s">
        <v>2363</v>
      </c>
    </row>
    <row r="162" spans="1:29" ht="25.5">
      <c r="A162" s="32">
        <v>31</v>
      </c>
      <c r="B162" s="181" t="s">
        <v>268</v>
      </c>
      <c r="C162" s="185" t="s">
        <v>1564</v>
      </c>
      <c r="D162" s="189" t="s">
        <v>1767</v>
      </c>
      <c r="E162" s="181" t="s">
        <v>2338</v>
      </c>
      <c r="F162" s="181" t="s">
        <v>2357</v>
      </c>
      <c r="G162" s="190" t="s">
        <v>2338</v>
      </c>
      <c r="H162" s="223"/>
      <c r="I162" s="223"/>
      <c r="J162" s="223"/>
      <c r="K162" s="248"/>
      <c r="L162" s="248" t="s">
        <v>31</v>
      </c>
      <c r="M162" s="180">
        <v>45975</v>
      </c>
      <c r="N162" s="181"/>
      <c r="O162" s="181">
        <v>9.7613928199999993</v>
      </c>
      <c r="P162" s="181">
        <v>125.48482749999999</v>
      </c>
      <c r="Q162" s="182" t="s">
        <v>1813</v>
      </c>
      <c r="R162" s="183" t="s">
        <v>1776</v>
      </c>
      <c r="S162" s="181" t="b">
        <v>0</v>
      </c>
      <c r="T162" s="181" t="b">
        <v>0</v>
      </c>
      <c r="U162" s="181" t="s">
        <v>362</v>
      </c>
      <c r="V162" s="185" t="s">
        <v>2037</v>
      </c>
      <c r="W162" s="185" t="s">
        <v>2361</v>
      </c>
      <c r="X162" s="18"/>
      <c r="Y162" s="18"/>
      <c r="Z162" s="18"/>
      <c r="AA162" s="18"/>
      <c r="AB162" s="23" t="s">
        <v>2364</v>
      </c>
      <c r="AC162" s="16" t="s">
        <v>2365</v>
      </c>
    </row>
    <row r="163" spans="1:29" ht="25.5">
      <c r="A163" s="32">
        <v>32</v>
      </c>
      <c r="B163" s="181" t="s">
        <v>268</v>
      </c>
      <c r="C163" s="185" t="s">
        <v>35</v>
      </c>
      <c r="D163" s="189" t="s">
        <v>1767</v>
      </c>
      <c r="E163" s="181" t="s">
        <v>2339</v>
      </c>
      <c r="F163" s="181" t="s">
        <v>2357</v>
      </c>
      <c r="G163" s="190" t="s">
        <v>2339</v>
      </c>
      <c r="H163" s="223"/>
      <c r="I163" s="223"/>
      <c r="J163" s="223"/>
      <c r="K163" s="248"/>
      <c r="L163" s="248" t="s">
        <v>31</v>
      </c>
      <c r="M163" s="180">
        <v>45975</v>
      </c>
      <c r="N163" s="181"/>
      <c r="O163" s="181">
        <v>9.7896843199999992</v>
      </c>
      <c r="P163" s="181">
        <v>125.4972468</v>
      </c>
      <c r="Q163" s="182" t="s">
        <v>1813</v>
      </c>
      <c r="R163" s="183" t="s">
        <v>1776</v>
      </c>
      <c r="S163" s="181" t="b">
        <v>0</v>
      </c>
      <c r="T163" s="181" t="b">
        <v>0</v>
      </c>
      <c r="U163" s="181" t="s">
        <v>362</v>
      </c>
      <c r="V163" s="185" t="s">
        <v>2037</v>
      </c>
      <c r="W163" s="185" t="s">
        <v>2361</v>
      </c>
      <c r="X163" s="18"/>
      <c r="Y163" s="18"/>
      <c r="Z163" s="18"/>
      <c r="AA163" s="18"/>
      <c r="AB163" s="23" t="s">
        <v>2366</v>
      </c>
      <c r="AC163" s="16" t="s">
        <v>2367</v>
      </c>
    </row>
    <row r="164" spans="1:29" ht="38.25">
      <c r="A164" s="32">
        <v>33</v>
      </c>
      <c r="B164" s="181" t="s">
        <v>268</v>
      </c>
      <c r="C164" s="185" t="s">
        <v>2340</v>
      </c>
      <c r="D164" s="189" t="s">
        <v>1767</v>
      </c>
      <c r="E164" s="181" t="s">
        <v>2341</v>
      </c>
      <c r="F164" s="181" t="s">
        <v>2357</v>
      </c>
      <c r="G164" s="190" t="s">
        <v>2341</v>
      </c>
      <c r="H164" s="223"/>
      <c r="I164" s="223"/>
      <c r="J164" s="223"/>
      <c r="K164" s="248"/>
      <c r="L164" s="248" t="s">
        <v>31</v>
      </c>
      <c r="M164" s="180">
        <v>45979</v>
      </c>
      <c r="N164" s="181"/>
      <c r="O164" s="181">
        <v>9.7981244099999998</v>
      </c>
      <c r="P164" s="181">
        <v>125.47233679999999</v>
      </c>
      <c r="Q164" s="182" t="s">
        <v>1813</v>
      </c>
      <c r="R164" s="183" t="s">
        <v>1776</v>
      </c>
      <c r="S164" s="181" t="b">
        <v>0</v>
      </c>
      <c r="T164" s="181" t="b">
        <v>0</v>
      </c>
      <c r="U164" s="181" t="s">
        <v>362</v>
      </c>
      <c r="V164" s="185" t="s">
        <v>2037</v>
      </c>
      <c r="W164" s="185" t="s">
        <v>2361</v>
      </c>
      <c r="X164" s="18"/>
      <c r="Y164" s="18"/>
      <c r="Z164" s="18"/>
      <c r="AA164" s="18"/>
      <c r="AB164" s="23" t="s">
        <v>2368</v>
      </c>
      <c r="AC164" s="23" t="s">
        <v>2369</v>
      </c>
    </row>
    <row r="165" spans="1:29" ht="38.25">
      <c r="A165" s="32">
        <v>34</v>
      </c>
      <c r="B165" s="181" t="s">
        <v>268</v>
      </c>
      <c r="C165" s="185" t="s">
        <v>2342</v>
      </c>
      <c r="D165" s="189" t="s">
        <v>1767</v>
      </c>
      <c r="E165" s="181" t="s">
        <v>2343</v>
      </c>
      <c r="F165" s="181" t="s">
        <v>2357</v>
      </c>
      <c r="G165" s="190" t="s">
        <v>2343</v>
      </c>
      <c r="H165" s="223"/>
      <c r="I165" s="223"/>
      <c r="J165" s="223"/>
      <c r="K165" s="248"/>
      <c r="L165" s="248" t="s">
        <v>31</v>
      </c>
      <c r="M165" s="180">
        <v>45979</v>
      </c>
      <c r="N165" s="181"/>
      <c r="O165" s="181">
        <v>9.7745038199999996</v>
      </c>
      <c r="P165" s="181">
        <v>125.49747309999999</v>
      </c>
      <c r="Q165" s="182" t="s">
        <v>1813</v>
      </c>
      <c r="R165" s="183" t="s">
        <v>1776</v>
      </c>
      <c r="S165" s="181" t="b">
        <v>0</v>
      </c>
      <c r="T165" s="181" t="b">
        <v>0</v>
      </c>
      <c r="U165" s="181" t="s">
        <v>362</v>
      </c>
      <c r="V165" s="185" t="s">
        <v>2037</v>
      </c>
      <c r="W165" s="185" t="s">
        <v>2361</v>
      </c>
      <c r="X165" s="18"/>
      <c r="Y165" s="18"/>
      <c r="Z165" s="18"/>
      <c r="AA165" s="18"/>
      <c r="AB165" s="23" t="s">
        <v>2373</v>
      </c>
      <c r="AC165" s="16" t="s">
        <v>2374</v>
      </c>
    </row>
    <row r="166" spans="1:29" ht="25.5">
      <c r="A166" s="32">
        <v>35</v>
      </c>
      <c r="B166" s="181" t="s">
        <v>268</v>
      </c>
      <c r="C166" s="185" t="s">
        <v>2375</v>
      </c>
      <c r="D166" s="189" t="s">
        <v>1767</v>
      </c>
      <c r="E166" s="545" t="s">
        <v>2376</v>
      </c>
      <c r="F166" s="545" t="s">
        <v>1810</v>
      </c>
      <c r="G166" s="190" t="s">
        <v>2378</v>
      </c>
      <c r="H166" s="193"/>
      <c r="I166" s="193"/>
      <c r="J166" s="193" t="s">
        <v>2380</v>
      </c>
      <c r="K166" s="185"/>
      <c r="L166" s="185" t="s">
        <v>207</v>
      </c>
      <c r="M166" s="180">
        <v>46101</v>
      </c>
      <c r="N166" s="181"/>
      <c r="O166" s="181">
        <v>9.6714330000000004</v>
      </c>
      <c r="P166" s="181">
        <v>125.503626</v>
      </c>
      <c r="Q166" s="182" t="s">
        <v>1813</v>
      </c>
      <c r="R166" s="183" t="s">
        <v>1814</v>
      </c>
      <c r="S166" s="545" t="b">
        <v>0</v>
      </c>
      <c r="T166" s="545" t="b">
        <v>0</v>
      </c>
      <c r="U166" s="181" t="s">
        <v>1815</v>
      </c>
      <c r="V166" s="185" t="s">
        <v>89</v>
      </c>
      <c r="W166" s="185" t="s">
        <v>1782</v>
      </c>
      <c r="X166" s="18"/>
      <c r="Y166" s="18"/>
      <c r="Z166" s="18"/>
      <c r="AA166" s="18"/>
      <c r="AB166" s="18"/>
      <c r="AC166" s="18"/>
    </row>
    <row r="167" spans="1:29" ht="25.5">
      <c r="A167" s="32">
        <v>36</v>
      </c>
      <c r="B167" s="181" t="s">
        <v>268</v>
      </c>
      <c r="C167" s="185" t="s">
        <v>2375</v>
      </c>
      <c r="D167" s="189" t="s">
        <v>1767</v>
      </c>
      <c r="E167" s="546"/>
      <c r="F167" s="546"/>
      <c r="G167" s="190" t="s">
        <v>2384</v>
      </c>
      <c r="H167" s="193"/>
      <c r="I167" s="193"/>
      <c r="J167" s="193" t="s">
        <v>2380</v>
      </c>
      <c r="K167" s="185"/>
      <c r="L167" s="185" t="s">
        <v>207</v>
      </c>
      <c r="M167" s="180">
        <v>46101</v>
      </c>
      <c r="N167" s="181"/>
      <c r="O167" s="181">
        <v>9.6714330000000004</v>
      </c>
      <c r="P167" s="181">
        <v>125.503626</v>
      </c>
      <c r="Q167" s="182" t="s">
        <v>1813</v>
      </c>
      <c r="R167" s="183" t="s">
        <v>1814</v>
      </c>
      <c r="S167" s="546"/>
      <c r="T167" s="546"/>
      <c r="U167" s="181" t="s">
        <v>1815</v>
      </c>
      <c r="V167" s="185" t="s">
        <v>89</v>
      </c>
      <c r="W167" s="185" t="s">
        <v>1782</v>
      </c>
      <c r="X167" s="18"/>
      <c r="Y167" s="18"/>
      <c r="Z167" s="18"/>
      <c r="AA167" s="18"/>
      <c r="AB167" s="18"/>
      <c r="AC167" s="18"/>
    </row>
    <row r="168" spans="1:29" ht="25.5">
      <c r="A168" s="32">
        <v>37</v>
      </c>
      <c r="B168" s="181" t="s">
        <v>268</v>
      </c>
      <c r="C168" s="185" t="s">
        <v>2375</v>
      </c>
      <c r="D168" s="189" t="s">
        <v>1767</v>
      </c>
      <c r="E168" s="547"/>
      <c r="F168" s="547"/>
      <c r="G168" s="190" t="s">
        <v>2386</v>
      </c>
      <c r="H168" s="193"/>
      <c r="I168" s="193"/>
      <c r="J168" s="193" t="s">
        <v>2380</v>
      </c>
      <c r="K168" s="185"/>
      <c r="L168" s="185" t="s">
        <v>207</v>
      </c>
      <c r="M168" s="180">
        <v>46101</v>
      </c>
      <c r="N168" s="181"/>
      <c r="O168" s="181">
        <v>9.6714330000000004</v>
      </c>
      <c r="P168" s="181">
        <v>125.503626</v>
      </c>
      <c r="Q168" s="182" t="s">
        <v>1813</v>
      </c>
      <c r="R168" s="183" t="s">
        <v>1814</v>
      </c>
      <c r="S168" s="547"/>
      <c r="T168" s="547"/>
      <c r="U168" s="181" t="s">
        <v>1815</v>
      </c>
      <c r="V168" s="185" t="s">
        <v>89</v>
      </c>
      <c r="W168" s="185" t="s">
        <v>1782</v>
      </c>
      <c r="X168" s="18"/>
      <c r="Y168" s="18"/>
      <c r="Z168" s="18"/>
      <c r="AA168" s="18"/>
      <c r="AB168" s="18"/>
      <c r="AC168" s="18"/>
    </row>
    <row r="169" spans="1:29" ht="25.5">
      <c r="A169" s="32">
        <v>38</v>
      </c>
      <c r="B169" s="181" t="s">
        <v>268</v>
      </c>
      <c r="C169" s="185" t="s">
        <v>29</v>
      </c>
      <c r="D169" s="189" t="s">
        <v>1767</v>
      </c>
      <c r="E169" s="545" t="s">
        <v>2388</v>
      </c>
      <c r="F169" s="545" t="s">
        <v>1810</v>
      </c>
      <c r="G169" s="190" t="s">
        <v>2389</v>
      </c>
      <c r="H169" s="179"/>
      <c r="I169" s="179"/>
      <c r="J169" s="179" t="s">
        <v>2390</v>
      </c>
      <c r="K169" s="185"/>
      <c r="L169" s="185" t="s">
        <v>374</v>
      </c>
      <c r="M169" s="180">
        <v>46101</v>
      </c>
      <c r="N169" s="181"/>
      <c r="O169" s="181">
        <v>9.7348700000000008</v>
      </c>
      <c r="P169" s="181">
        <v>125.563676</v>
      </c>
      <c r="Q169" s="182" t="s">
        <v>1813</v>
      </c>
      <c r="R169" s="183" t="s">
        <v>1814</v>
      </c>
      <c r="S169" s="545" t="b">
        <v>0</v>
      </c>
      <c r="T169" s="545" t="b">
        <v>0</v>
      </c>
      <c r="U169" s="181" t="s">
        <v>1815</v>
      </c>
      <c r="V169" s="184" t="s">
        <v>199</v>
      </c>
      <c r="W169" s="185" t="s">
        <v>1782</v>
      </c>
      <c r="X169" s="18"/>
      <c r="Y169" s="18"/>
      <c r="Z169" s="18"/>
      <c r="AA169" s="18"/>
      <c r="AB169" s="18"/>
      <c r="AC169" s="18"/>
    </row>
    <row r="170" spans="1:29" ht="25.5">
      <c r="A170" s="32">
        <v>39</v>
      </c>
      <c r="B170" s="181" t="s">
        <v>268</v>
      </c>
      <c r="C170" s="185" t="s">
        <v>29</v>
      </c>
      <c r="D170" s="189" t="s">
        <v>1767</v>
      </c>
      <c r="E170" s="546"/>
      <c r="F170" s="546"/>
      <c r="G170" s="190" t="s">
        <v>2394</v>
      </c>
      <c r="H170" s="179"/>
      <c r="I170" s="179"/>
      <c r="J170" s="179" t="s">
        <v>2390</v>
      </c>
      <c r="K170" s="185"/>
      <c r="L170" s="185" t="s">
        <v>374</v>
      </c>
      <c r="M170" s="180">
        <v>46101</v>
      </c>
      <c r="N170" s="181"/>
      <c r="O170" s="181">
        <v>9.7348700000000008</v>
      </c>
      <c r="P170" s="181">
        <v>125.563676</v>
      </c>
      <c r="Q170" s="182" t="s">
        <v>1813</v>
      </c>
      <c r="R170" s="183" t="s">
        <v>1814</v>
      </c>
      <c r="S170" s="546"/>
      <c r="T170" s="546"/>
      <c r="U170" s="181" t="s">
        <v>1815</v>
      </c>
      <c r="V170" s="184" t="s">
        <v>199</v>
      </c>
      <c r="W170" s="185" t="s">
        <v>1782</v>
      </c>
      <c r="X170" s="18"/>
      <c r="Y170" s="18"/>
      <c r="Z170" s="18"/>
      <c r="AA170" s="18"/>
      <c r="AB170" s="18"/>
      <c r="AC170" s="18"/>
    </row>
    <row r="171" spans="1:29" ht="25.5">
      <c r="A171" s="32">
        <v>40</v>
      </c>
      <c r="B171" s="181" t="s">
        <v>268</v>
      </c>
      <c r="C171" s="185" t="s">
        <v>29</v>
      </c>
      <c r="D171" s="189" t="s">
        <v>1767</v>
      </c>
      <c r="E171" s="547"/>
      <c r="F171" s="547"/>
      <c r="G171" s="190" t="s">
        <v>2395</v>
      </c>
      <c r="H171" s="179"/>
      <c r="I171" s="179"/>
      <c r="J171" s="179" t="s">
        <v>2390</v>
      </c>
      <c r="K171" s="185"/>
      <c r="L171" s="185" t="s">
        <v>374</v>
      </c>
      <c r="M171" s="180">
        <v>46101</v>
      </c>
      <c r="N171" s="181"/>
      <c r="O171" s="181">
        <v>9.7348700000000008</v>
      </c>
      <c r="P171" s="181">
        <v>125.563676</v>
      </c>
      <c r="Q171" s="182" t="s">
        <v>1813</v>
      </c>
      <c r="R171" s="183" t="s">
        <v>1814</v>
      </c>
      <c r="S171" s="547"/>
      <c r="T171" s="547"/>
      <c r="U171" s="181" t="s">
        <v>1815</v>
      </c>
      <c r="V171" s="184" t="s">
        <v>199</v>
      </c>
      <c r="W171" s="185" t="s">
        <v>1782</v>
      </c>
      <c r="X171" s="18"/>
      <c r="Y171" s="18"/>
      <c r="Z171" s="18"/>
      <c r="AA171" s="18"/>
      <c r="AB171" s="18"/>
      <c r="AC171" s="18"/>
    </row>
    <row r="172" spans="1:29" ht="25.5">
      <c r="A172" s="32">
        <v>41</v>
      </c>
      <c r="B172" s="181" t="s">
        <v>268</v>
      </c>
      <c r="C172" s="185" t="s">
        <v>2396</v>
      </c>
      <c r="D172" s="189" t="s">
        <v>1767</v>
      </c>
      <c r="E172" s="545" t="s">
        <v>2397</v>
      </c>
      <c r="F172" s="545" t="s">
        <v>1810</v>
      </c>
      <c r="G172" s="190" t="s">
        <v>2398</v>
      </c>
      <c r="H172" s="179"/>
      <c r="I172" s="179"/>
      <c r="J172" s="179" t="s">
        <v>2399</v>
      </c>
      <c r="K172" s="185"/>
      <c r="L172" s="185" t="s">
        <v>374</v>
      </c>
      <c r="M172" s="180">
        <v>46101</v>
      </c>
      <c r="N172" s="181"/>
      <c r="O172" s="181">
        <v>9.7220626170000006</v>
      </c>
      <c r="P172" s="181">
        <v>125.56703229999999</v>
      </c>
      <c r="Q172" s="182" t="s">
        <v>1813</v>
      </c>
      <c r="R172" s="183" t="s">
        <v>1814</v>
      </c>
      <c r="S172" s="545" t="b">
        <v>0</v>
      </c>
      <c r="T172" s="545" t="b">
        <v>0</v>
      </c>
      <c r="U172" s="181" t="s">
        <v>1815</v>
      </c>
      <c r="V172" s="184" t="s">
        <v>89</v>
      </c>
      <c r="W172" s="185" t="s">
        <v>1782</v>
      </c>
      <c r="X172" s="18"/>
      <c r="Y172" s="18"/>
      <c r="Z172" s="18"/>
      <c r="AA172" s="18"/>
      <c r="AB172" s="18"/>
      <c r="AC172" s="18"/>
    </row>
    <row r="173" spans="1:29" ht="25.5">
      <c r="A173" s="32">
        <v>42</v>
      </c>
      <c r="B173" s="181" t="s">
        <v>268</v>
      </c>
      <c r="C173" s="185" t="s">
        <v>2396</v>
      </c>
      <c r="D173" s="189" t="s">
        <v>1767</v>
      </c>
      <c r="E173" s="546"/>
      <c r="F173" s="546"/>
      <c r="G173" s="190" t="s">
        <v>2400</v>
      </c>
      <c r="H173" s="179"/>
      <c r="I173" s="179"/>
      <c r="J173" s="179" t="s">
        <v>2399</v>
      </c>
      <c r="K173" s="185"/>
      <c r="L173" s="185" t="s">
        <v>374</v>
      </c>
      <c r="M173" s="180">
        <v>46101</v>
      </c>
      <c r="N173" s="181"/>
      <c r="O173" s="181">
        <v>9.7220626170000006</v>
      </c>
      <c r="P173" s="181">
        <v>125.56703229999999</v>
      </c>
      <c r="Q173" s="182" t="s">
        <v>1813</v>
      </c>
      <c r="R173" s="183" t="s">
        <v>1814</v>
      </c>
      <c r="S173" s="546"/>
      <c r="T173" s="546"/>
      <c r="U173" s="181" t="s">
        <v>1815</v>
      </c>
      <c r="V173" s="184" t="s">
        <v>89</v>
      </c>
      <c r="W173" s="185" t="s">
        <v>1782</v>
      </c>
      <c r="X173" s="18"/>
      <c r="Y173" s="18"/>
      <c r="Z173" s="18"/>
      <c r="AA173" s="18"/>
      <c r="AB173" s="18"/>
      <c r="AC173" s="18"/>
    </row>
    <row r="174" spans="1:29" ht="25.5">
      <c r="A174" s="32">
        <v>43</v>
      </c>
      <c r="B174" s="181" t="s">
        <v>268</v>
      </c>
      <c r="C174" s="185" t="s">
        <v>2396</v>
      </c>
      <c r="D174" s="189" t="s">
        <v>1767</v>
      </c>
      <c r="E174" s="547"/>
      <c r="F174" s="547"/>
      <c r="G174" s="190" t="s">
        <v>2401</v>
      </c>
      <c r="H174" s="179"/>
      <c r="I174" s="179"/>
      <c r="J174" s="179" t="s">
        <v>2399</v>
      </c>
      <c r="K174" s="185"/>
      <c r="L174" s="185" t="s">
        <v>374</v>
      </c>
      <c r="M174" s="180">
        <v>46101</v>
      </c>
      <c r="N174" s="181"/>
      <c r="O174" s="181">
        <v>9.7220626170000006</v>
      </c>
      <c r="P174" s="181">
        <v>125.56703229999999</v>
      </c>
      <c r="Q174" s="182" t="s">
        <v>1813</v>
      </c>
      <c r="R174" s="183" t="s">
        <v>1814</v>
      </c>
      <c r="S174" s="547"/>
      <c r="T174" s="547"/>
      <c r="U174" s="181" t="s">
        <v>1815</v>
      </c>
      <c r="V174" s="184" t="s">
        <v>89</v>
      </c>
      <c r="W174" s="185" t="s">
        <v>1782</v>
      </c>
      <c r="X174" s="18"/>
      <c r="Y174" s="18"/>
      <c r="Z174" s="18"/>
      <c r="AA174" s="18"/>
      <c r="AB174" s="18"/>
      <c r="AC174" s="18"/>
    </row>
    <row r="175" spans="1:29" ht="25.5">
      <c r="A175" s="32">
        <v>44</v>
      </c>
      <c r="B175" s="181" t="s">
        <v>268</v>
      </c>
      <c r="C175" s="185" t="s">
        <v>2402</v>
      </c>
      <c r="D175" s="189" t="s">
        <v>1767</v>
      </c>
      <c r="E175" s="545" t="s">
        <v>2403</v>
      </c>
      <c r="F175" s="545" t="s">
        <v>1810</v>
      </c>
      <c r="G175" s="190" t="s">
        <v>2404</v>
      </c>
      <c r="H175" s="179"/>
      <c r="I175" s="179"/>
      <c r="J175" s="179" t="s">
        <v>2405</v>
      </c>
      <c r="K175" s="185"/>
      <c r="L175" s="185" t="s">
        <v>374</v>
      </c>
      <c r="M175" s="180">
        <v>46101</v>
      </c>
      <c r="N175" s="181"/>
      <c r="O175" s="181">
        <v>9.9052180219999997</v>
      </c>
      <c r="P175" s="181">
        <v>125.5925099</v>
      </c>
      <c r="Q175" s="182" t="s">
        <v>1813</v>
      </c>
      <c r="R175" s="183" t="s">
        <v>1814</v>
      </c>
      <c r="S175" s="545" t="b">
        <v>0</v>
      </c>
      <c r="T175" s="545" t="b">
        <v>0</v>
      </c>
      <c r="U175" s="181" t="s">
        <v>1815</v>
      </c>
      <c r="V175" s="185" t="s">
        <v>89</v>
      </c>
      <c r="W175" s="185" t="s">
        <v>1782</v>
      </c>
      <c r="X175" s="18"/>
      <c r="Y175" s="18"/>
      <c r="Z175" s="18"/>
      <c r="AA175" s="18"/>
      <c r="AB175" s="18"/>
      <c r="AC175" s="18"/>
    </row>
    <row r="176" spans="1:29" ht="25.5">
      <c r="A176" s="32">
        <v>45</v>
      </c>
      <c r="B176" s="181" t="s">
        <v>268</v>
      </c>
      <c r="C176" s="185" t="s">
        <v>2402</v>
      </c>
      <c r="D176" s="189" t="s">
        <v>1767</v>
      </c>
      <c r="E176" s="546"/>
      <c r="F176" s="546"/>
      <c r="G176" s="190" t="s">
        <v>2406</v>
      </c>
      <c r="H176" s="179"/>
      <c r="I176" s="179"/>
      <c r="J176" s="179" t="s">
        <v>2405</v>
      </c>
      <c r="K176" s="185"/>
      <c r="L176" s="185" t="s">
        <v>374</v>
      </c>
      <c r="M176" s="180">
        <v>46101</v>
      </c>
      <c r="N176" s="181"/>
      <c r="O176" s="181">
        <v>9.9052180219999997</v>
      </c>
      <c r="P176" s="181">
        <v>125.5925099</v>
      </c>
      <c r="Q176" s="182" t="s">
        <v>1813</v>
      </c>
      <c r="R176" s="183" t="s">
        <v>1814</v>
      </c>
      <c r="S176" s="546"/>
      <c r="T176" s="546"/>
      <c r="U176" s="181" t="s">
        <v>1815</v>
      </c>
      <c r="V176" s="185" t="s">
        <v>89</v>
      </c>
      <c r="W176" s="185" t="s">
        <v>1782</v>
      </c>
      <c r="X176" s="18"/>
      <c r="Y176" s="18"/>
      <c r="Z176" s="18"/>
      <c r="AA176" s="18"/>
      <c r="AB176" s="18"/>
      <c r="AC176" s="18"/>
    </row>
    <row r="177" spans="1:29" ht="25.5">
      <c r="A177" s="32">
        <v>46</v>
      </c>
      <c r="B177" s="181" t="s">
        <v>268</v>
      </c>
      <c r="C177" s="185" t="s">
        <v>2402</v>
      </c>
      <c r="D177" s="189" t="s">
        <v>1767</v>
      </c>
      <c r="E177" s="547"/>
      <c r="F177" s="547"/>
      <c r="G177" s="190" t="s">
        <v>2407</v>
      </c>
      <c r="H177" s="179"/>
      <c r="I177" s="179"/>
      <c r="J177" s="179" t="s">
        <v>2405</v>
      </c>
      <c r="K177" s="185"/>
      <c r="L177" s="185" t="s">
        <v>374</v>
      </c>
      <c r="M177" s="180">
        <v>46101</v>
      </c>
      <c r="N177" s="181"/>
      <c r="O177" s="181">
        <v>9.9052180219999997</v>
      </c>
      <c r="P177" s="181">
        <v>125.5925099</v>
      </c>
      <c r="Q177" s="182" t="s">
        <v>1813</v>
      </c>
      <c r="R177" s="183" t="s">
        <v>1814</v>
      </c>
      <c r="S177" s="547"/>
      <c r="T177" s="547"/>
      <c r="U177" s="181" t="s">
        <v>1815</v>
      </c>
      <c r="V177" s="185" t="s">
        <v>89</v>
      </c>
      <c r="W177" s="185" t="s">
        <v>1782</v>
      </c>
      <c r="X177" s="18"/>
      <c r="Y177" s="18"/>
      <c r="Z177" s="18"/>
      <c r="AA177" s="18"/>
      <c r="AB177" s="18"/>
      <c r="AC177" s="18"/>
    </row>
    <row r="178" spans="1:29" ht="25.5">
      <c r="A178" s="32">
        <v>47</v>
      </c>
      <c r="B178" s="181" t="s">
        <v>268</v>
      </c>
      <c r="C178" s="185" t="s">
        <v>2408</v>
      </c>
      <c r="D178" s="189" t="s">
        <v>1767</v>
      </c>
      <c r="E178" s="545" t="s">
        <v>2409</v>
      </c>
      <c r="F178" s="545" t="s">
        <v>1810</v>
      </c>
      <c r="G178" s="190" t="s">
        <v>2410</v>
      </c>
      <c r="H178" s="179"/>
      <c r="I178" s="179"/>
      <c r="J178" s="179" t="s">
        <v>2411</v>
      </c>
      <c r="K178" s="185"/>
      <c r="L178" s="185" t="s">
        <v>374</v>
      </c>
      <c r="M178" s="180">
        <v>46101</v>
      </c>
      <c r="N178" s="181"/>
      <c r="O178" s="181">
        <v>9.7611030000000003</v>
      </c>
      <c r="P178" s="181">
        <v>125.636489</v>
      </c>
      <c r="Q178" s="182" t="s">
        <v>1813</v>
      </c>
      <c r="R178" s="183" t="s">
        <v>1814</v>
      </c>
      <c r="S178" s="545" t="b">
        <v>0</v>
      </c>
      <c r="T178" s="545" t="b">
        <v>0</v>
      </c>
      <c r="U178" s="181" t="s">
        <v>1815</v>
      </c>
      <c r="V178" s="185" t="s">
        <v>89</v>
      </c>
      <c r="W178" s="185" t="s">
        <v>1782</v>
      </c>
      <c r="X178" s="18"/>
      <c r="Y178" s="18"/>
      <c r="Z178" s="18"/>
      <c r="AA178" s="18"/>
      <c r="AC178" s="18"/>
    </row>
    <row r="179" spans="1:29" ht="25.5">
      <c r="A179" s="32">
        <v>48</v>
      </c>
      <c r="B179" s="181" t="s">
        <v>268</v>
      </c>
      <c r="C179" s="185" t="s">
        <v>2408</v>
      </c>
      <c r="D179" s="189" t="s">
        <v>1767</v>
      </c>
      <c r="E179" s="546"/>
      <c r="F179" s="546"/>
      <c r="G179" s="190" t="s">
        <v>2412</v>
      </c>
      <c r="H179" s="179"/>
      <c r="I179" s="179"/>
      <c r="J179" s="179" t="s">
        <v>2411</v>
      </c>
      <c r="K179" s="185"/>
      <c r="L179" s="185" t="s">
        <v>374</v>
      </c>
      <c r="M179" s="180">
        <v>46101</v>
      </c>
      <c r="N179" s="181"/>
      <c r="O179" s="181">
        <v>9.7611030000000003</v>
      </c>
      <c r="P179" s="181">
        <v>125.636489</v>
      </c>
      <c r="Q179" s="182" t="s">
        <v>1813</v>
      </c>
      <c r="R179" s="183" t="s">
        <v>1814</v>
      </c>
      <c r="S179" s="546"/>
      <c r="T179" s="546"/>
      <c r="U179" s="181" t="s">
        <v>1815</v>
      </c>
      <c r="V179" s="185" t="s">
        <v>89</v>
      </c>
      <c r="W179" s="185" t="s">
        <v>1782</v>
      </c>
      <c r="X179" s="18"/>
      <c r="Y179" s="18"/>
      <c r="Z179" s="18"/>
      <c r="AA179" s="18"/>
      <c r="AB179" s="18"/>
      <c r="AC179" s="18"/>
    </row>
    <row r="180" spans="1:29" ht="25.5">
      <c r="A180" s="32">
        <v>49</v>
      </c>
      <c r="B180" s="181" t="s">
        <v>268</v>
      </c>
      <c r="C180" s="185" t="s">
        <v>2408</v>
      </c>
      <c r="D180" s="189" t="s">
        <v>1767</v>
      </c>
      <c r="E180" s="547"/>
      <c r="F180" s="547"/>
      <c r="G180" s="190" t="s">
        <v>2413</v>
      </c>
      <c r="H180" s="179"/>
      <c r="I180" s="179"/>
      <c r="J180" s="179" t="s">
        <v>2411</v>
      </c>
      <c r="K180" s="185"/>
      <c r="L180" s="185" t="s">
        <v>374</v>
      </c>
      <c r="M180" s="180">
        <v>46101</v>
      </c>
      <c r="N180" s="181"/>
      <c r="O180" s="181">
        <v>9.7611030000000003</v>
      </c>
      <c r="P180" s="181">
        <v>125.636489</v>
      </c>
      <c r="Q180" s="182" t="s">
        <v>1813</v>
      </c>
      <c r="R180" s="183" t="s">
        <v>1814</v>
      </c>
      <c r="S180" s="547"/>
      <c r="T180" s="547"/>
      <c r="U180" s="181" t="s">
        <v>1815</v>
      </c>
      <c r="V180" s="185" t="s">
        <v>89</v>
      </c>
      <c r="W180" s="185" t="s">
        <v>1782</v>
      </c>
      <c r="X180" s="18"/>
      <c r="Y180" s="18"/>
      <c r="Z180" s="18"/>
      <c r="AA180" s="18"/>
      <c r="AB180" s="18"/>
      <c r="AC180" s="18"/>
    </row>
    <row r="181" spans="1:29" ht="25.5">
      <c r="A181" s="32">
        <v>50</v>
      </c>
      <c r="B181" s="181" t="s">
        <v>268</v>
      </c>
      <c r="C181" s="185" t="s">
        <v>2416</v>
      </c>
      <c r="D181" s="189" t="s">
        <v>1767</v>
      </c>
      <c r="E181" s="545" t="s">
        <v>2417</v>
      </c>
      <c r="F181" s="545" t="s">
        <v>1810</v>
      </c>
      <c r="G181" s="190" t="s">
        <v>2418</v>
      </c>
      <c r="H181" s="179"/>
      <c r="I181" s="179"/>
      <c r="J181" s="179" t="s">
        <v>2419</v>
      </c>
      <c r="K181" s="185"/>
      <c r="L181" s="185" t="s">
        <v>374</v>
      </c>
      <c r="M181" s="180">
        <v>46101</v>
      </c>
      <c r="N181" s="181"/>
      <c r="O181" s="181">
        <v>9.8823199030000008</v>
      </c>
      <c r="P181" s="181">
        <v>125.56583860000001</v>
      </c>
      <c r="Q181" s="182" t="s">
        <v>1813</v>
      </c>
      <c r="R181" s="183" t="s">
        <v>1814</v>
      </c>
      <c r="S181" s="545" t="b">
        <v>0</v>
      </c>
      <c r="T181" s="545" t="b">
        <v>0</v>
      </c>
      <c r="U181" s="181" t="s">
        <v>1815</v>
      </c>
      <c r="V181" s="184" t="s">
        <v>89</v>
      </c>
      <c r="W181" s="185" t="s">
        <v>1782</v>
      </c>
      <c r="X181" s="18"/>
      <c r="Y181" s="18"/>
      <c r="Z181" s="18"/>
      <c r="AA181" s="18"/>
      <c r="AB181" s="18"/>
      <c r="AC181" s="18"/>
    </row>
    <row r="182" spans="1:29" ht="25.5">
      <c r="A182" s="32">
        <v>51</v>
      </c>
      <c r="B182" s="181" t="s">
        <v>268</v>
      </c>
      <c r="C182" s="185" t="s">
        <v>2416</v>
      </c>
      <c r="D182" s="189" t="s">
        <v>1767</v>
      </c>
      <c r="E182" s="546"/>
      <c r="F182" s="546"/>
      <c r="G182" s="190" t="s">
        <v>2422</v>
      </c>
      <c r="H182" s="179"/>
      <c r="I182" s="179"/>
      <c r="J182" s="179" t="s">
        <v>2419</v>
      </c>
      <c r="K182" s="185"/>
      <c r="L182" s="185" t="s">
        <v>374</v>
      </c>
      <c r="M182" s="180">
        <v>46101</v>
      </c>
      <c r="N182" s="181"/>
      <c r="O182" s="181">
        <v>9.8823199030000008</v>
      </c>
      <c r="P182" s="181">
        <v>125.56583860000001</v>
      </c>
      <c r="Q182" s="182" t="s">
        <v>1813</v>
      </c>
      <c r="R182" s="183" t="s">
        <v>1814</v>
      </c>
      <c r="S182" s="546"/>
      <c r="T182" s="546"/>
      <c r="U182" s="181" t="s">
        <v>1815</v>
      </c>
      <c r="V182" s="184" t="s">
        <v>89</v>
      </c>
      <c r="W182" s="185" t="s">
        <v>1782</v>
      </c>
      <c r="X182" s="18"/>
      <c r="Y182" s="18"/>
      <c r="Z182" s="18"/>
      <c r="AA182" s="18"/>
      <c r="AB182" s="18"/>
      <c r="AC182" s="18"/>
    </row>
    <row r="183" spans="1:29" ht="25.5">
      <c r="A183" s="32">
        <v>52</v>
      </c>
      <c r="B183" s="181" t="s">
        <v>268</v>
      </c>
      <c r="C183" s="185" t="s">
        <v>2416</v>
      </c>
      <c r="D183" s="189" t="s">
        <v>1767</v>
      </c>
      <c r="E183" s="547"/>
      <c r="F183" s="547"/>
      <c r="G183" s="190" t="s">
        <v>2426</v>
      </c>
      <c r="H183" s="179"/>
      <c r="I183" s="179"/>
      <c r="J183" s="179" t="s">
        <v>2419</v>
      </c>
      <c r="K183" s="185"/>
      <c r="L183" s="185" t="s">
        <v>374</v>
      </c>
      <c r="M183" s="180">
        <v>46101</v>
      </c>
      <c r="N183" s="181"/>
      <c r="O183" s="181">
        <v>9.8823199030000008</v>
      </c>
      <c r="P183" s="181">
        <v>125.56583860000001</v>
      </c>
      <c r="Q183" s="182" t="s">
        <v>1813</v>
      </c>
      <c r="R183" s="183" t="s">
        <v>1814</v>
      </c>
      <c r="S183" s="547"/>
      <c r="T183" s="547"/>
      <c r="U183" s="181" t="s">
        <v>1815</v>
      </c>
      <c r="V183" s="184" t="s">
        <v>89</v>
      </c>
      <c r="W183" s="185" t="s">
        <v>1782</v>
      </c>
      <c r="X183" s="18"/>
      <c r="Y183" s="18"/>
      <c r="Z183" s="18"/>
      <c r="AA183" s="18"/>
      <c r="AB183" s="18"/>
      <c r="AC183" s="18"/>
    </row>
    <row r="184" spans="1:29" ht="25.5">
      <c r="A184" s="32">
        <v>53</v>
      </c>
      <c r="B184" s="181" t="s">
        <v>268</v>
      </c>
      <c r="C184" s="185" t="s">
        <v>2429</v>
      </c>
      <c r="D184" s="189" t="s">
        <v>1767</v>
      </c>
      <c r="E184" s="545" t="s">
        <v>2430</v>
      </c>
      <c r="F184" s="545" t="s">
        <v>1810</v>
      </c>
      <c r="G184" s="190" t="s">
        <v>2435</v>
      </c>
      <c r="H184" s="179"/>
      <c r="I184" s="179"/>
      <c r="J184" s="179" t="s">
        <v>2437</v>
      </c>
      <c r="K184" s="185"/>
      <c r="L184" s="185" t="s">
        <v>374</v>
      </c>
      <c r="M184" s="180">
        <v>46101</v>
      </c>
      <c r="N184" s="181"/>
      <c r="O184" s="181">
        <v>9.6895530000000001</v>
      </c>
      <c r="P184" s="181">
        <v>125.480261</v>
      </c>
      <c r="Q184" s="182" t="s">
        <v>1813</v>
      </c>
      <c r="R184" s="183" t="s">
        <v>1814</v>
      </c>
      <c r="S184" s="545" t="b">
        <v>0</v>
      </c>
      <c r="T184" s="545" t="b">
        <v>0</v>
      </c>
      <c r="U184" s="181" t="s">
        <v>1815</v>
      </c>
      <c r="V184" s="184" t="s">
        <v>199</v>
      </c>
      <c r="W184" s="185" t="s">
        <v>1782</v>
      </c>
      <c r="X184" s="18"/>
      <c r="Y184" s="18"/>
      <c r="Z184" s="18"/>
      <c r="AA184" s="18"/>
      <c r="AB184" s="18"/>
      <c r="AC184" s="18"/>
    </row>
    <row r="185" spans="1:29" ht="25.5">
      <c r="A185" s="32">
        <v>54</v>
      </c>
      <c r="B185" s="181" t="s">
        <v>268</v>
      </c>
      <c r="C185" s="185" t="s">
        <v>2429</v>
      </c>
      <c r="D185" s="189" t="s">
        <v>1767</v>
      </c>
      <c r="E185" s="546"/>
      <c r="F185" s="546"/>
      <c r="G185" s="190" t="s">
        <v>2444</v>
      </c>
      <c r="H185" s="179"/>
      <c r="I185" s="179"/>
      <c r="J185" s="179" t="s">
        <v>2437</v>
      </c>
      <c r="K185" s="185"/>
      <c r="L185" s="185" t="s">
        <v>374</v>
      </c>
      <c r="M185" s="180">
        <v>46101</v>
      </c>
      <c r="N185" s="181"/>
      <c r="O185" s="181">
        <v>9.6895530000000001</v>
      </c>
      <c r="P185" s="181">
        <v>125.480261</v>
      </c>
      <c r="Q185" s="182" t="s">
        <v>1813</v>
      </c>
      <c r="R185" s="183" t="s">
        <v>1814</v>
      </c>
      <c r="S185" s="546"/>
      <c r="T185" s="546"/>
      <c r="U185" s="181" t="s">
        <v>1815</v>
      </c>
      <c r="V185" s="185" t="s">
        <v>89</v>
      </c>
      <c r="W185" s="185" t="s">
        <v>1782</v>
      </c>
      <c r="X185" s="18"/>
      <c r="Y185" s="18"/>
      <c r="Z185" s="18"/>
      <c r="AA185" s="18"/>
      <c r="AB185" s="18"/>
      <c r="AC185" s="18"/>
    </row>
    <row r="186" spans="1:29" ht="25.5">
      <c r="A186" s="32">
        <v>55</v>
      </c>
      <c r="B186" s="181" t="s">
        <v>268</v>
      </c>
      <c r="C186" s="185" t="s">
        <v>2429</v>
      </c>
      <c r="D186" s="189" t="s">
        <v>1767</v>
      </c>
      <c r="E186" s="547"/>
      <c r="F186" s="547"/>
      <c r="G186" s="190" t="s">
        <v>2447</v>
      </c>
      <c r="H186" s="179"/>
      <c r="I186" s="179"/>
      <c r="J186" s="179" t="s">
        <v>2437</v>
      </c>
      <c r="K186" s="185"/>
      <c r="L186" s="185" t="s">
        <v>374</v>
      </c>
      <c r="M186" s="180">
        <v>46101</v>
      </c>
      <c r="N186" s="181"/>
      <c r="O186" s="181">
        <v>9.6895530000000001</v>
      </c>
      <c r="P186" s="181">
        <v>125.480261</v>
      </c>
      <c r="Q186" s="182" t="s">
        <v>1813</v>
      </c>
      <c r="R186" s="183" t="s">
        <v>1814</v>
      </c>
      <c r="S186" s="547"/>
      <c r="T186" s="547"/>
      <c r="U186" s="181" t="s">
        <v>1815</v>
      </c>
      <c r="V186" s="185" t="s">
        <v>89</v>
      </c>
      <c r="W186" s="185" t="s">
        <v>1782</v>
      </c>
      <c r="X186" s="18"/>
      <c r="Y186" s="18"/>
      <c r="Z186" s="18"/>
      <c r="AA186" s="18"/>
      <c r="AB186" s="18"/>
      <c r="AC186" s="18"/>
    </row>
    <row r="187" spans="1:29" ht="25.5">
      <c r="A187" s="32">
        <v>56</v>
      </c>
      <c r="B187" s="181" t="s">
        <v>268</v>
      </c>
      <c r="C187" s="185" t="s">
        <v>1487</v>
      </c>
      <c r="D187" s="189" t="s">
        <v>1767</v>
      </c>
      <c r="E187" s="545" t="s">
        <v>1488</v>
      </c>
      <c r="F187" s="545" t="s">
        <v>1810</v>
      </c>
      <c r="G187" s="190" t="s">
        <v>2452</v>
      </c>
      <c r="H187" s="179"/>
      <c r="I187" s="179"/>
      <c r="J187" s="179" t="s">
        <v>2454</v>
      </c>
      <c r="K187" s="185"/>
      <c r="L187" s="185" t="s">
        <v>207</v>
      </c>
      <c r="M187" s="180">
        <v>46101</v>
      </c>
      <c r="N187" s="181"/>
      <c r="O187" s="181">
        <v>9.8504450000000006</v>
      </c>
      <c r="P187" s="181">
        <v>125.59026299999999</v>
      </c>
      <c r="Q187" s="182" t="s">
        <v>1813</v>
      </c>
      <c r="R187" s="183" t="s">
        <v>1814</v>
      </c>
      <c r="S187" s="545" t="b">
        <v>0</v>
      </c>
      <c r="T187" s="545" t="b">
        <v>0</v>
      </c>
      <c r="U187" s="181" t="s">
        <v>1815</v>
      </c>
      <c r="V187" s="184" t="s">
        <v>199</v>
      </c>
      <c r="W187" s="185" t="s">
        <v>1782</v>
      </c>
      <c r="X187" s="18"/>
      <c r="Y187" s="18"/>
      <c r="Z187" s="18"/>
      <c r="AA187" s="18"/>
      <c r="AB187" s="18"/>
      <c r="AC187" s="18"/>
    </row>
    <row r="188" spans="1:29" ht="25.5">
      <c r="A188" s="32">
        <v>57</v>
      </c>
      <c r="B188" s="181" t="s">
        <v>268</v>
      </c>
      <c r="C188" s="185" t="s">
        <v>1487</v>
      </c>
      <c r="D188" s="189" t="s">
        <v>1767</v>
      </c>
      <c r="E188" s="546"/>
      <c r="F188" s="546"/>
      <c r="G188" s="190" t="s">
        <v>2458</v>
      </c>
      <c r="H188" s="179"/>
      <c r="I188" s="179"/>
      <c r="J188" s="179" t="s">
        <v>2454</v>
      </c>
      <c r="K188" s="185"/>
      <c r="L188" s="185" t="s">
        <v>207</v>
      </c>
      <c r="M188" s="180">
        <v>46101</v>
      </c>
      <c r="N188" s="181"/>
      <c r="O188" s="181">
        <v>9.8504450000000006</v>
      </c>
      <c r="P188" s="181">
        <v>125.59026299999999</v>
      </c>
      <c r="Q188" s="182" t="s">
        <v>1813</v>
      </c>
      <c r="R188" s="183" t="s">
        <v>1814</v>
      </c>
      <c r="S188" s="546"/>
      <c r="T188" s="546"/>
      <c r="U188" s="181" t="s">
        <v>1815</v>
      </c>
      <c r="V188" s="184" t="s">
        <v>199</v>
      </c>
      <c r="W188" s="185" t="s">
        <v>1782</v>
      </c>
      <c r="X188" s="18"/>
      <c r="Y188" s="18"/>
      <c r="Z188" s="18"/>
      <c r="AA188" s="18"/>
      <c r="AB188" s="18"/>
      <c r="AC188" s="18"/>
    </row>
    <row r="189" spans="1:29" ht="25.5">
      <c r="A189" s="32">
        <v>58</v>
      </c>
      <c r="B189" s="181" t="s">
        <v>268</v>
      </c>
      <c r="C189" s="185" t="s">
        <v>1487</v>
      </c>
      <c r="D189" s="189" t="s">
        <v>1767</v>
      </c>
      <c r="E189" s="547"/>
      <c r="F189" s="547"/>
      <c r="G189" s="190" t="s">
        <v>2461</v>
      </c>
      <c r="H189" s="179"/>
      <c r="I189" s="179"/>
      <c r="J189" s="179" t="s">
        <v>2454</v>
      </c>
      <c r="K189" s="185"/>
      <c r="L189" s="185" t="s">
        <v>207</v>
      </c>
      <c r="M189" s="180">
        <v>46101</v>
      </c>
      <c r="N189" s="181"/>
      <c r="O189" s="181">
        <v>9.8504450000000006</v>
      </c>
      <c r="P189" s="181">
        <v>125.59026299999999</v>
      </c>
      <c r="Q189" s="182" t="s">
        <v>1813</v>
      </c>
      <c r="R189" s="183" t="s">
        <v>1814</v>
      </c>
      <c r="S189" s="547"/>
      <c r="T189" s="547"/>
      <c r="U189" s="181" t="s">
        <v>1815</v>
      </c>
      <c r="V189" s="184" t="s">
        <v>199</v>
      </c>
      <c r="W189" s="185" t="s">
        <v>1782</v>
      </c>
      <c r="X189" s="18"/>
      <c r="Y189" s="18"/>
      <c r="Z189" s="18"/>
      <c r="AA189" s="18"/>
      <c r="AB189" s="18"/>
      <c r="AC189" s="18"/>
    </row>
    <row r="190" spans="1:29" ht="25.5">
      <c r="A190" s="32">
        <v>59</v>
      </c>
      <c r="B190" s="181" t="s">
        <v>268</v>
      </c>
      <c r="C190" s="185" t="s">
        <v>2463</v>
      </c>
      <c r="D190" s="189" t="s">
        <v>1767</v>
      </c>
      <c r="E190" s="545" t="s">
        <v>2464</v>
      </c>
      <c r="F190" s="545" t="s">
        <v>1810</v>
      </c>
      <c r="G190" s="190" t="s">
        <v>2466</v>
      </c>
      <c r="H190" s="179"/>
      <c r="I190" s="179"/>
      <c r="J190" s="179" t="s">
        <v>2467</v>
      </c>
      <c r="K190" s="185"/>
      <c r="L190" s="185" t="s">
        <v>374</v>
      </c>
      <c r="M190" s="180">
        <v>46101</v>
      </c>
      <c r="N190" s="181"/>
      <c r="O190" s="181">
        <v>9.9185003710000004</v>
      </c>
      <c r="P190" s="181">
        <v>125.51456109999999</v>
      </c>
      <c r="Q190" s="182" t="s">
        <v>1813</v>
      </c>
      <c r="R190" s="183" t="s">
        <v>1814</v>
      </c>
      <c r="S190" s="545" t="b">
        <v>0</v>
      </c>
      <c r="T190" s="545" t="b">
        <v>0</v>
      </c>
      <c r="U190" s="181" t="s">
        <v>1815</v>
      </c>
      <c r="V190" s="184" t="s">
        <v>89</v>
      </c>
      <c r="W190" s="185" t="s">
        <v>1782</v>
      </c>
      <c r="X190" s="18"/>
      <c r="Y190" s="18"/>
      <c r="Z190" s="18"/>
      <c r="AA190" s="18"/>
      <c r="AB190" s="18"/>
      <c r="AC190" s="18"/>
    </row>
    <row r="191" spans="1:29" ht="25.5">
      <c r="A191" s="32">
        <v>60</v>
      </c>
      <c r="B191" s="181" t="s">
        <v>268</v>
      </c>
      <c r="C191" s="185" t="s">
        <v>2463</v>
      </c>
      <c r="D191" s="189" t="s">
        <v>1767</v>
      </c>
      <c r="E191" s="546"/>
      <c r="F191" s="546"/>
      <c r="G191" s="190" t="s">
        <v>2471</v>
      </c>
      <c r="H191" s="179"/>
      <c r="I191" s="179"/>
      <c r="J191" s="179" t="s">
        <v>2467</v>
      </c>
      <c r="K191" s="185"/>
      <c r="L191" s="185" t="s">
        <v>374</v>
      </c>
      <c r="M191" s="180">
        <v>46101</v>
      </c>
      <c r="N191" s="181"/>
      <c r="O191" s="181">
        <v>9.9185003710000004</v>
      </c>
      <c r="P191" s="181">
        <v>125.51456109999999</v>
      </c>
      <c r="Q191" s="182" t="s">
        <v>1813</v>
      </c>
      <c r="R191" s="183" t="s">
        <v>1814</v>
      </c>
      <c r="S191" s="546"/>
      <c r="T191" s="546"/>
      <c r="U191" s="181" t="s">
        <v>1815</v>
      </c>
      <c r="V191" s="184" t="s">
        <v>89</v>
      </c>
      <c r="W191" s="185" t="s">
        <v>1782</v>
      </c>
      <c r="X191" s="18"/>
      <c r="Y191" s="18"/>
      <c r="Z191" s="18"/>
      <c r="AA191" s="18"/>
      <c r="AB191" s="18"/>
      <c r="AC191" s="18"/>
    </row>
    <row r="192" spans="1:29" ht="25.5">
      <c r="A192" s="32">
        <v>61</v>
      </c>
      <c r="B192" s="181" t="s">
        <v>268</v>
      </c>
      <c r="C192" s="185" t="s">
        <v>2463</v>
      </c>
      <c r="D192" s="189" t="s">
        <v>1767</v>
      </c>
      <c r="E192" s="547"/>
      <c r="F192" s="547"/>
      <c r="G192" s="190" t="s">
        <v>2477</v>
      </c>
      <c r="H192" s="179"/>
      <c r="I192" s="179"/>
      <c r="J192" s="179" t="s">
        <v>2467</v>
      </c>
      <c r="K192" s="185"/>
      <c r="L192" s="185" t="s">
        <v>374</v>
      </c>
      <c r="M192" s="180">
        <v>46101</v>
      </c>
      <c r="N192" s="181"/>
      <c r="O192" s="181">
        <v>9.9185003710000004</v>
      </c>
      <c r="P192" s="181">
        <v>125.51456109999999</v>
      </c>
      <c r="Q192" s="182" t="s">
        <v>1813</v>
      </c>
      <c r="R192" s="183" t="s">
        <v>1814</v>
      </c>
      <c r="S192" s="547"/>
      <c r="T192" s="547"/>
      <c r="U192" s="181" t="s">
        <v>1815</v>
      </c>
      <c r="V192" s="184" t="s">
        <v>89</v>
      </c>
      <c r="W192" s="185" t="s">
        <v>1782</v>
      </c>
      <c r="X192" s="18"/>
      <c r="Y192" s="18"/>
      <c r="Z192" s="18"/>
      <c r="AA192" s="18"/>
      <c r="AB192" s="18"/>
      <c r="AC192" s="18"/>
    </row>
    <row r="193" spans="1:29" ht="25.5">
      <c r="A193" s="32">
        <v>62</v>
      </c>
      <c r="B193" s="181" t="s">
        <v>268</v>
      </c>
      <c r="C193" s="185" t="s">
        <v>2482</v>
      </c>
      <c r="D193" s="189" t="s">
        <v>1767</v>
      </c>
      <c r="E193" s="545" t="s">
        <v>2483</v>
      </c>
      <c r="F193" s="545" t="s">
        <v>1810</v>
      </c>
      <c r="G193" s="190" t="s">
        <v>2485</v>
      </c>
      <c r="H193" s="179"/>
      <c r="I193" s="179"/>
      <c r="J193" s="179" t="s">
        <v>2486</v>
      </c>
      <c r="K193" s="185"/>
      <c r="L193" s="185" t="s">
        <v>207</v>
      </c>
      <c r="M193" s="180">
        <v>46101</v>
      </c>
      <c r="N193" s="181"/>
      <c r="O193" s="181">
        <v>9.8725439999999995</v>
      </c>
      <c r="P193" s="181">
        <v>125.53383100000001</v>
      </c>
      <c r="Q193" s="182" t="s">
        <v>1813</v>
      </c>
      <c r="R193" s="183" t="s">
        <v>1814</v>
      </c>
      <c r="S193" s="545" t="b">
        <v>0</v>
      </c>
      <c r="T193" s="545" t="b">
        <v>0</v>
      </c>
      <c r="U193" s="181" t="s">
        <v>1815</v>
      </c>
      <c r="V193" s="184" t="s">
        <v>89</v>
      </c>
      <c r="W193" s="185" t="s">
        <v>1782</v>
      </c>
      <c r="X193" s="18"/>
      <c r="Y193" s="18"/>
      <c r="Z193" s="18"/>
      <c r="AA193" s="18"/>
      <c r="AB193" s="18"/>
      <c r="AC193" s="18"/>
    </row>
    <row r="194" spans="1:29" ht="25.5">
      <c r="A194" s="32">
        <v>63</v>
      </c>
      <c r="B194" s="181" t="s">
        <v>268</v>
      </c>
      <c r="C194" s="185" t="s">
        <v>2482</v>
      </c>
      <c r="D194" s="189" t="s">
        <v>1767</v>
      </c>
      <c r="E194" s="546"/>
      <c r="F194" s="546"/>
      <c r="G194" s="190" t="s">
        <v>2492</v>
      </c>
      <c r="H194" s="179"/>
      <c r="I194" s="179"/>
      <c r="J194" s="179" t="s">
        <v>2486</v>
      </c>
      <c r="K194" s="185"/>
      <c r="L194" s="185" t="s">
        <v>207</v>
      </c>
      <c r="M194" s="180">
        <v>46101</v>
      </c>
      <c r="N194" s="181"/>
      <c r="O194" s="181">
        <v>9.8725439999999995</v>
      </c>
      <c r="P194" s="181">
        <v>125.53383100000001</v>
      </c>
      <c r="Q194" s="182" t="s">
        <v>1813</v>
      </c>
      <c r="R194" s="183" t="s">
        <v>1814</v>
      </c>
      <c r="S194" s="546"/>
      <c r="T194" s="546"/>
      <c r="U194" s="181" t="s">
        <v>1815</v>
      </c>
      <c r="V194" s="184" t="s">
        <v>89</v>
      </c>
      <c r="W194" s="185" t="s">
        <v>1782</v>
      </c>
      <c r="X194" s="18"/>
      <c r="Y194" s="18"/>
      <c r="Z194" s="18"/>
      <c r="AA194" s="18"/>
      <c r="AB194" s="18"/>
      <c r="AC194" s="18"/>
    </row>
    <row r="195" spans="1:29" ht="25.5">
      <c r="A195" s="32">
        <v>64</v>
      </c>
      <c r="B195" s="181" t="s">
        <v>268</v>
      </c>
      <c r="C195" s="185" t="s">
        <v>2482</v>
      </c>
      <c r="D195" s="189" t="s">
        <v>1767</v>
      </c>
      <c r="E195" s="547"/>
      <c r="F195" s="547"/>
      <c r="G195" s="190" t="s">
        <v>2496</v>
      </c>
      <c r="H195" s="179"/>
      <c r="I195" s="179"/>
      <c r="J195" s="179" t="s">
        <v>2486</v>
      </c>
      <c r="K195" s="185"/>
      <c r="L195" s="185" t="s">
        <v>207</v>
      </c>
      <c r="M195" s="180">
        <v>46101</v>
      </c>
      <c r="N195" s="181"/>
      <c r="O195" s="181">
        <v>9.8725439999999995</v>
      </c>
      <c r="P195" s="181">
        <v>125.53383100000001</v>
      </c>
      <c r="Q195" s="182" t="s">
        <v>1813</v>
      </c>
      <c r="R195" s="183" t="s">
        <v>1814</v>
      </c>
      <c r="S195" s="547"/>
      <c r="T195" s="547"/>
      <c r="U195" s="181" t="s">
        <v>1815</v>
      </c>
      <c r="V195" s="184" t="s">
        <v>89</v>
      </c>
      <c r="W195" s="185" t="s">
        <v>1782</v>
      </c>
      <c r="X195" s="18"/>
      <c r="Y195" s="18"/>
      <c r="Z195" s="18"/>
      <c r="AA195" s="18"/>
      <c r="AB195" s="18"/>
      <c r="AC195" s="18"/>
    </row>
    <row r="196" spans="1:29" ht="25.5">
      <c r="A196" s="32">
        <v>65</v>
      </c>
      <c r="B196" s="185" t="s">
        <v>268</v>
      </c>
      <c r="C196" s="185" t="s">
        <v>40</v>
      </c>
      <c r="D196" s="189" t="s">
        <v>1767</v>
      </c>
      <c r="E196" s="548" t="s">
        <v>1437</v>
      </c>
      <c r="F196" s="548" t="s">
        <v>1810</v>
      </c>
      <c r="G196" s="213" t="s">
        <v>1437</v>
      </c>
      <c r="H196" s="179"/>
      <c r="I196" s="179"/>
      <c r="J196" s="179" t="s">
        <v>2500</v>
      </c>
      <c r="K196" s="185"/>
      <c r="L196" s="185" t="s">
        <v>553</v>
      </c>
      <c r="M196" s="180">
        <v>46127</v>
      </c>
      <c r="N196" s="185"/>
      <c r="O196" s="185">
        <v>9.7844300000000004</v>
      </c>
      <c r="P196" s="185">
        <v>125.49003</v>
      </c>
      <c r="Q196" s="182" t="s">
        <v>1813</v>
      </c>
      <c r="R196" s="183" t="s">
        <v>1814</v>
      </c>
      <c r="S196" s="548" t="b">
        <v>0</v>
      </c>
      <c r="T196" s="548" t="b">
        <v>0</v>
      </c>
      <c r="U196" s="181" t="s">
        <v>1695</v>
      </c>
      <c r="V196" s="185" t="s">
        <v>89</v>
      </c>
      <c r="W196" s="185" t="s">
        <v>1782</v>
      </c>
      <c r="X196" s="18"/>
      <c r="Y196" s="18"/>
      <c r="Z196" s="18"/>
      <c r="AA196" s="18"/>
      <c r="AB196" s="522" t="s">
        <v>2503</v>
      </c>
      <c r="AC196" s="571" t="s">
        <v>2504</v>
      </c>
    </row>
    <row r="197" spans="1:29" ht="25.5">
      <c r="A197" s="32">
        <v>66</v>
      </c>
      <c r="B197" s="185" t="s">
        <v>268</v>
      </c>
      <c r="C197" s="185" t="s">
        <v>40</v>
      </c>
      <c r="D197" s="189" t="s">
        <v>1767</v>
      </c>
      <c r="E197" s="553"/>
      <c r="F197" s="553"/>
      <c r="G197" s="213" t="s">
        <v>1437</v>
      </c>
      <c r="H197" s="179"/>
      <c r="I197" s="179"/>
      <c r="J197" s="179" t="s">
        <v>2500</v>
      </c>
      <c r="K197" s="185"/>
      <c r="L197" s="185" t="s">
        <v>553</v>
      </c>
      <c r="M197" s="180">
        <v>46127</v>
      </c>
      <c r="N197" s="185"/>
      <c r="O197" s="185">
        <v>9.7844300000000004</v>
      </c>
      <c r="P197" s="185">
        <v>125.49003</v>
      </c>
      <c r="Q197" s="182" t="s">
        <v>1813</v>
      </c>
      <c r="R197" s="183" t="s">
        <v>1814</v>
      </c>
      <c r="S197" s="553"/>
      <c r="T197" s="553"/>
      <c r="U197" s="181" t="s">
        <v>1695</v>
      </c>
      <c r="V197" s="185" t="s">
        <v>89</v>
      </c>
      <c r="W197" s="185" t="s">
        <v>1782</v>
      </c>
      <c r="X197" s="18"/>
      <c r="Y197" s="18"/>
      <c r="Z197" s="18"/>
      <c r="AA197" s="18"/>
      <c r="AB197" s="511"/>
      <c r="AC197" s="511"/>
    </row>
    <row r="198" spans="1:29" ht="25.5">
      <c r="A198" s="32">
        <v>67</v>
      </c>
      <c r="B198" s="185" t="s">
        <v>268</v>
      </c>
      <c r="C198" s="185" t="s">
        <v>40</v>
      </c>
      <c r="D198" s="189" t="s">
        <v>1767</v>
      </c>
      <c r="E198" s="549"/>
      <c r="F198" s="549"/>
      <c r="G198" s="213" t="s">
        <v>1437</v>
      </c>
      <c r="H198" s="179"/>
      <c r="I198" s="179"/>
      <c r="J198" s="179" t="s">
        <v>2500</v>
      </c>
      <c r="K198" s="185"/>
      <c r="L198" s="185" t="s">
        <v>553</v>
      </c>
      <c r="M198" s="180">
        <v>46127</v>
      </c>
      <c r="N198" s="185"/>
      <c r="O198" s="185">
        <v>9.7844300000000004</v>
      </c>
      <c r="P198" s="185">
        <v>125.49003</v>
      </c>
      <c r="Q198" s="182" t="s">
        <v>1813</v>
      </c>
      <c r="R198" s="183" t="s">
        <v>1814</v>
      </c>
      <c r="S198" s="549"/>
      <c r="T198" s="549"/>
      <c r="U198" s="181" t="s">
        <v>1695</v>
      </c>
      <c r="V198" s="185" t="s">
        <v>89</v>
      </c>
      <c r="W198" s="185" t="s">
        <v>1782</v>
      </c>
      <c r="X198" s="18"/>
      <c r="Y198" s="18"/>
      <c r="Z198" s="18"/>
      <c r="AA198" s="18"/>
      <c r="AB198" s="512"/>
      <c r="AC198" s="512"/>
    </row>
    <row r="199" spans="1:29" ht="25.5">
      <c r="A199" s="32">
        <v>68</v>
      </c>
      <c r="B199" s="185" t="s">
        <v>268</v>
      </c>
      <c r="C199" s="185" t="s">
        <v>40</v>
      </c>
      <c r="D199" s="189" t="s">
        <v>1767</v>
      </c>
      <c r="E199" s="548" t="s">
        <v>2510</v>
      </c>
      <c r="F199" s="548" t="s">
        <v>1768</v>
      </c>
      <c r="G199" s="213" t="s">
        <v>2510</v>
      </c>
      <c r="H199" s="194"/>
      <c r="I199" s="194"/>
      <c r="J199" s="194"/>
      <c r="K199" s="185"/>
      <c r="L199" s="185" t="s">
        <v>2515</v>
      </c>
      <c r="M199" s="195"/>
      <c r="N199" s="185"/>
      <c r="O199" s="185">
        <v>9.7807399999999998</v>
      </c>
      <c r="P199" s="185">
        <v>125.48948</v>
      </c>
      <c r="Q199" s="182" t="s">
        <v>1775</v>
      </c>
      <c r="R199" s="183" t="s">
        <v>1776</v>
      </c>
      <c r="S199" s="548" t="b">
        <v>0</v>
      </c>
      <c r="T199" s="548" t="b">
        <v>0</v>
      </c>
      <c r="U199" s="181" t="s">
        <v>1940</v>
      </c>
      <c r="V199" s="184" t="s">
        <v>89</v>
      </c>
      <c r="W199" s="185" t="s">
        <v>1782</v>
      </c>
      <c r="X199" s="18"/>
      <c r="Y199" s="18"/>
      <c r="Z199" s="18"/>
      <c r="AA199" s="18"/>
      <c r="AB199" s="18"/>
      <c r="AC199" s="18"/>
    </row>
    <row r="200" spans="1:29" ht="25.5">
      <c r="A200" s="32">
        <v>69</v>
      </c>
      <c r="B200" s="185" t="s">
        <v>268</v>
      </c>
      <c r="C200" s="185" t="s">
        <v>40</v>
      </c>
      <c r="D200" s="189" t="s">
        <v>1767</v>
      </c>
      <c r="E200" s="549"/>
      <c r="F200" s="549"/>
      <c r="G200" s="213" t="s">
        <v>2510</v>
      </c>
      <c r="H200" s="194"/>
      <c r="I200" s="194"/>
      <c r="J200" s="194"/>
      <c r="K200" s="185"/>
      <c r="L200" s="185" t="s">
        <v>2515</v>
      </c>
      <c r="M200" s="195"/>
      <c r="N200" s="185"/>
      <c r="O200" s="185">
        <v>9.7807399999999998</v>
      </c>
      <c r="P200" s="185">
        <v>125.48948</v>
      </c>
      <c r="Q200" s="182" t="s">
        <v>1775</v>
      </c>
      <c r="R200" s="183" t="s">
        <v>1776</v>
      </c>
      <c r="S200" s="549"/>
      <c r="T200" s="549"/>
      <c r="U200" s="181" t="s">
        <v>1940</v>
      </c>
      <c r="V200" s="184" t="s">
        <v>89</v>
      </c>
      <c r="W200" s="185" t="s">
        <v>1782</v>
      </c>
      <c r="X200" s="18"/>
      <c r="Y200" s="18"/>
      <c r="Z200" s="18"/>
      <c r="AA200" s="18"/>
      <c r="AB200" s="18"/>
      <c r="AC200" s="18"/>
    </row>
    <row r="201" spans="1:29" ht="25.5">
      <c r="A201" s="32">
        <v>70</v>
      </c>
      <c r="B201" s="185" t="s">
        <v>268</v>
      </c>
      <c r="C201" s="185" t="s">
        <v>35</v>
      </c>
      <c r="D201" s="189" t="s">
        <v>1767</v>
      </c>
      <c r="E201" s="548" t="s">
        <v>2523</v>
      </c>
      <c r="F201" s="548" t="s">
        <v>1768</v>
      </c>
      <c r="G201" s="213" t="s">
        <v>2523</v>
      </c>
      <c r="H201" s="194"/>
      <c r="I201" s="194"/>
      <c r="J201" s="194"/>
      <c r="K201" s="185"/>
      <c r="L201" s="185" t="s">
        <v>622</v>
      </c>
      <c r="M201" s="195"/>
      <c r="N201" s="185"/>
      <c r="O201" s="185">
        <v>9.7872800000000009</v>
      </c>
      <c r="P201" s="185">
        <v>125.49442999999999</v>
      </c>
      <c r="Q201" s="182" t="s">
        <v>1775</v>
      </c>
      <c r="R201" s="183" t="s">
        <v>1776</v>
      </c>
      <c r="S201" s="548" t="b">
        <v>0</v>
      </c>
      <c r="T201" s="548" t="b">
        <v>0</v>
      </c>
      <c r="U201" s="181" t="s">
        <v>1940</v>
      </c>
      <c r="V201" s="184" t="s">
        <v>89</v>
      </c>
      <c r="W201" s="185" t="s">
        <v>1782</v>
      </c>
      <c r="X201" s="18"/>
      <c r="Y201" s="18"/>
      <c r="Z201" s="18"/>
      <c r="AA201" s="18"/>
      <c r="AB201" s="18"/>
      <c r="AC201" s="18"/>
    </row>
    <row r="202" spans="1:29" ht="25.5">
      <c r="A202" s="32">
        <v>71</v>
      </c>
      <c r="B202" s="185" t="s">
        <v>268</v>
      </c>
      <c r="C202" s="185" t="s">
        <v>35</v>
      </c>
      <c r="D202" s="189" t="s">
        <v>1767</v>
      </c>
      <c r="E202" s="549"/>
      <c r="F202" s="549"/>
      <c r="G202" s="213" t="s">
        <v>2523</v>
      </c>
      <c r="H202" s="194"/>
      <c r="I202" s="194"/>
      <c r="J202" s="194"/>
      <c r="K202" s="185"/>
      <c r="L202" s="185" t="s">
        <v>622</v>
      </c>
      <c r="M202" s="195"/>
      <c r="N202" s="185"/>
      <c r="O202" s="185">
        <v>9.7872800000000009</v>
      </c>
      <c r="P202" s="185">
        <v>125.49442999999999</v>
      </c>
      <c r="Q202" s="182" t="s">
        <v>1775</v>
      </c>
      <c r="R202" s="183" t="s">
        <v>1776</v>
      </c>
      <c r="S202" s="549"/>
      <c r="T202" s="549"/>
      <c r="U202" s="181" t="s">
        <v>1940</v>
      </c>
      <c r="V202" s="184" t="s">
        <v>89</v>
      </c>
      <c r="W202" s="185" t="s">
        <v>1782</v>
      </c>
      <c r="X202" s="18"/>
      <c r="Y202" s="18"/>
      <c r="Z202" s="18"/>
      <c r="AA202" s="18"/>
      <c r="AB202" s="18"/>
      <c r="AC202" s="18"/>
    </row>
    <row r="203" spans="1:29" ht="25.5">
      <c r="A203" s="32">
        <v>72</v>
      </c>
      <c r="B203" s="185" t="s">
        <v>268</v>
      </c>
      <c r="C203" s="185" t="s">
        <v>35</v>
      </c>
      <c r="D203" s="189" t="s">
        <v>1767</v>
      </c>
      <c r="E203" s="548" t="s">
        <v>2535</v>
      </c>
      <c r="F203" s="548" t="s">
        <v>1768</v>
      </c>
      <c r="G203" s="213" t="s">
        <v>2535</v>
      </c>
      <c r="H203" s="194"/>
      <c r="I203" s="194"/>
      <c r="J203" s="194"/>
      <c r="K203" s="185"/>
      <c r="L203" s="185" t="s">
        <v>622</v>
      </c>
      <c r="M203" s="195"/>
      <c r="N203" s="185"/>
      <c r="O203" s="185">
        <v>9.7872800000000009</v>
      </c>
      <c r="P203" s="185">
        <v>125.49442999999999</v>
      </c>
      <c r="Q203" s="182" t="s">
        <v>1775</v>
      </c>
      <c r="R203" s="183" t="s">
        <v>1776</v>
      </c>
      <c r="S203" s="548" t="b">
        <v>0</v>
      </c>
      <c r="T203" s="548" t="b">
        <v>0</v>
      </c>
      <c r="U203" s="181" t="s">
        <v>1940</v>
      </c>
      <c r="V203" s="184" t="s">
        <v>89</v>
      </c>
      <c r="W203" s="185" t="s">
        <v>1782</v>
      </c>
      <c r="X203" s="18"/>
      <c r="Y203" s="18"/>
      <c r="Z203" s="18"/>
      <c r="AA203" s="18"/>
      <c r="AB203" s="18"/>
      <c r="AC203" s="18"/>
    </row>
    <row r="204" spans="1:29" ht="36.75" customHeight="1">
      <c r="A204" s="32">
        <v>73</v>
      </c>
      <c r="B204" s="185" t="s">
        <v>268</v>
      </c>
      <c r="C204" s="185" t="s">
        <v>35</v>
      </c>
      <c r="D204" s="189" t="s">
        <v>1767</v>
      </c>
      <c r="E204" s="549"/>
      <c r="F204" s="549"/>
      <c r="G204" s="213" t="s">
        <v>2535</v>
      </c>
      <c r="H204" s="194"/>
      <c r="I204" s="194"/>
      <c r="J204" s="194"/>
      <c r="K204" s="185"/>
      <c r="L204" s="185" t="s">
        <v>622</v>
      </c>
      <c r="M204" s="195"/>
      <c r="N204" s="185"/>
      <c r="O204" s="185">
        <v>9.7872800000000009</v>
      </c>
      <c r="P204" s="185">
        <v>125.49442999999999</v>
      </c>
      <c r="Q204" s="182" t="s">
        <v>1775</v>
      </c>
      <c r="R204" s="183" t="s">
        <v>1776</v>
      </c>
      <c r="S204" s="549"/>
      <c r="T204" s="549"/>
      <c r="U204" s="181" t="s">
        <v>1940</v>
      </c>
      <c r="V204" s="184" t="s">
        <v>89</v>
      </c>
      <c r="W204" s="185" t="s">
        <v>1782</v>
      </c>
      <c r="X204" s="18"/>
      <c r="Y204" s="18"/>
      <c r="Z204" s="18"/>
      <c r="AA204" s="18"/>
      <c r="AB204" s="18"/>
      <c r="AC204" s="18"/>
    </row>
    <row r="205" spans="1:29" ht="25.5">
      <c r="A205" s="591">
        <v>74</v>
      </c>
      <c r="B205" s="548" t="s">
        <v>268</v>
      </c>
      <c r="C205" s="548" t="s">
        <v>29</v>
      </c>
      <c r="D205" s="594" t="s">
        <v>1767</v>
      </c>
      <c r="E205" s="548" t="s">
        <v>440</v>
      </c>
      <c r="F205" s="548" t="s">
        <v>1768</v>
      </c>
      <c r="G205" s="213" t="s">
        <v>440</v>
      </c>
      <c r="H205" s="194"/>
      <c r="I205" s="194"/>
      <c r="J205" s="194"/>
      <c r="K205" s="185"/>
      <c r="L205" s="185" t="s">
        <v>207</v>
      </c>
      <c r="M205" s="195"/>
      <c r="N205" s="185"/>
      <c r="O205" s="185">
        <v>9.7884410000000006</v>
      </c>
      <c r="P205" s="185">
        <v>125.479866</v>
      </c>
      <c r="Q205" s="182" t="s">
        <v>1775</v>
      </c>
      <c r="R205" s="183" t="s">
        <v>1776</v>
      </c>
      <c r="S205" s="548" t="b">
        <v>0</v>
      </c>
      <c r="T205" s="548" t="b">
        <v>0</v>
      </c>
      <c r="U205" s="545" t="s">
        <v>1940</v>
      </c>
      <c r="V205" s="184" t="s">
        <v>89</v>
      </c>
      <c r="W205" s="185" t="s">
        <v>1782</v>
      </c>
      <c r="X205" s="18"/>
      <c r="Y205" s="18"/>
      <c r="Z205" s="18"/>
      <c r="AA205" s="18"/>
      <c r="AB205" s="522" t="s">
        <v>2552</v>
      </c>
      <c r="AC205" s="522">
        <v>9094649224</v>
      </c>
    </row>
    <row r="206" spans="1:29" ht="25.5" hidden="1">
      <c r="A206" s="592"/>
      <c r="B206" s="553"/>
      <c r="C206" s="553"/>
      <c r="D206" s="595"/>
      <c r="E206" s="553"/>
      <c r="F206" s="553"/>
      <c r="G206" s="213" t="s">
        <v>440</v>
      </c>
      <c r="H206" s="194"/>
      <c r="I206" s="194"/>
      <c r="J206" s="194"/>
      <c r="K206" s="185"/>
      <c r="L206" s="185" t="s">
        <v>207</v>
      </c>
      <c r="M206" s="195"/>
      <c r="N206" s="185"/>
      <c r="O206" s="185">
        <v>9.7884410000000006</v>
      </c>
      <c r="P206" s="185">
        <v>125.479866</v>
      </c>
      <c r="Q206" s="182" t="s">
        <v>1775</v>
      </c>
      <c r="R206" s="183" t="s">
        <v>1776</v>
      </c>
      <c r="S206" s="549"/>
      <c r="T206" s="549"/>
      <c r="U206" s="511"/>
      <c r="V206" s="184" t="s">
        <v>89</v>
      </c>
      <c r="W206" s="185" t="s">
        <v>1782</v>
      </c>
      <c r="X206" s="18"/>
      <c r="Y206" s="18"/>
      <c r="Z206" s="18"/>
      <c r="AA206" s="18"/>
      <c r="AB206" s="512"/>
      <c r="AC206" s="512"/>
    </row>
    <row r="207" spans="1:29" ht="25.5">
      <c r="A207" s="592"/>
      <c r="B207" s="553"/>
      <c r="C207" s="553"/>
      <c r="D207" s="595"/>
      <c r="E207" s="553"/>
      <c r="F207" s="553"/>
      <c r="G207" s="249" t="s">
        <v>30</v>
      </c>
      <c r="H207" s="194"/>
      <c r="I207" s="179" t="s">
        <v>2557</v>
      </c>
      <c r="J207" s="194"/>
      <c r="K207" s="185"/>
      <c r="L207" s="185" t="s">
        <v>207</v>
      </c>
      <c r="M207" s="195"/>
      <c r="N207" s="185"/>
      <c r="O207" s="185"/>
      <c r="P207" s="185"/>
      <c r="Q207" s="182"/>
      <c r="R207" s="183"/>
      <c r="S207" s="185" t="b">
        <v>0</v>
      </c>
      <c r="T207" s="185" t="b">
        <v>0</v>
      </c>
      <c r="U207" s="511"/>
      <c r="V207" s="184"/>
      <c r="W207" s="185"/>
      <c r="X207" s="18"/>
      <c r="Y207" s="18"/>
      <c r="Z207" s="18"/>
      <c r="AA207" s="18"/>
      <c r="AB207" s="23"/>
      <c r="AC207" s="23"/>
    </row>
    <row r="208" spans="1:29" ht="25.5">
      <c r="A208" s="593"/>
      <c r="B208" s="549"/>
      <c r="C208" s="549"/>
      <c r="D208" s="596"/>
      <c r="E208" s="549"/>
      <c r="F208" s="549"/>
      <c r="G208" s="249" t="s">
        <v>32</v>
      </c>
      <c r="H208" s="194"/>
      <c r="I208" s="179" t="s">
        <v>2557</v>
      </c>
      <c r="J208" s="194"/>
      <c r="K208" s="185"/>
      <c r="L208" s="185" t="s">
        <v>207</v>
      </c>
      <c r="M208" s="195"/>
      <c r="N208" s="185"/>
      <c r="O208" s="185"/>
      <c r="P208" s="185"/>
      <c r="Q208" s="182"/>
      <c r="R208" s="183"/>
      <c r="S208" s="185" t="b">
        <v>0</v>
      </c>
      <c r="T208" s="185" t="b">
        <v>0</v>
      </c>
      <c r="U208" s="512"/>
      <c r="V208" s="184"/>
      <c r="W208" s="185"/>
      <c r="X208" s="18"/>
      <c r="Y208" s="18"/>
      <c r="Z208" s="18"/>
      <c r="AA208" s="18"/>
      <c r="AB208" s="23"/>
      <c r="AC208" s="23"/>
    </row>
    <row r="209" spans="1:29" ht="25.5">
      <c r="A209" s="32">
        <v>76</v>
      </c>
      <c r="B209" s="185" t="s">
        <v>268</v>
      </c>
      <c r="C209" s="185" t="s">
        <v>2561</v>
      </c>
      <c r="D209" s="189" t="s">
        <v>1767</v>
      </c>
      <c r="E209" s="548" t="s">
        <v>1674</v>
      </c>
      <c r="F209" s="548" t="s">
        <v>1768</v>
      </c>
      <c r="G209" s="209" t="s">
        <v>2563</v>
      </c>
      <c r="H209" s="194"/>
      <c r="I209" s="194"/>
      <c r="J209" s="194"/>
      <c r="K209" s="185"/>
      <c r="L209" s="185" t="s">
        <v>207</v>
      </c>
      <c r="M209" s="195"/>
      <c r="N209" s="185"/>
      <c r="O209" s="185">
        <v>9.7188389999999991</v>
      </c>
      <c r="P209" s="185">
        <v>125.47833300000001</v>
      </c>
      <c r="Q209" s="182" t="s">
        <v>1775</v>
      </c>
      <c r="R209" s="183" t="s">
        <v>1776</v>
      </c>
      <c r="S209" s="548" t="b">
        <v>0</v>
      </c>
      <c r="T209" s="548" t="b">
        <v>0</v>
      </c>
      <c r="U209" s="181" t="s">
        <v>1940</v>
      </c>
      <c r="V209" s="184" t="s">
        <v>89</v>
      </c>
      <c r="W209" s="185" t="s">
        <v>1782</v>
      </c>
      <c r="X209" s="18"/>
      <c r="Y209" s="18"/>
      <c r="Z209" s="18"/>
      <c r="AA209" s="18"/>
      <c r="AB209" s="522" t="s">
        <v>2568</v>
      </c>
      <c r="AC209" s="522" t="s">
        <v>2569</v>
      </c>
    </row>
    <row r="210" spans="1:29" ht="25.5">
      <c r="A210" s="32">
        <v>77</v>
      </c>
      <c r="B210" s="185" t="s">
        <v>268</v>
      </c>
      <c r="C210" s="185" t="s">
        <v>2561</v>
      </c>
      <c r="D210" s="189" t="s">
        <v>1767</v>
      </c>
      <c r="E210" s="549"/>
      <c r="F210" s="549"/>
      <c r="G210" s="209" t="s">
        <v>2571</v>
      </c>
      <c r="H210" s="194"/>
      <c r="I210" s="194"/>
      <c r="J210" s="194"/>
      <c r="K210" s="185"/>
      <c r="L210" s="185" t="s">
        <v>207</v>
      </c>
      <c r="M210" s="195"/>
      <c r="N210" s="185"/>
      <c r="O210" s="185">
        <v>9.7188389999999991</v>
      </c>
      <c r="P210" s="185">
        <v>125.47833300000001</v>
      </c>
      <c r="Q210" s="182" t="s">
        <v>1775</v>
      </c>
      <c r="R210" s="183" t="s">
        <v>1776</v>
      </c>
      <c r="S210" s="549"/>
      <c r="T210" s="549"/>
      <c r="U210" s="181" t="s">
        <v>1940</v>
      </c>
      <c r="V210" s="184" t="s">
        <v>89</v>
      </c>
      <c r="W210" s="185" t="s">
        <v>1782</v>
      </c>
      <c r="X210" s="18"/>
      <c r="Y210" s="18"/>
      <c r="Z210" s="18"/>
      <c r="AA210" s="18"/>
      <c r="AB210" s="512"/>
      <c r="AC210" s="512"/>
    </row>
    <row r="211" spans="1:29" ht="25.5">
      <c r="A211" s="32">
        <v>1</v>
      </c>
      <c r="B211" s="176" t="s">
        <v>291</v>
      </c>
      <c r="C211" s="176" t="s">
        <v>411</v>
      </c>
      <c r="D211" s="177" t="s">
        <v>1767</v>
      </c>
      <c r="E211" s="545" t="s">
        <v>2090</v>
      </c>
      <c r="F211" s="545" t="s">
        <v>1768</v>
      </c>
      <c r="G211" s="178" t="s">
        <v>280</v>
      </c>
      <c r="H211" s="179"/>
      <c r="I211" s="179"/>
      <c r="J211" s="179" t="s">
        <v>862</v>
      </c>
      <c r="K211" s="176"/>
      <c r="L211" s="176" t="s">
        <v>65</v>
      </c>
      <c r="M211" s="180">
        <v>45259</v>
      </c>
      <c r="N211" s="181"/>
      <c r="O211" s="181">
        <v>9.6979403959999999</v>
      </c>
      <c r="P211" s="181">
        <v>125.58390199999999</v>
      </c>
      <c r="Q211" s="182" t="s">
        <v>1775</v>
      </c>
      <c r="R211" s="183" t="s">
        <v>1776</v>
      </c>
      <c r="S211" s="545" t="b">
        <v>0</v>
      </c>
      <c r="T211" s="545" t="b">
        <v>0</v>
      </c>
      <c r="U211" s="181" t="s">
        <v>22</v>
      </c>
      <c r="V211" s="185" t="s">
        <v>89</v>
      </c>
      <c r="W211" s="185" t="s">
        <v>1782</v>
      </c>
      <c r="X211" s="18"/>
      <c r="Y211" s="18"/>
      <c r="Z211" s="18"/>
      <c r="AA211" s="18"/>
      <c r="AB211" s="525" t="s">
        <v>2582</v>
      </c>
      <c r="AC211" s="522" t="s">
        <v>2583</v>
      </c>
    </row>
    <row r="212" spans="1:29" ht="25.5">
      <c r="A212" s="32">
        <v>2</v>
      </c>
      <c r="B212" s="176" t="s">
        <v>291</v>
      </c>
      <c r="C212" s="176" t="s">
        <v>411</v>
      </c>
      <c r="D212" s="177" t="s">
        <v>1767</v>
      </c>
      <c r="E212" s="546"/>
      <c r="F212" s="546"/>
      <c r="G212" s="178" t="s">
        <v>298</v>
      </c>
      <c r="H212" s="179"/>
      <c r="I212" s="179"/>
      <c r="J212" s="179" t="s">
        <v>867</v>
      </c>
      <c r="K212" s="176"/>
      <c r="L212" s="176" t="s">
        <v>65</v>
      </c>
      <c r="M212" s="180">
        <v>45259</v>
      </c>
      <c r="N212" s="181"/>
      <c r="O212" s="181">
        <v>9.6979403959999999</v>
      </c>
      <c r="P212" s="181">
        <v>125.58390199999999</v>
      </c>
      <c r="Q212" s="182" t="s">
        <v>1775</v>
      </c>
      <c r="R212" s="183" t="s">
        <v>1776</v>
      </c>
      <c r="S212" s="546"/>
      <c r="T212" s="546"/>
      <c r="U212" s="181" t="s">
        <v>22</v>
      </c>
      <c r="V212" s="185" t="s">
        <v>89</v>
      </c>
      <c r="W212" s="185" t="s">
        <v>1782</v>
      </c>
      <c r="X212" s="18"/>
      <c r="Y212" s="18"/>
      <c r="Z212" s="18"/>
      <c r="AA212" s="18"/>
      <c r="AB212" s="511"/>
      <c r="AC212" s="511"/>
    </row>
    <row r="213" spans="1:29" ht="25.5">
      <c r="A213" s="32">
        <v>3</v>
      </c>
      <c r="B213" s="176" t="s">
        <v>291</v>
      </c>
      <c r="C213" s="176" t="s">
        <v>411</v>
      </c>
      <c r="D213" s="177" t="s">
        <v>1767</v>
      </c>
      <c r="E213" s="547"/>
      <c r="F213" s="547"/>
      <c r="G213" s="178" t="s">
        <v>302</v>
      </c>
      <c r="H213" s="179"/>
      <c r="I213" s="179"/>
      <c r="J213" s="179" t="s">
        <v>871</v>
      </c>
      <c r="K213" s="176"/>
      <c r="L213" s="176" t="s">
        <v>65</v>
      </c>
      <c r="M213" s="180">
        <v>45259</v>
      </c>
      <c r="N213" s="181"/>
      <c r="O213" s="181">
        <v>9.6979403959999999</v>
      </c>
      <c r="P213" s="181">
        <v>125.58390199999999</v>
      </c>
      <c r="Q213" s="182" t="s">
        <v>1775</v>
      </c>
      <c r="R213" s="183" t="s">
        <v>1776</v>
      </c>
      <c r="S213" s="547"/>
      <c r="T213" s="547"/>
      <c r="U213" s="181" t="s">
        <v>22</v>
      </c>
      <c r="V213" s="185" t="s">
        <v>89</v>
      </c>
      <c r="W213" s="185" t="s">
        <v>1782</v>
      </c>
      <c r="X213" s="18"/>
      <c r="Y213" s="18"/>
      <c r="Z213" s="18"/>
      <c r="AA213" s="18"/>
      <c r="AB213" s="511"/>
      <c r="AC213" s="511"/>
    </row>
    <row r="214" spans="1:29" ht="38.25">
      <c r="A214" s="32">
        <v>4</v>
      </c>
      <c r="B214" s="176" t="s">
        <v>291</v>
      </c>
      <c r="C214" s="176" t="s">
        <v>411</v>
      </c>
      <c r="D214" s="177" t="s">
        <v>1767</v>
      </c>
      <c r="E214" s="176" t="s">
        <v>305</v>
      </c>
      <c r="F214" s="176" t="s">
        <v>1768</v>
      </c>
      <c r="G214" s="178" t="s">
        <v>305</v>
      </c>
      <c r="H214" s="179"/>
      <c r="I214" s="179" t="s">
        <v>1769</v>
      </c>
      <c r="J214" s="179" t="s">
        <v>876</v>
      </c>
      <c r="K214" s="176"/>
      <c r="L214" s="176" t="s">
        <v>31</v>
      </c>
      <c r="M214" s="180">
        <v>45259</v>
      </c>
      <c r="N214" s="181"/>
      <c r="O214" s="181">
        <v>9.6971539999999994</v>
      </c>
      <c r="P214" s="181">
        <v>125.58359</v>
      </c>
      <c r="Q214" s="182" t="s">
        <v>1775</v>
      </c>
      <c r="R214" s="183" t="s">
        <v>1776</v>
      </c>
      <c r="S214" s="176" t="b">
        <v>0</v>
      </c>
      <c r="T214" s="176" t="b">
        <v>0</v>
      </c>
      <c r="U214" s="181" t="s">
        <v>22</v>
      </c>
      <c r="V214" s="184" t="s">
        <v>89</v>
      </c>
      <c r="W214" s="185" t="s">
        <v>1782</v>
      </c>
      <c r="X214" s="18"/>
      <c r="Y214" s="18"/>
      <c r="Z214" s="18"/>
      <c r="AA214" s="18"/>
      <c r="AB214" s="511"/>
      <c r="AC214" s="511"/>
    </row>
    <row r="215" spans="1:29" ht="25.5">
      <c r="A215" s="32">
        <v>5</v>
      </c>
      <c r="B215" s="176" t="s">
        <v>291</v>
      </c>
      <c r="C215" s="176" t="s">
        <v>411</v>
      </c>
      <c r="D215" s="177" t="s">
        <v>1767</v>
      </c>
      <c r="E215" s="176" t="s">
        <v>312</v>
      </c>
      <c r="F215" s="176" t="s">
        <v>1768</v>
      </c>
      <c r="G215" s="178" t="s">
        <v>312</v>
      </c>
      <c r="H215" s="179"/>
      <c r="I215" s="179" t="s">
        <v>1769</v>
      </c>
      <c r="J215" s="179" t="s">
        <v>883</v>
      </c>
      <c r="K215" s="176"/>
      <c r="L215" s="176" t="s">
        <v>103</v>
      </c>
      <c r="M215" s="180">
        <v>45259</v>
      </c>
      <c r="N215" s="181"/>
      <c r="O215" s="181">
        <v>9.6976480200000008</v>
      </c>
      <c r="P215" s="181">
        <v>125.583485</v>
      </c>
      <c r="Q215" s="182" t="s">
        <v>1775</v>
      </c>
      <c r="R215" s="183" t="s">
        <v>1776</v>
      </c>
      <c r="S215" s="176" t="b">
        <v>0</v>
      </c>
      <c r="T215" s="176" t="b">
        <v>0</v>
      </c>
      <c r="U215" s="181" t="s">
        <v>22</v>
      </c>
      <c r="V215" s="185" t="s">
        <v>89</v>
      </c>
      <c r="W215" s="185" t="s">
        <v>1782</v>
      </c>
      <c r="X215" s="18"/>
      <c r="Y215" s="18"/>
      <c r="Z215" s="18"/>
      <c r="AA215" s="18"/>
      <c r="AB215" s="511"/>
      <c r="AC215" s="511"/>
    </row>
    <row r="216" spans="1:29" ht="25.5">
      <c r="A216" s="32">
        <v>6</v>
      </c>
      <c r="B216" s="176" t="s">
        <v>291</v>
      </c>
      <c r="C216" s="176" t="s">
        <v>411</v>
      </c>
      <c r="D216" s="177" t="s">
        <v>1767</v>
      </c>
      <c r="E216" s="176" t="s">
        <v>315</v>
      </c>
      <c r="F216" s="176" t="s">
        <v>1768</v>
      </c>
      <c r="G216" s="178" t="s">
        <v>315</v>
      </c>
      <c r="H216" s="179"/>
      <c r="I216" s="179"/>
      <c r="J216" s="179" t="s">
        <v>890</v>
      </c>
      <c r="K216" s="176"/>
      <c r="L216" s="176" t="s">
        <v>155</v>
      </c>
      <c r="M216" s="180">
        <v>45259</v>
      </c>
      <c r="N216" s="181"/>
      <c r="O216" s="181">
        <v>9.6991980959999999</v>
      </c>
      <c r="P216" s="181">
        <v>125.585379</v>
      </c>
      <c r="Q216" s="182" t="s">
        <v>1775</v>
      </c>
      <c r="R216" s="183" t="s">
        <v>1776</v>
      </c>
      <c r="S216" s="176" t="b">
        <v>0</v>
      </c>
      <c r="T216" s="176" t="b">
        <v>0</v>
      </c>
      <c r="U216" s="181" t="s">
        <v>22</v>
      </c>
      <c r="V216" s="185" t="s">
        <v>89</v>
      </c>
      <c r="W216" s="185" t="s">
        <v>1782</v>
      </c>
      <c r="X216" s="18"/>
      <c r="Y216" s="18"/>
      <c r="Z216" s="18"/>
      <c r="AA216" s="18"/>
      <c r="AB216" s="512"/>
      <c r="AC216" s="512"/>
    </row>
    <row r="217" spans="1:29" ht="25.5">
      <c r="A217" s="32">
        <v>7</v>
      </c>
      <c r="B217" s="181" t="s">
        <v>2601</v>
      </c>
      <c r="C217" s="185" t="s">
        <v>2602</v>
      </c>
      <c r="D217" s="189" t="s">
        <v>1767</v>
      </c>
      <c r="E217" s="545" t="s">
        <v>2603</v>
      </c>
      <c r="F217" s="545" t="s">
        <v>1810</v>
      </c>
      <c r="G217" s="190" t="s">
        <v>2604</v>
      </c>
      <c r="H217" s="179"/>
      <c r="I217" s="179"/>
      <c r="J217" s="179" t="s">
        <v>2605</v>
      </c>
      <c r="K217" s="185"/>
      <c r="L217" s="185" t="s">
        <v>374</v>
      </c>
      <c r="M217" s="180">
        <v>46101</v>
      </c>
      <c r="N217" s="181"/>
      <c r="O217" s="181">
        <v>9.7428399999999993</v>
      </c>
      <c r="P217" s="181">
        <v>125.68101</v>
      </c>
      <c r="Q217" s="182" t="s">
        <v>1775</v>
      </c>
      <c r="R217" s="183" t="s">
        <v>1814</v>
      </c>
      <c r="S217" s="545" t="b">
        <v>0</v>
      </c>
      <c r="T217" s="545" t="b">
        <v>0</v>
      </c>
      <c r="U217" s="181" t="s">
        <v>1815</v>
      </c>
      <c r="V217" s="184" t="s">
        <v>89</v>
      </c>
      <c r="W217" s="185" t="s">
        <v>1782</v>
      </c>
      <c r="X217" s="18"/>
      <c r="Y217" s="18"/>
      <c r="Z217" s="18"/>
      <c r="AA217" s="18"/>
      <c r="AB217" s="18"/>
      <c r="AC217" s="18"/>
    </row>
    <row r="218" spans="1:29" ht="25.5">
      <c r="A218" s="32">
        <v>8</v>
      </c>
      <c r="B218" s="181" t="s">
        <v>2601</v>
      </c>
      <c r="C218" s="185" t="s">
        <v>2602</v>
      </c>
      <c r="D218" s="189" t="s">
        <v>1767</v>
      </c>
      <c r="E218" s="546"/>
      <c r="F218" s="546"/>
      <c r="G218" s="190" t="s">
        <v>2606</v>
      </c>
      <c r="H218" s="179"/>
      <c r="I218" s="179"/>
      <c r="J218" s="179" t="s">
        <v>2605</v>
      </c>
      <c r="K218" s="185"/>
      <c r="L218" s="185" t="s">
        <v>374</v>
      </c>
      <c r="M218" s="180">
        <v>46101</v>
      </c>
      <c r="N218" s="181"/>
      <c r="O218" s="181">
        <v>9.7428399999999993</v>
      </c>
      <c r="P218" s="181">
        <v>125.68101</v>
      </c>
      <c r="Q218" s="182" t="s">
        <v>1775</v>
      </c>
      <c r="R218" s="183" t="s">
        <v>1814</v>
      </c>
      <c r="S218" s="546"/>
      <c r="T218" s="546"/>
      <c r="U218" s="181" t="s">
        <v>1815</v>
      </c>
      <c r="V218" s="184" t="s">
        <v>89</v>
      </c>
      <c r="W218" s="185" t="s">
        <v>1782</v>
      </c>
      <c r="X218" s="18"/>
      <c r="Y218" s="18"/>
      <c r="Z218" s="18"/>
      <c r="AA218" s="18"/>
      <c r="AB218" s="18"/>
      <c r="AC218" s="18"/>
    </row>
    <row r="219" spans="1:29" ht="25.5">
      <c r="A219" s="32">
        <v>9</v>
      </c>
      <c r="B219" s="181" t="s">
        <v>2601</v>
      </c>
      <c r="C219" s="185" t="s">
        <v>2602</v>
      </c>
      <c r="D219" s="189" t="s">
        <v>1767</v>
      </c>
      <c r="E219" s="547"/>
      <c r="F219" s="547"/>
      <c r="G219" s="190" t="s">
        <v>2607</v>
      </c>
      <c r="H219" s="179"/>
      <c r="I219" s="179"/>
      <c r="J219" s="179" t="s">
        <v>2605</v>
      </c>
      <c r="K219" s="185"/>
      <c r="L219" s="185" t="s">
        <v>374</v>
      </c>
      <c r="M219" s="180">
        <v>46101</v>
      </c>
      <c r="N219" s="181"/>
      <c r="O219" s="181">
        <v>9.7428399999999993</v>
      </c>
      <c r="P219" s="181">
        <v>125.68101</v>
      </c>
      <c r="Q219" s="182" t="s">
        <v>1775</v>
      </c>
      <c r="R219" s="183" t="s">
        <v>1814</v>
      </c>
      <c r="S219" s="547"/>
      <c r="T219" s="547"/>
      <c r="U219" s="181" t="s">
        <v>1815</v>
      </c>
      <c r="V219" s="184" t="s">
        <v>89</v>
      </c>
      <c r="W219" s="185" t="s">
        <v>1782</v>
      </c>
      <c r="X219" s="18"/>
      <c r="Y219" s="18"/>
      <c r="Z219" s="18"/>
      <c r="AA219" s="18"/>
      <c r="AB219" s="18"/>
      <c r="AC219" s="18"/>
    </row>
    <row r="220" spans="1:29" ht="12.75">
      <c r="A220" s="32">
        <v>10</v>
      </c>
      <c r="B220" s="181" t="s">
        <v>2601</v>
      </c>
      <c r="C220" s="185" t="s">
        <v>2609</v>
      </c>
      <c r="D220" s="189" t="s">
        <v>1767</v>
      </c>
      <c r="E220" s="545" t="s">
        <v>2610</v>
      </c>
      <c r="F220" s="545" t="s">
        <v>1810</v>
      </c>
      <c r="G220" s="190" t="s">
        <v>2612</v>
      </c>
      <c r="H220" s="179"/>
      <c r="I220" s="179"/>
      <c r="J220" s="179" t="s">
        <v>2613</v>
      </c>
      <c r="K220" s="185"/>
      <c r="L220" s="185" t="s">
        <v>374</v>
      </c>
      <c r="M220" s="180">
        <v>46101</v>
      </c>
      <c r="N220" s="181"/>
      <c r="O220" s="181">
        <v>9.718458</v>
      </c>
      <c r="P220" s="181">
        <v>125.635672</v>
      </c>
      <c r="Q220" s="182" t="s">
        <v>1775</v>
      </c>
      <c r="R220" s="183" t="s">
        <v>1814</v>
      </c>
      <c r="S220" s="545" t="b">
        <v>0</v>
      </c>
      <c r="T220" s="545" t="b">
        <v>0</v>
      </c>
      <c r="U220" s="181" t="s">
        <v>1815</v>
      </c>
      <c r="V220" s="184" t="s">
        <v>89</v>
      </c>
      <c r="W220" s="185" t="s">
        <v>1782</v>
      </c>
      <c r="X220" s="18"/>
      <c r="Y220" s="18"/>
      <c r="Z220" s="18"/>
      <c r="AA220" s="18"/>
      <c r="AB220" s="18"/>
      <c r="AC220" s="18"/>
    </row>
    <row r="221" spans="1:29" ht="12.75">
      <c r="A221" s="32">
        <v>11</v>
      </c>
      <c r="B221" s="181" t="s">
        <v>2601</v>
      </c>
      <c r="C221" s="185" t="s">
        <v>2609</v>
      </c>
      <c r="D221" s="189" t="s">
        <v>1767</v>
      </c>
      <c r="E221" s="546"/>
      <c r="F221" s="546"/>
      <c r="G221" s="190" t="s">
        <v>2615</v>
      </c>
      <c r="H221" s="179"/>
      <c r="I221" s="179"/>
      <c r="J221" s="179" t="s">
        <v>2613</v>
      </c>
      <c r="K221" s="185"/>
      <c r="L221" s="185" t="s">
        <v>374</v>
      </c>
      <c r="M221" s="180">
        <v>46101</v>
      </c>
      <c r="N221" s="181"/>
      <c r="O221" s="181">
        <v>9.718458</v>
      </c>
      <c r="P221" s="181">
        <v>125.635672</v>
      </c>
      <c r="Q221" s="182" t="s">
        <v>1775</v>
      </c>
      <c r="R221" s="183" t="s">
        <v>1814</v>
      </c>
      <c r="S221" s="546"/>
      <c r="T221" s="546"/>
      <c r="U221" s="181" t="s">
        <v>1815</v>
      </c>
      <c r="V221" s="184" t="s">
        <v>89</v>
      </c>
      <c r="W221" s="185" t="s">
        <v>1782</v>
      </c>
      <c r="X221" s="18"/>
      <c r="Y221" s="18"/>
      <c r="Z221" s="18"/>
      <c r="AA221" s="18"/>
      <c r="AB221" s="18"/>
      <c r="AC221" s="18"/>
    </row>
    <row r="222" spans="1:29" ht="12.75">
      <c r="A222" s="32">
        <v>12</v>
      </c>
      <c r="B222" s="181" t="s">
        <v>2601</v>
      </c>
      <c r="C222" s="185" t="s">
        <v>2609</v>
      </c>
      <c r="D222" s="189" t="s">
        <v>1767</v>
      </c>
      <c r="E222" s="547"/>
      <c r="F222" s="547"/>
      <c r="G222" s="190" t="s">
        <v>2619</v>
      </c>
      <c r="H222" s="179"/>
      <c r="I222" s="179"/>
      <c r="J222" s="179" t="s">
        <v>2613</v>
      </c>
      <c r="K222" s="185"/>
      <c r="L222" s="185" t="s">
        <v>374</v>
      </c>
      <c r="M222" s="180">
        <v>46101</v>
      </c>
      <c r="N222" s="181"/>
      <c r="O222" s="181">
        <v>9.718458</v>
      </c>
      <c r="P222" s="181">
        <v>125.635672</v>
      </c>
      <c r="Q222" s="182" t="s">
        <v>1775</v>
      </c>
      <c r="R222" s="183" t="s">
        <v>1814</v>
      </c>
      <c r="S222" s="547"/>
      <c r="T222" s="547"/>
      <c r="U222" s="181" t="s">
        <v>1815</v>
      </c>
      <c r="V222" s="184" t="s">
        <v>199</v>
      </c>
      <c r="W222" s="185" t="s">
        <v>1782</v>
      </c>
      <c r="X222" s="18"/>
      <c r="Y222" s="18"/>
      <c r="Z222" s="18"/>
      <c r="AA222" s="18"/>
      <c r="AB222" s="18"/>
      <c r="AC222" s="18"/>
    </row>
    <row r="223" spans="1:29" ht="12.75">
      <c r="A223" s="32">
        <v>13</v>
      </c>
      <c r="B223" s="181" t="s">
        <v>2601</v>
      </c>
      <c r="C223" s="185" t="s">
        <v>2623</v>
      </c>
      <c r="D223" s="189" t="s">
        <v>1767</v>
      </c>
      <c r="E223" s="545" t="s">
        <v>2626</v>
      </c>
      <c r="F223" s="545" t="s">
        <v>1810</v>
      </c>
      <c r="G223" s="190" t="s">
        <v>2628</v>
      </c>
      <c r="H223" s="179"/>
      <c r="I223" s="179"/>
      <c r="J223" s="179" t="s">
        <v>2629</v>
      </c>
      <c r="K223" s="185"/>
      <c r="L223" s="185" t="s">
        <v>374</v>
      </c>
      <c r="M223" s="180">
        <v>46101</v>
      </c>
      <c r="N223" s="181"/>
      <c r="O223" s="181">
        <v>9.709835</v>
      </c>
      <c r="P223" s="181">
        <v>125.60124999999999</v>
      </c>
      <c r="Q223" s="182" t="s">
        <v>1775</v>
      </c>
      <c r="R223" s="183" t="s">
        <v>1814</v>
      </c>
      <c r="S223" s="545" t="b">
        <v>0</v>
      </c>
      <c r="T223" s="545" t="b">
        <v>0</v>
      </c>
      <c r="U223" s="181" t="s">
        <v>1815</v>
      </c>
      <c r="V223" s="184" t="s">
        <v>89</v>
      </c>
      <c r="W223" s="185" t="s">
        <v>1782</v>
      </c>
      <c r="X223" s="18"/>
      <c r="Y223" s="18"/>
      <c r="Z223" s="18"/>
      <c r="AA223" s="18"/>
      <c r="AB223" s="18"/>
      <c r="AC223" s="18"/>
    </row>
    <row r="224" spans="1:29" ht="12.75">
      <c r="A224" s="32">
        <v>14</v>
      </c>
      <c r="B224" s="181" t="s">
        <v>2601</v>
      </c>
      <c r="C224" s="185" t="s">
        <v>2623</v>
      </c>
      <c r="D224" s="189" t="s">
        <v>1767</v>
      </c>
      <c r="E224" s="546"/>
      <c r="F224" s="546"/>
      <c r="G224" s="190" t="s">
        <v>2636</v>
      </c>
      <c r="H224" s="179"/>
      <c r="I224" s="179"/>
      <c r="J224" s="179" t="s">
        <v>2629</v>
      </c>
      <c r="K224" s="185"/>
      <c r="L224" s="185" t="s">
        <v>374</v>
      </c>
      <c r="M224" s="180">
        <v>46101</v>
      </c>
      <c r="N224" s="181"/>
      <c r="O224" s="181">
        <v>9.709835</v>
      </c>
      <c r="P224" s="181">
        <v>125.60124999999999</v>
      </c>
      <c r="Q224" s="182" t="s">
        <v>1775</v>
      </c>
      <c r="R224" s="183" t="s">
        <v>1814</v>
      </c>
      <c r="S224" s="546"/>
      <c r="T224" s="546"/>
      <c r="U224" s="181" t="s">
        <v>1815</v>
      </c>
      <c r="V224" s="184" t="s">
        <v>89</v>
      </c>
      <c r="W224" s="185" t="s">
        <v>1782</v>
      </c>
      <c r="X224" s="18"/>
      <c r="Y224" s="18"/>
      <c r="Z224" s="18"/>
      <c r="AA224" s="18"/>
      <c r="AB224" s="18"/>
      <c r="AC224" s="18"/>
    </row>
    <row r="225" spans="1:29" ht="12.75">
      <c r="A225" s="32">
        <v>15</v>
      </c>
      <c r="B225" s="181" t="s">
        <v>2601</v>
      </c>
      <c r="C225" s="185" t="s">
        <v>2623</v>
      </c>
      <c r="D225" s="189" t="s">
        <v>1767</v>
      </c>
      <c r="E225" s="547"/>
      <c r="F225" s="547"/>
      <c r="G225" s="190" t="s">
        <v>2641</v>
      </c>
      <c r="H225" s="179"/>
      <c r="I225" s="179"/>
      <c r="J225" s="179" t="s">
        <v>2629</v>
      </c>
      <c r="K225" s="185"/>
      <c r="L225" s="185" t="s">
        <v>374</v>
      </c>
      <c r="M225" s="180">
        <v>46101</v>
      </c>
      <c r="N225" s="181"/>
      <c r="O225" s="181">
        <v>9.709835</v>
      </c>
      <c r="P225" s="181">
        <v>125.60124999999999</v>
      </c>
      <c r="Q225" s="182" t="s">
        <v>1775</v>
      </c>
      <c r="R225" s="183" t="s">
        <v>1814</v>
      </c>
      <c r="S225" s="547"/>
      <c r="T225" s="547"/>
      <c r="U225" s="181" t="s">
        <v>1815</v>
      </c>
      <c r="V225" s="184" t="s">
        <v>89</v>
      </c>
      <c r="W225" s="185" t="s">
        <v>1782</v>
      </c>
      <c r="X225" s="18"/>
      <c r="Y225" s="18"/>
      <c r="Z225" s="18"/>
      <c r="AA225" s="18"/>
      <c r="AB225" s="18"/>
      <c r="AC225" s="18"/>
    </row>
    <row r="226" spans="1:29" ht="25.5">
      <c r="A226" s="32">
        <v>16</v>
      </c>
      <c r="B226" s="181" t="s">
        <v>2601</v>
      </c>
      <c r="C226" s="185" t="s">
        <v>2602</v>
      </c>
      <c r="D226" s="189" t="s">
        <v>1767</v>
      </c>
      <c r="E226" s="545" t="s">
        <v>2646</v>
      </c>
      <c r="F226" s="545" t="s">
        <v>1810</v>
      </c>
      <c r="G226" s="190" t="s">
        <v>2649</v>
      </c>
      <c r="H226" s="179"/>
      <c r="I226" s="179"/>
      <c r="J226" s="179" t="s">
        <v>2650</v>
      </c>
      <c r="K226" s="185"/>
      <c r="L226" s="185" t="s">
        <v>374</v>
      </c>
      <c r="M226" s="180">
        <v>46101</v>
      </c>
      <c r="N226" s="181"/>
      <c r="O226" s="181">
        <v>9.4155320000000007</v>
      </c>
      <c r="P226" s="181">
        <v>126.003719</v>
      </c>
      <c r="Q226" s="182" t="s">
        <v>1775</v>
      </c>
      <c r="R226" s="183" t="s">
        <v>1814</v>
      </c>
      <c r="S226" s="545" t="b">
        <v>0</v>
      </c>
      <c r="T226" s="545" t="b">
        <v>0</v>
      </c>
      <c r="U226" s="181" t="s">
        <v>1815</v>
      </c>
      <c r="V226" s="184" t="s">
        <v>89</v>
      </c>
      <c r="W226" s="185" t="s">
        <v>1782</v>
      </c>
      <c r="X226" s="18"/>
      <c r="Y226" s="18"/>
      <c r="Z226" s="18"/>
      <c r="AA226" s="18"/>
      <c r="AB226" s="18"/>
      <c r="AC226" s="18"/>
    </row>
    <row r="227" spans="1:29" ht="25.5">
      <c r="A227" s="32">
        <v>17</v>
      </c>
      <c r="B227" s="181" t="s">
        <v>2601</v>
      </c>
      <c r="C227" s="185" t="s">
        <v>2602</v>
      </c>
      <c r="D227" s="189" t="s">
        <v>1767</v>
      </c>
      <c r="E227" s="546"/>
      <c r="F227" s="546"/>
      <c r="G227" s="190" t="s">
        <v>2653</v>
      </c>
      <c r="H227" s="179"/>
      <c r="I227" s="179"/>
      <c r="J227" s="179" t="s">
        <v>2650</v>
      </c>
      <c r="K227" s="185"/>
      <c r="L227" s="185" t="s">
        <v>374</v>
      </c>
      <c r="M227" s="180">
        <v>46101</v>
      </c>
      <c r="N227" s="181"/>
      <c r="O227" s="181">
        <v>9.4155320000000007</v>
      </c>
      <c r="P227" s="181">
        <v>126.003719</v>
      </c>
      <c r="Q227" s="182" t="s">
        <v>1775</v>
      </c>
      <c r="R227" s="183" t="s">
        <v>1814</v>
      </c>
      <c r="S227" s="546"/>
      <c r="T227" s="546"/>
      <c r="U227" s="181" t="s">
        <v>1815</v>
      </c>
      <c r="V227" s="184" t="s">
        <v>89</v>
      </c>
      <c r="W227" s="185" t="s">
        <v>1782</v>
      </c>
      <c r="X227" s="18"/>
      <c r="Y227" s="18"/>
      <c r="Z227" s="18"/>
      <c r="AA227" s="18"/>
      <c r="AB227" s="18"/>
      <c r="AC227" s="18"/>
    </row>
    <row r="228" spans="1:29" ht="25.5">
      <c r="A228" s="32">
        <v>18</v>
      </c>
      <c r="B228" s="181" t="s">
        <v>2601</v>
      </c>
      <c r="C228" s="185" t="s">
        <v>2602</v>
      </c>
      <c r="D228" s="189" t="s">
        <v>1767</v>
      </c>
      <c r="E228" s="547"/>
      <c r="F228" s="547"/>
      <c r="G228" s="190" t="s">
        <v>2656</v>
      </c>
      <c r="H228" s="179"/>
      <c r="I228" s="179"/>
      <c r="J228" s="179" t="s">
        <v>2650</v>
      </c>
      <c r="K228" s="185"/>
      <c r="L228" s="185" t="s">
        <v>374</v>
      </c>
      <c r="M228" s="180">
        <v>46101</v>
      </c>
      <c r="N228" s="181"/>
      <c r="O228" s="181">
        <v>9.4155320000000007</v>
      </c>
      <c r="P228" s="181">
        <v>126.003719</v>
      </c>
      <c r="Q228" s="182" t="s">
        <v>1775</v>
      </c>
      <c r="R228" s="183" t="s">
        <v>1814</v>
      </c>
      <c r="S228" s="547"/>
      <c r="T228" s="547"/>
      <c r="U228" s="181" t="s">
        <v>1815</v>
      </c>
      <c r="V228" s="184" t="s">
        <v>89</v>
      </c>
      <c r="W228" s="185" t="s">
        <v>1782</v>
      </c>
      <c r="X228" s="18"/>
      <c r="Y228" s="18"/>
      <c r="Z228" s="18"/>
      <c r="AA228" s="18"/>
      <c r="AB228" s="18"/>
      <c r="AC228" s="18"/>
    </row>
    <row r="229" spans="1:29" ht="25.5">
      <c r="A229" s="32">
        <v>19</v>
      </c>
      <c r="B229" s="181" t="s">
        <v>2601</v>
      </c>
      <c r="C229" s="185" t="s">
        <v>2623</v>
      </c>
      <c r="D229" s="189" t="s">
        <v>1767</v>
      </c>
      <c r="E229" s="545" t="s">
        <v>2657</v>
      </c>
      <c r="F229" s="545" t="s">
        <v>1810</v>
      </c>
      <c r="G229" s="190" t="s">
        <v>2659</v>
      </c>
      <c r="H229" s="179"/>
      <c r="I229" s="179"/>
      <c r="J229" s="179" t="s">
        <v>2660</v>
      </c>
      <c r="K229" s="185"/>
      <c r="L229" s="185" t="s">
        <v>374</v>
      </c>
      <c r="M229" s="180">
        <v>46101</v>
      </c>
      <c r="N229" s="181"/>
      <c r="O229" s="181">
        <v>9.7189260900000001</v>
      </c>
      <c r="P229" s="181">
        <v>125.6079781</v>
      </c>
      <c r="Q229" s="182" t="s">
        <v>1775</v>
      </c>
      <c r="R229" s="183" t="s">
        <v>1814</v>
      </c>
      <c r="S229" s="545" t="b">
        <v>0</v>
      </c>
      <c r="T229" s="545" t="b">
        <v>0</v>
      </c>
      <c r="U229" s="181" t="s">
        <v>1815</v>
      </c>
      <c r="V229" s="184" t="s">
        <v>89</v>
      </c>
      <c r="W229" s="185" t="s">
        <v>1782</v>
      </c>
      <c r="X229" s="18"/>
      <c r="Y229" s="18"/>
      <c r="Z229" s="18"/>
      <c r="AA229" s="18"/>
      <c r="AB229" s="18"/>
      <c r="AC229" s="18"/>
    </row>
    <row r="230" spans="1:29" ht="25.5">
      <c r="A230" s="32">
        <v>20</v>
      </c>
      <c r="B230" s="181" t="s">
        <v>2601</v>
      </c>
      <c r="C230" s="185" t="s">
        <v>2623</v>
      </c>
      <c r="D230" s="189" t="s">
        <v>1767</v>
      </c>
      <c r="E230" s="546"/>
      <c r="F230" s="546"/>
      <c r="G230" s="190" t="s">
        <v>2664</v>
      </c>
      <c r="H230" s="179"/>
      <c r="I230" s="179"/>
      <c r="J230" s="179" t="s">
        <v>2660</v>
      </c>
      <c r="K230" s="185"/>
      <c r="L230" s="185" t="s">
        <v>374</v>
      </c>
      <c r="M230" s="180">
        <v>46101</v>
      </c>
      <c r="N230" s="181"/>
      <c r="O230" s="181">
        <v>9.7189260900000001</v>
      </c>
      <c r="P230" s="181">
        <v>125.6079781</v>
      </c>
      <c r="Q230" s="182" t="s">
        <v>1775</v>
      </c>
      <c r="R230" s="183" t="s">
        <v>1814</v>
      </c>
      <c r="S230" s="546"/>
      <c r="T230" s="546"/>
      <c r="U230" s="181" t="s">
        <v>1815</v>
      </c>
      <c r="V230" s="184" t="s">
        <v>89</v>
      </c>
      <c r="W230" s="185" t="s">
        <v>1782</v>
      </c>
      <c r="X230" s="18"/>
      <c r="Y230" s="18"/>
      <c r="Z230" s="18"/>
      <c r="AA230" s="18"/>
      <c r="AB230" s="18"/>
      <c r="AC230" s="18"/>
    </row>
    <row r="231" spans="1:29" ht="25.5">
      <c r="A231" s="32">
        <v>21</v>
      </c>
      <c r="B231" s="181" t="s">
        <v>2601</v>
      </c>
      <c r="C231" s="185" t="s">
        <v>2623</v>
      </c>
      <c r="D231" s="189" t="s">
        <v>1767</v>
      </c>
      <c r="E231" s="547"/>
      <c r="F231" s="547"/>
      <c r="G231" s="190" t="s">
        <v>2666</v>
      </c>
      <c r="H231" s="179"/>
      <c r="I231" s="179"/>
      <c r="J231" s="179" t="s">
        <v>2660</v>
      </c>
      <c r="K231" s="185"/>
      <c r="L231" s="185" t="s">
        <v>374</v>
      </c>
      <c r="M231" s="180">
        <v>46101</v>
      </c>
      <c r="N231" s="181"/>
      <c r="O231" s="181">
        <v>9.7189260900000001</v>
      </c>
      <c r="P231" s="181">
        <v>125.6079781</v>
      </c>
      <c r="Q231" s="182" t="s">
        <v>1775</v>
      </c>
      <c r="R231" s="183" t="s">
        <v>1814</v>
      </c>
      <c r="S231" s="547"/>
      <c r="T231" s="547"/>
      <c r="U231" s="181" t="s">
        <v>1815</v>
      </c>
      <c r="V231" s="184" t="s">
        <v>89</v>
      </c>
      <c r="W231" s="185" t="s">
        <v>1782</v>
      </c>
      <c r="X231" s="18"/>
      <c r="Y231" s="18"/>
      <c r="Z231" s="18"/>
      <c r="AA231" s="18"/>
      <c r="AB231" s="18"/>
      <c r="AC231" s="18"/>
    </row>
    <row r="232" spans="1:29" ht="25.5">
      <c r="A232" s="32">
        <v>22</v>
      </c>
      <c r="B232" s="181" t="s">
        <v>2601</v>
      </c>
      <c r="C232" s="185" t="s">
        <v>2669</v>
      </c>
      <c r="D232" s="189" t="s">
        <v>1767</v>
      </c>
      <c r="E232" s="545" t="s">
        <v>2671</v>
      </c>
      <c r="F232" s="545" t="s">
        <v>1810</v>
      </c>
      <c r="G232" s="190" t="s">
        <v>2672</v>
      </c>
      <c r="H232" s="179"/>
      <c r="I232" s="179"/>
      <c r="J232" s="179" t="s">
        <v>2673</v>
      </c>
      <c r="K232" s="185"/>
      <c r="L232" s="185" t="s">
        <v>207</v>
      </c>
      <c r="M232" s="180">
        <v>46101</v>
      </c>
      <c r="N232" s="181"/>
      <c r="O232" s="181">
        <v>9.7214600000000004</v>
      </c>
      <c r="P232" s="181">
        <v>125.661987</v>
      </c>
      <c r="Q232" s="182" t="s">
        <v>1775</v>
      </c>
      <c r="R232" s="183" t="s">
        <v>1814</v>
      </c>
      <c r="S232" s="545" t="b">
        <v>0</v>
      </c>
      <c r="T232" s="545" t="b">
        <v>0</v>
      </c>
      <c r="U232" s="181" t="s">
        <v>1815</v>
      </c>
      <c r="V232" s="184" t="s">
        <v>89</v>
      </c>
      <c r="W232" s="185" t="s">
        <v>1782</v>
      </c>
      <c r="X232" s="18"/>
      <c r="Y232" s="18"/>
      <c r="Z232" s="18"/>
      <c r="AA232" s="18"/>
      <c r="AB232" s="18"/>
      <c r="AC232" s="18"/>
    </row>
    <row r="233" spans="1:29" ht="25.5">
      <c r="A233" s="32">
        <v>23</v>
      </c>
      <c r="B233" s="181" t="s">
        <v>2601</v>
      </c>
      <c r="C233" s="185" t="s">
        <v>2669</v>
      </c>
      <c r="D233" s="189" t="s">
        <v>1767</v>
      </c>
      <c r="E233" s="546"/>
      <c r="F233" s="546"/>
      <c r="G233" s="190" t="s">
        <v>2677</v>
      </c>
      <c r="H233" s="179"/>
      <c r="I233" s="179"/>
      <c r="J233" s="179" t="s">
        <v>2673</v>
      </c>
      <c r="K233" s="185"/>
      <c r="L233" s="185" t="s">
        <v>207</v>
      </c>
      <c r="M233" s="180">
        <v>46101</v>
      </c>
      <c r="N233" s="181"/>
      <c r="O233" s="181">
        <v>9.7214600000000004</v>
      </c>
      <c r="P233" s="181">
        <v>125.661987</v>
      </c>
      <c r="Q233" s="182" t="s">
        <v>1775</v>
      </c>
      <c r="R233" s="183" t="s">
        <v>1814</v>
      </c>
      <c r="S233" s="546"/>
      <c r="T233" s="546"/>
      <c r="U233" s="181" t="s">
        <v>1815</v>
      </c>
      <c r="V233" s="184" t="s">
        <v>89</v>
      </c>
      <c r="W233" s="185" t="s">
        <v>1782</v>
      </c>
      <c r="X233" s="18"/>
      <c r="Y233" s="18"/>
      <c r="Z233" s="18"/>
      <c r="AA233" s="18"/>
      <c r="AB233" s="18"/>
      <c r="AC233" s="18"/>
    </row>
    <row r="234" spans="1:29" ht="25.5">
      <c r="A234" s="32">
        <v>24</v>
      </c>
      <c r="B234" s="181" t="s">
        <v>2601</v>
      </c>
      <c r="C234" s="185" t="s">
        <v>2669</v>
      </c>
      <c r="D234" s="189" t="s">
        <v>1767</v>
      </c>
      <c r="E234" s="547"/>
      <c r="F234" s="547"/>
      <c r="G234" s="190" t="s">
        <v>2679</v>
      </c>
      <c r="H234" s="179"/>
      <c r="I234" s="179"/>
      <c r="J234" s="179" t="s">
        <v>2673</v>
      </c>
      <c r="K234" s="185"/>
      <c r="L234" s="185" t="s">
        <v>207</v>
      </c>
      <c r="M234" s="180">
        <v>46101</v>
      </c>
      <c r="N234" s="181"/>
      <c r="O234" s="181">
        <v>9.7214600000000004</v>
      </c>
      <c r="P234" s="181">
        <v>125.661987</v>
      </c>
      <c r="Q234" s="182" t="s">
        <v>1775</v>
      </c>
      <c r="R234" s="183" t="s">
        <v>1814</v>
      </c>
      <c r="S234" s="547"/>
      <c r="T234" s="547"/>
      <c r="U234" s="181" t="s">
        <v>1815</v>
      </c>
      <c r="V234" s="184" t="s">
        <v>89</v>
      </c>
      <c r="W234" s="185" t="s">
        <v>1782</v>
      </c>
      <c r="X234" s="18"/>
      <c r="Y234" s="18"/>
      <c r="Z234" s="18"/>
      <c r="AA234" s="18"/>
      <c r="AB234" s="18"/>
      <c r="AC234" s="18"/>
    </row>
    <row r="235" spans="1:29" ht="12.75">
      <c r="A235" s="32">
        <v>1</v>
      </c>
      <c r="B235" s="176" t="s">
        <v>325</v>
      </c>
      <c r="C235" s="176" t="s">
        <v>415</v>
      </c>
      <c r="D235" s="177" t="s">
        <v>1767</v>
      </c>
      <c r="E235" s="545" t="s">
        <v>613</v>
      </c>
      <c r="F235" s="545" t="s">
        <v>1768</v>
      </c>
      <c r="G235" s="178" t="s">
        <v>319</v>
      </c>
      <c r="H235" s="179"/>
      <c r="I235" s="179"/>
      <c r="J235" s="179" t="s">
        <v>897</v>
      </c>
      <c r="K235" s="176"/>
      <c r="L235" s="176" t="s">
        <v>65</v>
      </c>
      <c r="M235" s="180">
        <v>45240</v>
      </c>
      <c r="N235" s="181"/>
      <c r="O235" s="181">
        <v>9.5538950000000007</v>
      </c>
      <c r="P235" s="181">
        <v>125.56960599999999</v>
      </c>
      <c r="Q235" s="182" t="s">
        <v>1775</v>
      </c>
      <c r="R235" s="183" t="s">
        <v>1776</v>
      </c>
      <c r="S235" s="545" t="b">
        <v>0</v>
      </c>
      <c r="T235" s="545" t="b">
        <v>0</v>
      </c>
      <c r="U235" s="181" t="s">
        <v>22</v>
      </c>
      <c r="V235" s="185" t="s">
        <v>89</v>
      </c>
      <c r="W235" s="185" t="s">
        <v>1782</v>
      </c>
      <c r="X235" s="18"/>
      <c r="Y235" s="18"/>
      <c r="Z235" s="18"/>
      <c r="AA235" s="18"/>
      <c r="AB235" s="522" t="s">
        <v>2681</v>
      </c>
      <c r="AC235" s="522" t="s">
        <v>2682</v>
      </c>
    </row>
    <row r="236" spans="1:29" ht="12.75">
      <c r="A236" s="32">
        <v>2</v>
      </c>
      <c r="B236" s="176" t="s">
        <v>325</v>
      </c>
      <c r="C236" s="176" t="s">
        <v>415</v>
      </c>
      <c r="D236" s="177" t="s">
        <v>1767</v>
      </c>
      <c r="E236" s="547"/>
      <c r="F236" s="547"/>
      <c r="G236" s="178" t="s">
        <v>328</v>
      </c>
      <c r="H236" s="179"/>
      <c r="I236" s="179"/>
      <c r="J236" s="179" t="s">
        <v>913</v>
      </c>
      <c r="K236" s="176"/>
      <c r="L236" s="176" t="s">
        <v>65</v>
      </c>
      <c r="M236" s="180">
        <v>45240</v>
      </c>
      <c r="N236" s="181"/>
      <c r="O236" s="181">
        <v>9.5538950000000007</v>
      </c>
      <c r="P236" s="181">
        <v>125.56960599999999</v>
      </c>
      <c r="Q236" s="182" t="s">
        <v>1775</v>
      </c>
      <c r="R236" s="183" t="s">
        <v>1776</v>
      </c>
      <c r="S236" s="547"/>
      <c r="T236" s="547"/>
      <c r="U236" s="181" t="s">
        <v>22</v>
      </c>
      <c r="V236" s="185" t="s">
        <v>89</v>
      </c>
      <c r="W236" s="185" t="s">
        <v>1782</v>
      </c>
      <c r="X236" s="18"/>
      <c r="Y236" s="18"/>
      <c r="Z236" s="18"/>
      <c r="AA236" s="18"/>
      <c r="AB236" s="512"/>
      <c r="AC236" s="512"/>
    </row>
    <row r="237" spans="1:29" ht="24.75" customHeight="1">
      <c r="A237" s="32">
        <v>3</v>
      </c>
      <c r="B237" s="176" t="s">
        <v>325</v>
      </c>
      <c r="C237" s="176" t="s">
        <v>415</v>
      </c>
      <c r="D237" s="177" t="s">
        <v>1767</v>
      </c>
      <c r="E237" s="181" t="s">
        <v>2095</v>
      </c>
      <c r="F237" s="181" t="s">
        <v>1768</v>
      </c>
      <c r="G237" s="190" t="s">
        <v>332</v>
      </c>
      <c r="H237" s="179"/>
      <c r="I237" s="179"/>
      <c r="J237" s="179" t="s">
        <v>906</v>
      </c>
      <c r="K237" s="181"/>
      <c r="L237" s="181" t="s">
        <v>207</v>
      </c>
      <c r="M237" s="180">
        <v>45240</v>
      </c>
      <c r="N237" s="181"/>
      <c r="O237" s="181">
        <v>9.556343</v>
      </c>
      <c r="P237" s="181">
        <v>125.570353</v>
      </c>
      <c r="Q237" s="182" t="s">
        <v>1775</v>
      </c>
      <c r="R237" s="183" t="s">
        <v>1776</v>
      </c>
      <c r="S237" s="181" t="b">
        <v>0</v>
      </c>
      <c r="T237" s="181" t="b">
        <v>0</v>
      </c>
      <c r="U237" s="181" t="s">
        <v>22</v>
      </c>
      <c r="V237" s="185" t="s">
        <v>89</v>
      </c>
      <c r="W237" s="185" t="s">
        <v>1782</v>
      </c>
      <c r="X237" s="18"/>
      <c r="Y237" s="18"/>
      <c r="Z237" s="18"/>
      <c r="AA237" s="18"/>
      <c r="AB237" s="96" t="s">
        <v>2688</v>
      </c>
      <c r="AC237" s="23">
        <v>9857792395</v>
      </c>
    </row>
    <row r="238" spans="1:29" ht="26.25" customHeight="1">
      <c r="A238" s="32">
        <v>4</v>
      </c>
      <c r="B238" s="176" t="s">
        <v>325</v>
      </c>
      <c r="C238" s="176" t="s">
        <v>415</v>
      </c>
      <c r="D238" s="177" t="s">
        <v>1767</v>
      </c>
      <c r="E238" s="181" t="s">
        <v>2096</v>
      </c>
      <c r="F238" s="181" t="s">
        <v>1768</v>
      </c>
      <c r="G238" s="178" t="s">
        <v>336</v>
      </c>
      <c r="H238" s="13"/>
      <c r="I238" s="13"/>
      <c r="J238" s="13" t="s">
        <v>916</v>
      </c>
      <c r="K238" s="176"/>
      <c r="L238" s="176" t="s">
        <v>155</v>
      </c>
      <c r="M238" s="180">
        <v>45258</v>
      </c>
      <c r="N238" s="181"/>
      <c r="O238" s="181">
        <v>9.5539050000000003</v>
      </c>
      <c r="P238" s="181">
        <v>125.567421</v>
      </c>
      <c r="Q238" s="182" t="s">
        <v>1775</v>
      </c>
      <c r="R238" s="183" t="s">
        <v>1776</v>
      </c>
      <c r="S238" s="181" t="b">
        <v>0</v>
      </c>
      <c r="T238" s="181" t="b">
        <v>0</v>
      </c>
      <c r="U238" s="181" t="s">
        <v>22</v>
      </c>
      <c r="V238" s="184" t="s">
        <v>89</v>
      </c>
      <c r="W238" s="185" t="s">
        <v>1782</v>
      </c>
      <c r="X238" s="18"/>
      <c r="Y238" s="18"/>
      <c r="Z238" s="18"/>
      <c r="AA238" s="18"/>
      <c r="AB238" s="96"/>
      <c r="AC238" s="18"/>
    </row>
    <row r="239" spans="1:29" ht="27" customHeight="1">
      <c r="A239" s="32">
        <v>5</v>
      </c>
      <c r="B239" s="176" t="s">
        <v>325</v>
      </c>
      <c r="C239" s="176" t="s">
        <v>415</v>
      </c>
      <c r="D239" s="177" t="s">
        <v>1767</v>
      </c>
      <c r="E239" s="176" t="s">
        <v>340</v>
      </c>
      <c r="F239" s="176" t="s">
        <v>1768</v>
      </c>
      <c r="G239" s="178" t="s">
        <v>340</v>
      </c>
      <c r="H239" s="179"/>
      <c r="I239" s="179"/>
      <c r="J239" s="179" t="s">
        <v>920</v>
      </c>
      <c r="K239" s="176"/>
      <c r="L239" s="176" t="s">
        <v>31</v>
      </c>
      <c r="M239" s="180">
        <v>45258</v>
      </c>
      <c r="N239" s="181"/>
      <c r="O239" s="181">
        <v>9.553910514</v>
      </c>
      <c r="P239" s="181">
        <v>125.569897</v>
      </c>
      <c r="Q239" s="182" t="s">
        <v>1775</v>
      </c>
      <c r="R239" s="183" t="s">
        <v>1776</v>
      </c>
      <c r="S239" s="176" t="b">
        <v>0</v>
      </c>
      <c r="T239" s="176" t="b">
        <v>0</v>
      </c>
      <c r="U239" s="181" t="s">
        <v>22</v>
      </c>
      <c r="V239" s="184" t="s">
        <v>89</v>
      </c>
      <c r="W239" s="185" t="s">
        <v>1782</v>
      </c>
      <c r="X239" s="18"/>
      <c r="Y239" s="18"/>
      <c r="Z239" s="18"/>
      <c r="AA239" s="18"/>
      <c r="AB239" s="96"/>
      <c r="AC239" s="18"/>
    </row>
    <row r="240" spans="1:29" ht="25.5" customHeight="1">
      <c r="A240" s="32">
        <v>6</v>
      </c>
      <c r="B240" s="176" t="s">
        <v>325</v>
      </c>
      <c r="C240" s="176" t="s">
        <v>415</v>
      </c>
      <c r="D240" s="177" t="s">
        <v>1767</v>
      </c>
      <c r="E240" s="176" t="s">
        <v>344</v>
      </c>
      <c r="F240" s="176" t="s">
        <v>1768</v>
      </c>
      <c r="G240" s="178" t="s">
        <v>344</v>
      </c>
      <c r="H240" s="179"/>
      <c r="I240" s="179"/>
      <c r="J240" s="179" t="s">
        <v>929</v>
      </c>
      <c r="K240" s="176"/>
      <c r="L240" s="176" t="s">
        <v>103</v>
      </c>
      <c r="M240" s="180">
        <v>45267</v>
      </c>
      <c r="N240" s="181"/>
      <c r="O240" s="181">
        <v>9.5541936060000001</v>
      </c>
      <c r="P240" s="181">
        <v>125.56947</v>
      </c>
      <c r="Q240" s="182" t="s">
        <v>1775</v>
      </c>
      <c r="R240" s="183" t="s">
        <v>1776</v>
      </c>
      <c r="S240" s="176" t="b">
        <v>0</v>
      </c>
      <c r="T240" s="176" t="b">
        <v>0</v>
      </c>
      <c r="U240" s="181" t="s">
        <v>22</v>
      </c>
      <c r="V240" s="184" t="s">
        <v>89</v>
      </c>
      <c r="W240" s="185" t="s">
        <v>1782</v>
      </c>
      <c r="X240" s="18"/>
      <c r="Y240" s="18"/>
      <c r="Z240" s="18"/>
      <c r="AA240" s="18"/>
      <c r="AB240" s="96"/>
      <c r="AC240" s="18"/>
    </row>
    <row r="241" spans="1:29" ht="25.5">
      <c r="A241" s="32">
        <v>7</v>
      </c>
      <c r="B241" s="181" t="s">
        <v>325</v>
      </c>
      <c r="C241" s="185" t="s">
        <v>2703</v>
      </c>
      <c r="D241" s="189" t="s">
        <v>1767</v>
      </c>
      <c r="E241" s="545" t="s">
        <v>2705</v>
      </c>
      <c r="F241" s="545" t="s">
        <v>1810</v>
      </c>
      <c r="G241" s="190" t="s">
        <v>2707</v>
      </c>
      <c r="H241" s="179"/>
      <c r="I241" s="179"/>
      <c r="J241" s="179" t="s">
        <v>2708</v>
      </c>
      <c r="L241" s="185" t="s">
        <v>374</v>
      </c>
      <c r="M241" s="180">
        <v>46101</v>
      </c>
      <c r="N241" s="181"/>
      <c r="O241" s="181">
        <v>9.5796340000000004</v>
      </c>
      <c r="P241" s="181">
        <v>125.558665</v>
      </c>
      <c r="Q241" s="182" t="s">
        <v>1775</v>
      </c>
      <c r="R241" s="183" t="s">
        <v>1776</v>
      </c>
      <c r="S241" s="545" t="b">
        <v>0</v>
      </c>
      <c r="T241" s="545" t="b">
        <v>0</v>
      </c>
      <c r="U241" s="181" t="s">
        <v>1815</v>
      </c>
      <c r="V241" s="184" t="s">
        <v>89</v>
      </c>
      <c r="W241" s="185" t="s">
        <v>1782</v>
      </c>
      <c r="X241" s="18"/>
      <c r="Y241" s="18"/>
      <c r="Z241" s="18"/>
      <c r="AA241" s="18"/>
      <c r="AB241" s="18"/>
      <c r="AC241" s="18"/>
    </row>
    <row r="242" spans="1:29" ht="25.5">
      <c r="A242" s="32">
        <v>8</v>
      </c>
      <c r="B242" s="181" t="s">
        <v>325</v>
      </c>
      <c r="C242" s="185" t="s">
        <v>2703</v>
      </c>
      <c r="D242" s="189" t="s">
        <v>1767</v>
      </c>
      <c r="E242" s="546"/>
      <c r="F242" s="546"/>
      <c r="G242" s="190" t="s">
        <v>2713</v>
      </c>
      <c r="H242" s="179"/>
      <c r="I242" s="179"/>
      <c r="J242" s="179" t="s">
        <v>2708</v>
      </c>
      <c r="L242" s="185" t="s">
        <v>374</v>
      </c>
      <c r="M242" s="180">
        <v>46101</v>
      </c>
      <c r="N242" s="181"/>
      <c r="O242" s="181">
        <v>9.5796340000000004</v>
      </c>
      <c r="P242" s="181">
        <v>125.558665</v>
      </c>
      <c r="Q242" s="182" t="s">
        <v>1775</v>
      </c>
      <c r="R242" s="183" t="s">
        <v>1776</v>
      </c>
      <c r="S242" s="546"/>
      <c r="T242" s="546"/>
      <c r="U242" s="181" t="s">
        <v>1815</v>
      </c>
      <c r="V242" s="184" t="s">
        <v>89</v>
      </c>
      <c r="W242" s="185" t="s">
        <v>1782</v>
      </c>
      <c r="X242" s="18"/>
      <c r="Y242" s="18"/>
      <c r="Z242" s="18"/>
      <c r="AA242" s="18"/>
      <c r="AB242" s="18"/>
      <c r="AC242" s="18"/>
    </row>
    <row r="243" spans="1:29" ht="25.5">
      <c r="A243" s="32">
        <v>9</v>
      </c>
      <c r="B243" s="181" t="s">
        <v>325</v>
      </c>
      <c r="C243" s="185" t="s">
        <v>2703</v>
      </c>
      <c r="D243" s="189" t="s">
        <v>1767</v>
      </c>
      <c r="E243" s="547"/>
      <c r="F243" s="547"/>
      <c r="G243" s="190" t="s">
        <v>2716</v>
      </c>
      <c r="H243" s="179"/>
      <c r="I243" s="179"/>
      <c r="J243" s="179" t="s">
        <v>2708</v>
      </c>
      <c r="L243" s="185" t="s">
        <v>374</v>
      </c>
      <c r="M243" s="180">
        <v>46101</v>
      </c>
      <c r="N243" s="181"/>
      <c r="O243" s="181">
        <v>9.5796340000000004</v>
      </c>
      <c r="P243" s="181">
        <v>125.558665</v>
      </c>
      <c r="Q243" s="182" t="s">
        <v>1775</v>
      </c>
      <c r="R243" s="183" t="s">
        <v>1776</v>
      </c>
      <c r="S243" s="547"/>
      <c r="T243" s="547"/>
      <c r="U243" s="181" t="s">
        <v>1815</v>
      </c>
      <c r="V243" s="184" t="s">
        <v>89</v>
      </c>
      <c r="W243" s="185" t="s">
        <v>1782</v>
      </c>
      <c r="X243" s="18"/>
      <c r="Y243" s="18"/>
      <c r="Z243" s="18"/>
      <c r="AA243" s="18"/>
      <c r="AB243" s="18"/>
      <c r="AC243" s="18"/>
    </row>
    <row r="244" spans="1:29" ht="19.5" customHeight="1">
      <c r="A244" s="32">
        <v>1</v>
      </c>
      <c r="B244" s="176" t="s">
        <v>13</v>
      </c>
      <c r="C244" s="176" t="s">
        <v>15</v>
      </c>
      <c r="D244" s="177" t="s">
        <v>2119</v>
      </c>
      <c r="E244" s="545" t="s">
        <v>2120</v>
      </c>
      <c r="F244" s="545" t="s">
        <v>1810</v>
      </c>
      <c r="G244" s="178" t="s">
        <v>21</v>
      </c>
      <c r="H244" s="13"/>
      <c r="I244" s="13"/>
      <c r="J244" s="13" t="s">
        <v>987</v>
      </c>
      <c r="K244" s="176"/>
      <c r="L244" s="176" t="s">
        <v>65</v>
      </c>
      <c r="M244" s="180">
        <v>45215</v>
      </c>
      <c r="N244" s="181"/>
      <c r="O244" s="181">
        <v>10.018162999999999</v>
      </c>
      <c r="P244" s="181">
        <v>126.073989</v>
      </c>
      <c r="Q244" s="182" t="s">
        <v>1775</v>
      </c>
      <c r="R244" s="183" t="s">
        <v>1776</v>
      </c>
      <c r="S244" s="545" t="b">
        <v>0</v>
      </c>
      <c r="T244" s="545" t="b">
        <v>0</v>
      </c>
      <c r="U244" s="181" t="s">
        <v>22</v>
      </c>
      <c r="V244" s="185" t="s">
        <v>89</v>
      </c>
      <c r="W244" s="185" t="s">
        <v>1782</v>
      </c>
      <c r="X244" s="18"/>
      <c r="Y244" s="18"/>
      <c r="Z244" s="18"/>
      <c r="AA244" s="18"/>
      <c r="AB244" s="525" t="s">
        <v>2010</v>
      </c>
      <c r="AC244" s="522">
        <v>9090860594</v>
      </c>
    </row>
    <row r="245" spans="1:29" ht="15.75" customHeight="1">
      <c r="A245" s="32">
        <v>2</v>
      </c>
      <c r="B245" s="176" t="s">
        <v>13</v>
      </c>
      <c r="C245" s="176" t="s">
        <v>15</v>
      </c>
      <c r="D245" s="177" t="s">
        <v>2119</v>
      </c>
      <c r="E245" s="546"/>
      <c r="F245" s="546"/>
      <c r="G245" s="178" t="s">
        <v>44</v>
      </c>
      <c r="H245" s="13"/>
      <c r="I245" s="13"/>
      <c r="J245" s="13" t="s">
        <v>995</v>
      </c>
      <c r="K245" s="176"/>
      <c r="L245" s="176" t="s">
        <v>65</v>
      </c>
      <c r="M245" s="180">
        <v>45215</v>
      </c>
      <c r="N245" s="181"/>
      <c r="O245" s="181">
        <v>10.018162999999999</v>
      </c>
      <c r="P245" s="181">
        <v>126.073989</v>
      </c>
      <c r="Q245" s="182" t="s">
        <v>1775</v>
      </c>
      <c r="R245" s="183" t="s">
        <v>1776</v>
      </c>
      <c r="S245" s="546"/>
      <c r="T245" s="546"/>
      <c r="U245" s="181" t="s">
        <v>22</v>
      </c>
      <c r="V245" s="185" t="s">
        <v>89</v>
      </c>
      <c r="W245" s="185" t="s">
        <v>1782</v>
      </c>
      <c r="X245" s="18"/>
      <c r="Y245" s="18"/>
      <c r="Z245" s="18"/>
      <c r="AA245" s="18"/>
      <c r="AB245" s="511"/>
      <c r="AC245" s="511"/>
    </row>
    <row r="246" spans="1:29" ht="17.25" customHeight="1">
      <c r="A246" s="32">
        <v>3</v>
      </c>
      <c r="B246" s="176" t="s">
        <v>13</v>
      </c>
      <c r="C246" s="176" t="s">
        <v>15</v>
      </c>
      <c r="D246" s="177" t="s">
        <v>2119</v>
      </c>
      <c r="E246" s="546"/>
      <c r="F246" s="546"/>
      <c r="G246" s="178" t="s">
        <v>49</v>
      </c>
      <c r="H246" s="13"/>
      <c r="I246" s="13"/>
      <c r="J246" s="13" t="s">
        <v>1004</v>
      </c>
      <c r="K246" s="176"/>
      <c r="L246" s="176" t="s">
        <v>65</v>
      </c>
      <c r="M246" s="180">
        <v>45215</v>
      </c>
      <c r="N246" s="181"/>
      <c r="O246" s="181">
        <v>10.018162999999999</v>
      </c>
      <c r="P246" s="181">
        <v>126.073989</v>
      </c>
      <c r="Q246" s="182" t="s">
        <v>1775</v>
      </c>
      <c r="R246" s="183" t="s">
        <v>1776</v>
      </c>
      <c r="S246" s="546"/>
      <c r="T246" s="546"/>
      <c r="U246" s="181" t="s">
        <v>22</v>
      </c>
      <c r="V246" s="185" t="s">
        <v>89</v>
      </c>
      <c r="W246" s="185" t="s">
        <v>1782</v>
      </c>
      <c r="X246" s="18"/>
      <c r="Y246" s="18"/>
      <c r="Z246" s="18"/>
      <c r="AA246" s="18"/>
      <c r="AB246" s="511"/>
      <c r="AC246" s="511"/>
    </row>
    <row r="247" spans="1:29" ht="17.25" customHeight="1">
      <c r="A247" s="32">
        <v>4</v>
      </c>
      <c r="B247" s="176" t="s">
        <v>13</v>
      </c>
      <c r="C247" s="176" t="s">
        <v>15</v>
      </c>
      <c r="D247" s="177" t="s">
        <v>2119</v>
      </c>
      <c r="E247" s="546"/>
      <c r="F247" s="546"/>
      <c r="G247" s="178" t="s">
        <v>53</v>
      </c>
      <c r="H247" s="13"/>
      <c r="I247" s="13"/>
      <c r="J247" s="13" t="s">
        <v>1013</v>
      </c>
      <c r="K247" s="176"/>
      <c r="L247" s="176" t="s">
        <v>238</v>
      </c>
      <c r="M247" s="180">
        <v>45215</v>
      </c>
      <c r="N247" s="181"/>
      <c r="O247" s="181">
        <v>10.018060999999999</v>
      </c>
      <c r="P247" s="181">
        <v>126.074361</v>
      </c>
      <c r="Q247" s="182" t="s">
        <v>1775</v>
      </c>
      <c r="R247" s="183" t="s">
        <v>1776</v>
      </c>
      <c r="S247" s="546"/>
      <c r="T247" s="546"/>
      <c r="U247" s="181" t="s">
        <v>22</v>
      </c>
      <c r="V247" s="185" t="s">
        <v>89</v>
      </c>
      <c r="W247" s="185" t="s">
        <v>1782</v>
      </c>
      <c r="X247" s="18"/>
      <c r="Y247" s="18"/>
      <c r="Z247" s="18"/>
      <c r="AA247" s="18"/>
      <c r="AB247" s="511"/>
      <c r="AC247" s="511"/>
    </row>
    <row r="248" spans="1:29" ht="15.75" customHeight="1">
      <c r="A248" s="32">
        <v>5</v>
      </c>
      <c r="B248" s="176" t="s">
        <v>13</v>
      </c>
      <c r="C248" s="176" t="s">
        <v>15</v>
      </c>
      <c r="D248" s="177" t="s">
        <v>2119</v>
      </c>
      <c r="E248" s="546"/>
      <c r="F248" s="546"/>
      <c r="G248" s="178" t="s">
        <v>58</v>
      </c>
      <c r="H248" s="13"/>
      <c r="I248" s="13"/>
      <c r="J248" s="13" t="s">
        <v>1021</v>
      </c>
      <c r="K248" s="176"/>
      <c r="L248" s="176" t="s">
        <v>103</v>
      </c>
      <c r="M248" s="180">
        <v>45215</v>
      </c>
      <c r="N248" s="181"/>
      <c r="O248" s="181">
        <v>10.018311000000001</v>
      </c>
      <c r="P248" s="181">
        <v>126.074175</v>
      </c>
      <c r="Q248" s="182" t="s">
        <v>1775</v>
      </c>
      <c r="R248" s="183" t="s">
        <v>1776</v>
      </c>
      <c r="S248" s="546"/>
      <c r="T248" s="546"/>
      <c r="U248" s="181" t="s">
        <v>22</v>
      </c>
      <c r="V248" s="185" t="s">
        <v>89</v>
      </c>
      <c r="W248" s="185" t="s">
        <v>1782</v>
      </c>
      <c r="X248" s="18"/>
      <c r="Y248" s="18"/>
      <c r="Z248" s="18"/>
      <c r="AA248" s="18"/>
      <c r="AB248" s="511"/>
      <c r="AC248" s="511"/>
    </row>
    <row r="249" spans="1:29" ht="25.5">
      <c r="A249" s="32">
        <v>6</v>
      </c>
      <c r="B249" s="176" t="s">
        <v>13</v>
      </c>
      <c r="C249" s="176" t="s">
        <v>15</v>
      </c>
      <c r="D249" s="177" t="s">
        <v>2119</v>
      </c>
      <c r="E249" s="546"/>
      <c r="F249" s="546"/>
      <c r="G249" s="178" t="s">
        <v>60</v>
      </c>
      <c r="H249" s="13"/>
      <c r="I249" s="13"/>
      <c r="J249" s="13" t="s">
        <v>1026</v>
      </c>
      <c r="K249" s="176"/>
      <c r="L249" s="176" t="s">
        <v>31</v>
      </c>
      <c r="M249" s="180">
        <v>45215</v>
      </c>
      <c r="N249" s="181"/>
      <c r="O249" s="181">
        <v>10.018596000000001</v>
      </c>
      <c r="P249" s="181">
        <v>126.07436</v>
      </c>
      <c r="Q249" s="182" t="s">
        <v>1775</v>
      </c>
      <c r="R249" s="183" t="s">
        <v>1776</v>
      </c>
      <c r="S249" s="546"/>
      <c r="T249" s="546"/>
      <c r="U249" s="181" t="s">
        <v>22</v>
      </c>
      <c r="V249" s="185" t="s">
        <v>89</v>
      </c>
      <c r="W249" s="185" t="s">
        <v>2080</v>
      </c>
      <c r="X249" s="18"/>
      <c r="Y249" s="18"/>
      <c r="Z249" s="18"/>
      <c r="AA249" s="18"/>
      <c r="AB249" s="512"/>
      <c r="AC249" s="512"/>
    </row>
    <row r="250" spans="1:29" ht="25.5">
      <c r="A250" s="32">
        <v>7</v>
      </c>
      <c r="B250" s="176" t="s">
        <v>13</v>
      </c>
      <c r="C250" s="176" t="s">
        <v>15</v>
      </c>
      <c r="D250" s="177" t="s">
        <v>2119</v>
      </c>
      <c r="E250" s="547"/>
      <c r="F250" s="547"/>
      <c r="G250" s="213" t="s">
        <v>64</v>
      </c>
      <c r="H250" s="97"/>
      <c r="I250" s="97" t="s">
        <v>2733</v>
      </c>
      <c r="J250" s="97" t="s">
        <v>1651</v>
      </c>
      <c r="K250" s="176"/>
      <c r="L250" s="176" t="s">
        <v>155</v>
      </c>
      <c r="M250" s="180">
        <v>45567</v>
      </c>
      <c r="N250" s="181"/>
      <c r="O250" s="181" t="s">
        <v>690</v>
      </c>
      <c r="P250" s="181" t="s">
        <v>691</v>
      </c>
      <c r="Q250" s="182" t="s">
        <v>1775</v>
      </c>
      <c r="R250" s="183" t="s">
        <v>1776</v>
      </c>
      <c r="S250" s="547"/>
      <c r="T250" s="547"/>
      <c r="U250" s="181" t="s">
        <v>22</v>
      </c>
      <c r="V250" s="185" t="s">
        <v>89</v>
      </c>
      <c r="W250" s="185" t="s">
        <v>1782</v>
      </c>
      <c r="X250" s="18"/>
      <c r="Y250" s="18"/>
      <c r="Z250" s="168" t="s">
        <v>1652</v>
      </c>
      <c r="AA250" s="18"/>
      <c r="AB250" s="18"/>
      <c r="AC250" s="18"/>
    </row>
    <row r="251" spans="1:29" ht="27" hidden="1" customHeight="1">
      <c r="A251" s="279">
        <v>8</v>
      </c>
      <c r="B251" s="280" t="s">
        <v>13</v>
      </c>
      <c r="C251" s="280" t="s">
        <v>15</v>
      </c>
      <c r="D251" s="281" t="s">
        <v>2119</v>
      </c>
      <c r="E251" s="554" t="str">
        <f>LEFT(G251,FIND("_",G251) - 1)</f>
        <v>Burgos National High School</v>
      </c>
      <c r="F251" s="554" t="s">
        <v>1810</v>
      </c>
      <c r="G251" s="235" t="s">
        <v>537</v>
      </c>
      <c r="H251" s="282"/>
      <c r="I251" s="282"/>
      <c r="J251" s="282" t="s">
        <v>1765</v>
      </c>
      <c r="K251" s="280"/>
      <c r="L251" s="280" t="s">
        <v>207</v>
      </c>
      <c r="M251" s="283">
        <v>45567</v>
      </c>
      <c r="N251" s="284"/>
      <c r="O251" s="284">
        <v>10.01681262</v>
      </c>
      <c r="P251" s="284">
        <v>126.074563</v>
      </c>
      <c r="Q251" s="285" t="s">
        <v>1775</v>
      </c>
      <c r="R251" s="286" t="s">
        <v>1776</v>
      </c>
      <c r="S251" s="554" t="b">
        <v>0</v>
      </c>
      <c r="T251" s="554" t="b">
        <v>0</v>
      </c>
      <c r="U251" s="284" t="s">
        <v>513</v>
      </c>
      <c r="V251" s="284" t="s">
        <v>199</v>
      </c>
      <c r="W251" s="284" t="s">
        <v>1782</v>
      </c>
      <c r="X251" s="287"/>
      <c r="Y251" s="560" t="s">
        <v>1428</v>
      </c>
      <c r="Z251" s="527" t="s">
        <v>386</v>
      </c>
      <c r="AA251" s="527" t="s">
        <v>386</v>
      </c>
      <c r="AB251" s="525" t="s">
        <v>2758</v>
      </c>
      <c r="AC251" s="525" t="s">
        <v>1773</v>
      </c>
    </row>
    <row r="252" spans="1:29" ht="22.5" hidden="1" customHeight="1">
      <c r="A252" s="279">
        <v>9</v>
      </c>
      <c r="B252" s="280" t="s">
        <v>13</v>
      </c>
      <c r="C252" s="280" t="s">
        <v>15</v>
      </c>
      <c r="D252" s="281" t="s">
        <v>2119</v>
      </c>
      <c r="E252" s="555"/>
      <c r="F252" s="555"/>
      <c r="G252" s="235" t="s">
        <v>539</v>
      </c>
      <c r="H252" s="282"/>
      <c r="I252" s="282"/>
      <c r="J252" s="282" t="s">
        <v>1777</v>
      </c>
      <c r="K252" s="280"/>
      <c r="L252" s="280" t="s">
        <v>207</v>
      </c>
      <c r="M252" s="283">
        <v>45567</v>
      </c>
      <c r="N252" s="284"/>
      <c r="O252" s="284">
        <v>10.01681262</v>
      </c>
      <c r="P252" s="284">
        <v>126.074563</v>
      </c>
      <c r="Q252" s="285" t="s">
        <v>1775</v>
      </c>
      <c r="R252" s="286" t="s">
        <v>1776</v>
      </c>
      <c r="S252" s="555"/>
      <c r="T252" s="555"/>
      <c r="U252" s="284" t="s">
        <v>513</v>
      </c>
      <c r="V252" s="284" t="s">
        <v>199</v>
      </c>
      <c r="W252" s="284" t="s">
        <v>1782</v>
      </c>
      <c r="X252" s="287"/>
      <c r="Y252" s="512"/>
      <c r="Z252" s="512"/>
      <c r="AA252" s="512"/>
      <c r="AB252" s="512"/>
      <c r="AC252" s="512"/>
    </row>
    <row r="253" spans="1:29" ht="30" hidden="1" customHeight="1">
      <c r="A253" s="279">
        <v>10</v>
      </c>
      <c r="B253" s="280" t="s">
        <v>13</v>
      </c>
      <c r="C253" s="280" t="s">
        <v>15</v>
      </c>
      <c r="D253" s="281" t="s">
        <v>2119</v>
      </c>
      <c r="E253" s="556"/>
      <c r="F253" s="556"/>
      <c r="G253" s="235" t="s">
        <v>1778</v>
      </c>
      <c r="H253" s="282"/>
      <c r="I253" s="282"/>
      <c r="J253" s="282" t="s">
        <v>1780</v>
      </c>
      <c r="K253" s="280"/>
      <c r="L253" s="280" t="s">
        <v>374</v>
      </c>
      <c r="M253" s="283">
        <v>45567</v>
      </c>
      <c r="N253" s="284"/>
      <c r="O253" s="284">
        <v>10.016940419999999</v>
      </c>
      <c r="P253" s="284">
        <v>126.07366930000001</v>
      </c>
      <c r="Q253" s="285" t="s">
        <v>1775</v>
      </c>
      <c r="R253" s="286" t="s">
        <v>1776</v>
      </c>
      <c r="S253" s="556"/>
      <c r="T253" s="556"/>
      <c r="U253" s="284" t="s">
        <v>513</v>
      </c>
      <c r="V253" s="284" t="s">
        <v>199</v>
      </c>
      <c r="W253" s="284" t="s">
        <v>1782</v>
      </c>
      <c r="X253" s="287"/>
      <c r="Y253" s="294" t="s">
        <v>1428</v>
      </c>
      <c r="Z253" s="128" t="s">
        <v>386</v>
      </c>
      <c r="AA253" s="119"/>
      <c r="AB253" s="96" t="s">
        <v>1785</v>
      </c>
      <c r="AC253" s="96" t="s">
        <v>1786</v>
      </c>
    </row>
    <row r="254" spans="1:29" ht="38.25">
      <c r="A254" s="32">
        <v>11</v>
      </c>
      <c r="B254" s="176" t="s">
        <v>13</v>
      </c>
      <c r="C254" s="176" t="s">
        <v>1788</v>
      </c>
      <c r="D254" s="177" t="s">
        <v>2119</v>
      </c>
      <c r="E254" s="545" t="str">
        <f>LEFT(G254,FIND("_",G254) - 1)</f>
        <v>Matin-ao Barangay Hall</v>
      </c>
      <c r="F254" s="545" t="s">
        <v>1810</v>
      </c>
      <c r="G254" s="213" t="s">
        <v>1789</v>
      </c>
      <c r="H254" s="23"/>
      <c r="I254" s="23"/>
      <c r="J254" s="23" t="s">
        <v>1791</v>
      </c>
      <c r="K254" s="176"/>
      <c r="L254" s="176" t="s">
        <v>155</v>
      </c>
      <c r="M254" s="180">
        <v>45566</v>
      </c>
      <c r="N254" s="181"/>
      <c r="O254" s="181">
        <v>9.9666666999999993</v>
      </c>
      <c r="P254" s="181">
        <v>126.0738131</v>
      </c>
      <c r="Q254" s="182" t="s">
        <v>1775</v>
      </c>
      <c r="R254" s="183" t="s">
        <v>1776</v>
      </c>
      <c r="S254" s="545" t="b">
        <v>0</v>
      </c>
      <c r="T254" s="545" t="b">
        <v>0</v>
      </c>
      <c r="U254" s="181" t="s">
        <v>513</v>
      </c>
      <c r="V254" s="185" t="s">
        <v>89</v>
      </c>
      <c r="W254" s="185" t="s">
        <v>1782</v>
      </c>
      <c r="X254" s="18"/>
      <c r="Y254" s="128" t="s">
        <v>1428</v>
      </c>
      <c r="Z254" s="128" t="s">
        <v>386</v>
      </c>
      <c r="AA254" s="128" t="s">
        <v>386</v>
      </c>
      <c r="AB254" s="96" t="s">
        <v>2766</v>
      </c>
      <c r="AC254" s="96" t="s">
        <v>1796</v>
      </c>
    </row>
    <row r="255" spans="1:29" ht="25.5">
      <c r="A255" s="32">
        <v>12</v>
      </c>
      <c r="B255" s="176" t="s">
        <v>13</v>
      </c>
      <c r="C255" s="176" t="s">
        <v>1788</v>
      </c>
      <c r="D255" s="177" t="s">
        <v>2119</v>
      </c>
      <c r="E255" s="547"/>
      <c r="F255" s="547"/>
      <c r="G255" s="213" t="s">
        <v>544</v>
      </c>
      <c r="H255" s="23"/>
      <c r="I255" s="23"/>
      <c r="J255" s="23" t="s">
        <v>1800</v>
      </c>
      <c r="K255" s="176"/>
      <c r="L255" s="176" t="s">
        <v>374</v>
      </c>
      <c r="M255" s="180">
        <v>45566</v>
      </c>
      <c r="N255" s="181"/>
      <c r="O255" s="181">
        <v>9.9668931999999995</v>
      </c>
      <c r="P255" s="181">
        <v>126.0736825</v>
      </c>
      <c r="Q255" s="182" t="s">
        <v>1775</v>
      </c>
      <c r="R255" s="183" t="s">
        <v>1776</v>
      </c>
      <c r="S255" s="547"/>
      <c r="T255" s="547"/>
      <c r="U255" s="181" t="s">
        <v>513</v>
      </c>
      <c r="V255" s="185" t="s">
        <v>89</v>
      </c>
      <c r="W255" s="185" t="s">
        <v>1782</v>
      </c>
      <c r="X255" s="18"/>
      <c r="Y255" s="128" t="s">
        <v>1428</v>
      </c>
      <c r="Z255" s="128" t="s">
        <v>386</v>
      </c>
      <c r="AA255" s="119"/>
      <c r="AB255" s="96" t="s">
        <v>1802</v>
      </c>
      <c r="AC255" s="96">
        <v>9056071814</v>
      </c>
    </row>
    <row r="256" spans="1:29" ht="25.5">
      <c r="A256" s="32">
        <v>13</v>
      </c>
      <c r="B256" s="181" t="s">
        <v>13</v>
      </c>
      <c r="C256" s="185" t="s">
        <v>2370</v>
      </c>
      <c r="D256" s="177" t="s">
        <v>2119</v>
      </c>
      <c r="E256" s="545" t="s">
        <v>2372</v>
      </c>
      <c r="F256" s="545" t="s">
        <v>1810</v>
      </c>
      <c r="G256" s="190" t="s">
        <v>2371</v>
      </c>
      <c r="H256" s="179"/>
      <c r="I256" s="179"/>
      <c r="J256" s="179" t="s">
        <v>2767</v>
      </c>
      <c r="K256" s="185"/>
      <c r="L256" s="185" t="s">
        <v>374</v>
      </c>
      <c r="M256" s="180">
        <v>46101</v>
      </c>
      <c r="N256" s="181"/>
      <c r="O256" s="181">
        <v>9.6717479999999991</v>
      </c>
      <c r="P256" s="181">
        <v>125.503609</v>
      </c>
      <c r="Q256" s="182" t="s">
        <v>1813</v>
      </c>
      <c r="R256" s="183" t="s">
        <v>1814</v>
      </c>
      <c r="S256" s="545" t="b">
        <v>0</v>
      </c>
      <c r="T256" s="545" t="b">
        <v>0</v>
      </c>
      <c r="U256" s="181" t="s">
        <v>1815</v>
      </c>
      <c r="V256" s="184" t="s">
        <v>89</v>
      </c>
      <c r="W256" s="185" t="s">
        <v>1782</v>
      </c>
      <c r="X256" s="18"/>
      <c r="Y256" s="18"/>
      <c r="Z256" s="18"/>
      <c r="AA256" s="18"/>
      <c r="AB256" s="18"/>
      <c r="AC256" s="18"/>
    </row>
    <row r="257" spans="1:29" ht="25.5">
      <c r="A257" s="32">
        <v>14</v>
      </c>
      <c r="B257" s="181" t="s">
        <v>13</v>
      </c>
      <c r="C257" s="185" t="s">
        <v>2370</v>
      </c>
      <c r="D257" s="177" t="s">
        <v>2119</v>
      </c>
      <c r="E257" s="546"/>
      <c r="F257" s="546"/>
      <c r="G257" s="190" t="s">
        <v>2377</v>
      </c>
      <c r="H257" s="179"/>
      <c r="I257" s="179"/>
      <c r="J257" s="179" t="s">
        <v>2767</v>
      </c>
      <c r="K257" s="185"/>
      <c r="L257" s="185" t="s">
        <v>374</v>
      </c>
      <c r="M257" s="180">
        <v>46101</v>
      </c>
      <c r="N257" s="181"/>
      <c r="O257" s="181">
        <v>9.6717479999999991</v>
      </c>
      <c r="P257" s="181">
        <v>125.503609</v>
      </c>
      <c r="Q257" s="182" t="s">
        <v>1813</v>
      </c>
      <c r="R257" s="183" t="s">
        <v>1814</v>
      </c>
      <c r="S257" s="546"/>
      <c r="T257" s="546"/>
      <c r="U257" s="181" t="s">
        <v>1815</v>
      </c>
      <c r="V257" s="184" t="s">
        <v>89</v>
      </c>
      <c r="W257" s="185" t="s">
        <v>1782</v>
      </c>
      <c r="X257" s="18"/>
      <c r="Y257" s="18"/>
      <c r="Z257" s="18"/>
      <c r="AA257" s="18"/>
      <c r="AB257" s="18"/>
      <c r="AC257" s="18"/>
    </row>
    <row r="258" spans="1:29" ht="25.5">
      <c r="A258" s="32">
        <v>15</v>
      </c>
      <c r="B258" s="181" t="s">
        <v>13</v>
      </c>
      <c r="C258" s="185" t="s">
        <v>2370</v>
      </c>
      <c r="D258" s="177" t="s">
        <v>2119</v>
      </c>
      <c r="E258" s="547"/>
      <c r="F258" s="547"/>
      <c r="G258" s="190" t="s">
        <v>2379</v>
      </c>
      <c r="H258" s="179"/>
      <c r="I258" s="179"/>
      <c r="J258" s="179" t="s">
        <v>2767</v>
      </c>
      <c r="K258" s="185"/>
      <c r="L258" s="185" t="s">
        <v>374</v>
      </c>
      <c r="M258" s="180">
        <v>46101</v>
      </c>
      <c r="N258" s="181"/>
      <c r="O258" s="181">
        <v>9.6717479999999991</v>
      </c>
      <c r="P258" s="181">
        <v>125.503609</v>
      </c>
      <c r="Q258" s="182" t="s">
        <v>1813</v>
      </c>
      <c r="R258" s="183" t="s">
        <v>1814</v>
      </c>
      <c r="S258" s="547"/>
      <c r="T258" s="547"/>
      <c r="U258" s="181" t="s">
        <v>1815</v>
      </c>
      <c r="V258" s="184" t="s">
        <v>89</v>
      </c>
      <c r="W258" s="185" t="s">
        <v>1782</v>
      </c>
      <c r="X258" s="18"/>
      <c r="Y258" s="18"/>
      <c r="Z258" s="18"/>
      <c r="AA258" s="18"/>
      <c r="AB258" s="18"/>
      <c r="AC258" s="18"/>
    </row>
    <row r="259" spans="1:29" ht="25.5">
      <c r="A259" s="32">
        <v>16</v>
      </c>
      <c r="B259" s="181" t="s">
        <v>13</v>
      </c>
      <c r="C259" s="185" t="s">
        <v>15</v>
      </c>
      <c r="D259" s="177" t="s">
        <v>2119</v>
      </c>
      <c r="E259" s="545" t="s">
        <v>2382</v>
      </c>
      <c r="F259" s="545" t="s">
        <v>1810</v>
      </c>
      <c r="G259" s="190" t="s">
        <v>2381</v>
      </c>
      <c r="H259" s="179"/>
      <c r="I259" s="179"/>
      <c r="J259" s="179" t="s">
        <v>2768</v>
      </c>
      <c r="K259" s="185"/>
      <c r="L259" s="185" t="s">
        <v>374</v>
      </c>
      <c r="M259" s="180">
        <v>46101</v>
      </c>
      <c r="N259" s="181"/>
      <c r="O259" s="181">
        <v>9.734807</v>
      </c>
      <c r="P259" s="181">
        <v>125.563873</v>
      </c>
      <c r="Q259" s="182" t="s">
        <v>1813</v>
      </c>
      <c r="R259" s="183" t="s">
        <v>1814</v>
      </c>
      <c r="S259" s="545" t="b">
        <v>0</v>
      </c>
      <c r="T259" s="545" t="b">
        <v>0</v>
      </c>
      <c r="U259" s="181" t="s">
        <v>1815</v>
      </c>
      <c r="V259" s="185" t="s">
        <v>89</v>
      </c>
      <c r="W259" s="185" t="s">
        <v>1782</v>
      </c>
      <c r="X259" s="18"/>
      <c r="Y259" s="18"/>
      <c r="Z259" s="18"/>
      <c r="AA259" s="18"/>
      <c r="AB259" s="18"/>
      <c r="AC259" s="18"/>
    </row>
    <row r="260" spans="1:29" ht="25.5">
      <c r="A260" s="32">
        <v>17</v>
      </c>
      <c r="B260" s="181" t="s">
        <v>13</v>
      </c>
      <c r="C260" s="185" t="s">
        <v>15</v>
      </c>
      <c r="D260" s="177" t="s">
        <v>2119</v>
      </c>
      <c r="E260" s="546"/>
      <c r="F260" s="546"/>
      <c r="G260" s="190" t="s">
        <v>2383</v>
      </c>
      <c r="H260" s="179"/>
      <c r="I260" s="179"/>
      <c r="J260" s="179" t="s">
        <v>2768</v>
      </c>
      <c r="K260" s="185"/>
      <c r="L260" s="185" t="s">
        <v>374</v>
      </c>
      <c r="M260" s="180">
        <v>46101</v>
      </c>
      <c r="N260" s="181"/>
      <c r="O260" s="181">
        <v>9.734807</v>
      </c>
      <c r="P260" s="181">
        <v>125.563873</v>
      </c>
      <c r="Q260" s="182" t="s">
        <v>1813</v>
      </c>
      <c r="R260" s="183" t="s">
        <v>1814</v>
      </c>
      <c r="S260" s="546"/>
      <c r="T260" s="546"/>
      <c r="U260" s="181" t="s">
        <v>1815</v>
      </c>
      <c r="V260" s="185" t="s">
        <v>89</v>
      </c>
      <c r="W260" s="185" t="s">
        <v>1782</v>
      </c>
      <c r="X260" s="18"/>
      <c r="Y260" s="18"/>
      <c r="Z260" s="18"/>
      <c r="AA260" s="18"/>
      <c r="AB260" s="18"/>
      <c r="AC260" s="18"/>
    </row>
    <row r="261" spans="1:29" ht="25.5">
      <c r="A261" s="32">
        <v>18</v>
      </c>
      <c r="B261" s="181" t="s">
        <v>13</v>
      </c>
      <c r="C261" s="185" t="s">
        <v>15</v>
      </c>
      <c r="D261" s="177" t="s">
        <v>2119</v>
      </c>
      <c r="E261" s="547"/>
      <c r="F261" s="547"/>
      <c r="G261" s="190" t="s">
        <v>2385</v>
      </c>
      <c r="H261" s="179"/>
      <c r="I261" s="179"/>
      <c r="J261" s="179" t="s">
        <v>2768</v>
      </c>
      <c r="K261" s="185"/>
      <c r="L261" s="185" t="s">
        <v>374</v>
      </c>
      <c r="M261" s="180">
        <v>46101</v>
      </c>
      <c r="N261" s="181"/>
      <c r="O261" s="181">
        <v>9.734807</v>
      </c>
      <c r="P261" s="181">
        <v>125.563873</v>
      </c>
      <c r="Q261" s="182" t="s">
        <v>1813</v>
      </c>
      <c r="R261" s="183" t="s">
        <v>1814</v>
      </c>
      <c r="S261" s="547"/>
      <c r="T261" s="547"/>
      <c r="U261" s="181" t="s">
        <v>1815</v>
      </c>
      <c r="V261" s="185" t="s">
        <v>89</v>
      </c>
      <c r="W261" s="185" t="s">
        <v>1782</v>
      </c>
      <c r="X261" s="18"/>
      <c r="Y261" s="18"/>
      <c r="Z261" s="18"/>
      <c r="AA261" s="18"/>
      <c r="AB261" s="18"/>
      <c r="AC261" s="18"/>
    </row>
    <row r="262" spans="1:29" ht="25.5">
      <c r="A262" s="32">
        <v>19</v>
      </c>
      <c r="B262" s="181" t="s">
        <v>13</v>
      </c>
      <c r="C262" s="185" t="s">
        <v>15</v>
      </c>
      <c r="D262" s="177" t="s">
        <v>2119</v>
      </c>
      <c r="E262" s="545" t="s">
        <v>538</v>
      </c>
      <c r="F262" s="545" t="s">
        <v>1810</v>
      </c>
      <c r="G262" s="190" t="s">
        <v>2387</v>
      </c>
      <c r="H262" s="179"/>
      <c r="I262" s="179"/>
      <c r="J262" s="179" t="s">
        <v>2769</v>
      </c>
      <c r="K262" s="185"/>
      <c r="L262" s="185" t="s">
        <v>207</v>
      </c>
      <c r="M262" s="180">
        <v>46101</v>
      </c>
      <c r="N262" s="181"/>
      <c r="O262" s="181">
        <v>9.7220630000000003</v>
      </c>
      <c r="P262" s="181">
        <v>125.567032</v>
      </c>
      <c r="Q262" s="182" t="s">
        <v>1813</v>
      </c>
      <c r="R262" s="183" t="s">
        <v>1814</v>
      </c>
      <c r="S262" s="545" t="b">
        <v>0</v>
      </c>
      <c r="T262" s="545" t="b">
        <v>0</v>
      </c>
      <c r="U262" s="181" t="s">
        <v>1815</v>
      </c>
      <c r="V262" s="184" t="s">
        <v>89</v>
      </c>
      <c r="W262" s="185" t="s">
        <v>1782</v>
      </c>
      <c r="X262" s="18"/>
      <c r="Y262" s="18"/>
      <c r="Z262" s="18"/>
      <c r="AA262" s="18"/>
      <c r="AB262" s="18"/>
      <c r="AC262" s="18"/>
    </row>
    <row r="263" spans="1:29" ht="25.5">
      <c r="A263" s="32">
        <v>20</v>
      </c>
      <c r="B263" s="181" t="s">
        <v>13</v>
      </c>
      <c r="C263" s="185" t="s">
        <v>15</v>
      </c>
      <c r="D263" s="177" t="s">
        <v>2119</v>
      </c>
      <c r="E263" s="546"/>
      <c r="F263" s="546"/>
      <c r="G263" s="190" t="s">
        <v>2391</v>
      </c>
      <c r="H263" s="179"/>
      <c r="I263" s="179"/>
      <c r="J263" s="179" t="s">
        <v>2769</v>
      </c>
      <c r="K263" s="185"/>
      <c r="L263" s="185" t="s">
        <v>207</v>
      </c>
      <c r="M263" s="180">
        <v>46101</v>
      </c>
      <c r="N263" s="181"/>
      <c r="O263" s="181">
        <v>9.7220630000000003</v>
      </c>
      <c r="P263" s="181">
        <v>125.567032</v>
      </c>
      <c r="Q263" s="182" t="s">
        <v>1813</v>
      </c>
      <c r="R263" s="183" t="s">
        <v>1814</v>
      </c>
      <c r="S263" s="546"/>
      <c r="T263" s="546"/>
      <c r="U263" s="181" t="s">
        <v>1815</v>
      </c>
      <c r="V263" s="184" t="s">
        <v>89</v>
      </c>
      <c r="W263" s="185" t="s">
        <v>1782</v>
      </c>
      <c r="X263" s="18"/>
      <c r="Y263" s="18"/>
      <c r="Z263" s="18"/>
      <c r="AA263" s="18"/>
      <c r="AB263" s="18"/>
      <c r="AC263" s="18"/>
    </row>
    <row r="264" spans="1:29" ht="25.5">
      <c r="A264" s="32">
        <v>21</v>
      </c>
      <c r="B264" s="181" t="s">
        <v>13</v>
      </c>
      <c r="C264" s="185" t="s">
        <v>15</v>
      </c>
      <c r="D264" s="177" t="s">
        <v>2119</v>
      </c>
      <c r="E264" s="547"/>
      <c r="F264" s="547"/>
      <c r="G264" s="190" t="s">
        <v>2392</v>
      </c>
      <c r="H264" s="179"/>
      <c r="I264" s="179"/>
      <c r="J264" s="179" t="s">
        <v>2769</v>
      </c>
      <c r="K264" s="185"/>
      <c r="L264" s="185" t="s">
        <v>207</v>
      </c>
      <c r="M264" s="180">
        <v>46101</v>
      </c>
      <c r="N264" s="181"/>
      <c r="O264" s="181">
        <v>9.7220630000000003</v>
      </c>
      <c r="P264" s="181">
        <v>125.567032</v>
      </c>
      <c r="Q264" s="182" t="s">
        <v>1813</v>
      </c>
      <c r="R264" s="183" t="s">
        <v>1814</v>
      </c>
      <c r="S264" s="547"/>
      <c r="T264" s="547"/>
      <c r="U264" s="181" t="s">
        <v>1815</v>
      </c>
      <c r="V264" s="184" t="s">
        <v>89</v>
      </c>
      <c r="W264" s="185" t="s">
        <v>1782</v>
      </c>
      <c r="X264" s="18"/>
      <c r="Y264" s="18"/>
      <c r="Z264" s="18"/>
      <c r="AA264" s="18"/>
      <c r="AB264" s="18"/>
      <c r="AC264" s="18"/>
    </row>
    <row r="265" spans="1:29" ht="12.75">
      <c r="A265" s="32">
        <v>1</v>
      </c>
      <c r="B265" s="176" t="s">
        <v>67</v>
      </c>
      <c r="C265" s="185" t="s">
        <v>347</v>
      </c>
      <c r="D265" s="177" t="s">
        <v>2119</v>
      </c>
      <c r="E265" s="545" t="s">
        <v>2770</v>
      </c>
      <c r="F265" s="545" t="s">
        <v>1768</v>
      </c>
      <c r="G265" s="178" t="s">
        <v>70</v>
      </c>
      <c r="H265" s="13"/>
      <c r="I265" s="13"/>
      <c r="J265" s="13" t="s">
        <v>1037</v>
      </c>
      <c r="K265" s="176"/>
      <c r="L265" s="176" t="s">
        <v>65</v>
      </c>
      <c r="M265" s="180">
        <v>45226</v>
      </c>
      <c r="N265" s="181"/>
      <c r="O265" s="181">
        <v>9.7563359999999992</v>
      </c>
      <c r="P265" s="181">
        <v>126.053104</v>
      </c>
      <c r="Q265" s="182" t="s">
        <v>1775</v>
      </c>
      <c r="R265" s="183" t="s">
        <v>1776</v>
      </c>
      <c r="S265" s="181" t="b">
        <v>0</v>
      </c>
      <c r="T265" s="181" t="b">
        <v>0</v>
      </c>
      <c r="U265" s="181" t="s">
        <v>22</v>
      </c>
      <c r="V265" s="184" t="s">
        <v>89</v>
      </c>
      <c r="W265" s="185" t="s">
        <v>1782</v>
      </c>
      <c r="X265" s="18"/>
      <c r="Y265" s="18"/>
      <c r="Z265" s="18"/>
      <c r="AA265" s="18"/>
      <c r="AB265" s="18"/>
      <c r="AC265" s="18"/>
    </row>
    <row r="266" spans="1:29" ht="12.75">
      <c r="A266" s="25">
        <v>2</v>
      </c>
      <c r="B266" s="176" t="s">
        <v>67</v>
      </c>
      <c r="C266" s="184" t="s">
        <v>347</v>
      </c>
      <c r="D266" s="177" t="s">
        <v>2119</v>
      </c>
      <c r="E266" s="547"/>
      <c r="F266" s="547"/>
      <c r="G266" s="178" t="s">
        <v>73</v>
      </c>
      <c r="H266" s="13"/>
      <c r="I266" s="13"/>
      <c r="J266" s="13" t="s">
        <v>1043</v>
      </c>
      <c r="K266" s="176"/>
      <c r="L266" s="176" t="s">
        <v>65</v>
      </c>
      <c r="M266" s="180">
        <v>45226</v>
      </c>
      <c r="N266" s="181"/>
      <c r="O266" s="181">
        <v>9.7571670000000008</v>
      </c>
      <c r="P266" s="181">
        <v>126.052707</v>
      </c>
      <c r="Q266" s="182" t="s">
        <v>1775</v>
      </c>
      <c r="R266" s="183" t="s">
        <v>1776</v>
      </c>
      <c r="S266" s="181" t="b">
        <v>0</v>
      </c>
      <c r="T266" s="181" t="b">
        <v>0</v>
      </c>
      <c r="U266" s="181"/>
      <c r="V266" s="184"/>
      <c r="W266" s="185"/>
      <c r="X266" s="18"/>
      <c r="Y266" s="18"/>
      <c r="Z266" s="18"/>
      <c r="AA266" s="18"/>
      <c r="AB266" s="96"/>
      <c r="AC266" s="23"/>
    </row>
    <row r="267" spans="1:29" ht="38.25">
      <c r="A267" s="299">
        <v>3</v>
      </c>
      <c r="B267" s="176" t="s">
        <v>67</v>
      </c>
      <c r="C267" s="184" t="s">
        <v>354</v>
      </c>
      <c r="D267" s="177" t="s">
        <v>2119</v>
      </c>
      <c r="E267" s="188" t="s">
        <v>2771</v>
      </c>
      <c r="F267" s="188" t="s">
        <v>1768</v>
      </c>
      <c r="G267" s="178" t="s">
        <v>74</v>
      </c>
      <c r="H267" s="13"/>
      <c r="I267" s="13"/>
      <c r="J267" s="13" t="s">
        <v>1053</v>
      </c>
      <c r="K267" s="176"/>
      <c r="L267" s="176" t="s">
        <v>65</v>
      </c>
      <c r="M267" s="180">
        <v>45226</v>
      </c>
      <c r="N267" s="181"/>
      <c r="O267" s="181">
        <v>9.7569649999999992</v>
      </c>
      <c r="P267" s="181">
        <v>126.052666</v>
      </c>
      <c r="Q267" s="182" t="s">
        <v>1775</v>
      </c>
      <c r="R267" s="183" t="s">
        <v>1776</v>
      </c>
      <c r="S267" s="181"/>
      <c r="T267" s="181"/>
      <c r="U267" s="181" t="s">
        <v>22</v>
      </c>
      <c r="V267" s="185" t="s">
        <v>89</v>
      </c>
      <c r="W267" s="185" t="s">
        <v>1782</v>
      </c>
      <c r="X267" s="18"/>
      <c r="Y267" s="18"/>
      <c r="Z267" s="18"/>
      <c r="AA267" s="18"/>
      <c r="AB267" s="525"/>
      <c r="AC267" s="522"/>
    </row>
    <row r="268" spans="1:29" ht="25.5">
      <c r="A268" s="32">
        <v>4</v>
      </c>
      <c r="B268" s="176" t="s">
        <v>67</v>
      </c>
      <c r="C268" s="185" t="s">
        <v>2772</v>
      </c>
      <c r="D268" s="177" t="s">
        <v>2119</v>
      </c>
      <c r="E268" s="181" t="s">
        <v>2130</v>
      </c>
      <c r="F268" s="181" t="s">
        <v>1768</v>
      </c>
      <c r="G268" s="178" t="s">
        <v>77</v>
      </c>
      <c r="H268" s="13" t="s">
        <v>2774</v>
      </c>
      <c r="I268" s="13" t="s">
        <v>2775</v>
      </c>
      <c r="J268" s="13" t="s">
        <v>1059</v>
      </c>
      <c r="K268" s="176"/>
      <c r="L268" s="176" t="s">
        <v>99</v>
      </c>
      <c r="M268" s="180">
        <v>45226</v>
      </c>
      <c r="N268" s="181"/>
      <c r="O268" s="181">
        <v>9.7555820000000004</v>
      </c>
      <c r="P268" s="181">
        <v>126.050471</v>
      </c>
      <c r="Q268" s="182" t="s">
        <v>1775</v>
      </c>
      <c r="R268" s="183" t="s">
        <v>1776</v>
      </c>
      <c r="S268" s="181" t="b">
        <v>0</v>
      </c>
      <c r="T268" s="181" t="b">
        <v>0</v>
      </c>
      <c r="U268" s="181" t="s">
        <v>22</v>
      </c>
      <c r="V268" s="185" t="s">
        <v>89</v>
      </c>
      <c r="W268" s="185" t="s">
        <v>1782</v>
      </c>
      <c r="X268" s="18"/>
      <c r="Y268" s="18"/>
      <c r="Z268" s="18"/>
      <c r="AA268" s="18"/>
      <c r="AB268" s="511"/>
      <c r="AC268" s="511"/>
    </row>
    <row r="269" spans="1:29" ht="12.75">
      <c r="A269" s="32">
        <v>5</v>
      </c>
      <c r="B269" s="176" t="s">
        <v>67</v>
      </c>
      <c r="C269" s="185" t="s">
        <v>2772</v>
      </c>
      <c r="D269" s="177" t="s">
        <v>2119</v>
      </c>
      <c r="E269" s="550" t="s">
        <v>78</v>
      </c>
      <c r="F269" s="550" t="s">
        <v>1768</v>
      </c>
      <c r="G269" s="178" t="s">
        <v>78</v>
      </c>
      <c r="H269" s="13"/>
      <c r="I269" s="13"/>
      <c r="J269" s="13" t="s">
        <v>1066</v>
      </c>
      <c r="K269" s="176"/>
      <c r="L269" s="176" t="s">
        <v>408</v>
      </c>
      <c r="M269" s="180">
        <v>45226</v>
      </c>
      <c r="N269" s="181"/>
      <c r="O269" s="181">
        <v>9.7550779999999992</v>
      </c>
      <c r="P269" s="181">
        <v>126.050397</v>
      </c>
      <c r="Q269" s="182" t="s">
        <v>1775</v>
      </c>
      <c r="R269" s="183" t="s">
        <v>1776</v>
      </c>
      <c r="S269" s="550" t="b">
        <v>0</v>
      </c>
      <c r="T269" s="550" t="b">
        <v>0</v>
      </c>
      <c r="U269" s="181" t="s">
        <v>22</v>
      </c>
      <c r="V269" s="185" t="s">
        <v>89</v>
      </c>
      <c r="W269" s="185" t="s">
        <v>1782</v>
      </c>
      <c r="X269" s="18"/>
      <c r="Y269" s="18"/>
      <c r="Z269" s="18"/>
      <c r="AA269" s="18"/>
      <c r="AB269" s="511"/>
      <c r="AC269" s="511"/>
    </row>
    <row r="270" spans="1:29" ht="12.75">
      <c r="A270" s="32">
        <v>6</v>
      </c>
      <c r="B270" s="176" t="s">
        <v>67</v>
      </c>
      <c r="C270" s="185" t="s">
        <v>347</v>
      </c>
      <c r="D270" s="177" t="s">
        <v>2119</v>
      </c>
      <c r="E270" s="552"/>
      <c r="F270" s="552"/>
      <c r="G270" s="178" t="s">
        <v>80</v>
      </c>
      <c r="H270" s="13"/>
      <c r="I270" s="13"/>
      <c r="J270" s="13" t="s">
        <v>1075</v>
      </c>
      <c r="K270" s="176"/>
      <c r="L270" s="176" t="s">
        <v>103</v>
      </c>
      <c r="M270" s="180">
        <v>45226</v>
      </c>
      <c r="N270" s="181"/>
      <c r="O270" s="181">
        <v>9.7543509999999998</v>
      </c>
      <c r="P270" s="181">
        <v>126.051422</v>
      </c>
      <c r="Q270" s="182" t="s">
        <v>1775</v>
      </c>
      <c r="R270" s="183" t="s">
        <v>1776</v>
      </c>
      <c r="S270" s="552"/>
      <c r="T270" s="552"/>
      <c r="U270" s="181" t="s">
        <v>22</v>
      </c>
      <c r="V270" s="185" t="s">
        <v>89</v>
      </c>
      <c r="W270" s="185" t="s">
        <v>1782</v>
      </c>
      <c r="X270" s="18"/>
      <c r="Y270" s="18"/>
      <c r="Z270" s="18"/>
      <c r="AA270" s="18"/>
      <c r="AB270" s="511"/>
      <c r="AC270" s="511"/>
    </row>
    <row r="271" spans="1:29" ht="25.5">
      <c r="A271" s="32">
        <v>7</v>
      </c>
      <c r="B271" s="176" t="s">
        <v>67</v>
      </c>
      <c r="C271" s="176" t="s">
        <v>258</v>
      </c>
      <c r="D271" s="177" t="s">
        <v>2119</v>
      </c>
      <c r="E271" s="545" t="s">
        <v>259</v>
      </c>
      <c r="F271" s="545" t="s">
        <v>1810</v>
      </c>
      <c r="G271" s="190" t="s">
        <v>260</v>
      </c>
      <c r="H271" s="13"/>
      <c r="I271" s="13"/>
      <c r="J271" s="13" t="s">
        <v>1420</v>
      </c>
      <c r="K271" s="176"/>
      <c r="L271" s="176" t="s">
        <v>155</v>
      </c>
      <c r="M271" s="181" t="s">
        <v>1413</v>
      </c>
      <c r="N271" s="181"/>
      <c r="O271" s="181">
        <v>9.7789249999999992</v>
      </c>
      <c r="P271" s="181">
        <v>126.010543</v>
      </c>
      <c r="Q271" s="182" t="s">
        <v>1775</v>
      </c>
      <c r="R271" s="183" t="s">
        <v>1776</v>
      </c>
      <c r="S271" s="545" t="b">
        <v>0</v>
      </c>
      <c r="T271" s="545" t="b">
        <v>0</v>
      </c>
      <c r="U271" s="181" t="s">
        <v>261</v>
      </c>
      <c r="V271" s="184" t="s">
        <v>199</v>
      </c>
      <c r="W271" s="185" t="s">
        <v>1782</v>
      </c>
      <c r="X271" s="18"/>
      <c r="Y271" s="121" t="s">
        <v>1428</v>
      </c>
      <c r="Z271" s="18"/>
      <c r="AA271" s="123" t="s">
        <v>386</v>
      </c>
      <c r="AB271" s="512"/>
      <c r="AC271" s="512"/>
    </row>
    <row r="272" spans="1:29" ht="25.5">
      <c r="A272" s="32">
        <v>8</v>
      </c>
      <c r="B272" s="176" t="s">
        <v>67</v>
      </c>
      <c r="C272" s="176" t="s">
        <v>258</v>
      </c>
      <c r="D272" s="177" t="s">
        <v>2119</v>
      </c>
      <c r="E272" s="547"/>
      <c r="F272" s="547"/>
      <c r="G272" s="190" t="s">
        <v>264</v>
      </c>
      <c r="H272" s="13"/>
      <c r="I272" s="13"/>
      <c r="J272" s="13" t="s">
        <v>1446</v>
      </c>
      <c r="K272" s="176"/>
      <c r="L272" s="176" t="s">
        <v>374</v>
      </c>
      <c r="M272" s="181" t="s">
        <v>1413</v>
      </c>
      <c r="N272" s="181"/>
      <c r="O272" s="181">
        <v>9.7816779999999994</v>
      </c>
      <c r="P272" s="181">
        <v>126.012574</v>
      </c>
      <c r="Q272" s="182" t="s">
        <v>1775</v>
      </c>
      <c r="R272" s="183" t="s">
        <v>1776</v>
      </c>
      <c r="S272" s="547"/>
      <c r="T272" s="547"/>
      <c r="U272" s="181" t="s">
        <v>261</v>
      </c>
      <c r="V272" s="185" t="s">
        <v>199</v>
      </c>
      <c r="W272" s="185" t="s">
        <v>2282</v>
      </c>
      <c r="X272" s="18"/>
      <c r="Y272" s="121" t="s">
        <v>1428</v>
      </c>
      <c r="Z272" s="18"/>
      <c r="AA272" s="123" t="s">
        <v>386</v>
      </c>
      <c r="AB272" s="31" t="s">
        <v>2800</v>
      </c>
      <c r="AC272" s="96">
        <v>9468497413</v>
      </c>
    </row>
    <row r="273" spans="1:29" ht="25.5">
      <c r="A273" s="32">
        <v>9</v>
      </c>
      <c r="B273" s="176" t="s">
        <v>67</v>
      </c>
      <c r="C273" s="176" t="s">
        <v>275</v>
      </c>
      <c r="D273" s="177" t="s">
        <v>2119</v>
      </c>
      <c r="E273" s="545" t="s">
        <v>2196</v>
      </c>
      <c r="F273" s="545" t="s">
        <v>1810</v>
      </c>
      <c r="G273" s="213" t="s">
        <v>269</v>
      </c>
      <c r="H273" s="13"/>
      <c r="I273" s="13"/>
      <c r="J273" s="13" t="s">
        <v>1448</v>
      </c>
      <c r="K273" s="176"/>
      <c r="L273" s="176" t="s">
        <v>374</v>
      </c>
      <c r="M273" s="180">
        <v>45355</v>
      </c>
      <c r="N273" s="181"/>
      <c r="O273" s="181">
        <v>9.7644529999999996</v>
      </c>
      <c r="P273" s="181">
        <v>126.0416</v>
      </c>
      <c r="Q273" s="182" t="s">
        <v>1775</v>
      </c>
      <c r="R273" s="183" t="s">
        <v>1776</v>
      </c>
      <c r="S273" s="545" t="b">
        <v>0</v>
      </c>
      <c r="T273" s="545" t="b">
        <v>0</v>
      </c>
      <c r="U273" s="181" t="s">
        <v>261</v>
      </c>
      <c r="V273" s="185" t="s">
        <v>89</v>
      </c>
      <c r="W273" s="185" t="s">
        <v>1782</v>
      </c>
      <c r="X273" s="120"/>
      <c r="Y273" s="529" t="s">
        <v>1428</v>
      </c>
      <c r="Z273" s="526" t="s">
        <v>386</v>
      </c>
      <c r="AA273" s="526" t="s">
        <v>386</v>
      </c>
      <c r="AB273" s="525" t="s">
        <v>2806</v>
      </c>
      <c r="AC273" s="545">
        <v>9106119488</v>
      </c>
    </row>
    <row r="274" spans="1:29" ht="25.5">
      <c r="A274" s="32">
        <v>10</v>
      </c>
      <c r="B274" s="176" t="s">
        <v>67</v>
      </c>
      <c r="C274" s="176" t="s">
        <v>275</v>
      </c>
      <c r="D274" s="177" t="s">
        <v>2119</v>
      </c>
      <c r="E274" s="546"/>
      <c r="F274" s="546"/>
      <c r="G274" s="213" t="s">
        <v>273</v>
      </c>
      <c r="H274" s="13"/>
      <c r="I274" s="13"/>
      <c r="J274" s="13" t="s">
        <v>1452</v>
      </c>
      <c r="K274" s="176"/>
      <c r="L274" s="176" t="s">
        <v>374</v>
      </c>
      <c r="M274" s="180">
        <v>45355</v>
      </c>
      <c r="N274" s="181"/>
      <c r="O274" s="181">
        <v>9.7644529999999996</v>
      </c>
      <c r="P274" s="181">
        <v>126.0416</v>
      </c>
      <c r="Q274" s="182" t="s">
        <v>1775</v>
      </c>
      <c r="R274" s="183" t="s">
        <v>1776</v>
      </c>
      <c r="S274" s="546"/>
      <c r="T274" s="546"/>
      <c r="U274" s="181" t="s">
        <v>261</v>
      </c>
      <c r="V274" s="185" t="s">
        <v>89</v>
      </c>
      <c r="W274" s="185" t="s">
        <v>1782</v>
      </c>
      <c r="X274" s="121" t="s">
        <v>652</v>
      </c>
      <c r="Y274" s="512"/>
      <c r="Z274" s="512"/>
      <c r="AA274" s="512"/>
      <c r="AB274" s="512"/>
      <c r="AC274" s="512"/>
    </row>
    <row r="275" spans="1:29" ht="25.5">
      <c r="A275" s="32">
        <v>11</v>
      </c>
      <c r="B275" s="176" t="s">
        <v>67</v>
      </c>
      <c r="C275" s="176" t="s">
        <v>275</v>
      </c>
      <c r="D275" s="177" t="s">
        <v>2119</v>
      </c>
      <c r="E275" s="547"/>
      <c r="F275" s="547"/>
      <c r="G275" s="213" t="s">
        <v>277</v>
      </c>
      <c r="H275" s="97"/>
      <c r="I275" s="97"/>
      <c r="J275" s="97" t="s">
        <v>1454</v>
      </c>
      <c r="K275" s="176"/>
      <c r="L275" s="176" t="s">
        <v>155</v>
      </c>
      <c r="M275" s="180">
        <v>45356</v>
      </c>
      <c r="N275" s="181"/>
      <c r="O275" s="181">
        <v>9.7640999999999991</v>
      </c>
      <c r="P275" s="181">
        <v>126.042</v>
      </c>
      <c r="Q275" s="182" t="s">
        <v>1775</v>
      </c>
      <c r="R275" s="183" t="s">
        <v>1776</v>
      </c>
      <c r="S275" s="547"/>
      <c r="T275" s="547"/>
      <c r="U275" s="181" t="s">
        <v>261</v>
      </c>
      <c r="V275" s="184" t="s">
        <v>89</v>
      </c>
      <c r="W275" s="185" t="s">
        <v>2325</v>
      </c>
      <c r="X275" s="120"/>
      <c r="Y275" s="121" t="s">
        <v>1428</v>
      </c>
      <c r="Z275" s="123" t="s">
        <v>386</v>
      </c>
      <c r="AA275" s="122"/>
      <c r="AB275" s="96"/>
      <c r="AC275" s="18"/>
    </row>
    <row r="276" spans="1:29" ht="25.5">
      <c r="A276" s="32">
        <v>12</v>
      </c>
      <c r="B276" s="176" t="s">
        <v>67</v>
      </c>
      <c r="C276" s="176" t="s">
        <v>278</v>
      </c>
      <c r="D276" s="177" t="s">
        <v>2119</v>
      </c>
      <c r="E276" s="545" t="s">
        <v>279</v>
      </c>
      <c r="F276" s="545" t="s">
        <v>1810</v>
      </c>
      <c r="G276" s="178" t="s">
        <v>281</v>
      </c>
      <c r="H276" s="97"/>
      <c r="I276" s="97"/>
      <c r="J276" s="97" t="s">
        <v>1457</v>
      </c>
      <c r="K276" s="176"/>
      <c r="L276" s="176" t="s">
        <v>155</v>
      </c>
      <c r="M276" s="180">
        <v>45362</v>
      </c>
      <c r="N276" s="181"/>
      <c r="O276" s="181">
        <v>9.7460000000000004</v>
      </c>
      <c r="P276" s="181">
        <v>126.03164599999999</v>
      </c>
      <c r="Q276" s="182" t="s">
        <v>1775</v>
      </c>
      <c r="R276" s="183" t="s">
        <v>1776</v>
      </c>
      <c r="S276" s="545" t="b">
        <v>0</v>
      </c>
      <c r="T276" s="545" t="b">
        <v>0</v>
      </c>
      <c r="U276" s="181" t="s">
        <v>261</v>
      </c>
      <c r="V276" s="185" t="s">
        <v>199</v>
      </c>
      <c r="W276" s="185" t="s">
        <v>1782</v>
      </c>
      <c r="X276" s="121" t="s">
        <v>1458</v>
      </c>
      <c r="Y276" s="121" t="s">
        <v>1428</v>
      </c>
      <c r="Z276" s="123" t="s">
        <v>386</v>
      </c>
      <c r="AA276" s="123" t="s">
        <v>386</v>
      </c>
      <c r="AB276" s="96" t="s">
        <v>2821</v>
      </c>
      <c r="AC276" s="96">
        <v>9704464382</v>
      </c>
    </row>
    <row r="277" spans="1:29" ht="25.5">
      <c r="A277" s="32">
        <v>13</v>
      </c>
      <c r="B277" s="176" t="s">
        <v>67</v>
      </c>
      <c r="C277" s="176" t="s">
        <v>278</v>
      </c>
      <c r="D277" s="177" t="s">
        <v>2119</v>
      </c>
      <c r="E277" s="547"/>
      <c r="F277" s="547"/>
      <c r="G277" s="178" t="s">
        <v>285</v>
      </c>
      <c r="H277" s="23"/>
      <c r="I277" s="23"/>
      <c r="J277" s="23" t="s">
        <v>1463</v>
      </c>
      <c r="K277" s="176"/>
      <c r="L277" s="176" t="s">
        <v>374</v>
      </c>
      <c r="M277" s="180">
        <v>45362</v>
      </c>
      <c r="N277" s="181"/>
      <c r="O277" s="181">
        <v>9.7465609999999998</v>
      </c>
      <c r="P277" s="181">
        <v>126.032076</v>
      </c>
      <c r="Q277" s="182" t="s">
        <v>1775</v>
      </c>
      <c r="R277" s="183" t="s">
        <v>1776</v>
      </c>
      <c r="S277" s="547"/>
      <c r="T277" s="547"/>
      <c r="U277" s="181" t="s">
        <v>261</v>
      </c>
      <c r="V277" s="185" t="s">
        <v>199</v>
      </c>
      <c r="W277" s="185" t="s">
        <v>1782</v>
      </c>
      <c r="X277" s="120"/>
      <c r="Y277" s="121" t="s">
        <v>1428</v>
      </c>
      <c r="Z277" s="123" t="s">
        <v>386</v>
      </c>
      <c r="AA277" s="122"/>
      <c r="AB277" s="45" t="s">
        <v>2827</v>
      </c>
      <c r="AC277" s="96">
        <v>9485413825</v>
      </c>
    </row>
    <row r="278" spans="1:29" ht="25.5">
      <c r="A278" s="32">
        <v>14</v>
      </c>
      <c r="B278" s="176" t="s">
        <v>67</v>
      </c>
      <c r="C278" s="176" t="s">
        <v>1804</v>
      </c>
      <c r="D278" s="177" t="s">
        <v>2119</v>
      </c>
      <c r="E278" s="545" t="str">
        <f>LEFT(G278,FIND("_",G278) - 1)</f>
        <v>Consolacion Barangay Hall</v>
      </c>
      <c r="F278" s="545" t="s">
        <v>1810</v>
      </c>
      <c r="G278" s="213" t="s">
        <v>1805</v>
      </c>
      <c r="H278" s="23" t="s">
        <v>547</v>
      </c>
      <c r="I278" s="23"/>
      <c r="J278" s="23" t="s">
        <v>1807</v>
      </c>
      <c r="K278" s="176"/>
      <c r="L278" s="176" t="s">
        <v>155</v>
      </c>
      <c r="M278" s="180">
        <v>45561</v>
      </c>
      <c r="N278" s="181"/>
      <c r="O278" s="181">
        <v>9.6897739900000008</v>
      </c>
      <c r="P278" s="181">
        <v>126.00788369999999</v>
      </c>
      <c r="Q278" s="182" t="s">
        <v>1775</v>
      </c>
      <c r="R278" s="183" t="s">
        <v>1776</v>
      </c>
      <c r="S278" s="545" t="b">
        <v>0</v>
      </c>
      <c r="T278" s="545" t="b">
        <v>0</v>
      </c>
      <c r="U278" s="181" t="s">
        <v>513</v>
      </c>
      <c r="V278" s="185" t="s">
        <v>89</v>
      </c>
      <c r="W278" s="185" t="s">
        <v>1782</v>
      </c>
      <c r="X278" s="18"/>
      <c r="Y278" s="527" t="s">
        <v>1428</v>
      </c>
      <c r="Z278" s="527" t="s">
        <v>386</v>
      </c>
      <c r="AA278" s="18"/>
      <c r="AB278" s="525" t="s">
        <v>1818</v>
      </c>
      <c r="AC278" s="525" t="s">
        <v>1819</v>
      </c>
    </row>
    <row r="279" spans="1:29" ht="25.5">
      <c r="A279" s="32">
        <v>15</v>
      </c>
      <c r="B279" s="176" t="s">
        <v>67</v>
      </c>
      <c r="C279" s="176" t="s">
        <v>1804</v>
      </c>
      <c r="D279" s="177" t="s">
        <v>2119</v>
      </c>
      <c r="E279" s="546"/>
      <c r="F279" s="546"/>
      <c r="G279" s="213" t="s">
        <v>1822</v>
      </c>
      <c r="H279" s="23"/>
      <c r="I279" s="23"/>
      <c r="J279" s="23" t="s">
        <v>1824</v>
      </c>
      <c r="K279" s="176"/>
      <c r="L279" s="176" t="s">
        <v>155</v>
      </c>
      <c r="M279" s="180">
        <v>45561</v>
      </c>
      <c r="N279" s="181"/>
      <c r="O279" s="181">
        <v>9.6897739900000008</v>
      </c>
      <c r="P279" s="181">
        <v>126.00788369999999</v>
      </c>
      <c r="Q279" s="182" t="s">
        <v>1775</v>
      </c>
      <c r="R279" s="183" t="s">
        <v>1776</v>
      </c>
      <c r="S279" s="546"/>
      <c r="T279" s="546"/>
      <c r="U279" s="181" t="s">
        <v>513</v>
      </c>
      <c r="V279" s="185" t="s">
        <v>89</v>
      </c>
      <c r="W279" s="185" t="s">
        <v>1782</v>
      </c>
      <c r="X279" s="18"/>
      <c r="Y279" s="512"/>
      <c r="Z279" s="512"/>
      <c r="AA279" s="18"/>
      <c r="AB279" s="512"/>
      <c r="AC279" s="512"/>
    </row>
    <row r="280" spans="1:29" ht="25.5">
      <c r="A280" s="32">
        <v>16</v>
      </c>
      <c r="B280" s="176" t="s">
        <v>67</v>
      </c>
      <c r="C280" s="176" t="s">
        <v>1804</v>
      </c>
      <c r="D280" s="177" t="s">
        <v>2119</v>
      </c>
      <c r="E280" s="546"/>
      <c r="F280" s="546"/>
      <c r="G280" s="235" t="s">
        <v>1826</v>
      </c>
      <c r="H280" s="23"/>
      <c r="I280" s="23" t="s">
        <v>2841</v>
      </c>
      <c r="J280" s="23" t="s">
        <v>1828</v>
      </c>
      <c r="K280" s="176"/>
      <c r="L280" s="176" t="s">
        <v>207</v>
      </c>
      <c r="M280" s="180">
        <v>45561</v>
      </c>
      <c r="N280" s="181"/>
      <c r="O280" s="181">
        <v>9.6909738599999997</v>
      </c>
      <c r="P280" s="181">
        <v>126.00930049999999</v>
      </c>
      <c r="Q280" s="182" t="s">
        <v>1775</v>
      </c>
      <c r="R280" s="183" t="s">
        <v>1776</v>
      </c>
      <c r="S280" s="546"/>
      <c r="T280" s="546"/>
      <c r="U280" s="181" t="s">
        <v>513</v>
      </c>
      <c r="V280" s="185" t="s">
        <v>199</v>
      </c>
      <c r="W280" s="185" t="s">
        <v>2080</v>
      </c>
      <c r="X280" s="18"/>
      <c r="Y280" s="527" t="s">
        <v>1428</v>
      </c>
      <c r="Z280" s="527" t="s">
        <v>386</v>
      </c>
      <c r="AA280" s="18"/>
      <c r="AB280" s="525" t="s">
        <v>1832</v>
      </c>
      <c r="AC280" s="525">
        <v>9482607644</v>
      </c>
    </row>
    <row r="281" spans="1:29" ht="25.5">
      <c r="A281" s="32">
        <v>17</v>
      </c>
      <c r="B281" s="176" t="s">
        <v>67</v>
      </c>
      <c r="C281" s="176" t="s">
        <v>1804</v>
      </c>
      <c r="D281" s="177" t="s">
        <v>2119</v>
      </c>
      <c r="E281" s="546"/>
      <c r="F281" s="546"/>
      <c r="G281" s="235" t="s">
        <v>1834</v>
      </c>
      <c r="H281" s="23"/>
      <c r="I281" s="23" t="s">
        <v>2841</v>
      </c>
      <c r="J281" s="23" t="s">
        <v>1828</v>
      </c>
      <c r="K281" s="176"/>
      <c r="L281" s="176" t="s">
        <v>207</v>
      </c>
      <c r="M281" s="180">
        <v>45561</v>
      </c>
      <c r="N281" s="181"/>
      <c r="O281" s="181">
        <v>9.6909738599999997</v>
      </c>
      <c r="P281" s="181">
        <v>126.00930049999999</v>
      </c>
      <c r="Q281" s="182" t="s">
        <v>1775</v>
      </c>
      <c r="R281" s="183" t="s">
        <v>1776</v>
      </c>
      <c r="S281" s="546"/>
      <c r="T281" s="546"/>
      <c r="U281" s="181" t="s">
        <v>513</v>
      </c>
      <c r="V281" s="184" t="s">
        <v>199</v>
      </c>
      <c r="W281" s="185" t="s">
        <v>2080</v>
      </c>
      <c r="X281" s="18"/>
      <c r="Y281" s="512"/>
      <c r="Z281" s="512"/>
      <c r="AA281" s="18"/>
      <c r="AB281" s="512"/>
      <c r="AC281" s="512"/>
    </row>
    <row r="282" spans="1:29" ht="25.5">
      <c r="A282" s="32">
        <v>18</v>
      </c>
      <c r="B282" s="176" t="s">
        <v>67</v>
      </c>
      <c r="C282" s="176" t="s">
        <v>1804</v>
      </c>
      <c r="D282" s="177" t="s">
        <v>2119</v>
      </c>
      <c r="E282" s="547"/>
      <c r="F282" s="547"/>
      <c r="G282" s="213" t="s">
        <v>1835</v>
      </c>
      <c r="H282" s="23" t="s">
        <v>2846</v>
      </c>
      <c r="I282" s="23"/>
      <c r="J282" s="23" t="s">
        <v>1837</v>
      </c>
      <c r="K282" s="176"/>
      <c r="L282" s="176" t="s">
        <v>374</v>
      </c>
      <c r="M282" s="180">
        <v>45561</v>
      </c>
      <c r="N282" s="181"/>
      <c r="O282" s="181">
        <v>9.6912521999999992</v>
      </c>
      <c r="P282" s="181">
        <v>126.00746599999999</v>
      </c>
      <c r="Q282" s="182" t="s">
        <v>1775</v>
      </c>
      <c r="R282" s="183" t="s">
        <v>1776</v>
      </c>
      <c r="S282" s="547"/>
      <c r="T282" s="547"/>
      <c r="U282" s="181" t="s">
        <v>513</v>
      </c>
      <c r="V282" s="184" t="s">
        <v>89</v>
      </c>
      <c r="W282" s="185" t="s">
        <v>2080</v>
      </c>
      <c r="X282" s="18"/>
      <c r="Y282" s="128" t="s">
        <v>1428</v>
      </c>
      <c r="Z282" s="128" t="s">
        <v>386</v>
      </c>
      <c r="AA282" s="18"/>
      <c r="AB282" s="96" t="s">
        <v>1845</v>
      </c>
      <c r="AC282" s="18"/>
    </row>
    <row r="283" spans="1:29" ht="25.5">
      <c r="A283" s="32">
        <v>19</v>
      </c>
      <c r="B283" s="176" t="s">
        <v>67</v>
      </c>
      <c r="C283" s="185" t="s">
        <v>360</v>
      </c>
      <c r="D283" s="177" t="s">
        <v>2119</v>
      </c>
      <c r="E283" s="545" t="str">
        <f>LEFT(G283,FIND("_",G283) - 1)</f>
        <v>Siargao Island Medical Center</v>
      </c>
      <c r="F283" s="545" t="s">
        <v>1810</v>
      </c>
      <c r="G283" s="190" t="s">
        <v>110</v>
      </c>
      <c r="H283" s="13"/>
      <c r="I283" s="13"/>
      <c r="J283" s="13" t="s">
        <v>1851</v>
      </c>
      <c r="K283" s="176"/>
      <c r="L283" s="176" t="s">
        <v>553</v>
      </c>
      <c r="M283" s="180">
        <v>45688</v>
      </c>
      <c r="N283" s="181"/>
      <c r="O283" s="181">
        <v>9.7586759500000007</v>
      </c>
      <c r="P283" s="181">
        <v>126.0574337</v>
      </c>
      <c r="Q283" s="314" t="s">
        <v>1775</v>
      </c>
      <c r="R283" s="315" t="s">
        <v>1776</v>
      </c>
      <c r="S283" s="545" t="b">
        <v>0</v>
      </c>
      <c r="T283" s="545" t="b">
        <v>0</v>
      </c>
      <c r="U283" s="181" t="s">
        <v>513</v>
      </c>
      <c r="V283" s="185" t="s">
        <v>89</v>
      </c>
      <c r="W283" s="185" t="s">
        <v>1782</v>
      </c>
      <c r="X283" s="18"/>
      <c r="Y283" s="527" t="s">
        <v>1428</v>
      </c>
      <c r="Z283" s="527" t="s">
        <v>386</v>
      </c>
      <c r="AA283" s="527" t="s">
        <v>386</v>
      </c>
      <c r="AB283" s="525" t="s">
        <v>2859</v>
      </c>
      <c r="AC283" s="525">
        <v>9951552647</v>
      </c>
    </row>
    <row r="284" spans="1:29" ht="25.5">
      <c r="A284" s="32">
        <v>20</v>
      </c>
      <c r="B284" s="176" t="s">
        <v>67</v>
      </c>
      <c r="C284" s="185" t="s">
        <v>360</v>
      </c>
      <c r="D284" s="177" t="s">
        <v>2119</v>
      </c>
      <c r="E284" s="546"/>
      <c r="F284" s="546"/>
      <c r="G284" s="316" t="s">
        <v>129</v>
      </c>
      <c r="H284" s="220"/>
      <c r="I284" s="220"/>
      <c r="J284" s="220" t="s">
        <v>1865</v>
      </c>
      <c r="K284" s="176"/>
      <c r="L284" s="176" t="s">
        <v>553</v>
      </c>
      <c r="M284" s="180">
        <v>45688</v>
      </c>
      <c r="N284" s="181"/>
      <c r="O284" s="181">
        <v>9.7586759500000007</v>
      </c>
      <c r="P284" s="181">
        <v>126.0574337</v>
      </c>
      <c r="Q284" s="314" t="s">
        <v>1775</v>
      </c>
      <c r="R284" s="315" t="s">
        <v>1776</v>
      </c>
      <c r="S284" s="546"/>
      <c r="T284" s="546"/>
      <c r="U284" s="181" t="s">
        <v>513</v>
      </c>
      <c r="V284" s="185" t="s">
        <v>89</v>
      </c>
      <c r="W284" s="185" t="s">
        <v>1782</v>
      </c>
      <c r="X284" s="18"/>
      <c r="Y284" s="511"/>
      <c r="Z284" s="511"/>
      <c r="AA284" s="511"/>
      <c r="AB284" s="511"/>
      <c r="AC284" s="511"/>
    </row>
    <row r="285" spans="1:29" ht="25.5">
      <c r="A285" s="32">
        <v>21</v>
      </c>
      <c r="B285" s="176" t="s">
        <v>67</v>
      </c>
      <c r="C285" s="185" t="s">
        <v>360</v>
      </c>
      <c r="D285" s="177" t="s">
        <v>2119</v>
      </c>
      <c r="E285" s="547"/>
      <c r="F285" s="547"/>
      <c r="G285" s="190" t="s">
        <v>135</v>
      </c>
      <c r="H285" s="13"/>
      <c r="I285" s="13"/>
      <c r="J285" s="13" t="s">
        <v>1868</v>
      </c>
      <c r="K285" s="176"/>
      <c r="L285" s="176" t="s">
        <v>553</v>
      </c>
      <c r="M285" s="180">
        <v>45688</v>
      </c>
      <c r="N285" s="181"/>
      <c r="O285" s="181">
        <v>9.7586759500000007</v>
      </c>
      <c r="P285" s="181">
        <v>126.0574337</v>
      </c>
      <c r="Q285" s="314" t="s">
        <v>1775</v>
      </c>
      <c r="R285" s="315" t="s">
        <v>1776</v>
      </c>
      <c r="S285" s="547"/>
      <c r="T285" s="547"/>
      <c r="U285" s="181" t="s">
        <v>513</v>
      </c>
      <c r="V285" s="185" t="s">
        <v>89</v>
      </c>
      <c r="W285" s="185" t="s">
        <v>1782</v>
      </c>
      <c r="X285" s="18"/>
      <c r="Y285" s="512"/>
      <c r="Z285" s="512"/>
      <c r="AA285" s="512"/>
      <c r="AB285" s="512"/>
      <c r="AC285" s="512"/>
    </row>
    <row r="286" spans="1:29" ht="12.75">
      <c r="A286" s="32">
        <v>22</v>
      </c>
      <c r="B286" s="181" t="s">
        <v>67</v>
      </c>
      <c r="C286" s="181" t="s">
        <v>308</v>
      </c>
      <c r="D286" s="177" t="s">
        <v>2119</v>
      </c>
      <c r="E286" s="545" t="str">
        <f>LEFT(G286,FIND("_",G286) - 1)</f>
        <v>Jubang Barangay Hall</v>
      </c>
      <c r="F286" s="545" t="s">
        <v>1810</v>
      </c>
      <c r="G286" s="190" t="s">
        <v>310</v>
      </c>
      <c r="H286" s="97"/>
      <c r="I286" s="97"/>
      <c r="J286" s="97" t="s">
        <v>2272</v>
      </c>
      <c r="K286" s="181"/>
      <c r="L286" s="181" t="s">
        <v>666</v>
      </c>
      <c r="M286" s="180">
        <v>45757</v>
      </c>
      <c r="N286" s="181"/>
      <c r="O286" s="181">
        <v>9.76106257</v>
      </c>
      <c r="P286" s="181">
        <v>126.0127461</v>
      </c>
      <c r="Q286" s="182" t="s">
        <v>1775</v>
      </c>
      <c r="R286" s="183" t="s">
        <v>1776</v>
      </c>
      <c r="S286" s="545" t="b">
        <v>0</v>
      </c>
      <c r="T286" s="545" t="b">
        <v>0</v>
      </c>
      <c r="U286" s="181" t="s">
        <v>311</v>
      </c>
      <c r="V286" s="184" t="s">
        <v>89</v>
      </c>
      <c r="W286" s="185" t="s">
        <v>1782</v>
      </c>
      <c r="X286" s="18"/>
      <c r="Y286" s="527" t="s">
        <v>1428</v>
      </c>
      <c r="Z286" s="527" t="s">
        <v>386</v>
      </c>
      <c r="AA286" s="527" t="s">
        <v>386</v>
      </c>
      <c r="AB286" s="96" t="s">
        <v>2883</v>
      </c>
      <c r="AC286" s="16">
        <v>9998406830</v>
      </c>
    </row>
    <row r="287" spans="1:29" ht="12.75">
      <c r="A287" s="32">
        <v>23</v>
      </c>
      <c r="B287" s="181" t="s">
        <v>67</v>
      </c>
      <c r="C287" s="181" t="s">
        <v>308</v>
      </c>
      <c r="D287" s="177" t="s">
        <v>2119</v>
      </c>
      <c r="E287" s="546"/>
      <c r="F287" s="546"/>
      <c r="G287" s="190" t="s">
        <v>314</v>
      </c>
      <c r="H287" s="97"/>
      <c r="I287" s="97"/>
      <c r="J287" s="97" t="s">
        <v>2276</v>
      </c>
      <c r="K287" s="181"/>
      <c r="L287" s="181" t="s">
        <v>666</v>
      </c>
      <c r="M287" s="180">
        <v>45775</v>
      </c>
      <c r="N287" s="181"/>
      <c r="O287" s="181">
        <v>9.7612396599999993</v>
      </c>
      <c r="P287" s="181">
        <v>126.01277949999999</v>
      </c>
      <c r="Q287" s="182" t="s">
        <v>1775</v>
      </c>
      <c r="R287" s="183" t="s">
        <v>1776</v>
      </c>
      <c r="S287" s="546"/>
      <c r="T287" s="546"/>
      <c r="U287" s="181" t="s">
        <v>311</v>
      </c>
      <c r="V287" s="184" t="s">
        <v>89</v>
      </c>
      <c r="W287" s="185" t="s">
        <v>1782</v>
      </c>
      <c r="X287" s="18"/>
      <c r="Y287" s="512"/>
      <c r="Z287" s="512"/>
      <c r="AA287" s="512"/>
      <c r="AB287" s="18"/>
      <c r="AC287" s="18"/>
    </row>
    <row r="288" spans="1:29" ht="25.5">
      <c r="A288" s="32">
        <v>24</v>
      </c>
      <c r="B288" s="181" t="s">
        <v>67</v>
      </c>
      <c r="C288" s="181" t="s">
        <v>308</v>
      </c>
      <c r="D288" s="177" t="s">
        <v>2119</v>
      </c>
      <c r="E288" s="547"/>
      <c r="F288" s="547"/>
      <c r="G288" s="190" t="s">
        <v>317</v>
      </c>
      <c r="H288" s="97"/>
      <c r="I288" s="97"/>
      <c r="J288" s="97" t="s">
        <v>2278</v>
      </c>
      <c r="K288" s="181"/>
      <c r="L288" s="181" t="s">
        <v>374</v>
      </c>
      <c r="M288" s="180">
        <v>45776</v>
      </c>
      <c r="N288" s="181"/>
      <c r="O288" s="181">
        <v>9.7610137699999999</v>
      </c>
      <c r="P288" s="181">
        <v>126.0129905</v>
      </c>
      <c r="Q288" s="182" t="s">
        <v>1775</v>
      </c>
      <c r="R288" s="183" t="s">
        <v>1776</v>
      </c>
      <c r="S288" s="547"/>
      <c r="T288" s="547"/>
      <c r="U288" s="181" t="s">
        <v>311</v>
      </c>
      <c r="V288" s="184" t="s">
        <v>89</v>
      </c>
      <c r="W288" s="185" t="s">
        <v>1782</v>
      </c>
      <c r="X288" s="18"/>
      <c r="Y288" s="128" t="s">
        <v>1428</v>
      </c>
      <c r="Z288" s="128" t="s">
        <v>386</v>
      </c>
      <c r="AA288" s="119"/>
      <c r="AB288" s="96" t="s">
        <v>2886</v>
      </c>
      <c r="AC288" s="16">
        <v>9514076191</v>
      </c>
    </row>
    <row r="289" spans="1:29" ht="12.75">
      <c r="A289" s="32">
        <v>25</v>
      </c>
      <c r="B289" s="181" t="s">
        <v>67</v>
      </c>
      <c r="C289" s="181" t="s">
        <v>331</v>
      </c>
      <c r="D289" s="177" t="s">
        <v>2119</v>
      </c>
      <c r="E289" s="545" t="str">
        <f>LEFT(G289,FIND("_",G289) - 1)</f>
        <v>Cabawa Barangay Hall</v>
      </c>
      <c r="F289" s="545" t="s">
        <v>1810</v>
      </c>
      <c r="G289" s="190" t="s">
        <v>335</v>
      </c>
      <c r="H289" s="97"/>
      <c r="I289" s="97"/>
      <c r="J289" s="97" t="s">
        <v>2291</v>
      </c>
      <c r="K289" s="186"/>
      <c r="L289" s="181" t="s">
        <v>666</v>
      </c>
      <c r="M289" s="180">
        <v>45758</v>
      </c>
      <c r="N289" s="181"/>
      <c r="O289" s="181">
        <v>9.7161117200000007</v>
      </c>
      <c r="P289" s="181">
        <v>126.06116590000001</v>
      </c>
      <c r="Q289" s="182" t="s">
        <v>1775</v>
      </c>
      <c r="R289" s="183" t="s">
        <v>1776</v>
      </c>
      <c r="S289" s="545" t="b">
        <v>0</v>
      </c>
      <c r="T289" s="545" t="b">
        <v>0</v>
      </c>
      <c r="U289" s="181" t="s">
        <v>311</v>
      </c>
      <c r="V289" s="184" t="s">
        <v>89</v>
      </c>
      <c r="W289" s="185" t="s">
        <v>1782</v>
      </c>
      <c r="X289" s="18"/>
      <c r="Y289" s="527" t="s">
        <v>1428</v>
      </c>
      <c r="Z289" s="527" t="s">
        <v>386</v>
      </c>
      <c r="AA289" s="527" t="s">
        <v>2292</v>
      </c>
      <c r="AB289" s="96" t="s">
        <v>2890</v>
      </c>
      <c r="AC289" s="96">
        <v>9535725922</v>
      </c>
    </row>
    <row r="290" spans="1:29" ht="25.5">
      <c r="A290" s="32">
        <v>26</v>
      </c>
      <c r="B290" s="181" t="s">
        <v>67</v>
      </c>
      <c r="C290" s="181" t="s">
        <v>331</v>
      </c>
      <c r="D290" s="177" t="s">
        <v>2119</v>
      </c>
      <c r="E290" s="546"/>
      <c r="F290" s="546"/>
      <c r="G290" s="190" t="s">
        <v>337</v>
      </c>
      <c r="H290" s="97"/>
      <c r="I290" s="97"/>
      <c r="J290" s="97" t="s">
        <v>2294</v>
      </c>
      <c r="K290" s="186"/>
      <c r="L290" s="181" t="s">
        <v>666</v>
      </c>
      <c r="M290" s="180">
        <v>45780</v>
      </c>
      <c r="N290" s="181"/>
      <c r="O290" s="181">
        <v>9.7158870499999992</v>
      </c>
      <c r="P290" s="181">
        <v>126.06362660000001</v>
      </c>
      <c r="Q290" s="182" t="s">
        <v>1775</v>
      </c>
      <c r="R290" s="183" t="s">
        <v>1776</v>
      </c>
      <c r="S290" s="546"/>
      <c r="T290" s="546"/>
      <c r="U290" s="181" t="s">
        <v>311</v>
      </c>
      <c r="V290" s="185" t="s">
        <v>199</v>
      </c>
      <c r="W290" s="185" t="s">
        <v>1782</v>
      </c>
      <c r="X290" s="18"/>
      <c r="Y290" s="512"/>
      <c r="Z290" s="512"/>
      <c r="AA290" s="512"/>
      <c r="AB290" s="18"/>
      <c r="AC290" s="18"/>
    </row>
    <row r="291" spans="1:29" ht="25.5">
      <c r="A291" s="32">
        <v>27</v>
      </c>
      <c r="B291" s="181" t="s">
        <v>67</v>
      </c>
      <c r="C291" s="181" t="s">
        <v>331</v>
      </c>
      <c r="D291" s="177" t="s">
        <v>2119</v>
      </c>
      <c r="E291" s="546"/>
      <c r="F291" s="546"/>
      <c r="G291" s="190" t="s">
        <v>341</v>
      </c>
      <c r="H291" s="97"/>
      <c r="I291" s="97"/>
      <c r="J291" s="97" t="s">
        <v>2296</v>
      </c>
      <c r="K291" s="186"/>
      <c r="L291" s="181" t="s">
        <v>374</v>
      </c>
      <c r="M291" s="180">
        <v>45780</v>
      </c>
      <c r="N291" s="181"/>
      <c r="O291" s="181">
        <v>9.7154174500000003</v>
      </c>
      <c r="P291" s="181">
        <v>126.06158670000001</v>
      </c>
      <c r="Q291" s="182" t="s">
        <v>1775</v>
      </c>
      <c r="R291" s="183" t="s">
        <v>1776</v>
      </c>
      <c r="S291" s="546"/>
      <c r="T291" s="546"/>
      <c r="U291" s="181" t="s">
        <v>311</v>
      </c>
      <c r="V291" s="184" t="s">
        <v>89</v>
      </c>
      <c r="W291" s="185" t="s">
        <v>1782</v>
      </c>
      <c r="X291" s="18"/>
      <c r="Y291" s="527" t="s">
        <v>1428</v>
      </c>
      <c r="Z291" s="527" t="s">
        <v>386</v>
      </c>
      <c r="AA291" s="119"/>
      <c r="AB291" s="96" t="s">
        <v>2893</v>
      </c>
      <c r="AC291" s="96">
        <v>9090103278</v>
      </c>
    </row>
    <row r="292" spans="1:29" ht="25.5">
      <c r="A292" s="32">
        <v>28</v>
      </c>
      <c r="B292" s="181" t="s">
        <v>67</v>
      </c>
      <c r="C292" s="181" t="s">
        <v>331</v>
      </c>
      <c r="D292" s="177" t="s">
        <v>2119</v>
      </c>
      <c r="E292" s="547"/>
      <c r="F292" s="547"/>
      <c r="G292" s="190" t="s">
        <v>343</v>
      </c>
      <c r="H292" s="97"/>
      <c r="I292" s="97"/>
      <c r="J292" s="97" t="s">
        <v>2298</v>
      </c>
      <c r="K292" s="186"/>
      <c r="L292" s="181" t="s">
        <v>374</v>
      </c>
      <c r="M292" s="180">
        <v>45780</v>
      </c>
      <c r="N292" s="181"/>
      <c r="O292" s="181">
        <v>9.7156800400000005</v>
      </c>
      <c r="P292" s="181">
        <v>126.0616971</v>
      </c>
      <c r="Q292" s="182" t="s">
        <v>1775</v>
      </c>
      <c r="R292" s="183" t="s">
        <v>1776</v>
      </c>
      <c r="S292" s="547"/>
      <c r="T292" s="547"/>
      <c r="U292" s="181" t="s">
        <v>311</v>
      </c>
      <c r="V292" s="184" t="s">
        <v>199</v>
      </c>
      <c r="W292" s="185" t="s">
        <v>1782</v>
      </c>
      <c r="X292" s="18"/>
      <c r="Y292" s="512"/>
      <c r="Z292" s="512"/>
      <c r="AA292" s="119"/>
      <c r="AB292" s="96" t="s">
        <v>2894</v>
      </c>
      <c r="AC292" s="96">
        <v>9077334421</v>
      </c>
    </row>
    <row r="293" spans="1:29" ht="25.5" hidden="1">
      <c r="A293" s="279">
        <v>29</v>
      </c>
      <c r="B293" s="284" t="s">
        <v>67</v>
      </c>
      <c r="C293" s="284" t="s">
        <v>354</v>
      </c>
      <c r="D293" s="281" t="s">
        <v>2119</v>
      </c>
      <c r="E293" s="554" t="e">
        <f>LEFT(#REF!,FIND("_",#REF!) - 1)</f>
        <v>#REF!</v>
      </c>
      <c r="F293" s="554" t="s">
        <v>1810</v>
      </c>
      <c r="G293" s="235" t="s">
        <v>357</v>
      </c>
      <c r="H293" s="328"/>
      <c r="I293" s="328"/>
      <c r="J293" s="328" t="s">
        <v>2896</v>
      </c>
      <c r="K293" s="284"/>
      <c r="L293" s="284" t="s">
        <v>2030</v>
      </c>
      <c r="M293" s="283">
        <v>45930</v>
      </c>
      <c r="N293" s="284"/>
      <c r="O293" s="284">
        <v>9.7548038199999993</v>
      </c>
      <c r="P293" s="284">
        <v>126.0951094</v>
      </c>
      <c r="Q293" s="285" t="s">
        <v>1775</v>
      </c>
      <c r="R293" s="286" t="s">
        <v>1776</v>
      </c>
      <c r="S293" s="554" t="b">
        <v>0</v>
      </c>
      <c r="T293" s="554" t="b">
        <v>0</v>
      </c>
      <c r="U293" s="284" t="s">
        <v>311</v>
      </c>
      <c r="V293" s="284" t="s">
        <v>89</v>
      </c>
      <c r="W293" s="284" t="s">
        <v>1782</v>
      </c>
      <c r="X293" s="287"/>
      <c r="Y293" s="287"/>
      <c r="Z293" s="287"/>
      <c r="AA293" s="287"/>
      <c r="AB293" s="561" t="s">
        <v>2897</v>
      </c>
      <c r="AC293" s="563">
        <v>9178934685</v>
      </c>
    </row>
    <row r="294" spans="1:29" ht="12.75" hidden="1">
      <c r="A294" s="279">
        <v>30</v>
      </c>
      <c r="B294" s="284" t="s">
        <v>67</v>
      </c>
      <c r="C294" s="284" t="s">
        <v>354</v>
      </c>
      <c r="D294" s="281" t="s">
        <v>2119</v>
      </c>
      <c r="E294" s="556"/>
      <c r="F294" s="556"/>
      <c r="G294" s="330"/>
      <c r="H294" s="331"/>
      <c r="I294" s="331"/>
      <c r="J294" s="328" t="s">
        <v>2898</v>
      </c>
      <c r="K294" s="284"/>
      <c r="L294" s="284" t="s">
        <v>2030</v>
      </c>
      <c r="M294" s="283">
        <v>45936</v>
      </c>
      <c r="N294" s="284"/>
      <c r="O294" s="284">
        <v>9.7547863400000008</v>
      </c>
      <c r="P294" s="284">
        <v>126.095219</v>
      </c>
      <c r="Q294" s="285" t="s">
        <v>1775</v>
      </c>
      <c r="R294" s="286" t="s">
        <v>1776</v>
      </c>
      <c r="S294" s="556"/>
      <c r="T294" s="556"/>
      <c r="U294" s="284" t="s">
        <v>311</v>
      </c>
      <c r="V294" s="284" t="s">
        <v>89</v>
      </c>
      <c r="W294" s="284" t="s">
        <v>2282</v>
      </c>
      <c r="X294" s="287"/>
      <c r="Y294" s="287"/>
      <c r="Z294" s="287"/>
      <c r="AA294" s="287"/>
      <c r="AB294" s="512"/>
      <c r="AC294" s="512"/>
    </row>
    <row r="295" spans="1:29" ht="12.75">
      <c r="A295" s="32">
        <v>31</v>
      </c>
      <c r="B295" s="185" t="s">
        <v>67</v>
      </c>
      <c r="C295" s="185" t="s">
        <v>347</v>
      </c>
      <c r="D295" s="177" t="s">
        <v>2119</v>
      </c>
      <c r="E295" s="548" t="s">
        <v>349</v>
      </c>
      <c r="F295" s="548" t="s">
        <v>1810</v>
      </c>
      <c r="G295" s="213" t="s">
        <v>349</v>
      </c>
      <c r="H295" s="179"/>
      <c r="I295" s="179"/>
      <c r="J295" s="179" t="s">
        <v>2900</v>
      </c>
      <c r="K295" s="185"/>
      <c r="L295" s="185" t="s">
        <v>207</v>
      </c>
      <c r="M295" s="180">
        <v>45896</v>
      </c>
      <c r="N295" s="181"/>
      <c r="O295" s="181">
        <v>9.7551480000000002</v>
      </c>
      <c r="P295" s="181">
        <v>126.052662</v>
      </c>
      <c r="Q295" s="182" t="s">
        <v>1775</v>
      </c>
      <c r="R295" s="183" t="s">
        <v>1776</v>
      </c>
      <c r="S295" s="548" t="b">
        <v>0</v>
      </c>
      <c r="T295" s="548" t="b">
        <v>0</v>
      </c>
      <c r="U295" s="181" t="s">
        <v>350</v>
      </c>
      <c r="V295" s="184" t="s">
        <v>199</v>
      </c>
      <c r="W295" s="185" t="s">
        <v>1782</v>
      </c>
      <c r="X295" s="18"/>
      <c r="Y295" s="18"/>
      <c r="Z295" s="18"/>
      <c r="AA295" s="18"/>
      <c r="AB295" s="96" t="s">
        <v>2901</v>
      </c>
      <c r="AC295" s="96">
        <v>9184704738</v>
      </c>
    </row>
    <row r="296" spans="1:29" ht="25.5">
      <c r="A296" s="32">
        <v>32</v>
      </c>
      <c r="B296" s="185" t="s">
        <v>67</v>
      </c>
      <c r="C296" s="185" t="s">
        <v>347</v>
      </c>
      <c r="D296" s="177" t="s">
        <v>2119</v>
      </c>
      <c r="E296" s="549"/>
      <c r="F296" s="549"/>
      <c r="G296" s="213" t="s">
        <v>353</v>
      </c>
      <c r="H296" s="179"/>
      <c r="I296" s="179"/>
      <c r="J296" s="179" t="s">
        <v>2903</v>
      </c>
      <c r="K296" s="185"/>
      <c r="L296" s="185" t="s">
        <v>207</v>
      </c>
      <c r="M296" s="180">
        <v>45897</v>
      </c>
      <c r="N296" s="181"/>
      <c r="O296" s="181">
        <v>9.7547069999999998</v>
      </c>
      <c r="P296" s="181">
        <v>126.05245600000001</v>
      </c>
      <c r="Q296" s="182" t="s">
        <v>1775</v>
      </c>
      <c r="R296" s="183" t="s">
        <v>1776</v>
      </c>
      <c r="S296" s="549"/>
      <c r="T296" s="549"/>
      <c r="U296" s="181" t="s">
        <v>350</v>
      </c>
      <c r="V296" s="184" t="s">
        <v>199</v>
      </c>
      <c r="W296" s="185" t="s">
        <v>1782</v>
      </c>
      <c r="X296" s="18"/>
      <c r="Y296" s="18"/>
      <c r="Z296" s="18"/>
      <c r="AA296" s="18"/>
      <c r="AB296" s="96" t="s">
        <v>2906</v>
      </c>
      <c r="AC296" s="96">
        <v>9201540034</v>
      </c>
    </row>
    <row r="297" spans="1:29" ht="25.5">
      <c r="A297" s="32">
        <v>33</v>
      </c>
      <c r="B297" s="181" t="s">
        <v>67</v>
      </c>
      <c r="C297" s="185" t="s">
        <v>360</v>
      </c>
      <c r="D297" s="177" t="s">
        <v>2119</v>
      </c>
      <c r="E297" s="181" t="s">
        <v>361</v>
      </c>
      <c r="F297" s="181" t="s">
        <v>2357</v>
      </c>
      <c r="G297" s="235" t="s">
        <v>361</v>
      </c>
      <c r="H297" s="194"/>
      <c r="I297" s="194"/>
      <c r="J297" s="194"/>
      <c r="K297" s="185"/>
      <c r="L297" s="185" t="s">
        <v>666</v>
      </c>
      <c r="M297" s="180">
        <v>45954</v>
      </c>
      <c r="N297" s="181"/>
      <c r="O297" s="181">
        <v>9.755763</v>
      </c>
      <c r="P297" s="181">
        <v>126.053929</v>
      </c>
      <c r="Q297" s="182" t="s">
        <v>1813</v>
      </c>
      <c r="R297" s="183" t="s">
        <v>1776</v>
      </c>
      <c r="S297" s="181" t="b">
        <v>0</v>
      </c>
      <c r="T297" s="181" t="b">
        <v>0</v>
      </c>
      <c r="U297" s="181" t="s">
        <v>362</v>
      </c>
      <c r="V297" s="185" t="s">
        <v>2037</v>
      </c>
      <c r="W297" s="185" t="s">
        <v>2361</v>
      </c>
      <c r="X297" s="18"/>
      <c r="Y297" s="18"/>
      <c r="Z297" s="18"/>
      <c r="AA297" s="18"/>
      <c r="AB297" s="18"/>
      <c r="AC297" s="18"/>
    </row>
    <row r="298" spans="1:29" ht="51">
      <c r="A298" s="32">
        <v>34</v>
      </c>
      <c r="B298" s="181" t="s">
        <v>67</v>
      </c>
      <c r="C298" s="185" t="s">
        <v>364</v>
      </c>
      <c r="D298" s="177" t="s">
        <v>2119</v>
      </c>
      <c r="E298" s="181" t="s">
        <v>365</v>
      </c>
      <c r="F298" s="181" t="s">
        <v>2357</v>
      </c>
      <c r="G298" s="235" t="s">
        <v>365</v>
      </c>
      <c r="H298" s="194"/>
      <c r="I298" s="194"/>
      <c r="J298" s="194"/>
      <c r="K298" s="185"/>
      <c r="L298" s="185" t="s">
        <v>271</v>
      </c>
      <c r="M298" s="180">
        <v>45953</v>
      </c>
      <c r="N298" s="181"/>
      <c r="O298" s="181">
        <v>9.7597539999999992</v>
      </c>
      <c r="P298" s="181">
        <v>126.05777999999999</v>
      </c>
      <c r="Q298" s="182" t="s">
        <v>1813</v>
      </c>
      <c r="R298" s="183" t="s">
        <v>1776</v>
      </c>
      <c r="S298" s="181" t="b">
        <v>0</v>
      </c>
      <c r="T298" s="181" t="b">
        <v>0</v>
      </c>
      <c r="U298" s="181" t="s">
        <v>362</v>
      </c>
      <c r="V298" s="185" t="s">
        <v>2037</v>
      </c>
      <c r="W298" s="185" t="s">
        <v>2361</v>
      </c>
      <c r="X298" s="18"/>
      <c r="Y298" s="18"/>
      <c r="Z298" s="18"/>
      <c r="AA298" s="18"/>
      <c r="AB298" s="96" t="s">
        <v>2908</v>
      </c>
      <c r="AC298" s="96" t="s">
        <v>2909</v>
      </c>
    </row>
    <row r="299" spans="1:29" ht="25.5">
      <c r="A299" s="32">
        <v>35</v>
      </c>
      <c r="B299" s="181" t="s">
        <v>67</v>
      </c>
      <c r="C299" s="185" t="s">
        <v>367</v>
      </c>
      <c r="D299" s="177" t="s">
        <v>2119</v>
      </c>
      <c r="E299" s="181" t="s">
        <v>369</v>
      </c>
      <c r="F299" s="181" t="s">
        <v>2357</v>
      </c>
      <c r="G299" s="235" t="s">
        <v>369</v>
      </c>
      <c r="H299" s="194"/>
      <c r="I299" s="194"/>
      <c r="J299" s="194"/>
      <c r="K299" s="185"/>
      <c r="L299" s="185" t="s">
        <v>666</v>
      </c>
      <c r="M299" s="180">
        <v>45954</v>
      </c>
      <c r="N299" s="181"/>
      <c r="O299" s="181">
        <v>9.7589480000000002</v>
      </c>
      <c r="P299" s="181">
        <v>126.053721</v>
      </c>
      <c r="Q299" s="182" t="s">
        <v>1813</v>
      </c>
      <c r="R299" s="183" t="s">
        <v>1776</v>
      </c>
      <c r="S299" s="181" t="b">
        <v>0</v>
      </c>
      <c r="T299" s="181" t="b">
        <v>0</v>
      </c>
      <c r="U299" s="181" t="s">
        <v>362</v>
      </c>
      <c r="V299" s="185" t="s">
        <v>2037</v>
      </c>
      <c r="W299" s="185" t="s">
        <v>2361</v>
      </c>
      <c r="X299" s="18"/>
      <c r="Y299" s="18"/>
      <c r="Z299" s="18"/>
      <c r="AA299" s="18"/>
      <c r="AB299" s="96"/>
      <c r="AC299" s="96"/>
    </row>
    <row r="300" spans="1:29" ht="25.5">
      <c r="A300" s="32">
        <v>36</v>
      </c>
      <c r="B300" s="181" t="s">
        <v>67</v>
      </c>
      <c r="C300" s="185" t="s">
        <v>354</v>
      </c>
      <c r="D300" s="177" t="s">
        <v>2119</v>
      </c>
      <c r="E300" s="545" t="s">
        <v>2128</v>
      </c>
      <c r="F300" s="545" t="s">
        <v>1810</v>
      </c>
      <c r="G300" s="190" t="s">
        <v>2353</v>
      </c>
      <c r="H300" s="179"/>
      <c r="I300" s="179"/>
      <c r="J300" s="179" t="s">
        <v>2910</v>
      </c>
      <c r="K300" s="185"/>
      <c r="L300" s="185" t="s">
        <v>2030</v>
      </c>
      <c r="M300" s="180">
        <v>45983</v>
      </c>
      <c r="N300" s="181"/>
      <c r="O300" s="181">
        <v>9.7525797000000001</v>
      </c>
      <c r="P300" s="181">
        <v>126.0884913</v>
      </c>
      <c r="Q300" s="182" t="s">
        <v>1775</v>
      </c>
      <c r="R300" s="183" t="s">
        <v>1776</v>
      </c>
      <c r="S300" s="545" t="b">
        <v>0</v>
      </c>
      <c r="T300" s="545" t="b">
        <v>0</v>
      </c>
      <c r="U300" s="181" t="s">
        <v>1999</v>
      </c>
      <c r="V300" s="185" t="s">
        <v>89</v>
      </c>
      <c r="W300" s="185" t="s">
        <v>1782</v>
      </c>
      <c r="X300" s="18"/>
      <c r="Y300" s="18"/>
      <c r="Z300" s="18"/>
      <c r="AA300" s="18"/>
      <c r="AB300" s="334">
        <v>46230.666354166664</v>
      </c>
      <c r="AC300" s="18"/>
    </row>
    <row r="301" spans="1:29" ht="25.5">
      <c r="A301" s="32">
        <v>37</v>
      </c>
      <c r="B301" s="181" t="s">
        <v>67</v>
      </c>
      <c r="C301" s="185" t="s">
        <v>354</v>
      </c>
      <c r="D301" s="177" t="s">
        <v>2119</v>
      </c>
      <c r="E301" s="547"/>
      <c r="F301" s="547"/>
      <c r="G301" s="190" t="s">
        <v>2355</v>
      </c>
      <c r="H301" s="179"/>
      <c r="I301" s="179"/>
      <c r="J301" s="179" t="s">
        <v>2911</v>
      </c>
      <c r="K301" s="185"/>
      <c r="L301" s="185" t="s">
        <v>2030</v>
      </c>
      <c r="M301" s="180">
        <v>45983</v>
      </c>
      <c r="N301" s="181"/>
      <c r="O301" s="181" t="s">
        <v>2356</v>
      </c>
      <c r="P301" s="181">
        <v>126.0884913</v>
      </c>
      <c r="Q301" s="182" t="s">
        <v>1775</v>
      </c>
      <c r="R301" s="183" t="s">
        <v>1776</v>
      </c>
      <c r="S301" s="547"/>
      <c r="T301" s="547"/>
      <c r="U301" s="181" t="s">
        <v>1999</v>
      </c>
      <c r="V301" s="185" t="s">
        <v>89</v>
      </c>
      <c r="W301" s="185" t="s">
        <v>1782</v>
      </c>
      <c r="X301" s="18"/>
      <c r="Y301" s="18"/>
      <c r="Z301" s="18"/>
      <c r="AA301" s="18"/>
      <c r="AB301" s="334">
        <v>46230.668136574073</v>
      </c>
      <c r="AC301" s="18"/>
    </row>
    <row r="302" spans="1:29" ht="25.5">
      <c r="A302" s="32">
        <v>38</v>
      </c>
      <c r="B302" s="181" t="s">
        <v>67</v>
      </c>
      <c r="C302" s="176" t="s">
        <v>275</v>
      </c>
      <c r="D302" s="177" t="s">
        <v>2119</v>
      </c>
      <c r="E302" s="545" t="s">
        <v>2359</v>
      </c>
      <c r="F302" s="545" t="s">
        <v>1810</v>
      </c>
      <c r="G302" s="190" t="s">
        <v>2358</v>
      </c>
      <c r="H302" s="179"/>
      <c r="I302" s="179"/>
      <c r="J302" s="179" t="s">
        <v>2912</v>
      </c>
      <c r="K302" s="185"/>
      <c r="L302" s="185" t="s">
        <v>493</v>
      </c>
      <c r="M302" s="180">
        <v>46000</v>
      </c>
      <c r="N302" s="181"/>
      <c r="O302" s="181">
        <v>9.7547809999999995</v>
      </c>
      <c r="P302" s="181">
        <v>126.094973</v>
      </c>
      <c r="Q302" s="182" t="s">
        <v>1775</v>
      </c>
      <c r="R302" s="183" t="s">
        <v>1776</v>
      </c>
      <c r="S302" s="545" t="b">
        <v>0</v>
      </c>
      <c r="T302" s="545" t="b">
        <v>0</v>
      </c>
      <c r="U302" s="181" t="s">
        <v>1999</v>
      </c>
      <c r="V302" s="185" t="s">
        <v>89</v>
      </c>
      <c r="W302" s="185" t="s">
        <v>1782</v>
      </c>
      <c r="X302" s="18"/>
      <c r="Y302" s="18"/>
      <c r="Z302" s="18"/>
      <c r="AA302" s="18"/>
      <c r="AB302" s="18"/>
      <c r="AC302" s="18"/>
    </row>
    <row r="303" spans="1:29" ht="25.5">
      <c r="A303" s="32">
        <v>39</v>
      </c>
      <c r="B303" s="181" t="s">
        <v>67</v>
      </c>
      <c r="C303" s="176" t="s">
        <v>275</v>
      </c>
      <c r="D303" s="177" t="s">
        <v>2119</v>
      </c>
      <c r="E303" s="547"/>
      <c r="F303" s="547"/>
      <c r="G303" s="190" t="s">
        <v>2360</v>
      </c>
      <c r="H303" s="179"/>
      <c r="I303" s="179"/>
      <c r="J303" s="179" t="s">
        <v>2914</v>
      </c>
      <c r="K303" s="185"/>
      <c r="L303" s="185" t="s">
        <v>493</v>
      </c>
      <c r="M303" s="180">
        <v>46000</v>
      </c>
      <c r="N303" s="181"/>
      <c r="O303" s="181">
        <v>9.7547809999999995</v>
      </c>
      <c r="P303" s="181">
        <v>126.094973</v>
      </c>
      <c r="Q303" s="182" t="s">
        <v>1775</v>
      </c>
      <c r="R303" s="183" t="s">
        <v>1776</v>
      </c>
      <c r="S303" s="545"/>
      <c r="T303" s="547"/>
      <c r="U303" s="181" t="s">
        <v>1999</v>
      </c>
      <c r="V303" s="185" t="s">
        <v>89</v>
      </c>
      <c r="W303" s="185" t="s">
        <v>1782</v>
      </c>
      <c r="X303" s="18"/>
      <c r="Y303" s="18"/>
      <c r="Z303" s="18"/>
      <c r="AA303" s="18"/>
      <c r="AB303" s="18"/>
      <c r="AC303" s="18"/>
    </row>
    <row r="304" spans="1:29" ht="25.5">
      <c r="A304" s="32">
        <v>40</v>
      </c>
      <c r="B304" s="181" t="s">
        <v>67</v>
      </c>
      <c r="C304" s="185" t="s">
        <v>1930</v>
      </c>
      <c r="D304" s="177" t="s">
        <v>2119</v>
      </c>
      <c r="E304" s="545" t="s">
        <v>2415</v>
      </c>
      <c r="F304" s="545" t="s">
        <v>1810</v>
      </c>
      <c r="G304" s="190" t="s">
        <v>2414</v>
      </c>
      <c r="H304" s="179"/>
      <c r="I304" s="179"/>
      <c r="J304" s="179" t="s">
        <v>2916</v>
      </c>
      <c r="K304" s="185"/>
      <c r="L304" s="185" t="s">
        <v>374</v>
      </c>
      <c r="M304" s="180">
        <v>46101</v>
      </c>
      <c r="N304" s="181"/>
      <c r="O304" s="181">
        <v>9.7551109999999994</v>
      </c>
      <c r="P304" s="181">
        <v>126.068814</v>
      </c>
      <c r="Q304" s="182" t="s">
        <v>1813</v>
      </c>
      <c r="R304" s="183" t="s">
        <v>1814</v>
      </c>
      <c r="S304" s="545" t="b">
        <v>0</v>
      </c>
      <c r="T304" s="545" t="b">
        <v>0</v>
      </c>
      <c r="U304" s="181" t="s">
        <v>1815</v>
      </c>
      <c r="V304" s="185" t="s">
        <v>89</v>
      </c>
      <c r="W304" s="185" t="s">
        <v>1782</v>
      </c>
      <c r="X304" s="18"/>
      <c r="Y304" s="18"/>
      <c r="Z304" s="18"/>
      <c r="AA304" s="18"/>
      <c r="AB304" s="18"/>
      <c r="AC304" s="18"/>
    </row>
    <row r="305" spans="1:29" ht="25.5">
      <c r="A305" s="32">
        <v>41</v>
      </c>
      <c r="B305" s="181" t="s">
        <v>67</v>
      </c>
      <c r="C305" s="185" t="s">
        <v>1930</v>
      </c>
      <c r="D305" s="177" t="s">
        <v>2119</v>
      </c>
      <c r="E305" s="546"/>
      <c r="F305" s="546"/>
      <c r="G305" s="190" t="s">
        <v>2420</v>
      </c>
      <c r="H305" s="179"/>
      <c r="I305" s="179"/>
      <c r="J305" s="179" t="s">
        <v>2916</v>
      </c>
      <c r="K305" s="185"/>
      <c r="L305" s="185" t="s">
        <v>374</v>
      </c>
      <c r="M305" s="180">
        <v>46101</v>
      </c>
      <c r="N305" s="181"/>
      <c r="O305" s="181">
        <v>9.7551109999999994</v>
      </c>
      <c r="P305" s="181">
        <v>126.068814</v>
      </c>
      <c r="Q305" s="182" t="s">
        <v>1813</v>
      </c>
      <c r="R305" s="183" t="s">
        <v>1814</v>
      </c>
      <c r="S305" s="545"/>
      <c r="T305" s="546"/>
      <c r="U305" s="181" t="s">
        <v>1815</v>
      </c>
      <c r="V305" s="185" t="s">
        <v>89</v>
      </c>
      <c r="W305" s="185" t="s">
        <v>1782</v>
      </c>
      <c r="X305" s="18"/>
      <c r="Y305" s="18"/>
      <c r="Z305" s="18"/>
      <c r="AA305" s="18"/>
      <c r="AB305" s="18"/>
      <c r="AC305" s="18"/>
    </row>
    <row r="306" spans="1:29" ht="25.5">
      <c r="A306" s="32">
        <v>42</v>
      </c>
      <c r="B306" s="181" t="s">
        <v>67</v>
      </c>
      <c r="C306" s="185" t="s">
        <v>1930</v>
      </c>
      <c r="D306" s="177" t="s">
        <v>2119</v>
      </c>
      <c r="E306" s="547"/>
      <c r="F306" s="547"/>
      <c r="G306" s="190" t="s">
        <v>2421</v>
      </c>
      <c r="H306" s="179"/>
      <c r="I306" s="179"/>
      <c r="J306" s="179" t="s">
        <v>2916</v>
      </c>
      <c r="K306" s="185"/>
      <c r="L306" s="185" t="s">
        <v>374</v>
      </c>
      <c r="M306" s="180">
        <v>46101</v>
      </c>
      <c r="N306" s="181"/>
      <c r="O306" s="181">
        <v>9.7551109999999994</v>
      </c>
      <c r="P306" s="181">
        <v>126.068814</v>
      </c>
      <c r="Q306" s="182" t="s">
        <v>1813</v>
      </c>
      <c r="R306" s="183" t="s">
        <v>1814</v>
      </c>
      <c r="S306" s="545"/>
      <c r="T306" s="547"/>
      <c r="U306" s="181" t="s">
        <v>1815</v>
      </c>
      <c r="V306" s="185" t="s">
        <v>89</v>
      </c>
      <c r="W306" s="185" t="s">
        <v>1782</v>
      </c>
      <c r="X306" s="18"/>
      <c r="Y306" s="18"/>
      <c r="Z306" s="18"/>
      <c r="AA306" s="18"/>
      <c r="AB306" s="18"/>
      <c r="AC306" s="18"/>
    </row>
    <row r="307" spans="1:29" ht="12.75">
      <c r="A307" s="32">
        <v>43</v>
      </c>
      <c r="B307" s="181" t="s">
        <v>67</v>
      </c>
      <c r="C307" s="185" t="s">
        <v>360</v>
      </c>
      <c r="D307" s="177" t="s">
        <v>2119</v>
      </c>
      <c r="E307" s="545" t="s">
        <v>2425</v>
      </c>
      <c r="F307" s="545" t="s">
        <v>1810</v>
      </c>
      <c r="G307" s="190" t="s">
        <v>2424</v>
      </c>
      <c r="H307" s="179"/>
      <c r="I307" s="179"/>
      <c r="J307" s="179" t="s">
        <v>2920</v>
      </c>
      <c r="K307" s="185"/>
      <c r="L307" s="185" t="s">
        <v>374</v>
      </c>
      <c r="M307" s="180">
        <v>46101</v>
      </c>
      <c r="N307" s="181"/>
      <c r="O307" s="181">
        <v>9.6915271000000001</v>
      </c>
      <c r="P307" s="181">
        <v>126.007379</v>
      </c>
      <c r="Q307" s="182" t="s">
        <v>1813</v>
      </c>
      <c r="R307" s="183" t="s">
        <v>1814</v>
      </c>
      <c r="S307" s="545" t="b">
        <v>0</v>
      </c>
      <c r="T307" s="545" t="b">
        <v>0</v>
      </c>
      <c r="U307" s="181" t="s">
        <v>1815</v>
      </c>
      <c r="V307" s="185" t="s">
        <v>89</v>
      </c>
      <c r="W307" s="185" t="s">
        <v>1782</v>
      </c>
      <c r="X307" s="18"/>
      <c r="Y307" s="18"/>
      <c r="Z307" s="18"/>
      <c r="AA307" s="18"/>
      <c r="AB307" s="18"/>
      <c r="AC307" s="18"/>
    </row>
    <row r="308" spans="1:29" ht="12.75">
      <c r="A308" s="32">
        <v>44</v>
      </c>
      <c r="B308" s="181" t="s">
        <v>67</v>
      </c>
      <c r="C308" s="185" t="s">
        <v>360</v>
      </c>
      <c r="D308" s="177" t="s">
        <v>2119</v>
      </c>
      <c r="E308" s="546"/>
      <c r="F308" s="546"/>
      <c r="G308" s="190" t="s">
        <v>2427</v>
      </c>
      <c r="H308" s="179"/>
      <c r="I308" s="179"/>
      <c r="J308" s="179" t="s">
        <v>2920</v>
      </c>
      <c r="K308" s="185"/>
      <c r="L308" s="185" t="s">
        <v>374</v>
      </c>
      <c r="M308" s="180">
        <v>46101</v>
      </c>
      <c r="N308" s="181"/>
      <c r="O308" s="181">
        <v>9.6915271000000001</v>
      </c>
      <c r="P308" s="181">
        <v>126.007379</v>
      </c>
      <c r="Q308" s="182" t="s">
        <v>1813</v>
      </c>
      <c r="R308" s="183" t="s">
        <v>1814</v>
      </c>
      <c r="S308" s="545"/>
      <c r="T308" s="546"/>
      <c r="U308" s="181" t="s">
        <v>1815</v>
      </c>
      <c r="V308" s="184" t="s">
        <v>199</v>
      </c>
      <c r="W308" s="185" t="s">
        <v>1782</v>
      </c>
      <c r="X308" s="18"/>
      <c r="Y308" s="18"/>
      <c r="Z308" s="18"/>
      <c r="AA308" s="18"/>
      <c r="AB308" s="18"/>
      <c r="AC308" s="18"/>
    </row>
    <row r="309" spans="1:29" ht="12.75">
      <c r="A309" s="32">
        <v>45</v>
      </c>
      <c r="B309" s="181" t="s">
        <v>67</v>
      </c>
      <c r="C309" s="185" t="s">
        <v>360</v>
      </c>
      <c r="D309" s="177" t="s">
        <v>2119</v>
      </c>
      <c r="E309" s="547"/>
      <c r="F309" s="547"/>
      <c r="G309" s="190" t="s">
        <v>2428</v>
      </c>
      <c r="H309" s="179"/>
      <c r="I309" s="179"/>
      <c r="J309" s="179" t="s">
        <v>2920</v>
      </c>
      <c r="K309" s="185"/>
      <c r="L309" s="185" t="s">
        <v>374</v>
      </c>
      <c r="M309" s="180">
        <v>46101</v>
      </c>
      <c r="N309" s="181"/>
      <c r="O309" s="181">
        <v>9.6915271000000001</v>
      </c>
      <c r="P309" s="181">
        <v>126.007379</v>
      </c>
      <c r="Q309" s="182" t="s">
        <v>1813</v>
      </c>
      <c r="R309" s="183" t="s">
        <v>1814</v>
      </c>
      <c r="S309" s="545"/>
      <c r="T309" s="547"/>
      <c r="U309" s="181" t="s">
        <v>1815</v>
      </c>
      <c r="V309" s="185" t="s">
        <v>89</v>
      </c>
      <c r="W309" s="185" t="s">
        <v>1782</v>
      </c>
      <c r="X309" s="18"/>
      <c r="Y309" s="18"/>
      <c r="Z309" s="18"/>
      <c r="AA309" s="18"/>
      <c r="AB309" s="18"/>
      <c r="AC309" s="18"/>
    </row>
    <row r="310" spans="1:29" ht="25.5">
      <c r="A310" s="32">
        <v>46</v>
      </c>
      <c r="B310" s="181" t="s">
        <v>67</v>
      </c>
      <c r="C310" s="185" t="s">
        <v>1804</v>
      </c>
      <c r="D310" s="177" t="s">
        <v>2119</v>
      </c>
      <c r="E310" s="545" t="s">
        <v>551</v>
      </c>
      <c r="F310" s="545" t="s">
        <v>1810</v>
      </c>
      <c r="G310" s="190" t="s">
        <v>2431</v>
      </c>
      <c r="H310" s="179"/>
      <c r="I310" s="179"/>
      <c r="J310" s="179" t="s">
        <v>2921</v>
      </c>
      <c r="K310" s="342"/>
      <c r="L310" s="185" t="s">
        <v>374</v>
      </c>
      <c r="M310" s="180">
        <v>46101</v>
      </c>
      <c r="N310" s="181"/>
      <c r="O310" s="181">
        <v>9.6927216000000005</v>
      </c>
      <c r="P310" s="181">
        <v>126.079201</v>
      </c>
      <c r="Q310" s="182" t="s">
        <v>1813</v>
      </c>
      <c r="R310" s="183" t="s">
        <v>1814</v>
      </c>
      <c r="S310" s="545" t="b">
        <v>0</v>
      </c>
      <c r="T310" s="545" t="b">
        <v>0</v>
      </c>
      <c r="U310" s="181" t="s">
        <v>1815</v>
      </c>
      <c r="V310" s="184" t="s">
        <v>89</v>
      </c>
      <c r="W310" s="185" t="s">
        <v>1782</v>
      </c>
      <c r="X310" s="18"/>
      <c r="Y310" s="18"/>
      <c r="Z310" s="18"/>
      <c r="AA310" s="18"/>
      <c r="AB310" s="18"/>
      <c r="AC310" s="18"/>
    </row>
    <row r="311" spans="1:29" ht="25.5">
      <c r="A311" s="32">
        <v>47</v>
      </c>
      <c r="B311" s="181" t="s">
        <v>67</v>
      </c>
      <c r="C311" s="185" t="s">
        <v>1804</v>
      </c>
      <c r="D311" s="177" t="s">
        <v>2119</v>
      </c>
      <c r="E311" s="546"/>
      <c r="F311" s="546"/>
      <c r="G311" s="190" t="s">
        <v>2432</v>
      </c>
      <c r="H311" s="179"/>
      <c r="I311" s="179"/>
      <c r="J311" s="179" t="s">
        <v>2921</v>
      </c>
      <c r="K311" s="342"/>
      <c r="L311" s="185" t="s">
        <v>374</v>
      </c>
      <c r="M311" s="180">
        <v>46101</v>
      </c>
      <c r="N311" s="181"/>
      <c r="O311" s="181">
        <v>9.6927216000000005</v>
      </c>
      <c r="P311" s="181">
        <v>126.079201</v>
      </c>
      <c r="Q311" s="182" t="s">
        <v>1813</v>
      </c>
      <c r="R311" s="183" t="s">
        <v>1814</v>
      </c>
      <c r="S311" s="545"/>
      <c r="T311" s="545"/>
      <c r="U311" s="181" t="s">
        <v>1815</v>
      </c>
      <c r="V311" s="184" t="s">
        <v>89</v>
      </c>
      <c r="W311" s="185" t="s">
        <v>1782</v>
      </c>
      <c r="X311" s="18"/>
      <c r="Y311" s="18"/>
      <c r="Z311" s="18"/>
      <c r="AA311" s="18"/>
      <c r="AB311" s="18"/>
      <c r="AC311" s="18"/>
    </row>
    <row r="312" spans="1:29" ht="25.5">
      <c r="A312" s="32">
        <v>48</v>
      </c>
      <c r="B312" s="181" t="s">
        <v>67</v>
      </c>
      <c r="C312" s="185" t="s">
        <v>1804</v>
      </c>
      <c r="D312" s="177" t="s">
        <v>2119</v>
      </c>
      <c r="E312" s="547"/>
      <c r="F312" s="547"/>
      <c r="G312" s="190" t="s">
        <v>2433</v>
      </c>
      <c r="H312" s="179"/>
      <c r="I312" s="179"/>
      <c r="J312" s="179" t="s">
        <v>2921</v>
      </c>
      <c r="K312" s="342"/>
      <c r="L312" s="185" t="s">
        <v>374</v>
      </c>
      <c r="M312" s="180">
        <v>46101</v>
      </c>
      <c r="N312" s="181"/>
      <c r="O312" s="181">
        <v>9.6927216000000005</v>
      </c>
      <c r="P312" s="181">
        <v>126.079201</v>
      </c>
      <c r="Q312" s="182" t="s">
        <v>1813</v>
      </c>
      <c r="R312" s="183" t="s">
        <v>1814</v>
      </c>
      <c r="S312" s="545"/>
      <c r="T312" s="545"/>
      <c r="U312" s="181" t="s">
        <v>1815</v>
      </c>
      <c r="V312" s="184" t="s">
        <v>89</v>
      </c>
      <c r="W312" s="185" t="s">
        <v>1782</v>
      </c>
      <c r="X312" s="18"/>
      <c r="Y312" s="18"/>
      <c r="Z312" s="18"/>
      <c r="AA312" s="18"/>
      <c r="AB312" s="18"/>
      <c r="AC312" s="18"/>
    </row>
    <row r="313" spans="1:29" ht="25.5">
      <c r="A313" s="32">
        <v>49</v>
      </c>
      <c r="B313" s="181" t="s">
        <v>67</v>
      </c>
      <c r="C313" s="185" t="s">
        <v>2434</v>
      </c>
      <c r="D313" s="177" t="s">
        <v>2119</v>
      </c>
      <c r="E313" s="545" t="s">
        <v>2922</v>
      </c>
      <c r="F313" s="545" t="s">
        <v>1810</v>
      </c>
      <c r="G313" s="75" t="s">
        <v>2923</v>
      </c>
      <c r="H313" s="179"/>
      <c r="I313" s="179"/>
      <c r="J313" s="179" t="s">
        <v>2924</v>
      </c>
      <c r="K313" s="185"/>
      <c r="L313" s="185" t="s">
        <v>374</v>
      </c>
      <c r="M313" s="180">
        <v>46101</v>
      </c>
      <c r="N313" s="181"/>
      <c r="O313" s="181">
        <v>9.6913210000000003</v>
      </c>
      <c r="P313" s="181">
        <v>126.009372</v>
      </c>
      <c r="Q313" s="182" t="s">
        <v>1813</v>
      </c>
      <c r="R313" s="183" t="s">
        <v>1814</v>
      </c>
      <c r="S313" s="545" t="b">
        <v>0</v>
      </c>
      <c r="T313" s="545" t="b">
        <v>0</v>
      </c>
      <c r="U313" s="181" t="s">
        <v>1815</v>
      </c>
      <c r="V313" s="184" t="s">
        <v>89</v>
      </c>
      <c r="W313" s="185" t="s">
        <v>1782</v>
      </c>
      <c r="X313" s="18"/>
      <c r="Y313" s="18"/>
      <c r="Z313" s="18"/>
      <c r="AA313" s="18"/>
      <c r="AB313" s="18"/>
      <c r="AC313" s="18"/>
    </row>
    <row r="314" spans="1:29" ht="25.5">
      <c r="A314" s="32">
        <v>50</v>
      </c>
      <c r="B314" s="181" t="s">
        <v>67</v>
      </c>
      <c r="C314" s="185" t="s">
        <v>2434</v>
      </c>
      <c r="D314" s="177" t="s">
        <v>2119</v>
      </c>
      <c r="E314" s="546"/>
      <c r="F314" s="546"/>
      <c r="G314" s="75" t="s">
        <v>2925</v>
      </c>
      <c r="H314" s="179"/>
      <c r="I314" s="179"/>
      <c r="J314" s="179" t="s">
        <v>2924</v>
      </c>
      <c r="K314" s="185"/>
      <c r="L314" s="185" t="s">
        <v>374</v>
      </c>
      <c r="M314" s="180">
        <v>46101</v>
      </c>
      <c r="N314" s="181"/>
      <c r="O314" s="181">
        <v>9.6913210000000003</v>
      </c>
      <c r="P314" s="181">
        <v>126.009372</v>
      </c>
      <c r="Q314" s="182" t="s">
        <v>1813</v>
      </c>
      <c r="R314" s="183" t="s">
        <v>1814</v>
      </c>
      <c r="S314" s="545"/>
      <c r="T314" s="545"/>
      <c r="U314" s="181" t="s">
        <v>1815</v>
      </c>
      <c r="V314" s="184" t="s">
        <v>199</v>
      </c>
      <c r="W314" s="185" t="s">
        <v>1782</v>
      </c>
      <c r="X314" s="18"/>
      <c r="Y314" s="18"/>
      <c r="Z314" s="18"/>
      <c r="AA314" s="18"/>
      <c r="AB314" s="18"/>
      <c r="AC314" s="18"/>
    </row>
    <row r="315" spans="1:29" ht="25.5">
      <c r="A315" s="32">
        <v>51</v>
      </c>
      <c r="B315" s="181" t="s">
        <v>67</v>
      </c>
      <c r="C315" s="185" t="s">
        <v>2434</v>
      </c>
      <c r="D315" s="177" t="s">
        <v>2119</v>
      </c>
      <c r="E315" s="547"/>
      <c r="F315" s="547"/>
      <c r="G315" s="75" t="s">
        <v>2926</v>
      </c>
      <c r="H315" s="179"/>
      <c r="I315" s="179"/>
      <c r="J315" s="179" t="s">
        <v>2924</v>
      </c>
      <c r="K315" s="185"/>
      <c r="L315" s="185" t="s">
        <v>374</v>
      </c>
      <c r="M315" s="180">
        <v>46101</v>
      </c>
      <c r="N315" s="181"/>
      <c r="O315" s="181">
        <v>9.6913210000000003</v>
      </c>
      <c r="P315" s="181">
        <v>126.009372</v>
      </c>
      <c r="Q315" s="182" t="s">
        <v>1813</v>
      </c>
      <c r="R315" s="183" t="s">
        <v>1814</v>
      </c>
      <c r="S315" s="545"/>
      <c r="T315" s="545"/>
      <c r="U315" s="181" t="s">
        <v>1815</v>
      </c>
      <c r="V315" s="184" t="s">
        <v>89</v>
      </c>
      <c r="W315" s="185" t="s">
        <v>1782</v>
      </c>
      <c r="X315" s="18"/>
      <c r="Y315" s="18"/>
      <c r="Z315" s="18"/>
      <c r="AA315" s="18"/>
      <c r="AB315" s="18"/>
      <c r="AC315" s="18"/>
    </row>
    <row r="316" spans="1:29" ht="25.5">
      <c r="A316" s="32">
        <v>52</v>
      </c>
      <c r="B316" s="181" t="s">
        <v>67</v>
      </c>
      <c r="C316" s="185" t="s">
        <v>2441</v>
      </c>
      <c r="D316" s="177" t="s">
        <v>2119</v>
      </c>
      <c r="E316" s="545" t="s">
        <v>2443</v>
      </c>
      <c r="F316" s="545" t="s">
        <v>1810</v>
      </c>
      <c r="G316" s="190" t="s">
        <v>2442</v>
      </c>
      <c r="H316" s="179"/>
      <c r="I316" s="179"/>
      <c r="J316" s="179" t="s">
        <v>2927</v>
      </c>
      <c r="K316" s="185"/>
      <c r="L316" s="185" t="s">
        <v>374</v>
      </c>
      <c r="M316" s="180">
        <v>46101</v>
      </c>
      <c r="N316" s="181"/>
      <c r="O316" s="181">
        <v>9.7128364999999999</v>
      </c>
      <c r="P316" s="181">
        <v>125.968171</v>
      </c>
      <c r="Q316" s="182" t="s">
        <v>1813</v>
      </c>
      <c r="R316" s="183" t="s">
        <v>1814</v>
      </c>
      <c r="S316" s="545" t="b">
        <v>0</v>
      </c>
      <c r="T316" s="545" t="b">
        <v>0</v>
      </c>
      <c r="U316" s="181" t="s">
        <v>1815</v>
      </c>
      <c r="V316" s="185" t="s">
        <v>89</v>
      </c>
      <c r="W316" s="185" t="s">
        <v>1782</v>
      </c>
      <c r="X316" s="18"/>
      <c r="Y316" s="18"/>
      <c r="Z316" s="18"/>
      <c r="AA316" s="18"/>
      <c r="AB316" s="18"/>
      <c r="AC316" s="18"/>
    </row>
    <row r="317" spans="1:29" ht="25.5">
      <c r="A317" s="32">
        <v>53</v>
      </c>
      <c r="B317" s="181" t="s">
        <v>67</v>
      </c>
      <c r="C317" s="185" t="s">
        <v>2441</v>
      </c>
      <c r="D317" s="177" t="s">
        <v>2119</v>
      </c>
      <c r="E317" s="546"/>
      <c r="F317" s="546"/>
      <c r="G317" s="190" t="s">
        <v>2445</v>
      </c>
      <c r="H317" s="179"/>
      <c r="I317" s="179"/>
      <c r="J317" s="179" t="s">
        <v>2927</v>
      </c>
      <c r="K317" s="185"/>
      <c r="L317" s="185" t="s">
        <v>374</v>
      </c>
      <c r="M317" s="180">
        <v>46101</v>
      </c>
      <c r="N317" s="181"/>
      <c r="O317" s="181">
        <v>9.7128364999999999</v>
      </c>
      <c r="P317" s="181">
        <v>125.968171</v>
      </c>
      <c r="Q317" s="182" t="s">
        <v>1813</v>
      </c>
      <c r="R317" s="183" t="s">
        <v>1814</v>
      </c>
      <c r="S317" s="546"/>
      <c r="T317" s="546"/>
      <c r="U317" s="181" t="s">
        <v>1815</v>
      </c>
      <c r="V317" s="185" t="s">
        <v>89</v>
      </c>
      <c r="W317" s="185" t="s">
        <v>1782</v>
      </c>
      <c r="X317" s="18"/>
      <c r="Y317" s="18"/>
      <c r="Z317" s="18"/>
      <c r="AA317" s="18"/>
      <c r="AB317" s="18"/>
      <c r="AC317" s="18"/>
    </row>
    <row r="318" spans="1:29" ht="25.5">
      <c r="A318" s="32">
        <v>54</v>
      </c>
      <c r="B318" s="181" t="s">
        <v>67</v>
      </c>
      <c r="C318" s="185" t="s">
        <v>2441</v>
      </c>
      <c r="D318" s="177" t="s">
        <v>2119</v>
      </c>
      <c r="E318" s="547"/>
      <c r="F318" s="547"/>
      <c r="G318" s="190" t="s">
        <v>2446</v>
      </c>
      <c r="H318" s="179"/>
      <c r="I318" s="179"/>
      <c r="J318" s="179" t="s">
        <v>2927</v>
      </c>
      <c r="K318" s="185"/>
      <c r="L318" s="185" t="s">
        <v>374</v>
      </c>
      <c r="M318" s="180">
        <v>46101</v>
      </c>
      <c r="N318" s="181"/>
      <c r="O318" s="181">
        <v>9.7128364999999999</v>
      </c>
      <c r="P318" s="181">
        <v>125.968171</v>
      </c>
      <c r="Q318" s="182" t="s">
        <v>1813</v>
      </c>
      <c r="R318" s="183" t="s">
        <v>1814</v>
      </c>
      <c r="S318" s="547"/>
      <c r="T318" s="547"/>
      <c r="U318" s="181" t="s">
        <v>1815</v>
      </c>
      <c r="V318" s="185" t="s">
        <v>89</v>
      </c>
      <c r="W318" s="185" t="s">
        <v>1782</v>
      </c>
      <c r="X318" s="18"/>
      <c r="Y318" s="18"/>
      <c r="Z318" s="18"/>
      <c r="AA318" s="18"/>
      <c r="AB318" s="18"/>
      <c r="AC318" s="18"/>
    </row>
    <row r="319" spans="1:29" ht="25.5">
      <c r="A319" s="32">
        <v>55</v>
      </c>
      <c r="B319" s="181" t="s">
        <v>67</v>
      </c>
      <c r="C319" s="185" t="s">
        <v>2448</v>
      </c>
      <c r="D319" s="177" t="s">
        <v>2119</v>
      </c>
      <c r="E319" s="545" t="s">
        <v>2450</v>
      </c>
      <c r="F319" s="545" t="s">
        <v>1810</v>
      </c>
      <c r="G319" s="190" t="s">
        <v>2449</v>
      </c>
      <c r="H319" s="179"/>
      <c r="I319" s="179"/>
      <c r="J319" s="179" t="s">
        <v>2937</v>
      </c>
      <c r="K319" s="185"/>
      <c r="L319" s="185" t="s">
        <v>374</v>
      </c>
      <c r="M319" s="180">
        <v>46101</v>
      </c>
      <c r="N319" s="181"/>
      <c r="O319" s="181">
        <v>9.7362517999999998</v>
      </c>
      <c r="P319" s="181">
        <v>126.027829</v>
      </c>
      <c r="Q319" s="182" t="s">
        <v>1813</v>
      </c>
      <c r="R319" s="183" t="s">
        <v>1814</v>
      </c>
      <c r="S319" s="545" t="b">
        <v>0</v>
      </c>
      <c r="T319" s="545" t="b">
        <v>0</v>
      </c>
      <c r="U319" s="181" t="s">
        <v>1815</v>
      </c>
      <c r="V319" s="185" t="s">
        <v>89</v>
      </c>
      <c r="W319" s="185" t="s">
        <v>1782</v>
      </c>
      <c r="X319" s="18"/>
      <c r="Y319" s="18"/>
      <c r="Z319" s="18"/>
      <c r="AA319" s="18"/>
      <c r="AB319" s="18"/>
      <c r="AC319" s="18"/>
    </row>
    <row r="320" spans="1:29" ht="25.5">
      <c r="A320" s="32">
        <v>56</v>
      </c>
      <c r="B320" s="181" t="s">
        <v>67</v>
      </c>
      <c r="C320" s="185" t="s">
        <v>2448</v>
      </c>
      <c r="D320" s="177" t="s">
        <v>2119</v>
      </c>
      <c r="E320" s="546"/>
      <c r="F320" s="546"/>
      <c r="G320" s="190" t="s">
        <v>2451</v>
      </c>
      <c r="H320" s="179"/>
      <c r="I320" s="179"/>
      <c r="J320" s="179" t="s">
        <v>2937</v>
      </c>
      <c r="K320" s="185"/>
      <c r="L320" s="185" t="s">
        <v>374</v>
      </c>
      <c r="M320" s="180">
        <v>46101</v>
      </c>
      <c r="N320" s="181"/>
      <c r="O320" s="181">
        <v>9.7362517999999998</v>
      </c>
      <c r="P320" s="181">
        <v>126.027829</v>
      </c>
      <c r="Q320" s="182" t="s">
        <v>1813</v>
      </c>
      <c r="R320" s="183" t="s">
        <v>1814</v>
      </c>
      <c r="S320" s="546"/>
      <c r="T320" s="546"/>
      <c r="U320" s="181" t="s">
        <v>1815</v>
      </c>
      <c r="V320" s="185" t="s">
        <v>89</v>
      </c>
      <c r="W320" s="185" t="s">
        <v>1782</v>
      </c>
      <c r="X320" s="18"/>
      <c r="Y320" s="18"/>
      <c r="Z320" s="18"/>
      <c r="AA320" s="18"/>
      <c r="AB320" s="18"/>
      <c r="AC320" s="18"/>
    </row>
    <row r="321" spans="1:29" ht="25.5">
      <c r="A321" s="32">
        <v>57</v>
      </c>
      <c r="B321" s="181" t="s">
        <v>67</v>
      </c>
      <c r="C321" s="185" t="s">
        <v>2448</v>
      </c>
      <c r="D321" s="177" t="s">
        <v>2119</v>
      </c>
      <c r="E321" s="547"/>
      <c r="F321" s="547"/>
      <c r="G321" s="190" t="s">
        <v>2453</v>
      </c>
      <c r="H321" s="179"/>
      <c r="I321" s="179"/>
      <c r="J321" s="179" t="s">
        <v>2937</v>
      </c>
      <c r="K321" s="185"/>
      <c r="L321" s="185" t="s">
        <v>374</v>
      </c>
      <c r="M321" s="180">
        <v>46101</v>
      </c>
      <c r="N321" s="181"/>
      <c r="O321" s="181">
        <v>9.7362517999999998</v>
      </c>
      <c r="P321" s="181">
        <v>126.027829</v>
      </c>
      <c r="Q321" s="182" t="s">
        <v>1813</v>
      </c>
      <c r="R321" s="183" t="s">
        <v>1814</v>
      </c>
      <c r="S321" s="547"/>
      <c r="T321" s="547"/>
      <c r="U321" s="181" t="s">
        <v>1815</v>
      </c>
      <c r="V321" s="185" t="s">
        <v>89</v>
      </c>
      <c r="W321" s="185" t="s">
        <v>1782</v>
      </c>
      <c r="X321" s="18"/>
      <c r="Y321" s="18"/>
      <c r="Z321" s="18"/>
      <c r="AA321" s="18"/>
      <c r="AB321" s="18"/>
      <c r="AC321" s="18"/>
    </row>
    <row r="322" spans="1:29" ht="25.5">
      <c r="A322" s="32">
        <v>58</v>
      </c>
      <c r="B322" s="181" t="s">
        <v>67</v>
      </c>
      <c r="C322" s="185" t="s">
        <v>2455</v>
      </c>
      <c r="D322" s="177" t="s">
        <v>2119</v>
      </c>
      <c r="E322" s="545" t="s">
        <v>2457</v>
      </c>
      <c r="F322" s="545" t="s">
        <v>1810</v>
      </c>
      <c r="G322" s="190" t="s">
        <v>2456</v>
      </c>
      <c r="H322" s="179"/>
      <c r="I322" s="179"/>
      <c r="J322" s="179" t="s">
        <v>2945</v>
      </c>
      <c r="K322" s="185"/>
      <c r="L322" s="185" t="s">
        <v>374</v>
      </c>
      <c r="M322" s="180">
        <v>46101</v>
      </c>
      <c r="N322" s="181"/>
      <c r="O322" s="181">
        <v>9.7976127000000002</v>
      </c>
      <c r="P322" s="181">
        <v>126.10788599999999</v>
      </c>
      <c r="Q322" s="182" t="s">
        <v>1813</v>
      </c>
      <c r="R322" s="183" t="s">
        <v>1814</v>
      </c>
      <c r="S322" s="545" t="b">
        <v>0</v>
      </c>
      <c r="T322" s="545" t="b">
        <v>0</v>
      </c>
      <c r="U322" s="181" t="s">
        <v>1815</v>
      </c>
      <c r="V322" s="184" t="s">
        <v>89</v>
      </c>
      <c r="W322" s="185" t="s">
        <v>1782</v>
      </c>
      <c r="X322" s="18"/>
      <c r="Y322" s="18"/>
      <c r="Z322" s="18"/>
      <c r="AA322" s="18"/>
      <c r="AB322" s="18"/>
      <c r="AC322" s="18"/>
    </row>
    <row r="323" spans="1:29" ht="25.5">
      <c r="A323" s="32">
        <v>59</v>
      </c>
      <c r="B323" s="181" t="s">
        <v>67</v>
      </c>
      <c r="C323" s="185" t="s">
        <v>2455</v>
      </c>
      <c r="D323" s="177" t="s">
        <v>2119</v>
      </c>
      <c r="E323" s="546"/>
      <c r="F323" s="546"/>
      <c r="G323" s="190" t="s">
        <v>2459</v>
      </c>
      <c r="H323" s="179"/>
      <c r="I323" s="179"/>
      <c r="J323" s="179" t="s">
        <v>2945</v>
      </c>
      <c r="K323" s="185"/>
      <c r="L323" s="185" t="s">
        <v>374</v>
      </c>
      <c r="M323" s="180">
        <v>46101</v>
      </c>
      <c r="N323" s="181"/>
      <c r="O323" s="181">
        <v>9.7976127000000002</v>
      </c>
      <c r="P323" s="181">
        <v>126.10788599999999</v>
      </c>
      <c r="Q323" s="182" t="s">
        <v>1813</v>
      </c>
      <c r="R323" s="183" t="s">
        <v>1814</v>
      </c>
      <c r="S323" s="546"/>
      <c r="T323" s="546"/>
      <c r="U323" s="181" t="s">
        <v>1815</v>
      </c>
      <c r="V323" s="184" t="s">
        <v>89</v>
      </c>
      <c r="W323" s="185" t="s">
        <v>1782</v>
      </c>
      <c r="X323" s="18"/>
      <c r="Y323" s="18"/>
      <c r="Z323" s="18"/>
      <c r="AA323" s="18"/>
      <c r="AB323" s="18"/>
      <c r="AC323" s="18"/>
    </row>
    <row r="324" spans="1:29" ht="25.5">
      <c r="A324" s="32">
        <v>60</v>
      </c>
      <c r="B324" s="181" t="s">
        <v>67</v>
      </c>
      <c r="C324" s="185" t="s">
        <v>2455</v>
      </c>
      <c r="D324" s="177" t="s">
        <v>2119</v>
      </c>
      <c r="E324" s="547"/>
      <c r="F324" s="547"/>
      <c r="G324" s="190" t="s">
        <v>2460</v>
      </c>
      <c r="H324" s="179"/>
      <c r="I324" s="179"/>
      <c r="J324" s="179" t="s">
        <v>2945</v>
      </c>
      <c r="K324" s="185"/>
      <c r="L324" s="185" t="s">
        <v>374</v>
      </c>
      <c r="M324" s="180">
        <v>46101</v>
      </c>
      <c r="N324" s="181"/>
      <c r="O324" s="181">
        <v>9.7976127000000002</v>
      </c>
      <c r="P324" s="181">
        <v>126.10788599999999</v>
      </c>
      <c r="Q324" s="182" t="s">
        <v>1813</v>
      </c>
      <c r="R324" s="183" t="s">
        <v>1814</v>
      </c>
      <c r="S324" s="547"/>
      <c r="T324" s="547"/>
      <c r="U324" s="181" t="s">
        <v>1815</v>
      </c>
      <c r="V324" s="184" t="s">
        <v>89</v>
      </c>
      <c r="W324" s="185" t="s">
        <v>1782</v>
      </c>
      <c r="X324" s="18"/>
      <c r="Y324" s="18"/>
      <c r="Z324" s="18"/>
      <c r="AA324" s="18"/>
      <c r="AB324" s="18"/>
      <c r="AC324" s="18"/>
    </row>
    <row r="325" spans="1:29" ht="25.5">
      <c r="A325" s="32">
        <v>61</v>
      </c>
      <c r="B325" s="181" t="s">
        <v>67</v>
      </c>
      <c r="C325" s="185" t="s">
        <v>1804</v>
      </c>
      <c r="D325" s="177" t="s">
        <v>2119</v>
      </c>
      <c r="E325" s="545" t="s">
        <v>549</v>
      </c>
      <c r="F325" s="545" t="s">
        <v>1810</v>
      </c>
      <c r="G325" s="190" t="s">
        <v>2462</v>
      </c>
      <c r="H325" s="179"/>
      <c r="I325" s="179"/>
      <c r="J325" s="179" t="s">
        <v>2956</v>
      </c>
      <c r="K325" s="185"/>
      <c r="L325" s="185" t="s">
        <v>207</v>
      </c>
      <c r="M325" s="180">
        <v>46101</v>
      </c>
      <c r="N325" s="181"/>
      <c r="O325" s="181">
        <v>9.8143626000000008</v>
      </c>
      <c r="P325" s="181">
        <v>126.10721599999999</v>
      </c>
      <c r="Q325" s="182" t="s">
        <v>1813</v>
      </c>
      <c r="R325" s="183" t="s">
        <v>1814</v>
      </c>
      <c r="S325" s="545" t="b">
        <v>0</v>
      </c>
      <c r="T325" s="545" t="b">
        <v>0</v>
      </c>
      <c r="U325" s="181" t="s">
        <v>1815</v>
      </c>
      <c r="V325" s="185" t="s">
        <v>89</v>
      </c>
      <c r="W325" s="185" t="s">
        <v>1782</v>
      </c>
      <c r="X325" s="18"/>
      <c r="Y325" s="18"/>
      <c r="Z325" s="18"/>
      <c r="AA325" s="18"/>
      <c r="AB325" s="18"/>
      <c r="AC325" s="18"/>
    </row>
    <row r="326" spans="1:29" ht="25.5">
      <c r="A326" s="32">
        <v>62</v>
      </c>
      <c r="B326" s="181" t="s">
        <v>67</v>
      </c>
      <c r="C326" s="185" t="s">
        <v>1804</v>
      </c>
      <c r="D326" s="177" t="s">
        <v>2119</v>
      </c>
      <c r="E326" s="546"/>
      <c r="F326" s="546"/>
      <c r="G326" s="190" t="s">
        <v>2468</v>
      </c>
      <c r="H326" s="179"/>
      <c r="I326" s="179"/>
      <c r="J326" s="179" t="s">
        <v>2956</v>
      </c>
      <c r="K326" s="185"/>
      <c r="L326" s="185" t="s">
        <v>207</v>
      </c>
      <c r="M326" s="180">
        <v>46101</v>
      </c>
      <c r="N326" s="181"/>
      <c r="O326" s="181">
        <v>9.8143626000000008</v>
      </c>
      <c r="P326" s="181">
        <v>126.10721599999999</v>
      </c>
      <c r="Q326" s="182" t="s">
        <v>1813</v>
      </c>
      <c r="R326" s="183" t="s">
        <v>1814</v>
      </c>
      <c r="S326" s="545"/>
      <c r="T326" s="546"/>
      <c r="U326" s="181" t="s">
        <v>1815</v>
      </c>
      <c r="V326" s="185" t="s">
        <v>89</v>
      </c>
      <c r="W326" s="185" t="s">
        <v>1782</v>
      </c>
      <c r="X326" s="18"/>
      <c r="Y326" s="18"/>
      <c r="Z326" s="18"/>
      <c r="AA326" s="18"/>
      <c r="AB326" s="18"/>
      <c r="AC326" s="18"/>
    </row>
    <row r="327" spans="1:29" ht="25.5">
      <c r="A327" s="32">
        <v>63</v>
      </c>
      <c r="B327" s="181" t="s">
        <v>67</v>
      </c>
      <c r="C327" s="185" t="s">
        <v>1804</v>
      </c>
      <c r="D327" s="177" t="s">
        <v>2119</v>
      </c>
      <c r="E327" s="547"/>
      <c r="F327" s="547"/>
      <c r="G327" s="190" t="s">
        <v>2470</v>
      </c>
      <c r="H327" s="179"/>
      <c r="I327" s="179"/>
      <c r="J327" s="179" t="s">
        <v>2956</v>
      </c>
      <c r="K327" s="185"/>
      <c r="L327" s="185" t="s">
        <v>207</v>
      </c>
      <c r="M327" s="180">
        <v>46101</v>
      </c>
      <c r="N327" s="181"/>
      <c r="O327" s="181">
        <v>9.8143626000000008</v>
      </c>
      <c r="P327" s="181">
        <v>126.10721599999999</v>
      </c>
      <c r="Q327" s="182" t="s">
        <v>1813</v>
      </c>
      <c r="R327" s="183" t="s">
        <v>1814</v>
      </c>
      <c r="S327" s="545"/>
      <c r="T327" s="547"/>
      <c r="U327" s="181" t="s">
        <v>1815</v>
      </c>
      <c r="V327" s="185" t="s">
        <v>89</v>
      </c>
      <c r="W327" s="185" t="s">
        <v>1782</v>
      </c>
      <c r="X327" s="18"/>
      <c r="Y327" s="18"/>
      <c r="Z327" s="18"/>
      <c r="AA327" s="18"/>
      <c r="AB327" s="18"/>
      <c r="AC327" s="18"/>
    </row>
    <row r="328" spans="1:29" ht="25.5">
      <c r="A328" s="32">
        <v>64</v>
      </c>
      <c r="B328" s="181" t="s">
        <v>67</v>
      </c>
      <c r="C328" s="185" t="s">
        <v>2472</v>
      </c>
      <c r="D328" s="177" t="s">
        <v>2119</v>
      </c>
      <c r="E328" s="545" t="s">
        <v>2474</v>
      </c>
      <c r="F328" s="545" t="s">
        <v>1810</v>
      </c>
      <c r="G328" s="190" t="s">
        <v>2473</v>
      </c>
      <c r="H328" s="179"/>
      <c r="I328" s="179"/>
      <c r="J328" s="179" t="s">
        <v>2967</v>
      </c>
      <c r="K328" s="185"/>
      <c r="L328" s="185" t="s">
        <v>374</v>
      </c>
      <c r="M328" s="180">
        <v>46101</v>
      </c>
      <c r="N328" s="181"/>
      <c r="O328" s="181">
        <v>9.7415211999999993</v>
      </c>
      <c r="P328" s="181">
        <v>126.155866</v>
      </c>
      <c r="Q328" s="182" t="s">
        <v>1813</v>
      </c>
      <c r="R328" s="183" t="s">
        <v>1814</v>
      </c>
      <c r="S328" s="545" t="b">
        <v>0</v>
      </c>
      <c r="T328" s="545" t="b">
        <v>0</v>
      </c>
      <c r="U328" s="181" t="s">
        <v>1815</v>
      </c>
      <c r="V328" s="185" t="s">
        <v>89</v>
      </c>
      <c r="W328" s="185" t="s">
        <v>1782</v>
      </c>
      <c r="X328" s="18"/>
      <c r="Y328" s="18"/>
      <c r="Z328" s="18"/>
      <c r="AA328" s="18"/>
      <c r="AB328" s="18"/>
      <c r="AC328" s="18"/>
    </row>
    <row r="329" spans="1:29" ht="25.5">
      <c r="A329" s="32">
        <v>65</v>
      </c>
      <c r="B329" s="181" t="s">
        <v>67</v>
      </c>
      <c r="C329" s="185" t="s">
        <v>2472</v>
      </c>
      <c r="D329" s="177" t="s">
        <v>2119</v>
      </c>
      <c r="E329" s="546"/>
      <c r="F329" s="546"/>
      <c r="G329" s="190" t="s">
        <v>2475</v>
      </c>
      <c r="H329" s="179"/>
      <c r="I329" s="179"/>
      <c r="J329" s="179" t="s">
        <v>2967</v>
      </c>
      <c r="K329" s="185"/>
      <c r="L329" s="185" t="s">
        <v>374</v>
      </c>
      <c r="M329" s="180">
        <v>46101</v>
      </c>
      <c r="N329" s="181"/>
      <c r="O329" s="181">
        <v>9.7415211999999993</v>
      </c>
      <c r="P329" s="181">
        <v>126.155866</v>
      </c>
      <c r="Q329" s="182" t="s">
        <v>1813</v>
      </c>
      <c r="R329" s="183" t="s">
        <v>1814</v>
      </c>
      <c r="S329" s="546"/>
      <c r="T329" s="546"/>
      <c r="U329" s="181" t="s">
        <v>1815</v>
      </c>
      <c r="V329" s="185" t="s">
        <v>89</v>
      </c>
      <c r="W329" s="185" t="s">
        <v>1782</v>
      </c>
      <c r="X329" s="18"/>
      <c r="Y329" s="18"/>
      <c r="Z329" s="18"/>
      <c r="AA329" s="18"/>
      <c r="AB329" s="18"/>
      <c r="AC329" s="18"/>
    </row>
    <row r="330" spans="1:29" ht="25.5">
      <c r="A330" s="32">
        <v>66</v>
      </c>
      <c r="B330" s="181" t="s">
        <v>67</v>
      </c>
      <c r="C330" s="185" t="s">
        <v>2472</v>
      </c>
      <c r="D330" s="177" t="s">
        <v>2119</v>
      </c>
      <c r="E330" s="547"/>
      <c r="F330" s="547"/>
      <c r="G330" s="190" t="s">
        <v>2478</v>
      </c>
      <c r="H330" s="179"/>
      <c r="I330" s="179"/>
      <c r="J330" s="179" t="s">
        <v>2967</v>
      </c>
      <c r="K330" s="185"/>
      <c r="L330" s="185" t="s">
        <v>374</v>
      </c>
      <c r="M330" s="180">
        <v>46101</v>
      </c>
      <c r="N330" s="181"/>
      <c r="O330" s="181">
        <v>9.7415211999999993</v>
      </c>
      <c r="P330" s="181">
        <v>126.155866</v>
      </c>
      <c r="Q330" s="182" t="s">
        <v>1813</v>
      </c>
      <c r="R330" s="183" t="s">
        <v>1814</v>
      </c>
      <c r="S330" s="547"/>
      <c r="T330" s="547"/>
      <c r="U330" s="181" t="s">
        <v>1815</v>
      </c>
      <c r="V330" s="185" t="s">
        <v>89</v>
      </c>
      <c r="W330" s="185" t="s">
        <v>1782</v>
      </c>
      <c r="X330" s="18"/>
      <c r="Y330" s="18"/>
      <c r="Z330" s="18"/>
      <c r="AA330" s="18"/>
      <c r="AB330" s="18"/>
      <c r="AC330" s="18"/>
    </row>
    <row r="331" spans="1:29" ht="12.75">
      <c r="A331" s="32">
        <v>67</v>
      </c>
      <c r="B331" s="181" t="s">
        <v>67</v>
      </c>
      <c r="C331" s="185" t="s">
        <v>1617</v>
      </c>
      <c r="D331" s="177" t="s">
        <v>2119</v>
      </c>
      <c r="E331" s="545" t="s">
        <v>2480</v>
      </c>
      <c r="F331" s="545" t="s">
        <v>1810</v>
      </c>
      <c r="G331" s="190" t="s">
        <v>2479</v>
      </c>
      <c r="H331" s="179"/>
      <c r="I331" s="179"/>
      <c r="J331" s="179" t="s">
        <v>2974</v>
      </c>
      <c r="K331" s="185"/>
      <c r="L331" s="185" t="s">
        <v>374</v>
      </c>
      <c r="M331" s="180">
        <v>46101</v>
      </c>
      <c r="N331" s="181"/>
      <c r="O331" s="181">
        <v>9.8016836999999999</v>
      </c>
      <c r="P331" s="181">
        <v>126.12766999999999</v>
      </c>
      <c r="Q331" s="182" t="s">
        <v>1813</v>
      </c>
      <c r="R331" s="183" t="s">
        <v>1814</v>
      </c>
      <c r="S331" s="545" t="b">
        <v>0</v>
      </c>
      <c r="T331" s="545" t="b">
        <v>0</v>
      </c>
      <c r="U331" s="181" t="s">
        <v>1815</v>
      </c>
      <c r="V331" s="184" t="s">
        <v>89</v>
      </c>
      <c r="W331" s="185" t="s">
        <v>1782</v>
      </c>
      <c r="X331" s="18"/>
      <c r="Y331" s="18"/>
      <c r="Z331" s="18"/>
      <c r="AA331" s="18"/>
      <c r="AB331" s="18"/>
      <c r="AC331" s="18"/>
    </row>
    <row r="332" spans="1:29" ht="12.75">
      <c r="A332" s="32">
        <v>68</v>
      </c>
      <c r="B332" s="181" t="s">
        <v>67</v>
      </c>
      <c r="C332" s="185" t="s">
        <v>1617</v>
      </c>
      <c r="D332" s="177" t="s">
        <v>2119</v>
      </c>
      <c r="E332" s="546"/>
      <c r="F332" s="546"/>
      <c r="G332" s="190" t="s">
        <v>2484</v>
      </c>
      <c r="H332" s="179"/>
      <c r="I332" s="179"/>
      <c r="J332" s="179" t="s">
        <v>2974</v>
      </c>
      <c r="K332" s="185"/>
      <c r="L332" s="185" t="s">
        <v>374</v>
      </c>
      <c r="M332" s="180">
        <v>46101</v>
      </c>
      <c r="N332" s="181"/>
      <c r="O332" s="181">
        <v>9.8016836999999999</v>
      </c>
      <c r="P332" s="181">
        <v>126.12766999999999</v>
      </c>
      <c r="Q332" s="182" t="s">
        <v>1813</v>
      </c>
      <c r="R332" s="183" t="s">
        <v>1814</v>
      </c>
      <c r="S332" s="546"/>
      <c r="T332" s="546"/>
      <c r="U332" s="181" t="s">
        <v>1815</v>
      </c>
      <c r="V332" s="184" t="s">
        <v>89</v>
      </c>
      <c r="W332" s="185" t="s">
        <v>1782</v>
      </c>
      <c r="X332" s="18"/>
      <c r="Y332" s="18"/>
      <c r="Z332" s="18"/>
      <c r="AA332" s="18"/>
      <c r="AB332" s="18"/>
      <c r="AC332" s="18"/>
    </row>
    <row r="333" spans="1:29" ht="12.75">
      <c r="A333" s="32">
        <v>69</v>
      </c>
      <c r="B333" s="181" t="s">
        <v>67</v>
      </c>
      <c r="C333" s="185" t="s">
        <v>1617</v>
      </c>
      <c r="D333" s="177" t="s">
        <v>2119</v>
      </c>
      <c r="E333" s="547"/>
      <c r="F333" s="547"/>
      <c r="G333" s="190" t="s">
        <v>2487</v>
      </c>
      <c r="H333" s="179"/>
      <c r="I333" s="179"/>
      <c r="J333" s="179" t="s">
        <v>2974</v>
      </c>
      <c r="K333" s="185"/>
      <c r="L333" s="185" t="s">
        <v>374</v>
      </c>
      <c r="M333" s="180">
        <v>46101</v>
      </c>
      <c r="N333" s="181"/>
      <c r="O333" s="181">
        <v>9.8016836999999999</v>
      </c>
      <c r="P333" s="181">
        <v>126.12766999999999</v>
      </c>
      <c r="Q333" s="182" t="s">
        <v>1813</v>
      </c>
      <c r="R333" s="183" t="s">
        <v>1814</v>
      </c>
      <c r="S333" s="547"/>
      <c r="T333" s="547"/>
      <c r="U333" s="181" t="s">
        <v>1815</v>
      </c>
      <c r="V333" s="184" t="s">
        <v>89</v>
      </c>
      <c r="W333" s="185" t="s">
        <v>1782</v>
      </c>
      <c r="X333" s="18"/>
      <c r="Y333" s="18"/>
      <c r="Z333" s="18"/>
      <c r="AA333" s="18"/>
      <c r="AB333" s="18"/>
      <c r="AC333" s="18"/>
    </row>
    <row r="334" spans="1:29" ht="25.5">
      <c r="A334" s="32">
        <v>70</v>
      </c>
      <c r="B334" s="181" t="s">
        <v>67</v>
      </c>
      <c r="C334" s="185" t="s">
        <v>306</v>
      </c>
      <c r="D334" s="177" t="s">
        <v>2119</v>
      </c>
      <c r="E334" s="545" t="s">
        <v>2489</v>
      </c>
      <c r="F334" s="545" t="s">
        <v>1810</v>
      </c>
      <c r="G334" s="190" t="s">
        <v>2488</v>
      </c>
      <c r="H334" s="179"/>
      <c r="I334" s="179"/>
      <c r="J334" s="179" t="s">
        <v>2985</v>
      </c>
      <c r="K334" s="185"/>
      <c r="L334" s="185" t="s">
        <v>374</v>
      </c>
      <c r="M334" s="180">
        <v>46101</v>
      </c>
      <c r="N334" s="181"/>
      <c r="O334" s="181">
        <v>9.8109453999999996</v>
      </c>
      <c r="P334" s="181">
        <v>126.130044</v>
      </c>
      <c r="Q334" s="182" t="s">
        <v>1813</v>
      </c>
      <c r="R334" s="183" t="s">
        <v>1814</v>
      </c>
      <c r="S334" s="545" t="b">
        <v>0</v>
      </c>
      <c r="T334" s="545" t="b">
        <v>0</v>
      </c>
      <c r="U334" s="181" t="s">
        <v>1815</v>
      </c>
      <c r="V334" s="184" t="s">
        <v>89</v>
      </c>
      <c r="W334" s="185" t="s">
        <v>1782</v>
      </c>
      <c r="X334" s="18"/>
      <c r="Y334" s="18"/>
      <c r="Z334" s="18"/>
      <c r="AA334" s="18"/>
      <c r="AB334" s="18"/>
      <c r="AC334" s="18"/>
    </row>
    <row r="335" spans="1:29" ht="25.5">
      <c r="A335" s="32">
        <v>71</v>
      </c>
      <c r="B335" s="181" t="s">
        <v>67</v>
      </c>
      <c r="C335" s="185" t="s">
        <v>306</v>
      </c>
      <c r="D335" s="177" t="s">
        <v>2119</v>
      </c>
      <c r="E335" s="546"/>
      <c r="F335" s="546"/>
      <c r="G335" s="190" t="s">
        <v>2490</v>
      </c>
      <c r="H335" s="179"/>
      <c r="I335" s="179"/>
      <c r="J335" s="179" t="s">
        <v>2985</v>
      </c>
      <c r="K335" s="185"/>
      <c r="L335" s="185" t="s">
        <v>374</v>
      </c>
      <c r="M335" s="180">
        <v>46101</v>
      </c>
      <c r="N335" s="181"/>
      <c r="O335" s="181">
        <v>9.8109453999999996</v>
      </c>
      <c r="P335" s="181">
        <v>126.130044</v>
      </c>
      <c r="Q335" s="182" t="s">
        <v>1813</v>
      </c>
      <c r="R335" s="183" t="s">
        <v>1814</v>
      </c>
      <c r="S335" s="546"/>
      <c r="T335" s="546"/>
      <c r="U335" s="181" t="s">
        <v>1815</v>
      </c>
      <c r="V335" s="184" t="s">
        <v>89</v>
      </c>
      <c r="W335" s="185" t="s">
        <v>1782</v>
      </c>
      <c r="X335" s="18"/>
      <c r="Y335" s="18"/>
      <c r="Z335" s="18"/>
      <c r="AA335" s="18"/>
      <c r="AB335" s="18"/>
      <c r="AC335" s="18"/>
    </row>
    <row r="336" spans="1:29" ht="25.5">
      <c r="A336" s="32">
        <v>72</v>
      </c>
      <c r="B336" s="181" t="s">
        <v>67</v>
      </c>
      <c r="C336" s="185" t="s">
        <v>306</v>
      </c>
      <c r="D336" s="177" t="s">
        <v>2119</v>
      </c>
      <c r="E336" s="547"/>
      <c r="F336" s="547"/>
      <c r="G336" s="190" t="s">
        <v>2491</v>
      </c>
      <c r="H336" s="179"/>
      <c r="I336" s="179"/>
      <c r="J336" s="179" t="s">
        <v>2985</v>
      </c>
      <c r="K336" s="185"/>
      <c r="L336" s="185" t="s">
        <v>374</v>
      </c>
      <c r="M336" s="180">
        <v>46101</v>
      </c>
      <c r="N336" s="181"/>
      <c r="O336" s="181">
        <v>9.8109453999999996</v>
      </c>
      <c r="P336" s="181">
        <v>126.130044</v>
      </c>
      <c r="Q336" s="182" t="s">
        <v>1813</v>
      </c>
      <c r="R336" s="183" t="s">
        <v>1814</v>
      </c>
      <c r="S336" s="547"/>
      <c r="T336" s="547"/>
      <c r="U336" s="181" t="s">
        <v>1815</v>
      </c>
      <c r="V336" s="184" t="s">
        <v>89</v>
      </c>
      <c r="W336" s="185" t="s">
        <v>1782</v>
      </c>
      <c r="X336" s="18"/>
      <c r="Y336" s="18"/>
      <c r="Z336" s="18"/>
      <c r="AA336" s="18"/>
      <c r="AB336" s="18"/>
      <c r="AC336" s="18"/>
    </row>
    <row r="337" spans="1:29" ht="25.5">
      <c r="A337" s="32">
        <v>73</v>
      </c>
      <c r="B337" s="181" t="s">
        <v>67</v>
      </c>
      <c r="C337" s="185" t="s">
        <v>2482</v>
      </c>
      <c r="D337" s="177" t="s">
        <v>2119</v>
      </c>
      <c r="E337" s="545" t="s">
        <v>2494</v>
      </c>
      <c r="F337" s="545" t="s">
        <v>1810</v>
      </c>
      <c r="G337" s="190" t="s">
        <v>2493</v>
      </c>
      <c r="H337" s="179"/>
      <c r="I337" s="179"/>
      <c r="J337" s="179" t="s">
        <v>3007</v>
      </c>
      <c r="K337" s="185"/>
      <c r="L337" s="185" t="s">
        <v>374</v>
      </c>
      <c r="M337" s="180">
        <v>46101</v>
      </c>
      <c r="N337" s="181"/>
      <c r="O337" s="181">
        <v>9.7695250999999992</v>
      </c>
      <c r="P337" s="181">
        <v>126.126902</v>
      </c>
      <c r="Q337" s="182" t="s">
        <v>1813</v>
      </c>
      <c r="R337" s="183" t="s">
        <v>1814</v>
      </c>
      <c r="S337" s="545" t="b">
        <v>0</v>
      </c>
      <c r="T337" s="545" t="b">
        <v>0</v>
      </c>
      <c r="U337" s="181" t="s">
        <v>1815</v>
      </c>
      <c r="V337" s="184" t="s">
        <v>89</v>
      </c>
      <c r="W337" s="185" t="s">
        <v>1782</v>
      </c>
      <c r="X337" s="18"/>
      <c r="Y337" s="18"/>
      <c r="Z337" s="18"/>
      <c r="AA337" s="18"/>
      <c r="AB337" s="18"/>
      <c r="AC337" s="18"/>
    </row>
    <row r="338" spans="1:29" ht="25.5">
      <c r="A338" s="32">
        <v>74</v>
      </c>
      <c r="B338" s="181" t="s">
        <v>67</v>
      </c>
      <c r="C338" s="185" t="s">
        <v>2482</v>
      </c>
      <c r="D338" s="177" t="s">
        <v>2119</v>
      </c>
      <c r="E338" s="546"/>
      <c r="F338" s="546"/>
      <c r="G338" s="190" t="s">
        <v>2495</v>
      </c>
      <c r="H338" s="179"/>
      <c r="I338" s="179"/>
      <c r="J338" s="179" t="s">
        <v>3007</v>
      </c>
      <c r="K338" s="185"/>
      <c r="L338" s="185" t="s">
        <v>374</v>
      </c>
      <c r="M338" s="180">
        <v>46101</v>
      </c>
      <c r="N338" s="181"/>
      <c r="O338" s="181">
        <v>9.7695250999999992</v>
      </c>
      <c r="P338" s="181">
        <v>126.126902</v>
      </c>
      <c r="Q338" s="182" t="s">
        <v>1813</v>
      </c>
      <c r="R338" s="183" t="s">
        <v>1814</v>
      </c>
      <c r="S338" s="546"/>
      <c r="T338" s="546"/>
      <c r="U338" s="181" t="s">
        <v>1815</v>
      </c>
      <c r="V338" s="184" t="s">
        <v>89</v>
      </c>
      <c r="W338" s="185" t="s">
        <v>1782</v>
      </c>
      <c r="X338" s="18"/>
      <c r="Y338" s="18"/>
      <c r="Z338" s="18"/>
      <c r="AA338" s="18"/>
      <c r="AB338" s="18"/>
      <c r="AC338" s="18"/>
    </row>
    <row r="339" spans="1:29" ht="25.5">
      <c r="A339" s="32">
        <v>75</v>
      </c>
      <c r="B339" s="181" t="s">
        <v>67</v>
      </c>
      <c r="C339" s="185" t="s">
        <v>2482</v>
      </c>
      <c r="D339" s="177" t="s">
        <v>2119</v>
      </c>
      <c r="E339" s="547"/>
      <c r="F339" s="547"/>
      <c r="G339" s="190" t="s">
        <v>2497</v>
      </c>
      <c r="H339" s="179"/>
      <c r="I339" s="179"/>
      <c r="J339" s="179" t="s">
        <v>3007</v>
      </c>
      <c r="K339" s="185"/>
      <c r="L339" s="185" t="s">
        <v>374</v>
      </c>
      <c r="M339" s="180">
        <v>46101</v>
      </c>
      <c r="N339" s="181"/>
      <c r="O339" s="181">
        <v>9.7695250999999992</v>
      </c>
      <c r="P339" s="181">
        <v>126.126902</v>
      </c>
      <c r="Q339" s="182" t="s">
        <v>1813</v>
      </c>
      <c r="R339" s="183" t="s">
        <v>1814</v>
      </c>
      <c r="S339" s="547"/>
      <c r="T339" s="547"/>
      <c r="U339" s="181" t="s">
        <v>1815</v>
      </c>
      <c r="V339" s="184" t="s">
        <v>89</v>
      </c>
      <c r="W339" s="185" t="s">
        <v>1782</v>
      </c>
      <c r="X339" s="18"/>
      <c r="Y339" s="18"/>
      <c r="Z339" s="18"/>
      <c r="AA339" s="18"/>
      <c r="AB339" s="18"/>
      <c r="AC339" s="18"/>
    </row>
    <row r="340" spans="1:29" ht="12.75">
      <c r="A340" s="32">
        <v>76</v>
      </c>
      <c r="B340" s="181" t="s">
        <v>67</v>
      </c>
      <c r="C340" s="185" t="s">
        <v>308</v>
      </c>
      <c r="D340" s="177" t="s">
        <v>2119</v>
      </c>
      <c r="E340" s="545" t="s">
        <v>2499</v>
      </c>
      <c r="F340" s="545" t="s">
        <v>1810</v>
      </c>
      <c r="G340" s="190" t="s">
        <v>2498</v>
      </c>
      <c r="H340" s="179"/>
      <c r="I340" s="179"/>
      <c r="J340" s="179" t="s">
        <v>3022</v>
      </c>
      <c r="K340" s="185"/>
      <c r="L340" s="185" t="s">
        <v>374</v>
      </c>
      <c r="M340" s="180">
        <v>46101</v>
      </c>
      <c r="N340" s="181"/>
      <c r="O340" s="181">
        <v>9.8729429999999994</v>
      </c>
      <c r="P340" s="181">
        <v>126.09643199999999</v>
      </c>
      <c r="Q340" s="182" t="s">
        <v>1813</v>
      </c>
      <c r="R340" s="183" t="s">
        <v>1814</v>
      </c>
      <c r="S340" s="545" t="b">
        <v>0</v>
      </c>
      <c r="T340" s="545" t="b">
        <v>0</v>
      </c>
      <c r="U340" s="181" t="s">
        <v>1815</v>
      </c>
      <c r="V340" s="185" t="s">
        <v>89</v>
      </c>
      <c r="W340" s="185" t="s">
        <v>1782</v>
      </c>
      <c r="X340" s="18"/>
      <c r="Y340" s="18"/>
      <c r="Z340" s="18"/>
      <c r="AA340" s="18"/>
      <c r="AB340" s="18"/>
      <c r="AC340" s="18"/>
    </row>
    <row r="341" spans="1:29" ht="12.75">
      <c r="A341" s="32">
        <v>77</v>
      </c>
      <c r="B341" s="181" t="s">
        <v>67</v>
      </c>
      <c r="C341" s="185" t="s">
        <v>308</v>
      </c>
      <c r="D341" s="177" t="s">
        <v>2119</v>
      </c>
      <c r="E341" s="546"/>
      <c r="F341" s="546"/>
      <c r="G341" s="190" t="s">
        <v>2501</v>
      </c>
      <c r="H341" s="179"/>
      <c r="I341" s="179"/>
      <c r="J341" s="179" t="s">
        <v>3022</v>
      </c>
      <c r="K341" s="185"/>
      <c r="L341" s="185" t="s">
        <v>374</v>
      </c>
      <c r="M341" s="180">
        <v>46101</v>
      </c>
      <c r="N341" s="181"/>
      <c r="O341" s="181">
        <v>9.8729429999999994</v>
      </c>
      <c r="P341" s="181">
        <v>126.09643199999999</v>
      </c>
      <c r="Q341" s="182" t="s">
        <v>1813</v>
      </c>
      <c r="R341" s="183" t="s">
        <v>1814</v>
      </c>
      <c r="S341" s="546"/>
      <c r="T341" s="546"/>
      <c r="U341" s="181" t="s">
        <v>1815</v>
      </c>
      <c r="V341" s="185" t="s">
        <v>89</v>
      </c>
      <c r="W341" s="185" t="s">
        <v>1782</v>
      </c>
      <c r="X341" s="18"/>
      <c r="Y341" s="18"/>
      <c r="Z341" s="18"/>
      <c r="AA341" s="18"/>
      <c r="AB341" s="18"/>
      <c r="AC341" s="18"/>
    </row>
    <row r="342" spans="1:29" ht="12.75">
      <c r="A342" s="32">
        <v>78</v>
      </c>
      <c r="B342" s="181" t="s">
        <v>67</v>
      </c>
      <c r="C342" s="185" t="s">
        <v>308</v>
      </c>
      <c r="D342" s="177" t="s">
        <v>2119</v>
      </c>
      <c r="E342" s="547"/>
      <c r="F342" s="547"/>
      <c r="G342" s="190" t="s">
        <v>2502</v>
      </c>
      <c r="H342" s="179"/>
      <c r="I342" s="179"/>
      <c r="J342" s="179" t="s">
        <v>3022</v>
      </c>
      <c r="K342" s="185"/>
      <c r="L342" s="185" t="s">
        <v>374</v>
      </c>
      <c r="M342" s="180">
        <v>46101</v>
      </c>
      <c r="N342" s="181"/>
      <c r="O342" s="181">
        <v>9.8729429999999994</v>
      </c>
      <c r="P342" s="181">
        <v>126.09643199999999</v>
      </c>
      <c r="Q342" s="182" t="s">
        <v>1813</v>
      </c>
      <c r="R342" s="183" t="s">
        <v>1814</v>
      </c>
      <c r="S342" s="547"/>
      <c r="T342" s="547"/>
      <c r="U342" s="181" t="s">
        <v>1815</v>
      </c>
      <c r="V342" s="185" t="s">
        <v>89</v>
      </c>
      <c r="W342" s="185" t="s">
        <v>1782</v>
      </c>
      <c r="X342" s="18"/>
      <c r="Y342" s="18"/>
      <c r="Z342" s="18"/>
      <c r="AA342" s="18"/>
      <c r="AB342" s="18"/>
      <c r="AC342" s="18"/>
    </row>
    <row r="343" spans="1:29" ht="25.5">
      <c r="A343" s="32">
        <v>79</v>
      </c>
      <c r="B343" s="181" t="s">
        <v>67</v>
      </c>
      <c r="C343" s="185" t="s">
        <v>1617</v>
      </c>
      <c r="D343" s="177" t="s">
        <v>2119</v>
      </c>
      <c r="E343" s="545" t="s">
        <v>1618</v>
      </c>
      <c r="F343" s="545" t="s">
        <v>1810</v>
      </c>
      <c r="G343" s="190" t="s">
        <v>2505</v>
      </c>
      <c r="H343" s="179"/>
      <c r="I343" s="179"/>
      <c r="J343" s="179" t="s">
        <v>3037</v>
      </c>
      <c r="K343" s="185"/>
      <c r="L343" s="185" t="s">
        <v>374</v>
      </c>
      <c r="M343" s="180">
        <v>46101</v>
      </c>
      <c r="N343" s="181"/>
      <c r="O343" s="181">
        <v>9.9766594000000008</v>
      </c>
      <c r="P343" s="181">
        <v>126.08958</v>
      </c>
      <c r="Q343" s="182" t="s">
        <v>1813</v>
      </c>
      <c r="R343" s="183" t="s">
        <v>1814</v>
      </c>
      <c r="S343" s="545" t="b">
        <v>0</v>
      </c>
      <c r="T343" s="545" t="b">
        <v>0</v>
      </c>
      <c r="U343" s="181" t="s">
        <v>1815</v>
      </c>
      <c r="V343" s="184" t="s">
        <v>89</v>
      </c>
      <c r="W343" s="185" t="s">
        <v>1782</v>
      </c>
      <c r="X343" s="18"/>
      <c r="Y343" s="18"/>
      <c r="Z343" s="18"/>
      <c r="AA343" s="18"/>
      <c r="AB343" s="18"/>
      <c r="AC343" s="18"/>
    </row>
    <row r="344" spans="1:29" ht="25.5">
      <c r="A344" s="32">
        <v>80</v>
      </c>
      <c r="B344" s="181" t="s">
        <v>67</v>
      </c>
      <c r="C344" s="185" t="s">
        <v>1617</v>
      </c>
      <c r="D344" s="177" t="s">
        <v>2119</v>
      </c>
      <c r="E344" s="546"/>
      <c r="F344" s="546"/>
      <c r="G344" s="190" t="s">
        <v>2506</v>
      </c>
      <c r="H344" s="179"/>
      <c r="I344" s="179"/>
      <c r="J344" s="179" t="s">
        <v>3037</v>
      </c>
      <c r="K344" s="185"/>
      <c r="L344" s="185" t="s">
        <v>374</v>
      </c>
      <c r="M344" s="180">
        <v>46101</v>
      </c>
      <c r="N344" s="181"/>
      <c r="O344" s="181">
        <v>9.9766594000000008</v>
      </c>
      <c r="P344" s="181">
        <v>126.08958</v>
      </c>
      <c r="Q344" s="182" t="s">
        <v>1813</v>
      </c>
      <c r="R344" s="183" t="s">
        <v>1814</v>
      </c>
      <c r="S344" s="546"/>
      <c r="T344" s="546"/>
      <c r="U344" s="181" t="s">
        <v>1815</v>
      </c>
      <c r="V344" s="184" t="s">
        <v>89</v>
      </c>
      <c r="W344" s="185" t="s">
        <v>1782</v>
      </c>
      <c r="X344" s="18"/>
      <c r="Y344" s="18"/>
      <c r="Z344" s="18"/>
      <c r="AA344" s="18"/>
      <c r="AB344" s="18"/>
      <c r="AC344" s="18"/>
    </row>
    <row r="345" spans="1:29" ht="25.5">
      <c r="A345" s="32">
        <v>81</v>
      </c>
      <c r="B345" s="181" t="s">
        <v>67</v>
      </c>
      <c r="C345" s="185" t="s">
        <v>1617</v>
      </c>
      <c r="D345" s="177" t="s">
        <v>2119</v>
      </c>
      <c r="E345" s="547"/>
      <c r="F345" s="547"/>
      <c r="G345" s="190" t="s">
        <v>2507</v>
      </c>
      <c r="H345" s="179"/>
      <c r="I345" s="179"/>
      <c r="J345" s="179" t="s">
        <v>3037</v>
      </c>
      <c r="K345" s="185"/>
      <c r="L345" s="185" t="s">
        <v>374</v>
      </c>
      <c r="M345" s="180">
        <v>46101</v>
      </c>
      <c r="N345" s="181"/>
      <c r="O345" s="181">
        <v>9.9766594000000008</v>
      </c>
      <c r="P345" s="181">
        <v>126.08958</v>
      </c>
      <c r="Q345" s="182" t="s">
        <v>1813</v>
      </c>
      <c r="R345" s="183" t="s">
        <v>1814</v>
      </c>
      <c r="S345" s="547"/>
      <c r="T345" s="547"/>
      <c r="U345" s="181" t="s">
        <v>1815</v>
      </c>
      <c r="V345" s="184" t="s">
        <v>89</v>
      </c>
      <c r="W345" s="185" t="s">
        <v>1782</v>
      </c>
      <c r="X345" s="18"/>
      <c r="Y345" s="18"/>
      <c r="Z345" s="18"/>
      <c r="AA345" s="18"/>
      <c r="AB345" s="18"/>
      <c r="AC345" s="18"/>
    </row>
    <row r="346" spans="1:29" ht="25.5">
      <c r="A346" s="32">
        <v>82</v>
      </c>
      <c r="B346" s="181" t="s">
        <v>67</v>
      </c>
      <c r="C346" s="185" t="s">
        <v>3054</v>
      </c>
      <c r="D346" s="177" t="s">
        <v>2119</v>
      </c>
      <c r="E346" s="557" t="s">
        <v>3055</v>
      </c>
      <c r="F346" s="545" t="s">
        <v>1768</v>
      </c>
      <c r="G346" s="190" t="s">
        <v>3055</v>
      </c>
      <c r="H346" s="194"/>
      <c r="I346" s="194"/>
      <c r="J346" s="194"/>
      <c r="K346" s="185"/>
      <c r="L346" s="185" t="s">
        <v>2515</v>
      </c>
      <c r="M346" s="195"/>
      <c r="N346" s="181"/>
      <c r="O346" s="181">
        <v>9.7781000000000002</v>
      </c>
      <c r="P346" s="181">
        <v>126.07165000000001</v>
      </c>
      <c r="Q346" s="182" t="s">
        <v>1775</v>
      </c>
      <c r="R346" s="183" t="s">
        <v>1776</v>
      </c>
      <c r="S346" s="545" t="b">
        <v>0</v>
      </c>
      <c r="T346" s="545" t="b">
        <v>0</v>
      </c>
      <c r="U346" s="181" t="s">
        <v>1940</v>
      </c>
      <c r="V346" s="184" t="s">
        <v>89</v>
      </c>
      <c r="W346" s="185" t="s">
        <v>1782</v>
      </c>
      <c r="X346" s="18"/>
      <c r="Y346" s="18"/>
      <c r="Z346" s="18"/>
      <c r="AA346" s="18"/>
      <c r="AB346" s="18"/>
      <c r="AC346" s="18"/>
    </row>
    <row r="347" spans="1:29" ht="25.5">
      <c r="A347" s="32">
        <v>83</v>
      </c>
      <c r="B347" s="181" t="s">
        <v>67</v>
      </c>
      <c r="C347" s="185" t="s">
        <v>3054</v>
      </c>
      <c r="D347" s="177" t="s">
        <v>2119</v>
      </c>
      <c r="E347" s="558"/>
      <c r="F347" s="547"/>
      <c r="G347" s="190" t="s">
        <v>3055</v>
      </c>
      <c r="H347" s="194"/>
      <c r="I347" s="194"/>
      <c r="J347" s="194"/>
      <c r="K347" s="185"/>
      <c r="L347" s="185" t="s">
        <v>2515</v>
      </c>
      <c r="M347" s="195"/>
      <c r="N347" s="181"/>
      <c r="O347" s="181">
        <v>9.7781000000000002</v>
      </c>
      <c r="P347" s="181">
        <v>126.07165000000001</v>
      </c>
      <c r="Q347" s="182" t="s">
        <v>1775</v>
      </c>
      <c r="R347" s="183" t="s">
        <v>1776</v>
      </c>
      <c r="S347" s="547"/>
      <c r="T347" s="547"/>
      <c r="U347" s="181" t="s">
        <v>1940</v>
      </c>
      <c r="V347" s="184" t="s">
        <v>89</v>
      </c>
      <c r="W347" s="185" t="s">
        <v>1782</v>
      </c>
      <c r="X347" s="18"/>
      <c r="Y347" s="18"/>
      <c r="Z347" s="18"/>
      <c r="AA347" s="18"/>
      <c r="AB347" s="18"/>
      <c r="AC347" s="18"/>
    </row>
    <row r="348" spans="1:29" ht="25.5">
      <c r="A348" s="32">
        <v>1</v>
      </c>
      <c r="B348" s="176" t="s">
        <v>81</v>
      </c>
      <c r="C348" s="176" t="s">
        <v>82</v>
      </c>
      <c r="D348" s="177" t="s">
        <v>2119</v>
      </c>
      <c r="E348" s="545" t="s">
        <v>2131</v>
      </c>
      <c r="F348" s="545" t="s">
        <v>1768</v>
      </c>
      <c r="G348" s="75" t="s">
        <v>3067</v>
      </c>
      <c r="H348" s="13"/>
      <c r="I348" s="13"/>
      <c r="J348" s="13" t="s">
        <v>1084</v>
      </c>
      <c r="K348" s="176"/>
      <c r="L348" s="176" t="s">
        <v>65</v>
      </c>
      <c r="M348" s="180">
        <v>45237</v>
      </c>
      <c r="N348" s="181"/>
      <c r="O348" s="181">
        <v>9.8820940000000004</v>
      </c>
      <c r="P348" s="181">
        <v>125.984093</v>
      </c>
      <c r="Q348" s="182" t="s">
        <v>1775</v>
      </c>
      <c r="R348" s="183" t="s">
        <v>1776</v>
      </c>
      <c r="S348" s="545" t="b">
        <v>0</v>
      </c>
      <c r="T348" s="545" t="b">
        <v>0</v>
      </c>
      <c r="U348" s="181" t="s">
        <v>22</v>
      </c>
      <c r="V348" s="185" t="s">
        <v>89</v>
      </c>
      <c r="W348" s="185" t="s">
        <v>1782</v>
      </c>
      <c r="X348" s="18"/>
      <c r="Y348" s="18"/>
      <c r="Z348" s="18"/>
      <c r="AA348" s="18"/>
      <c r="AB348" s="525" t="s">
        <v>3070</v>
      </c>
      <c r="AC348" s="522">
        <v>9953120536</v>
      </c>
    </row>
    <row r="349" spans="1:29" ht="25.5">
      <c r="A349" s="32">
        <v>2</v>
      </c>
      <c r="B349" s="176" t="s">
        <v>81</v>
      </c>
      <c r="C349" s="176" t="s">
        <v>82</v>
      </c>
      <c r="D349" s="177" t="s">
        <v>2119</v>
      </c>
      <c r="E349" s="547"/>
      <c r="F349" s="547"/>
      <c r="G349" s="178" t="s">
        <v>86</v>
      </c>
      <c r="H349" s="13"/>
      <c r="I349" s="13"/>
      <c r="J349" s="13" t="s">
        <v>1087</v>
      </c>
      <c r="K349" s="176"/>
      <c r="L349" s="176" t="s">
        <v>65</v>
      </c>
      <c r="M349" s="180">
        <v>45237</v>
      </c>
      <c r="N349" s="181"/>
      <c r="O349" s="181">
        <v>9.8696429999999999</v>
      </c>
      <c r="P349" s="181">
        <v>125.97028</v>
      </c>
      <c r="Q349" s="182" t="s">
        <v>1775</v>
      </c>
      <c r="R349" s="183" t="s">
        <v>1776</v>
      </c>
      <c r="S349" s="547"/>
      <c r="T349" s="547"/>
      <c r="U349" s="181" t="s">
        <v>22</v>
      </c>
      <c r="V349" s="185" t="s">
        <v>89</v>
      </c>
      <c r="W349" s="185" t="s">
        <v>1782</v>
      </c>
      <c r="X349" s="18"/>
      <c r="Y349" s="18"/>
      <c r="Z349" s="18"/>
      <c r="AA349" s="18"/>
      <c r="AB349" s="511"/>
      <c r="AC349" s="511"/>
    </row>
    <row r="350" spans="1:29" ht="25.5">
      <c r="A350" s="32">
        <v>3</v>
      </c>
      <c r="B350" s="176" t="s">
        <v>81</v>
      </c>
      <c r="C350" s="176" t="s">
        <v>82</v>
      </c>
      <c r="D350" s="177" t="s">
        <v>2119</v>
      </c>
      <c r="E350" s="545" t="s">
        <v>2133</v>
      </c>
      <c r="F350" s="545" t="s">
        <v>1768</v>
      </c>
      <c r="G350" s="178" t="s">
        <v>88</v>
      </c>
      <c r="H350" s="13"/>
      <c r="I350" s="13"/>
      <c r="J350" s="13" t="s">
        <v>1093</v>
      </c>
      <c r="K350" s="176"/>
      <c r="L350" s="176" t="s">
        <v>65</v>
      </c>
      <c r="M350" s="180">
        <v>45237</v>
      </c>
      <c r="N350" s="181"/>
      <c r="O350" s="181">
        <v>9.8696429999999999</v>
      </c>
      <c r="P350" s="181">
        <v>125.97028</v>
      </c>
      <c r="Q350" s="182" t="s">
        <v>1775</v>
      </c>
      <c r="R350" s="183" t="s">
        <v>1776</v>
      </c>
      <c r="S350" s="545" t="b">
        <v>0</v>
      </c>
      <c r="T350" s="545" t="b">
        <v>0</v>
      </c>
      <c r="U350" s="181" t="s">
        <v>22</v>
      </c>
      <c r="V350" s="185" t="s">
        <v>89</v>
      </c>
      <c r="W350" s="185" t="s">
        <v>1782</v>
      </c>
      <c r="X350" s="18"/>
      <c r="Y350" s="18"/>
      <c r="Z350" s="18"/>
      <c r="AA350" s="18"/>
      <c r="AB350" s="511"/>
      <c r="AC350" s="511"/>
    </row>
    <row r="351" spans="1:29" ht="25.5">
      <c r="A351" s="32">
        <v>4</v>
      </c>
      <c r="B351" s="176" t="s">
        <v>81</v>
      </c>
      <c r="C351" s="176" t="s">
        <v>82</v>
      </c>
      <c r="D351" s="177" t="s">
        <v>2119</v>
      </c>
      <c r="E351" s="547"/>
      <c r="F351" s="547"/>
      <c r="G351" s="178" t="s">
        <v>90</v>
      </c>
      <c r="H351" s="13"/>
      <c r="I351" s="13"/>
      <c r="J351" s="13" t="s">
        <v>1106</v>
      </c>
      <c r="K351" s="176"/>
      <c r="L351" s="176" t="s">
        <v>65</v>
      </c>
      <c r="M351" s="180">
        <v>45245</v>
      </c>
      <c r="N351" s="181"/>
      <c r="O351" s="181">
        <v>9.8690429999999996</v>
      </c>
      <c r="P351" s="181">
        <v>125.970156</v>
      </c>
      <c r="Q351" s="182" t="s">
        <v>1775</v>
      </c>
      <c r="R351" s="183" t="s">
        <v>1776</v>
      </c>
      <c r="S351" s="547"/>
      <c r="T351" s="547"/>
      <c r="U351" s="181" t="s">
        <v>22</v>
      </c>
      <c r="V351" s="185" t="s">
        <v>89</v>
      </c>
      <c r="W351" s="185" t="s">
        <v>1782</v>
      </c>
      <c r="X351" s="18"/>
      <c r="Y351" s="18"/>
      <c r="Z351" s="18"/>
      <c r="AA351" s="18"/>
      <c r="AB351" s="511"/>
      <c r="AC351" s="511"/>
    </row>
    <row r="352" spans="1:29" ht="25.5">
      <c r="A352" s="32">
        <v>5</v>
      </c>
      <c r="B352" s="176" t="s">
        <v>81</v>
      </c>
      <c r="C352" s="176" t="s">
        <v>82</v>
      </c>
      <c r="D352" s="177" t="s">
        <v>2119</v>
      </c>
      <c r="E352" s="550" t="s">
        <v>94</v>
      </c>
      <c r="F352" s="550" t="s">
        <v>1768</v>
      </c>
      <c r="G352" s="178" t="s">
        <v>92</v>
      </c>
      <c r="H352" s="13"/>
      <c r="I352" s="13"/>
      <c r="J352" s="13" t="s">
        <v>1114</v>
      </c>
      <c r="K352" s="176"/>
      <c r="L352" s="176" t="s">
        <v>31</v>
      </c>
      <c r="M352" s="180">
        <v>45237</v>
      </c>
      <c r="N352" s="181"/>
      <c r="O352" s="181">
        <v>9.8711490000000008</v>
      </c>
      <c r="P352" s="181">
        <v>125.972757</v>
      </c>
      <c r="Q352" s="182" t="s">
        <v>1775</v>
      </c>
      <c r="R352" s="183" t="s">
        <v>1776</v>
      </c>
      <c r="S352" s="550" t="b">
        <v>0</v>
      </c>
      <c r="T352" s="550" t="b">
        <v>0</v>
      </c>
      <c r="U352" s="181" t="s">
        <v>22</v>
      </c>
      <c r="V352" s="185" t="s">
        <v>89</v>
      </c>
      <c r="W352" s="185" t="s">
        <v>1782</v>
      </c>
      <c r="X352" s="18"/>
      <c r="Y352" s="18"/>
      <c r="Z352" s="18"/>
      <c r="AA352" s="18"/>
      <c r="AB352" s="511"/>
      <c r="AC352" s="511"/>
    </row>
    <row r="353" spans="1:29" ht="25.5">
      <c r="A353" s="32">
        <v>6</v>
      </c>
      <c r="B353" s="176" t="s">
        <v>81</v>
      </c>
      <c r="C353" s="176" t="s">
        <v>82</v>
      </c>
      <c r="D353" s="177" t="s">
        <v>2119</v>
      </c>
      <c r="E353" s="552"/>
      <c r="F353" s="552"/>
      <c r="G353" s="178" t="s">
        <v>94</v>
      </c>
      <c r="H353" s="13"/>
      <c r="I353" s="13"/>
      <c r="J353" s="13" t="s">
        <v>1126</v>
      </c>
      <c r="K353" s="176"/>
      <c r="L353" s="176" t="s">
        <v>238</v>
      </c>
      <c r="M353" s="180">
        <v>45237</v>
      </c>
      <c r="N353" s="181"/>
      <c r="O353" s="181">
        <v>9.8827259999999999</v>
      </c>
      <c r="P353" s="181">
        <v>125.983636</v>
      </c>
      <c r="Q353" s="182" t="s">
        <v>1775</v>
      </c>
      <c r="R353" s="183" t="s">
        <v>1776</v>
      </c>
      <c r="S353" s="552"/>
      <c r="T353" s="552"/>
      <c r="U353" s="181" t="s">
        <v>22</v>
      </c>
      <c r="V353" s="185" t="s">
        <v>89</v>
      </c>
      <c r="W353" s="185" t="s">
        <v>1782</v>
      </c>
      <c r="X353" s="18"/>
      <c r="Y353" s="18"/>
      <c r="Z353" s="18"/>
      <c r="AA353" s="18"/>
      <c r="AB353" s="512"/>
      <c r="AC353" s="512"/>
    </row>
    <row r="354" spans="1:29" ht="25.5">
      <c r="A354" s="32">
        <v>7</v>
      </c>
      <c r="B354" s="176" t="s">
        <v>81</v>
      </c>
      <c r="C354" s="176" t="s">
        <v>286</v>
      </c>
      <c r="D354" s="177" t="s">
        <v>2119</v>
      </c>
      <c r="E354" s="545" t="s">
        <v>2199</v>
      </c>
      <c r="F354" s="545" t="s">
        <v>1810</v>
      </c>
      <c r="G354" s="213" t="s">
        <v>289</v>
      </c>
      <c r="H354" s="97"/>
      <c r="I354" s="97"/>
      <c r="J354" s="97" t="s">
        <v>1468</v>
      </c>
      <c r="K354" s="176"/>
      <c r="L354" s="176" t="s">
        <v>155</v>
      </c>
      <c r="M354" s="180">
        <v>45357</v>
      </c>
      <c r="N354" s="181"/>
      <c r="O354" s="181">
        <v>9.8737630000000003</v>
      </c>
      <c r="P354" s="181">
        <v>126.013057</v>
      </c>
      <c r="Q354" s="182" t="s">
        <v>1775</v>
      </c>
      <c r="R354" s="183" t="s">
        <v>1776</v>
      </c>
      <c r="S354" s="545" t="b">
        <v>0</v>
      </c>
      <c r="T354" s="545" t="b">
        <v>0</v>
      </c>
      <c r="U354" s="181" t="s">
        <v>261</v>
      </c>
      <c r="V354" s="184" t="s">
        <v>89</v>
      </c>
      <c r="W354" s="185" t="s">
        <v>1782</v>
      </c>
      <c r="X354" s="128" t="s">
        <v>652</v>
      </c>
      <c r="Y354" s="121" t="s">
        <v>1428</v>
      </c>
      <c r="Z354" s="123" t="s">
        <v>386</v>
      </c>
      <c r="AA354" s="123" t="s">
        <v>386</v>
      </c>
      <c r="AB354" s="96" t="s">
        <v>3110</v>
      </c>
      <c r="AC354" s="23">
        <v>9540947651</v>
      </c>
    </row>
    <row r="355" spans="1:29" ht="25.5">
      <c r="A355" s="32">
        <v>8</v>
      </c>
      <c r="B355" s="176" t="s">
        <v>81</v>
      </c>
      <c r="C355" s="176" t="s">
        <v>286</v>
      </c>
      <c r="D355" s="177" t="s">
        <v>2119</v>
      </c>
      <c r="E355" s="547"/>
      <c r="F355" s="547"/>
      <c r="G355" s="213" t="s">
        <v>293</v>
      </c>
      <c r="H355" s="23"/>
      <c r="I355" s="23"/>
      <c r="J355" s="23" t="s">
        <v>1485</v>
      </c>
      <c r="K355" s="176"/>
      <c r="L355" s="176" t="s">
        <v>374</v>
      </c>
      <c r="M355" s="180">
        <v>45357</v>
      </c>
      <c r="N355" s="181"/>
      <c r="O355" s="181">
        <v>9.8732070000000007</v>
      </c>
      <c r="P355" s="181">
        <v>126.012621</v>
      </c>
      <c r="Q355" s="182" t="s">
        <v>1775</v>
      </c>
      <c r="R355" s="183" t="s">
        <v>1776</v>
      </c>
      <c r="S355" s="546"/>
      <c r="T355" s="546"/>
      <c r="U355" s="181" t="s">
        <v>261</v>
      </c>
      <c r="V355" s="184" t="s">
        <v>89</v>
      </c>
      <c r="W355" s="185" t="s">
        <v>1782</v>
      </c>
      <c r="X355" s="120"/>
      <c r="Y355" s="121" t="s">
        <v>1428</v>
      </c>
      <c r="Z355" s="123" t="s">
        <v>386</v>
      </c>
      <c r="AA355" s="122"/>
      <c r="AB355" s="96"/>
      <c r="AC355" s="18"/>
    </row>
    <row r="356" spans="1:29" ht="25.5">
      <c r="A356" s="32"/>
      <c r="B356" s="176" t="s">
        <v>81</v>
      </c>
      <c r="C356" s="550" t="s">
        <v>294</v>
      </c>
      <c r="D356" s="177" t="s">
        <v>2119</v>
      </c>
      <c r="E356" s="545" t="s">
        <v>3111</v>
      </c>
      <c r="F356" s="545" t="s">
        <v>3112</v>
      </c>
      <c r="G356" s="209" t="s">
        <v>3113</v>
      </c>
      <c r="H356" s="97"/>
      <c r="I356" s="97"/>
      <c r="J356" s="97"/>
      <c r="K356" s="176"/>
      <c r="L356" s="176"/>
      <c r="M356" s="180"/>
      <c r="N356" s="181"/>
      <c r="O356" s="181"/>
      <c r="P356" s="181"/>
      <c r="Q356" s="182"/>
      <c r="R356" s="183"/>
      <c r="S356" s="546"/>
      <c r="T356" s="546"/>
      <c r="U356" s="181"/>
      <c r="V356" s="184" t="s">
        <v>89</v>
      </c>
      <c r="W356" s="185"/>
      <c r="X356" s="120"/>
      <c r="Y356" s="120"/>
      <c r="Z356" s="122"/>
      <c r="AA356" s="122"/>
      <c r="AB356" s="96"/>
      <c r="AC356" s="18"/>
    </row>
    <row r="357" spans="1:29" ht="25.5">
      <c r="A357" s="32">
        <v>9</v>
      </c>
      <c r="B357" s="176" t="s">
        <v>81</v>
      </c>
      <c r="C357" s="552"/>
      <c r="D357" s="177" t="s">
        <v>2119</v>
      </c>
      <c r="E357" s="547"/>
      <c r="F357" s="547"/>
      <c r="G357" s="209" t="s">
        <v>3114</v>
      </c>
      <c r="H357" s="97"/>
      <c r="I357" s="97"/>
      <c r="J357" s="97" t="s">
        <v>1490</v>
      </c>
      <c r="K357" s="176"/>
      <c r="L357" s="176" t="s">
        <v>155</v>
      </c>
      <c r="M357" s="180">
        <v>45405</v>
      </c>
      <c r="N357" s="181"/>
      <c r="O357" s="181">
        <v>9.8644245000000002</v>
      </c>
      <c r="P357" s="181">
        <v>126.012529</v>
      </c>
      <c r="Q357" s="182" t="s">
        <v>1775</v>
      </c>
      <c r="R357" s="183" t="s">
        <v>1776</v>
      </c>
      <c r="S357" s="547"/>
      <c r="T357" s="547"/>
      <c r="U357" s="181" t="s">
        <v>261</v>
      </c>
      <c r="V357" s="184" t="s">
        <v>89</v>
      </c>
      <c r="W357" s="185" t="s">
        <v>1782</v>
      </c>
      <c r="X357" s="120"/>
      <c r="Y357" s="121" t="s">
        <v>1428</v>
      </c>
      <c r="Z357" s="123" t="s">
        <v>386</v>
      </c>
      <c r="AA357" s="122"/>
      <c r="AB357" s="96" t="s">
        <v>1494</v>
      </c>
      <c r="AC357" s="18"/>
    </row>
    <row r="358" spans="1:29" ht="38.25">
      <c r="A358" s="32">
        <v>10</v>
      </c>
      <c r="B358" s="176" t="s">
        <v>81</v>
      </c>
      <c r="C358" s="176" t="s">
        <v>1869</v>
      </c>
      <c r="D358" s="177" t="s">
        <v>2119</v>
      </c>
      <c r="E358" s="550" t="str">
        <f>LEFT(G358,FIND("_",G358) - 1)</f>
        <v>Bitoon Barangay Hall</v>
      </c>
      <c r="F358" s="550" t="s">
        <v>1810</v>
      </c>
      <c r="G358" s="213" t="s">
        <v>554</v>
      </c>
      <c r="H358" s="23"/>
      <c r="I358" s="23"/>
      <c r="J358" s="23" t="s">
        <v>1872</v>
      </c>
      <c r="K358" s="176"/>
      <c r="L358" s="176" t="s">
        <v>155</v>
      </c>
      <c r="M358" s="180">
        <v>45575</v>
      </c>
      <c r="N358" s="181"/>
      <c r="O358" s="181">
        <v>9.7904040800000001</v>
      </c>
      <c r="P358" s="181">
        <v>126.0110839</v>
      </c>
      <c r="Q358" s="182" t="s">
        <v>1775</v>
      </c>
      <c r="R358" s="183" t="s">
        <v>1776</v>
      </c>
      <c r="S358" s="550" t="b">
        <v>0</v>
      </c>
      <c r="T358" s="550" t="b">
        <v>0</v>
      </c>
      <c r="U358" s="181" t="s">
        <v>513</v>
      </c>
      <c r="V358" s="185" t="s">
        <v>89</v>
      </c>
      <c r="W358" s="185" t="s">
        <v>1782</v>
      </c>
      <c r="X358" s="18"/>
      <c r="Y358" s="128" t="s">
        <v>1428</v>
      </c>
      <c r="Z358" s="128" t="s">
        <v>386</v>
      </c>
      <c r="AA358" s="128" t="s">
        <v>386</v>
      </c>
      <c r="AB358" s="96" t="s">
        <v>3116</v>
      </c>
      <c r="AC358" s="96" t="s">
        <v>1880</v>
      </c>
    </row>
    <row r="359" spans="1:29" ht="25.5">
      <c r="A359" s="32">
        <v>11</v>
      </c>
      <c r="B359" s="176" t="s">
        <v>81</v>
      </c>
      <c r="C359" s="176" t="s">
        <v>1869</v>
      </c>
      <c r="D359" s="177" t="s">
        <v>2119</v>
      </c>
      <c r="E359" s="552"/>
      <c r="F359" s="552"/>
      <c r="G359" s="213" t="s">
        <v>556</v>
      </c>
      <c r="H359" s="23"/>
      <c r="I359" s="23"/>
      <c r="J359" s="23" t="s">
        <v>1884</v>
      </c>
      <c r="K359" s="176"/>
      <c r="L359" s="176" t="s">
        <v>374</v>
      </c>
      <c r="M359" s="180">
        <v>45575</v>
      </c>
      <c r="N359" s="181"/>
      <c r="O359" s="181">
        <v>9.7909622699999996</v>
      </c>
      <c r="P359" s="181">
        <v>126.01117379999999</v>
      </c>
      <c r="Q359" s="182" t="s">
        <v>1775</v>
      </c>
      <c r="R359" s="183" t="s">
        <v>1776</v>
      </c>
      <c r="S359" s="552"/>
      <c r="T359" s="552"/>
      <c r="U359" s="181" t="s">
        <v>513</v>
      </c>
      <c r="V359" s="184" t="s">
        <v>89</v>
      </c>
      <c r="W359" s="185" t="s">
        <v>1782</v>
      </c>
      <c r="X359" s="18"/>
      <c r="Y359" s="128" t="s">
        <v>1428</v>
      </c>
      <c r="Z359" s="128" t="s">
        <v>386</v>
      </c>
      <c r="AA359" s="119"/>
      <c r="AB359" s="96" t="s">
        <v>1887</v>
      </c>
      <c r="AC359" s="96">
        <v>9197550530</v>
      </c>
    </row>
    <row r="360" spans="1:29" ht="38.25">
      <c r="A360" s="32">
        <v>12</v>
      </c>
      <c r="B360" s="176" t="s">
        <v>81</v>
      </c>
      <c r="C360" s="176" t="s">
        <v>1889</v>
      </c>
      <c r="D360" s="177" t="s">
        <v>2119</v>
      </c>
      <c r="E360" s="550" t="str">
        <f>LEFT(G360,FIND("_",G360) - 1)</f>
        <v>Cabugao Barangay Hall</v>
      </c>
      <c r="F360" s="550" t="s">
        <v>1810</v>
      </c>
      <c r="G360" s="213" t="s">
        <v>1890</v>
      </c>
      <c r="H360" s="23"/>
      <c r="I360" s="23"/>
      <c r="J360" s="23" t="s">
        <v>1892</v>
      </c>
      <c r="K360" s="176"/>
      <c r="L360" s="176" t="s">
        <v>155</v>
      </c>
      <c r="M360" s="180">
        <v>45570</v>
      </c>
      <c r="N360" s="181"/>
      <c r="O360" s="181">
        <v>9.5824010000000008</v>
      </c>
      <c r="P360" s="181">
        <v>126.0099115</v>
      </c>
      <c r="Q360" s="182" t="s">
        <v>1775</v>
      </c>
      <c r="R360" s="183" t="s">
        <v>1776</v>
      </c>
      <c r="S360" s="550" t="b">
        <v>0</v>
      </c>
      <c r="T360" s="550" t="b">
        <v>0</v>
      </c>
      <c r="U360" s="181" t="s">
        <v>513</v>
      </c>
      <c r="V360" s="184" t="s">
        <v>89</v>
      </c>
      <c r="W360" s="185" t="s">
        <v>1782</v>
      </c>
      <c r="X360" s="18"/>
      <c r="Y360" s="128" t="s">
        <v>1428</v>
      </c>
      <c r="Z360" s="128" t="s">
        <v>386</v>
      </c>
      <c r="AA360" s="128" t="s">
        <v>386</v>
      </c>
      <c r="AB360" s="96" t="s">
        <v>3123</v>
      </c>
      <c r="AC360" s="96" t="s">
        <v>1896</v>
      </c>
    </row>
    <row r="361" spans="1:29" ht="25.5">
      <c r="A361" s="32">
        <v>13</v>
      </c>
      <c r="B361" s="176" t="s">
        <v>81</v>
      </c>
      <c r="C361" s="176" t="s">
        <v>1889</v>
      </c>
      <c r="D361" s="177" t="s">
        <v>2119</v>
      </c>
      <c r="E361" s="552"/>
      <c r="F361" s="552"/>
      <c r="G361" s="213" t="s">
        <v>1900</v>
      </c>
      <c r="H361" s="23"/>
      <c r="I361" s="23"/>
      <c r="J361" s="23" t="s">
        <v>1902</v>
      </c>
      <c r="K361" s="176"/>
      <c r="L361" s="176" t="s">
        <v>374</v>
      </c>
      <c r="M361" s="180">
        <v>45570</v>
      </c>
      <c r="N361" s="181"/>
      <c r="O361" s="181">
        <v>9.8019778899999999</v>
      </c>
      <c r="P361" s="181">
        <v>126.0095889</v>
      </c>
      <c r="Q361" s="182" t="s">
        <v>1775</v>
      </c>
      <c r="R361" s="183" t="s">
        <v>1776</v>
      </c>
      <c r="S361" s="552"/>
      <c r="T361" s="552"/>
      <c r="U361" s="181" t="s">
        <v>513</v>
      </c>
      <c r="V361" s="184" t="s">
        <v>89</v>
      </c>
      <c r="W361" s="185" t="s">
        <v>2080</v>
      </c>
      <c r="X361" s="18"/>
      <c r="Y361" s="128" t="s">
        <v>1428</v>
      </c>
      <c r="Z361" s="128" t="s">
        <v>386</v>
      </c>
      <c r="AA361" s="119"/>
      <c r="AB361" s="96" t="s">
        <v>3125</v>
      </c>
      <c r="AC361" s="96">
        <v>9308060015</v>
      </c>
    </row>
    <row r="362" spans="1:29" ht="25.5">
      <c r="A362" s="32">
        <v>14</v>
      </c>
      <c r="B362" s="176" t="s">
        <v>81</v>
      </c>
      <c r="C362" s="176" t="s">
        <v>283</v>
      </c>
      <c r="D362" s="177" t="s">
        <v>2119</v>
      </c>
      <c r="E362" s="550" t="str">
        <f>LEFT(G362,FIND("_",G362) - 1)</f>
        <v>Bagakay Barangay Hall</v>
      </c>
      <c r="F362" s="550" t="s">
        <v>1810</v>
      </c>
      <c r="G362" s="213" t="s">
        <v>137</v>
      </c>
      <c r="H362" s="23"/>
      <c r="I362" s="23"/>
      <c r="J362" s="23" t="s">
        <v>1914</v>
      </c>
      <c r="K362" s="176"/>
      <c r="L362" s="176" t="s">
        <v>155</v>
      </c>
      <c r="M362" s="180">
        <v>45576</v>
      </c>
      <c r="N362" s="181"/>
      <c r="O362" s="181">
        <v>9.8955821999999998</v>
      </c>
      <c r="P362" s="181">
        <v>126.0275461</v>
      </c>
      <c r="Q362" s="182" t="s">
        <v>1775</v>
      </c>
      <c r="R362" s="183" t="s">
        <v>1776</v>
      </c>
      <c r="S362" s="550" t="b">
        <v>0</v>
      </c>
      <c r="T362" s="550" t="b">
        <v>0</v>
      </c>
      <c r="U362" s="181" t="s">
        <v>513</v>
      </c>
      <c r="V362" s="185" t="s">
        <v>89</v>
      </c>
      <c r="W362" s="185" t="s">
        <v>1782</v>
      </c>
      <c r="X362" s="18"/>
      <c r="Y362" s="128" t="s">
        <v>1428</v>
      </c>
      <c r="Z362" s="128" t="s">
        <v>386</v>
      </c>
      <c r="AA362" s="123" t="s">
        <v>386</v>
      </c>
      <c r="AB362" s="96" t="s">
        <v>139</v>
      </c>
      <c r="AC362" s="96" t="s">
        <v>142</v>
      </c>
    </row>
    <row r="363" spans="1:29" ht="25.5">
      <c r="A363" s="32">
        <v>15</v>
      </c>
      <c r="B363" s="176" t="s">
        <v>81</v>
      </c>
      <c r="C363" s="176" t="s">
        <v>283</v>
      </c>
      <c r="D363" s="177" t="s">
        <v>2119</v>
      </c>
      <c r="E363" s="552"/>
      <c r="F363" s="552"/>
      <c r="G363" s="213" t="s">
        <v>1925</v>
      </c>
      <c r="H363" s="23"/>
      <c r="I363" s="23"/>
      <c r="J363" s="23" t="s">
        <v>1927</v>
      </c>
      <c r="K363" s="176"/>
      <c r="L363" s="176" t="s">
        <v>374</v>
      </c>
      <c r="M363" s="180">
        <v>45576</v>
      </c>
      <c r="N363" s="181"/>
      <c r="O363" s="181">
        <v>9.8957569400000001</v>
      </c>
      <c r="P363" s="181">
        <v>126.026736</v>
      </c>
      <c r="Q363" s="182" t="s">
        <v>1775</v>
      </c>
      <c r="R363" s="183" t="s">
        <v>1776</v>
      </c>
      <c r="S363" s="552"/>
      <c r="T363" s="552"/>
      <c r="U363" s="181" t="s">
        <v>513</v>
      </c>
      <c r="V363" s="184" t="s">
        <v>89</v>
      </c>
      <c r="W363" s="185" t="s">
        <v>2282</v>
      </c>
      <c r="X363" s="18"/>
      <c r="Y363" s="128" t="s">
        <v>1428</v>
      </c>
      <c r="Z363" s="128" t="s">
        <v>386</v>
      </c>
      <c r="AA363" s="119"/>
      <c r="AB363" s="96" t="s">
        <v>1932</v>
      </c>
      <c r="AC363" s="96">
        <v>9480388234</v>
      </c>
    </row>
    <row r="364" spans="1:29" ht="25.5">
      <c r="A364" s="32">
        <v>16</v>
      </c>
      <c r="B364" s="176" t="s">
        <v>81</v>
      </c>
      <c r="C364" s="176" t="s">
        <v>1934</v>
      </c>
      <c r="D364" s="177" t="s">
        <v>2119</v>
      </c>
      <c r="E364" s="550" t="str">
        <f>LEFT(G364,FIND("_",G364) - 1)</f>
        <v>Del Carmen National High School</v>
      </c>
      <c r="F364" s="550" t="s">
        <v>1810</v>
      </c>
      <c r="G364" s="213" t="s">
        <v>562</v>
      </c>
      <c r="H364" s="23"/>
      <c r="I364" s="23"/>
      <c r="J364" s="23" t="s">
        <v>1939</v>
      </c>
      <c r="K364" s="176"/>
      <c r="L364" s="176" t="s">
        <v>207</v>
      </c>
      <c r="M364" s="180">
        <v>45595</v>
      </c>
      <c r="N364" s="181"/>
      <c r="O364" s="181" t="s">
        <v>1936</v>
      </c>
      <c r="P364" s="181" t="s">
        <v>1937</v>
      </c>
      <c r="Q364" s="182" t="s">
        <v>1775</v>
      </c>
      <c r="R364" s="183" t="s">
        <v>1776</v>
      </c>
      <c r="S364" s="550" t="b">
        <v>0</v>
      </c>
      <c r="T364" s="550" t="b">
        <v>0</v>
      </c>
      <c r="U364" s="181" t="s">
        <v>513</v>
      </c>
      <c r="V364" s="184" t="s">
        <v>89</v>
      </c>
      <c r="W364" s="185" t="s">
        <v>1782</v>
      </c>
      <c r="X364" s="18"/>
      <c r="Y364" s="527" t="s">
        <v>1941</v>
      </c>
      <c r="Z364" s="527" t="s">
        <v>386</v>
      </c>
      <c r="AA364" s="527" t="s">
        <v>386</v>
      </c>
      <c r="AB364" s="525" t="s">
        <v>1945</v>
      </c>
      <c r="AC364" s="525">
        <v>9069712599</v>
      </c>
    </row>
    <row r="365" spans="1:29" ht="25.5">
      <c r="A365" s="32">
        <v>17</v>
      </c>
      <c r="B365" s="176" t="s">
        <v>81</v>
      </c>
      <c r="C365" s="176" t="s">
        <v>1934</v>
      </c>
      <c r="D365" s="177" t="s">
        <v>2119</v>
      </c>
      <c r="E365" s="551"/>
      <c r="F365" s="551"/>
      <c r="G365" s="213" t="s">
        <v>564</v>
      </c>
      <c r="H365" s="23"/>
      <c r="I365" s="23"/>
      <c r="J365" s="23" t="s">
        <v>1955</v>
      </c>
      <c r="K365" s="181"/>
      <c r="L365" s="181" t="s">
        <v>207</v>
      </c>
      <c r="M365" s="180">
        <v>45596</v>
      </c>
      <c r="N365" s="181"/>
      <c r="O365" s="181" t="s">
        <v>1952</v>
      </c>
      <c r="P365" s="181" t="s">
        <v>1953</v>
      </c>
      <c r="Q365" s="182" t="s">
        <v>1775</v>
      </c>
      <c r="R365" s="183" t="s">
        <v>1776</v>
      </c>
      <c r="S365" s="551"/>
      <c r="T365" s="551"/>
      <c r="U365" s="181" t="s">
        <v>513</v>
      </c>
      <c r="V365" s="184" t="s">
        <v>89</v>
      </c>
      <c r="W365" s="185" t="s">
        <v>1782</v>
      </c>
      <c r="X365" s="18"/>
      <c r="Y365" s="511"/>
      <c r="Z365" s="511"/>
      <c r="AA365" s="511"/>
      <c r="AB365" s="511"/>
      <c r="AC365" s="511"/>
    </row>
    <row r="366" spans="1:29" ht="25.5">
      <c r="A366" s="32">
        <v>18</v>
      </c>
      <c r="B366" s="176" t="s">
        <v>81</v>
      </c>
      <c r="C366" s="176" t="s">
        <v>1934</v>
      </c>
      <c r="D366" s="177" t="s">
        <v>2119</v>
      </c>
      <c r="E366" s="552"/>
      <c r="F366" s="552"/>
      <c r="G366" s="213" t="s">
        <v>149</v>
      </c>
      <c r="H366" s="23"/>
      <c r="I366" s="23"/>
      <c r="J366" s="23" t="s">
        <v>1950</v>
      </c>
      <c r="K366" s="181"/>
      <c r="L366" s="181" t="s">
        <v>374</v>
      </c>
      <c r="M366" s="180">
        <v>45595</v>
      </c>
      <c r="N366" s="181"/>
      <c r="O366" s="181" t="s">
        <v>1936</v>
      </c>
      <c r="P366" s="181" t="s">
        <v>1937</v>
      </c>
      <c r="Q366" s="182" t="s">
        <v>1775</v>
      </c>
      <c r="R366" s="183" t="s">
        <v>1776</v>
      </c>
      <c r="S366" s="552"/>
      <c r="T366" s="552"/>
      <c r="U366" s="181" t="s">
        <v>513</v>
      </c>
      <c r="V366" s="184" t="s">
        <v>89</v>
      </c>
      <c r="W366" s="185" t="s">
        <v>2080</v>
      </c>
      <c r="X366" s="18"/>
      <c r="Y366" s="512"/>
      <c r="Z366" s="512"/>
      <c r="AA366" s="512"/>
      <c r="AB366" s="512"/>
      <c r="AC366" s="512"/>
    </row>
    <row r="367" spans="1:29" ht="25.5">
      <c r="A367" s="32">
        <v>19</v>
      </c>
      <c r="B367" s="176" t="s">
        <v>81</v>
      </c>
      <c r="C367" s="176" t="s">
        <v>1934</v>
      </c>
      <c r="D367" s="177" t="s">
        <v>2119</v>
      </c>
      <c r="E367" s="557" t="s">
        <v>621</v>
      </c>
      <c r="F367" s="545" t="s">
        <v>1810</v>
      </c>
      <c r="G367" s="178" t="s">
        <v>620</v>
      </c>
      <c r="H367" s="403"/>
      <c r="I367" s="403"/>
      <c r="J367" s="403"/>
      <c r="K367" s="176"/>
      <c r="L367" s="176" t="s">
        <v>622</v>
      </c>
      <c r="M367" s="180">
        <v>45280</v>
      </c>
      <c r="N367" s="181"/>
      <c r="O367" s="181">
        <v>9.8743937699999993</v>
      </c>
      <c r="P367" s="181">
        <v>125.9700955</v>
      </c>
      <c r="Q367" s="182" t="s">
        <v>1813</v>
      </c>
      <c r="R367" s="183" t="s">
        <v>1814</v>
      </c>
      <c r="S367" s="545" t="b">
        <v>0</v>
      </c>
      <c r="T367" s="545" t="b">
        <v>0</v>
      </c>
      <c r="U367" s="181" t="s">
        <v>623</v>
      </c>
      <c r="V367" s="185" t="s">
        <v>2037</v>
      </c>
      <c r="W367" s="185" t="s">
        <v>1782</v>
      </c>
      <c r="X367" s="18"/>
      <c r="Y367" s="18"/>
      <c r="Z367" s="18"/>
      <c r="AA367" s="18"/>
      <c r="AB367" s="18"/>
      <c r="AC367" s="18"/>
    </row>
    <row r="368" spans="1:29" ht="38.25">
      <c r="A368" s="32">
        <v>20</v>
      </c>
      <c r="B368" s="176" t="s">
        <v>81</v>
      </c>
      <c r="C368" s="176" t="s">
        <v>1934</v>
      </c>
      <c r="D368" s="177" t="s">
        <v>2119</v>
      </c>
      <c r="E368" s="559"/>
      <c r="F368" s="546"/>
      <c r="G368" s="178" t="s">
        <v>624</v>
      </c>
      <c r="H368" s="403"/>
      <c r="I368" s="403"/>
      <c r="J368" s="403"/>
      <c r="K368" s="176"/>
      <c r="L368" s="176" t="s">
        <v>622</v>
      </c>
      <c r="M368" s="180">
        <v>45280</v>
      </c>
      <c r="N368" s="181"/>
      <c r="O368" s="181">
        <v>9.8743937699999993</v>
      </c>
      <c r="P368" s="181">
        <v>125.9700955</v>
      </c>
      <c r="Q368" s="182" t="s">
        <v>1813</v>
      </c>
      <c r="R368" s="183" t="s">
        <v>1814</v>
      </c>
      <c r="S368" s="546"/>
      <c r="T368" s="546"/>
      <c r="U368" s="181" t="s">
        <v>623</v>
      </c>
      <c r="V368" s="185" t="s">
        <v>2037</v>
      </c>
      <c r="W368" s="185" t="s">
        <v>1782</v>
      </c>
      <c r="X368" s="18"/>
      <c r="Y368" s="18"/>
      <c r="Z368" s="18"/>
      <c r="AA368" s="18"/>
      <c r="AB368" s="18"/>
      <c r="AC368" s="18"/>
    </row>
    <row r="369" spans="1:29" ht="38.25">
      <c r="A369" s="32">
        <v>21</v>
      </c>
      <c r="B369" s="176" t="s">
        <v>81</v>
      </c>
      <c r="C369" s="176" t="s">
        <v>1934</v>
      </c>
      <c r="D369" s="177" t="s">
        <v>2119</v>
      </c>
      <c r="E369" s="558"/>
      <c r="F369" s="547"/>
      <c r="G369" s="178" t="s">
        <v>625</v>
      </c>
      <c r="H369" s="403"/>
      <c r="I369" s="403"/>
      <c r="J369" s="403"/>
      <c r="K369" s="176"/>
      <c r="L369" s="176" t="s">
        <v>622</v>
      </c>
      <c r="M369" s="180">
        <v>45280</v>
      </c>
      <c r="N369" s="181"/>
      <c r="O369" s="181">
        <v>9.8743937699999993</v>
      </c>
      <c r="P369" s="181">
        <v>125.9700955</v>
      </c>
      <c r="Q369" s="182" t="s">
        <v>1813</v>
      </c>
      <c r="R369" s="183" t="s">
        <v>1814</v>
      </c>
      <c r="S369" s="547"/>
      <c r="T369" s="547"/>
      <c r="U369" s="181" t="s">
        <v>623</v>
      </c>
      <c r="V369" s="185" t="s">
        <v>2037</v>
      </c>
      <c r="W369" s="185" t="s">
        <v>1782</v>
      </c>
      <c r="X369" s="18"/>
      <c r="Y369" s="18"/>
      <c r="Z369" s="18"/>
      <c r="AA369" s="18"/>
      <c r="AB369" s="18"/>
      <c r="AC369" s="18"/>
    </row>
    <row r="370" spans="1:29" ht="25.5">
      <c r="A370" s="32">
        <v>22</v>
      </c>
      <c r="B370" s="181" t="s">
        <v>81</v>
      </c>
      <c r="C370" s="181" t="s">
        <v>320</v>
      </c>
      <c r="D370" s="177" t="s">
        <v>2119</v>
      </c>
      <c r="E370" s="545" t="str">
        <f>LEFT(G370,FIND("_",G370) - 1)</f>
        <v>Siargao Airport</v>
      </c>
      <c r="F370" s="545" t="s">
        <v>1810</v>
      </c>
      <c r="G370" s="190" t="s">
        <v>323</v>
      </c>
      <c r="H370" s="97"/>
      <c r="I370" s="97"/>
      <c r="J370" s="97" t="s">
        <v>2281</v>
      </c>
      <c r="K370" s="181"/>
      <c r="L370" s="181" t="s">
        <v>668</v>
      </c>
      <c r="M370" s="180">
        <v>45777</v>
      </c>
      <c r="N370" s="181"/>
      <c r="O370" s="181">
        <v>9.8565553300000008</v>
      </c>
      <c r="P370" s="181">
        <v>126.0160595</v>
      </c>
      <c r="Q370" s="182" t="s">
        <v>1775</v>
      </c>
      <c r="R370" s="183" t="s">
        <v>1776</v>
      </c>
      <c r="S370" s="545" t="b">
        <v>0</v>
      </c>
      <c r="T370" s="545" t="b">
        <v>0</v>
      </c>
      <c r="U370" s="181" t="s">
        <v>311</v>
      </c>
      <c r="V370" s="184" t="s">
        <v>199</v>
      </c>
      <c r="W370" s="185" t="s">
        <v>1782</v>
      </c>
      <c r="X370" s="18"/>
      <c r="Y370" s="527" t="s">
        <v>1428</v>
      </c>
      <c r="Z370" s="527" t="s">
        <v>386</v>
      </c>
      <c r="AA370" s="18"/>
      <c r="AB370" s="525" t="s">
        <v>3136</v>
      </c>
      <c r="AC370" s="525" t="s">
        <v>3137</v>
      </c>
    </row>
    <row r="371" spans="1:29" ht="25.5">
      <c r="A371" s="32">
        <v>23</v>
      </c>
      <c r="B371" s="181" t="s">
        <v>81</v>
      </c>
      <c r="C371" s="181" t="s">
        <v>320</v>
      </c>
      <c r="D371" s="177" t="s">
        <v>2119</v>
      </c>
      <c r="E371" s="546"/>
      <c r="F371" s="546"/>
      <c r="G371" s="407" t="s">
        <v>324</v>
      </c>
      <c r="H371" s="97"/>
      <c r="I371" s="97"/>
      <c r="J371" s="97" t="s">
        <v>2284</v>
      </c>
      <c r="K371" s="181"/>
      <c r="L371" s="181" t="s">
        <v>668</v>
      </c>
      <c r="M371" s="180">
        <v>45777</v>
      </c>
      <c r="N371" s="181"/>
      <c r="O371" s="181">
        <v>9.8571457500000008</v>
      </c>
      <c r="P371" s="181">
        <v>126.0161797</v>
      </c>
      <c r="Q371" s="182" t="s">
        <v>1775</v>
      </c>
      <c r="R371" s="183" t="s">
        <v>1776</v>
      </c>
      <c r="S371" s="546"/>
      <c r="T371" s="546"/>
      <c r="U371" s="181" t="s">
        <v>311</v>
      </c>
      <c r="V371" s="184" t="s">
        <v>199</v>
      </c>
      <c r="W371" s="185" t="s">
        <v>1782</v>
      </c>
      <c r="X371" s="18"/>
      <c r="Y371" s="511"/>
      <c r="Z371" s="511"/>
      <c r="AA371" s="18"/>
      <c r="AB371" s="511"/>
      <c r="AC371" s="511"/>
    </row>
    <row r="372" spans="1:29" ht="25.5">
      <c r="A372" s="32">
        <v>24</v>
      </c>
      <c r="B372" s="181" t="s">
        <v>81</v>
      </c>
      <c r="C372" s="181" t="s">
        <v>320</v>
      </c>
      <c r="D372" s="177" t="s">
        <v>2119</v>
      </c>
      <c r="E372" s="546"/>
      <c r="F372" s="546"/>
      <c r="G372" s="190" t="s">
        <v>326</v>
      </c>
      <c r="H372" s="97"/>
      <c r="I372" s="97"/>
      <c r="J372" s="97" t="s">
        <v>2287</v>
      </c>
      <c r="K372" s="181"/>
      <c r="L372" s="181" t="s">
        <v>668</v>
      </c>
      <c r="M372" s="180">
        <v>45777</v>
      </c>
      <c r="N372" s="181"/>
      <c r="O372" s="181">
        <v>9.8570362800000009</v>
      </c>
      <c r="P372" s="181">
        <v>126.01611149999999</v>
      </c>
      <c r="Q372" s="182" t="s">
        <v>1775</v>
      </c>
      <c r="R372" s="183" t="s">
        <v>1776</v>
      </c>
      <c r="S372" s="546"/>
      <c r="T372" s="546"/>
      <c r="U372" s="181" t="s">
        <v>311</v>
      </c>
      <c r="V372" s="184" t="s">
        <v>199</v>
      </c>
      <c r="W372" s="185" t="s">
        <v>1782</v>
      </c>
      <c r="X372" s="18"/>
      <c r="Y372" s="511"/>
      <c r="Z372" s="511"/>
      <c r="AA372" s="18"/>
      <c r="AB372" s="511"/>
      <c r="AC372" s="511"/>
    </row>
    <row r="373" spans="1:29" ht="25.5">
      <c r="A373" s="32">
        <v>25</v>
      </c>
      <c r="B373" s="181" t="s">
        <v>81</v>
      </c>
      <c r="C373" s="181" t="s">
        <v>320</v>
      </c>
      <c r="D373" s="177" t="s">
        <v>2119</v>
      </c>
      <c r="E373" s="547"/>
      <c r="F373" s="547"/>
      <c r="G373" s="190" t="s">
        <v>329</v>
      </c>
      <c r="H373" s="97"/>
      <c r="I373" s="97"/>
      <c r="J373" s="97" t="s">
        <v>2289</v>
      </c>
      <c r="K373" s="181"/>
      <c r="L373" s="181" t="s">
        <v>668</v>
      </c>
      <c r="M373" s="180">
        <v>45777</v>
      </c>
      <c r="N373" s="181"/>
      <c r="O373" s="181">
        <v>9.8567242099999994</v>
      </c>
      <c r="P373" s="181">
        <v>126.0159702</v>
      </c>
      <c r="Q373" s="182" t="s">
        <v>1775</v>
      </c>
      <c r="R373" s="183" t="s">
        <v>1776</v>
      </c>
      <c r="S373" s="547"/>
      <c r="T373" s="547"/>
      <c r="U373" s="181" t="s">
        <v>311</v>
      </c>
      <c r="V373" s="184" t="s">
        <v>199</v>
      </c>
      <c r="W373" s="185" t="s">
        <v>1782</v>
      </c>
      <c r="X373" s="18"/>
      <c r="Y373" s="512"/>
      <c r="Z373" s="512"/>
      <c r="AA373" s="18"/>
      <c r="AB373" s="512"/>
      <c r="AC373" s="512"/>
    </row>
    <row r="374" spans="1:29" ht="25.5">
      <c r="A374" s="32">
        <v>26</v>
      </c>
      <c r="B374" s="181" t="s">
        <v>81</v>
      </c>
      <c r="C374" s="185" t="s">
        <v>2349</v>
      </c>
      <c r="D374" s="177" t="s">
        <v>2119</v>
      </c>
      <c r="E374" s="545" t="s">
        <v>2351</v>
      </c>
      <c r="F374" s="545" t="s">
        <v>1854</v>
      </c>
      <c r="G374" s="190" t="s">
        <v>2350</v>
      </c>
      <c r="H374" s="179"/>
      <c r="I374" s="179"/>
      <c r="J374" s="179" t="s">
        <v>3138</v>
      </c>
      <c r="K374" s="185"/>
      <c r="L374" s="185" t="s">
        <v>374</v>
      </c>
      <c r="M374" s="180">
        <v>45982</v>
      </c>
      <c r="N374" s="181"/>
      <c r="O374" s="181">
        <v>9.8160909800000002</v>
      </c>
      <c r="P374" s="181">
        <v>126.01383921999999</v>
      </c>
      <c r="Q374" s="182" t="s">
        <v>1775</v>
      </c>
      <c r="R374" s="183" t="s">
        <v>1776</v>
      </c>
      <c r="S374" s="545" t="b">
        <v>0</v>
      </c>
      <c r="T374" s="545" t="b">
        <v>0</v>
      </c>
      <c r="U374" s="181" t="s">
        <v>1999</v>
      </c>
      <c r="V374" s="185" t="s">
        <v>89</v>
      </c>
      <c r="W374" s="185" t="s">
        <v>1782</v>
      </c>
      <c r="X374" s="18"/>
      <c r="Y374" s="18"/>
      <c r="Z374" s="18"/>
      <c r="AA374" s="18"/>
      <c r="AB374" s="522" t="s">
        <v>3139</v>
      </c>
      <c r="AC374" s="523">
        <v>976674739</v>
      </c>
    </row>
    <row r="375" spans="1:29" ht="25.5">
      <c r="A375" s="32">
        <v>27</v>
      </c>
      <c r="B375" s="181" t="s">
        <v>81</v>
      </c>
      <c r="C375" s="185" t="s">
        <v>2349</v>
      </c>
      <c r="D375" s="177" t="s">
        <v>2119</v>
      </c>
      <c r="E375" s="547"/>
      <c r="F375" s="547"/>
      <c r="G375" s="190" t="s">
        <v>2352</v>
      </c>
      <c r="H375" s="179"/>
      <c r="I375" s="179"/>
      <c r="J375" s="179" t="s">
        <v>3138</v>
      </c>
      <c r="K375" s="185"/>
      <c r="L375" s="185" t="s">
        <v>374</v>
      </c>
      <c r="M375" s="180">
        <v>45982</v>
      </c>
      <c r="N375" s="181"/>
      <c r="O375" s="181">
        <v>9.8162908899999994</v>
      </c>
      <c r="P375" s="181">
        <v>126.01365083</v>
      </c>
      <c r="Q375" s="182" t="s">
        <v>1775</v>
      </c>
      <c r="R375" s="183" t="s">
        <v>1776</v>
      </c>
      <c r="S375" s="547"/>
      <c r="T375" s="547"/>
      <c r="U375" s="181" t="s">
        <v>1999</v>
      </c>
      <c r="V375" s="185" t="s">
        <v>89</v>
      </c>
      <c r="W375" s="185" t="s">
        <v>1782</v>
      </c>
      <c r="X375" s="18"/>
      <c r="Y375" s="18"/>
      <c r="Z375" s="18"/>
      <c r="AA375" s="18"/>
      <c r="AB375" s="512"/>
      <c r="AC375" s="512"/>
    </row>
    <row r="376" spans="1:29" ht="25.5">
      <c r="A376" s="32">
        <v>28</v>
      </c>
      <c r="B376" s="181" t="s">
        <v>81</v>
      </c>
      <c r="C376" s="185" t="s">
        <v>1869</v>
      </c>
      <c r="D376" s="177" t="s">
        <v>2119</v>
      </c>
      <c r="E376" s="545" t="s">
        <v>557</v>
      </c>
      <c r="F376" s="545" t="s">
        <v>1810</v>
      </c>
      <c r="G376" s="190" t="s">
        <v>2508</v>
      </c>
      <c r="H376" s="179"/>
      <c r="I376" s="179"/>
      <c r="J376" s="179" t="s">
        <v>3140</v>
      </c>
      <c r="K376" s="185"/>
      <c r="L376" s="185" t="s">
        <v>374</v>
      </c>
      <c r="M376" s="180">
        <v>46101</v>
      </c>
      <c r="N376" s="181"/>
      <c r="O376" s="181">
        <v>9.8197224999999992</v>
      </c>
      <c r="P376" s="181">
        <v>126.055942</v>
      </c>
      <c r="Q376" s="182" t="s">
        <v>1813</v>
      </c>
      <c r="R376" s="183" t="s">
        <v>1814</v>
      </c>
      <c r="S376" s="545" t="b">
        <v>0</v>
      </c>
      <c r="T376" s="545" t="b">
        <v>0</v>
      </c>
      <c r="U376" s="181" t="s">
        <v>1815</v>
      </c>
      <c r="V376" s="185" t="s">
        <v>89</v>
      </c>
      <c r="W376" s="185" t="s">
        <v>1782</v>
      </c>
      <c r="X376" s="18"/>
      <c r="Y376" s="18"/>
      <c r="Z376" s="18"/>
      <c r="AA376" s="18"/>
      <c r="AB376" s="18"/>
      <c r="AC376" s="18"/>
    </row>
    <row r="377" spans="1:29" ht="25.5">
      <c r="A377" s="32">
        <v>29</v>
      </c>
      <c r="B377" s="181" t="s">
        <v>81</v>
      </c>
      <c r="C377" s="185" t="s">
        <v>1869</v>
      </c>
      <c r="D377" s="177" t="s">
        <v>2119</v>
      </c>
      <c r="E377" s="546"/>
      <c r="F377" s="546"/>
      <c r="G377" s="190" t="s">
        <v>2509</v>
      </c>
      <c r="H377" s="179"/>
      <c r="I377" s="179"/>
      <c r="J377" s="179" t="s">
        <v>3140</v>
      </c>
      <c r="K377" s="185"/>
      <c r="L377" s="185" t="s">
        <v>374</v>
      </c>
      <c r="M377" s="180">
        <v>46101</v>
      </c>
      <c r="N377" s="181"/>
      <c r="O377" s="181">
        <v>9.8197224999999992</v>
      </c>
      <c r="P377" s="181">
        <v>126.055942</v>
      </c>
      <c r="Q377" s="182" t="s">
        <v>1813</v>
      </c>
      <c r="R377" s="183" t="s">
        <v>1814</v>
      </c>
      <c r="S377" s="546"/>
      <c r="T377" s="546"/>
      <c r="U377" s="181" t="s">
        <v>1815</v>
      </c>
      <c r="V377" s="185" t="s">
        <v>89</v>
      </c>
      <c r="W377" s="185" t="s">
        <v>1782</v>
      </c>
      <c r="X377" s="18"/>
      <c r="Y377" s="18"/>
      <c r="Z377" s="18"/>
      <c r="AA377" s="18"/>
      <c r="AB377" s="18"/>
      <c r="AC377" s="18"/>
    </row>
    <row r="378" spans="1:29" ht="25.5">
      <c r="A378" s="32">
        <v>30</v>
      </c>
      <c r="B378" s="181" t="s">
        <v>81</v>
      </c>
      <c r="C378" s="185" t="s">
        <v>1869</v>
      </c>
      <c r="D378" s="177" t="s">
        <v>2119</v>
      </c>
      <c r="E378" s="547"/>
      <c r="F378" s="547"/>
      <c r="G378" s="190" t="s">
        <v>2511</v>
      </c>
      <c r="H378" s="179"/>
      <c r="I378" s="179"/>
      <c r="J378" s="179" t="s">
        <v>3140</v>
      </c>
      <c r="K378" s="185"/>
      <c r="L378" s="185" t="s">
        <v>374</v>
      </c>
      <c r="M378" s="180">
        <v>46101</v>
      </c>
      <c r="N378" s="181"/>
      <c r="O378" s="181">
        <v>9.8197224999999992</v>
      </c>
      <c r="P378" s="181">
        <v>126.055942</v>
      </c>
      <c r="Q378" s="182" t="s">
        <v>1813</v>
      </c>
      <c r="R378" s="183" t="s">
        <v>1814</v>
      </c>
      <c r="S378" s="547"/>
      <c r="T378" s="547"/>
      <c r="U378" s="181" t="s">
        <v>1815</v>
      </c>
      <c r="V378" s="185" t="s">
        <v>89</v>
      </c>
      <c r="W378" s="185" t="s">
        <v>1782</v>
      </c>
      <c r="X378" s="18"/>
      <c r="Y378" s="18"/>
      <c r="Z378" s="18"/>
      <c r="AA378" s="18"/>
      <c r="AB378" s="18"/>
      <c r="AC378" s="18"/>
    </row>
    <row r="379" spans="1:29" ht="25.5">
      <c r="A379" s="32">
        <v>31</v>
      </c>
      <c r="B379" s="181" t="s">
        <v>81</v>
      </c>
      <c r="C379" s="185" t="s">
        <v>2512</v>
      </c>
      <c r="D379" s="177" t="s">
        <v>2119</v>
      </c>
      <c r="E379" s="545" t="s">
        <v>2514</v>
      </c>
      <c r="F379" s="545" t="s">
        <v>1810</v>
      </c>
      <c r="G379" s="190" t="s">
        <v>2513</v>
      </c>
      <c r="H379" s="179"/>
      <c r="I379" s="179"/>
      <c r="J379" s="179" t="s">
        <v>3141</v>
      </c>
      <c r="K379" s="185"/>
      <c r="L379" s="185" t="s">
        <v>374</v>
      </c>
      <c r="M379" s="180">
        <v>46101</v>
      </c>
      <c r="N379" s="181"/>
      <c r="O379" s="181">
        <v>9.8375492999999992</v>
      </c>
      <c r="P379" s="181">
        <v>126.064179</v>
      </c>
      <c r="Q379" s="182" t="s">
        <v>1813</v>
      </c>
      <c r="R379" s="183" t="s">
        <v>1814</v>
      </c>
      <c r="S379" s="545" t="b">
        <v>0</v>
      </c>
      <c r="T379" s="545" t="b">
        <v>0</v>
      </c>
      <c r="U379" s="181" t="s">
        <v>1815</v>
      </c>
      <c r="V379" s="184" t="s">
        <v>89</v>
      </c>
      <c r="W379" s="185" t="s">
        <v>1782</v>
      </c>
      <c r="X379" s="18"/>
      <c r="Y379" s="18"/>
      <c r="Z379" s="18"/>
      <c r="AA379" s="18"/>
      <c r="AB379" s="18"/>
      <c r="AC379" s="18"/>
    </row>
    <row r="380" spans="1:29" ht="25.5">
      <c r="A380" s="32">
        <v>32</v>
      </c>
      <c r="B380" s="181" t="s">
        <v>81</v>
      </c>
      <c r="C380" s="185" t="s">
        <v>2512</v>
      </c>
      <c r="D380" s="177" t="s">
        <v>2119</v>
      </c>
      <c r="E380" s="546"/>
      <c r="F380" s="546"/>
      <c r="G380" s="190" t="s">
        <v>2516</v>
      </c>
      <c r="H380" s="179"/>
      <c r="I380" s="179"/>
      <c r="J380" s="179" t="s">
        <v>3141</v>
      </c>
      <c r="K380" s="185"/>
      <c r="L380" s="185" t="s">
        <v>374</v>
      </c>
      <c r="M380" s="180">
        <v>46101</v>
      </c>
      <c r="N380" s="181"/>
      <c r="O380" s="181">
        <v>9.8375492999999992</v>
      </c>
      <c r="P380" s="181">
        <v>126.064179</v>
      </c>
      <c r="Q380" s="182" t="s">
        <v>1813</v>
      </c>
      <c r="R380" s="183" t="s">
        <v>1814</v>
      </c>
      <c r="S380" s="546"/>
      <c r="T380" s="546"/>
      <c r="U380" s="181" t="s">
        <v>1815</v>
      </c>
      <c r="V380" s="184" t="s">
        <v>89</v>
      </c>
      <c r="W380" s="185" t="s">
        <v>1782</v>
      </c>
      <c r="X380" s="18"/>
      <c r="Y380" s="18"/>
      <c r="Z380" s="18"/>
      <c r="AA380" s="18"/>
      <c r="AB380" s="18"/>
      <c r="AC380" s="18"/>
    </row>
    <row r="381" spans="1:29" ht="25.5">
      <c r="A381" s="32">
        <v>33</v>
      </c>
      <c r="B381" s="181" t="s">
        <v>81</v>
      </c>
      <c r="C381" s="185" t="s">
        <v>2512</v>
      </c>
      <c r="D381" s="177" t="s">
        <v>2119</v>
      </c>
      <c r="E381" s="547"/>
      <c r="F381" s="547"/>
      <c r="G381" s="190" t="s">
        <v>2517</v>
      </c>
      <c r="H381" s="179"/>
      <c r="I381" s="179"/>
      <c r="J381" s="179" t="s">
        <v>3141</v>
      </c>
      <c r="K381" s="185"/>
      <c r="L381" s="185" t="s">
        <v>374</v>
      </c>
      <c r="M381" s="180">
        <v>46101</v>
      </c>
      <c r="N381" s="181"/>
      <c r="O381" s="181">
        <v>9.8375492999999992</v>
      </c>
      <c r="P381" s="181">
        <v>126.064179</v>
      </c>
      <c r="Q381" s="182" t="s">
        <v>1813</v>
      </c>
      <c r="R381" s="183" t="s">
        <v>1814</v>
      </c>
      <c r="S381" s="547"/>
      <c r="T381" s="547"/>
      <c r="U381" s="181" t="s">
        <v>1815</v>
      </c>
      <c r="V381" s="184" t="s">
        <v>89</v>
      </c>
      <c r="W381" s="185" t="s">
        <v>1782</v>
      </c>
      <c r="X381" s="18"/>
      <c r="Y381" s="18"/>
      <c r="Z381" s="18"/>
      <c r="AA381" s="18"/>
      <c r="AB381" s="18"/>
      <c r="AC381" s="18"/>
    </row>
    <row r="382" spans="1:29" ht="25.5">
      <c r="A382" s="32">
        <v>34</v>
      </c>
      <c r="B382" s="181" t="s">
        <v>81</v>
      </c>
      <c r="C382" s="185" t="s">
        <v>2518</v>
      </c>
      <c r="D382" s="177" t="s">
        <v>2119</v>
      </c>
      <c r="E382" s="545" t="s">
        <v>2520</v>
      </c>
      <c r="F382" s="545" t="s">
        <v>1810</v>
      </c>
      <c r="G382" s="190" t="s">
        <v>2519</v>
      </c>
      <c r="H382" s="179"/>
      <c r="I382" s="179"/>
      <c r="J382" s="179" t="s">
        <v>3142</v>
      </c>
      <c r="K382" s="185"/>
      <c r="L382" s="185" t="s">
        <v>374</v>
      </c>
      <c r="M382" s="180">
        <v>46101</v>
      </c>
      <c r="N382" s="181"/>
      <c r="O382" s="181">
        <v>9.8270374</v>
      </c>
      <c r="P382" s="181">
        <v>126.10926600000001</v>
      </c>
      <c r="Q382" s="182" t="s">
        <v>1813</v>
      </c>
      <c r="R382" s="183" t="s">
        <v>1814</v>
      </c>
      <c r="S382" s="545" t="b">
        <v>0</v>
      </c>
      <c r="T382" s="545" t="b">
        <v>0</v>
      </c>
      <c r="U382" s="181" t="s">
        <v>1815</v>
      </c>
      <c r="V382" s="184" t="s">
        <v>89</v>
      </c>
      <c r="W382" s="185" t="s">
        <v>1782</v>
      </c>
      <c r="X382" s="18"/>
      <c r="Y382" s="18"/>
      <c r="Z382" s="18"/>
      <c r="AA382" s="18"/>
      <c r="AB382" s="18"/>
      <c r="AC382" s="18"/>
    </row>
    <row r="383" spans="1:29" ht="25.5">
      <c r="A383" s="32">
        <v>35</v>
      </c>
      <c r="B383" s="181" t="s">
        <v>81</v>
      </c>
      <c r="C383" s="185" t="s">
        <v>2518</v>
      </c>
      <c r="D383" s="177" t="s">
        <v>2119</v>
      </c>
      <c r="E383" s="546"/>
      <c r="F383" s="546"/>
      <c r="G383" s="190" t="s">
        <v>2521</v>
      </c>
      <c r="H383" s="179"/>
      <c r="I383" s="179"/>
      <c r="J383" s="179" t="s">
        <v>3142</v>
      </c>
      <c r="K383" s="185"/>
      <c r="L383" s="185" t="s">
        <v>374</v>
      </c>
      <c r="M383" s="180">
        <v>46101</v>
      </c>
      <c r="N383" s="181"/>
      <c r="O383" s="181">
        <v>9.8270374</v>
      </c>
      <c r="P383" s="181">
        <v>126.10926600000001</v>
      </c>
      <c r="Q383" s="182" t="s">
        <v>1813</v>
      </c>
      <c r="R383" s="183" t="s">
        <v>1814</v>
      </c>
      <c r="S383" s="546"/>
      <c r="T383" s="546"/>
      <c r="U383" s="181" t="s">
        <v>1815</v>
      </c>
      <c r="V383" s="184" t="s">
        <v>89</v>
      </c>
      <c r="W383" s="185" t="s">
        <v>1782</v>
      </c>
      <c r="X383" s="18"/>
      <c r="Y383" s="18"/>
      <c r="Z383" s="18"/>
      <c r="AA383" s="18"/>
      <c r="AB383" s="18"/>
      <c r="AC383" s="18"/>
    </row>
    <row r="384" spans="1:29" ht="25.5">
      <c r="A384" s="32">
        <v>36</v>
      </c>
      <c r="B384" s="181" t="s">
        <v>81</v>
      </c>
      <c r="C384" s="185" t="s">
        <v>2518</v>
      </c>
      <c r="D384" s="177" t="s">
        <v>2119</v>
      </c>
      <c r="E384" s="547"/>
      <c r="F384" s="547"/>
      <c r="G384" s="190" t="s">
        <v>2522</v>
      </c>
      <c r="H384" s="179"/>
      <c r="I384" s="179"/>
      <c r="J384" s="179" t="s">
        <v>3142</v>
      </c>
      <c r="K384" s="185"/>
      <c r="L384" s="185" t="s">
        <v>374</v>
      </c>
      <c r="M384" s="180">
        <v>46101</v>
      </c>
      <c r="N384" s="181"/>
      <c r="O384" s="181">
        <v>9.8270374</v>
      </c>
      <c r="P384" s="181">
        <v>126.10926600000001</v>
      </c>
      <c r="Q384" s="182" t="s">
        <v>1813</v>
      </c>
      <c r="R384" s="183" t="s">
        <v>1814</v>
      </c>
      <c r="S384" s="547"/>
      <c r="T384" s="547"/>
      <c r="U384" s="181" t="s">
        <v>1815</v>
      </c>
      <c r="V384" s="184" t="s">
        <v>89</v>
      </c>
      <c r="W384" s="185" t="s">
        <v>1782</v>
      </c>
      <c r="X384" s="18"/>
      <c r="Y384" s="18"/>
      <c r="Z384" s="18"/>
      <c r="AA384" s="18"/>
      <c r="AB384" s="18"/>
      <c r="AC384" s="18"/>
    </row>
    <row r="385" spans="1:29" ht="25.5">
      <c r="A385" s="32">
        <v>37</v>
      </c>
      <c r="B385" s="181" t="s">
        <v>81</v>
      </c>
      <c r="C385" s="185" t="s">
        <v>2518</v>
      </c>
      <c r="D385" s="177" t="s">
        <v>2119</v>
      </c>
      <c r="E385" s="545" t="s">
        <v>2525</v>
      </c>
      <c r="F385" s="545" t="s">
        <v>1810</v>
      </c>
      <c r="G385" s="190" t="s">
        <v>2524</v>
      </c>
      <c r="H385" s="179"/>
      <c r="I385" s="179"/>
      <c r="J385" s="179" t="s">
        <v>3143</v>
      </c>
      <c r="K385" s="185"/>
      <c r="L385" s="185" t="s">
        <v>207</v>
      </c>
      <c r="M385" s="180">
        <v>46101</v>
      </c>
      <c r="N385" s="181"/>
      <c r="O385" s="181">
        <v>9.8644885000000002</v>
      </c>
      <c r="P385" s="181">
        <v>126.099335</v>
      </c>
      <c r="Q385" s="182" t="s">
        <v>1813</v>
      </c>
      <c r="R385" s="183" t="s">
        <v>1814</v>
      </c>
      <c r="S385" s="545" t="b">
        <v>0</v>
      </c>
      <c r="T385" s="545" t="b">
        <v>0</v>
      </c>
      <c r="U385" s="181" t="s">
        <v>1815</v>
      </c>
      <c r="V385" s="185" t="s">
        <v>89</v>
      </c>
      <c r="W385" s="185" t="s">
        <v>1782</v>
      </c>
      <c r="X385" s="18"/>
      <c r="Y385" s="18"/>
      <c r="Z385" s="18"/>
      <c r="AA385" s="18"/>
      <c r="AB385" s="18"/>
      <c r="AC385" s="18"/>
    </row>
    <row r="386" spans="1:29" ht="25.5">
      <c r="A386" s="32">
        <v>38</v>
      </c>
      <c r="B386" s="181" t="s">
        <v>81</v>
      </c>
      <c r="C386" s="185" t="s">
        <v>2518</v>
      </c>
      <c r="D386" s="177" t="s">
        <v>2119</v>
      </c>
      <c r="E386" s="546"/>
      <c r="F386" s="546"/>
      <c r="G386" s="190" t="s">
        <v>2526</v>
      </c>
      <c r="H386" s="179"/>
      <c r="I386" s="179"/>
      <c r="J386" s="179" t="s">
        <v>3143</v>
      </c>
      <c r="K386" s="185"/>
      <c r="L386" s="185" t="s">
        <v>207</v>
      </c>
      <c r="M386" s="180">
        <v>46101</v>
      </c>
      <c r="N386" s="181"/>
      <c r="O386" s="181">
        <v>9.8644885000000002</v>
      </c>
      <c r="P386" s="181">
        <v>126.099335</v>
      </c>
      <c r="Q386" s="182" t="s">
        <v>1813</v>
      </c>
      <c r="R386" s="183" t="s">
        <v>1814</v>
      </c>
      <c r="S386" s="546"/>
      <c r="T386" s="546"/>
      <c r="U386" s="181" t="s">
        <v>1815</v>
      </c>
      <c r="V386" s="185" t="s">
        <v>89</v>
      </c>
      <c r="W386" s="185" t="s">
        <v>1782</v>
      </c>
      <c r="X386" s="18"/>
      <c r="Y386" s="18"/>
      <c r="Z386" s="18"/>
      <c r="AA386" s="18"/>
      <c r="AB386" s="18"/>
      <c r="AC386" s="18"/>
    </row>
    <row r="387" spans="1:29" ht="25.5">
      <c r="A387" s="32">
        <v>39</v>
      </c>
      <c r="B387" s="181" t="s">
        <v>81</v>
      </c>
      <c r="C387" s="185" t="s">
        <v>2518</v>
      </c>
      <c r="D387" s="177" t="s">
        <v>2119</v>
      </c>
      <c r="E387" s="547"/>
      <c r="F387" s="547"/>
      <c r="G387" s="190" t="s">
        <v>2527</v>
      </c>
      <c r="H387" s="179"/>
      <c r="I387" s="179"/>
      <c r="J387" s="179" t="s">
        <v>3143</v>
      </c>
      <c r="K387" s="185"/>
      <c r="L387" s="185" t="s">
        <v>207</v>
      </c>
      <c r="M387" s="180">
        <v>46101</v>
      </c>
      <c r="N387" s="181"/>
      <c r="O387" s="181">
        <v>9.8644885000000002</v>
      </c>
      <c r="P387" s="181">
        <v>126.099335</v>
      </c>
      <c r="Q387" s="182" t="s">
        <v>1813</v>
      </c>
      <c r="R387" s="183" t="s">
        <v>1814</v>
      </c>
      <c r="S387" s="547"/>
      <c r="T387" s="547"/>
      <c r="U387" s="181" t="s">
        <v>1815</v>
      </c>
      <c r="V387" s="185" t="s">
        <v>89</v>
      </c>
      <c r="W387" s="185" t="s">
        <v>1782</v>
      </c>
      <c r="X387" s="18"/>
      <c r="Y387" s="18"/>
      <c r="Z387" s="18"/>
      <c r="AA387" s="18"/>
      <c r="AB387" s="18"/>
      <c r="AC387" s="18"/>
    </row>
    <row r="388" spans="1:29" ht="25.5">
      <c r="A388" s="32">
        <v>40</v>
      </c>
      <c r="B388" s="181" t="s">
        <v>81</v>
      </c>
      <c r="C388" s="185" t="s">
        <v>320</v>
      </c>
      <c r="D388" s="177" t="s">
        <v>2119</v>
      </c>
      <c r="E388" s="545" t="s">
        <v>2529</v>
      </c>
      <c r="F388" s="545" t="s">
        <v>1810</v>
      </c>
      <c r="G388" s="190" t="s">
        <v>2528</v>
      </c>
      <c r="H388" s="179"/>
      <c r="I388" s="179"/>
      <c r="J388" s="179" t="s">
        <v>3144</v>
      </c>
      <c r="K388" s="185"/>
      <c r="L388" s="185" t="s">
        <v>207</v>
      </c>
      <c r="M388" s="180">
        <v>46101</v>
      </c>
      <c r="N388" s="181"/>
      <c r="O388" s="181">
        <v>9.8456712999999993</v>
      </c>
      <c r="P388" s="181">
        <v>126.110876</v>
      </c>
      <c r="Q388" s="182" t="s">
        <v>1813</v>
      </c>
      <c r="R388" s="183" t="s">
        <v>1814</v>
      </c>
      <c r="S388" s="545" t="b">
        <v>0</v>
      </c>
      <c r="T388" s="545" t="b">
        <v>0</v>
      </c>
      <c r="U388" s="181" t="s">
        <v>1815</v>
      </c>
      <c r="V388" s="185" t="s">
        <v>89</v>
      </c>
      <c r="W388" s="185" t="s">
        <v>1782</v>
      </c>
      <c r="X388" s="18"/>
      <c r="Y388" s="18"/>
      <c r="Z388" s="18"/>
      <c r="AA388" s="18"/>
      <c r="AB388" s="18"/>
      <c r="AC388" s="18"/>
    </row>
    <row r="389" spans="1:29" ht="25.5">
      <c r="A389" s="32">
        <v>41</v>
      </c>
      <c r="B389" s="181" t="s">
        <v>81</v>
      </c>
      <c r="C389" s="185" t="s">
        <v>320</v>
      </c>
      <c r="D389" s="177" t="s">
        <v>2119</v>
      </c>
      <c r="E389" s="546"/>
      <c r="F389" s="546"/>
      <c r="G389" s="190" t="s">
        <v>2530</v>
      </c>
      <c r="H389" s="179"/>
      <c r="I389" s="179"/>
      <c r="J389" s="179" t="s">
        <v>3144</v>
      </c>
      <c r="K389" s="185"/>
      <c r="L389" s="185" t="s">
        <v>207</v>
      </c>
      <c r="M389" s="180">
        <v>46101</v>
      </c>
      <c r="N389" s="181"/>
      <c r="O389" s="181">
        <v>9.8456712999999993</v>
      </c>
      <c r="P389" s="181">
        <v>126.110876</v>
      </c>
      <c r="Q389" s="182" t="s">
        <v>1813</v>
      </c>
      <c r="R389" s="183" t="s">
        <v>1814</v>
      </c>
      <c r="S389" s="546"/>
      <c r="T389" s="546"/>
      <c r="U389" s="181" t="s">
        <v>1815</v>
      </c>
      <c r="V389" s="185" t="s">
        <v>89</v>
      </c>
      <c r="W389" s="185" t="s">
        <v>1782</v>
      </c>
      <c r="X389" s="18"/>
      <c r="Y389" s="18"/>
      <c r="Z389" s="18"/>
      <c r="AA389" s="18"/>
      <c r="AB389" s="18"/>
      <c r="AC389" s="18"/>
    </row>
    <row r="390" spans="1:29" ht="25.5">
      <c r="A390" s="32">
        <v>42</v>
      </c>
      <c r="B390" s="181" t="s">
        <v>81</v>
      </c>
      <c r="C390" s="185" t="s">
        <v>320</v>
      </c>
      <c r="D390" s="177" t="s">
        <v>2119</v>
      </c>
      <c r="E390" s="547"/>
      <c r="F390" s="547"/>
      <c r="G390" s="190" t="s">
        <v>2531</v>
      </c>
      <c r="H390" s="179"/>
      <c r="I390" s="179"/>
      <c r="J390" s="179" t="s">
        <v>3144</v>
      </c>
      <c r="K390" s="185"/>
      <c r="L390" s="185" t="s">
        <v>207</v>
      </c>
      <c r="M390" s="180">
        <v>46101</v>
      </c>
      <c r="N390" s="181"/>
      <c r="O390" s="181">
        <v>9.8456712999999993</v>
      </c>
      <c r="P390" s="181">
        <v>126.110876</v>
      </c>
      <c r="Q390" s="182" t="s">
        <v>1813</v>
      </c>
      <c r="R390" s="183" t="s">
        <v>1814</v>
      </c>
      <c r="S390" s="547"/>
      <c r="T390" s="547"/>
      <c r="U390" s="181" t="s">
        <v>1815</v>
      </c>
      <c r="V390" s="185" t="s">
        <v>89</v>
      </c>
      <c r="W390" s="185" t="s">
        <v>1782</v>
      </c>
      <c r="X390" s="18"/>
      <c r="Y390" s="18"/>
      <c r="Z390" s="18"/>
      <c r="AA390" s="18"/>
      <c r="AB390" s="18"/>
      <c r="AC390" s="18"/>
    </row>
    <row r="391" spans="1:29" ht="25.5">
      <c r="A391" s="32">
        <v>43</v>
      </c>
      <c r="B391" s="181" t="s">
        <v>81</v>
      </c>
      <c r="C391" s="185" t="s">
        <v>2532</v>
      </c>
      <c r="D391" s="177" t="s">
        <v>2119</v>
      </c>
      <c r="E391" s="545" t="s">
        <v>2534</v>
      </c>
      <c r="F391" s="545" t="s">
        <v>1810</v>
      </c>
      <c r="G391" s="190" t="s">
        <v>2533</v>
      </c>
      <c r="H391" s="179"/>
      <c r="I391" s="179"/>
      <c r="J391" s="179" t="s">
        <v>3145</v>
      </c>
      <c r="K391" s="185"/>
      <c r="L391" s="185" t="s">
        <v>374</v>
      </c>
      <c r="M391" s="180">
        <v>46101</v>
      </c>
      <c r="N391" s="181"/>
      <c r="O391" s="181">
        <v>9.6294567000000004</v>
      </c>
      <c r="P391" s="181">
        <v>125.93814399999999</v>
      </c>
      <c r="Q391" s="182" t="s">
        <v>1813</v>
      </c>
      <c r="R391" s="183" t="s">
        <v>1814</v>
      </c>
      <c r="S391" s="545" t="b">
        <v>0</v>
      </c>
      <c r="T391" s="545" t="b">
        <v>0</v>
      </c>
      <c r="U391" s="181" t="s">
        <v>1815</v>
      </c>
      <c r="V391" s="185" t="s">
        <v>89</v>
      </c>
      <c r="W391" s="185" t="s">
        <v>1782</v>
      </c>
      <c r="X391" s="18"/>
      <c r="Y391" s="18"/>
      <c r="Z391" s="18"/>
      <c r="AA391" s="18"/>
      <c r="AB391" s="18"/>
      <c r="AC391" s="18"/>
    </row>
    <row r="392" spans="1:29" ht="25.5">
      <c r="A392" s="32">
        <v>44</v>
      </c>
      <c r="B392" s="181" t="s">
        <v>81</v>
      </c>
      <c r="C392" s="185" t="s">
        <v>2532</v>
      </c>
      <c r="D392" s="177" t="s">
        <v>2119</v>
      </c>
      <c r="E392" s="546"/>
      <c r="F392" s="546"/>
      <c r="G392" s="190" t="s">
        <v>2536</v>
      </c>
      <c r="H392" s="179"/>
      <c r="I392" s="179"/>
      <c r="J392" s="179" t="s">
        <v>3145</v>
      </c>
      <c r="K392" s="185"/>
      <c r="L392" s="185" t="s">
        <v>374</v>
      </c>
      <c r="M392" s="180">
        <v>46101</v>
      </c>
      <c r="N392" s="181"/>
      <c r="O392" s="181">
        <v>9.6294567000000004</v>
      </c>
      <c r="P392" s="181">
        <v>125.93814399999999</v>
      </c>
      <c r="Q392" s="182" t="s">
        <v>1813</v>
      </c>
      <c r="R392" s="183" t="s">
        <v>1814</v>
      </c>
      <c r="S392" s="546"/>
      <c r="T392" s="546"/>
      <c r="U392" s="181" t="s">
        <v>1815</v>
      </c>
      <c r="V392" s="185" t="s">
        <v>89</v>
      </c>
      <c r="W392" s="185" t="s">
        <v>1782</v>
      </c>
      <c r="X392" s="18"/>
      <c r="Y392" s="18"/>
      <c r="Z392" s="18"/>
      <c r="AA392" s="18"/>
      <c r="AB392" s="18"/>
      <c r="AC392" s="18"/>
    </row>
    <row r="393" spans="1:29" ht="25.5">
      <c r="A393" s="32">
        <v>45</v>
      </c>
      <c r="B393" s="181" t="s">
        <v>81</v>
      </c>
      <c r="C393" s="185" t="s">
        <v>2532</v>
      </c>
      <c r="D393" s="177" t="s">
        <v>2119</v>
      </c>
      <c r="E393" s="547"/>
      <c r="F393" s="547"/>
      <c r="G393" s="190" t="s">
        <v>2537</v>
      </c>
      <c r="H393" s="179"/>
      <c r="I393" s="179"/>
      <c r="J393" s="179" t="s">
        <v>3145</v>
      </c>
      <c r="K393" s="185"/>
      <c r="L393" s="185" t="s">
        <v>374</v>
      </c>
      <c r="M393" s="180">
        <v>46101</v>
      </c>
      <c r="N393" s="181"/>
      <c r="O393" s="181">
        <v>9.6294567000000004</v>
      </c>
      <c r="P393" s="181">
        <v>125.93814399999999</v>
      </c>
      <c r="Q393" s="182" t="s">
        <v>1813</v>
      </c>
      <c r="R393" s="183" t="s">
        <v>1814</v>
      </c>
      <c r="S393" s="547"/>
      <c r="T393" s="547"/>
      <c r="U393" s="181" t="s">
        <v>1815</v>
      </c>
      <c r="V393" s="185" t="s">
        <v>89</v>
      </c>
      <c r="W393" s="185" t="s">
        <v>1782</v>
      </c>
      <c r="X393" s="18"/>
      <c r="Y393" s="18"/>
      <c r="Z393" s="18"/>
      <c r="AA393" s="18"/>
      <c r="AB393" s="18"/>
      <c r="AC393" s="18"/>
    </row>
    <row r="394" spans="1:29" ht="25.5">
      <c r="A394" s="32">
        <v>46</v>
      </c>
      <c r="B394" s="181" t="s">
        <v>81</v>
      </c>
      <c r="C394" s="185" t="s">
        <v>2538</v>
      </c>
      <c r="D394" s="177" t="s">
        <v>2119</v>
      </c>
      <c r="E394" s="545" t="s">
        <v>2540</v>
      </c>
      <c r="F394" s="545" t="s">
        <v>1810</v>
      </c>
      <c r="G394" s="190" t="s">
        <v>2539</v>
      </c>
      <c r="H394" s="179"/>
      <c r="I394" s="179"/>
      <c r="J394" s="179" t="s">
        <v>3147</v>
      </c>
      <c r="K394" s="185"/>
      <c r="L394" s="185" t="s">
        <v>374</v>
      </c>
      <c r="M394" s="180">
        <v>46101</v>
      </c>
      <c r="N394" s="181"/>
      <c r="O394" s="181">
        <v>9.8703090000000007</v>
      </c>
      <c r="P394" s="181">
        <v>125.53496</v>
      </c>
      <c r="Q394" s="182" t="s">
        <v>1813</v>
      </c>
      <c r="R394" s="183" t="s">
        <v>1814</v>
      </c>
      <c r="S394" s="545" t="b">
        <v>0</v>
      </c>
      <c r="T394" s="545" t="b">
        <v>0</v>
      </c>
      <c r="U394" s="181" t="s">
        <v>1815</v>
      </c>
      <c r="V394" s="185" t="s">
        <v>89</v>
      </c>
      <c r="W394" s="185" t="s">
        <v>1782</v>
      </c>
      <c r="X394" s="18"/>
      <c r="Y394" s="18"/>
      <c r="Z394" s="18"/>
      <c r="AA394" s="18"/>
      <c r="AB394" s="18"/>
      <c r="AC394" s="18"/>
    </row>
    <row r="395" spans="1:29" ht="25.5">
      <c r="A395" s="32">
        <v>47</v>
      </c>
      <c r="B395" s="181" t="s">
        <v>81</v>
      </c>
      <c r="C395" s="185" t="s">
        <v>2538</v>
      </c>
      <c r="D395" s="177" t="s">
        <v>2119</v>
      </c>
      <c r="E395" s="546"/>
      <c r="F395" s="546"/>
      <c r="G395" s="190" t="s">
        <v>2541</v>
      </c>
      <c r="H395" s="179"/>
      <c r="I395" s="179"/>
      <c r="J395" s="179" t="s">
        <v>3147</v>
      </c>
      <c r="K395" s="185"/>
      <c r="L395" s="185" t="s">
        <v>374</v>
      </c>
      <c r="M395" s="180">
        <v>46101</v>
      </c>
      <c r="N395" s="181"/>
      <c r="O395" s="181">
        <v>9.8703090000000007</v>
      </c>
      <c r="P395" s="181">
        <v>125.53496</v>
      </c>
      <c r="Q395" s="182" t="s">
        <v>1813</v>
      </c>
      <c r="R395" s="183" t="s">
        <v>1814</v>
      </c>
      <c r="S395" s="546"/>
      <c r="T395" s="546"/>
      <c r="U395" s="181" t="s">
        <v>1815</v>
      </c>
      <c r="V395" s="185" t="s">
        <v>89</v>
      </c>
      <c r="W395" s="185" t="s">
        <v>1782</v>
      </c>
      <c r="X395" s="18"/>
      <c r="Y395" s="18"/>
      <c r="Z395" s="18"/>
      <c r="AA395" s="18"/>
      <c r="AB395" s="18"/>
      <c r="AC395" s="18"/>
    </row>
    <row r="396" spans="1:29" ht="25.5">
      <c r="A396" s="32">
        <v>48</v>
      </c>
      <c r="B396" s="181" t="s">
        <v>81</v>
      </c>
      <c r="C396" s="185" t="s">
        <v>2538</v>
      </c>
      <c r="D396" s="177" t="s">
        <v>2119</v>
      </c>
      <c r="E396" s="547"/>
      <c r="F396" s="547"/>
      <c r="G396" s="190" t="s">
        <v>2542</v>
      </c>
      <c r="H396" s="179"/>
      <c r="I396" s="179"/>
      <c r="J396" s="179" t="s">
        <v>3147</v>
      </c>
      <c r="K396" s="185"/>
      <c r="L396" s="185" t="s">
        <v>374</v>
      </c>
      <c r="M396" s="180">
        <v>46101</v>
      </c>
      <c r="N396" s="181"/>
      <c r="O396" s="181">
        <v>9.8703090000000007</v>
      </c>
      <c r="P396" s="181">
        <v>125.53496</v>
      </c>
      <c r="Q396" s="182" t="s">
        <v>1813</v>
      </c>
      <c r="R396" s="183" t="s">
        <v>1814</v>
      </c>
      <c r="S396" s="547"/>
      <c r="T396" s="547"/>
      <c r="U396" s="181" t="s">
        <v>1815</v>
      </c>
      <c r="V396" s="185" t="s">
        <v>89</v>
      </c>
      <c r="W396" s="185" t="s">
        <v>1782</v>
      </c>
      <c r="X396" s="18"/>
      <c r="Y396" s="18"/>
      <c r="Z396" s="18"/>
      <c r="AA396" s="18"/>
      <c r="AB396" s="18"/>
      <c r="AC396" s="18"/>
    </row>
    <row r="397" spans="1:29" ht="25.5">
      <c r="A397" s="32">
        <v>49</v>
      </c>
      <c r="B397" s="181" t="s">
        <v>81</v>
      </c>
      <c r="C397" s="185" t="s">
        <v>2543</v>
      </c>
      <c r="D397" s="177" t="s">
        <v>2119</v>
      </c>
      <c r="E397" s="545" t="s">
        <v>2545</v>
      </c>
      <c r="F397" s="545" t="s">
        <v>1810</v>
      </c>
      <c r="G397" s="190" t="s">
        <v>2544</v>
      </c>
      <c r="H397" s="179"/>
      <c r="I397" s="179"/>
      <c r="J397" s="179" t="s">
        <v>3148</v>
      </c>
      <c r="K397" s="185"/>
      <c r="L397" s="185" t="s">
        <v>374</v>
      </c>
      <c r="M397" s="180">
        <v>46101</v>
      </c>
      <c r="N397" s="181"/>
      <c r="O397" s="181">
        <v>9.4683679999999999</v>
      </c>
      <c r="P397" s="181">
        <v>125.580995</v>
      </c>
      <c r="Q397" s="182" t="s">
        <v>1813</v>
      </c>
      <c r="R397" s="183" t="s">
        <v>1814</v>
      </c>
      <c r="S397" s="545" t="b">
        <v>0</v>
      </c>
      <c r="T397" s="545" t="b">
        <v>0</v>
      </c>
      <c r="U397" s="181" t="s">
        <v>1815</v>
      </c>
      <c r="V397" s="185" t="s">
        <v>89</v>
      </c>
      <c r="W397" s="185" t="s">
        <v>1782</v>
      </c>
      <c r="X397" s="18"/>
      <c r="Y397" s="18"/>
      <c r="Z397" s="18"/>
      <c r="AA397" s="18"/>
      <c r="AB397" s="18"/>
      <c r="AC397" s="18"/>
    </row>
    <row r="398" spans="1:29" ht="25.5">
      <c r="A398" s="32">
        <v>50</v>
      </c>
      <c r="B398" s="181" t="s">
        <v>81</v>
      </c>
      <c r="C398" s="185" t="s">
        <v>2543</v>
      </c>
      <c r="D398" s="177" t="s">
        <v>2119</v>
      </c>
      <c r="E398" s="546"/>
      <c r="F398" s="546"/>
      <c r="G398" s="190" t="s">
        <v>2546</v>
      </c>
      <c r="H398" s="179"/>
      <c r="I398" s="179"/>
      <c r="J398" s="179" t="s">
        <v>3148</v>
      </c>
      <c r="K398" s="185"/>
      <c r="L398" s="185" t="s">
        <v>374</v>
      </c>
      <c r="M398" s="180">
        <v>46101</v>
      </c>
      <c r="N398" s="181"/>
      <c r="O398" s="181">
        <v>9.4683679999999999</v>
      </c>
      <c r="P398" s="181">
        <v>125.580995</v>
      </c>
      <c r="Q398" s="182" t="s">
        <v>1813</v>
      </c>
      <c r="R398" s="183" t="s">
        <v>1814</v>
      </c>
      <c r="S398" s="546"/>
      <c r="T398" s="546"/>
      <c r="U398" s="181" t="s">
        <v>1815</v>
      </c>
      <c r="V398" s="185" t="s">
        <v>89</v>
      </c>
      <c r="W398" s="185" t="s">
        <v>1782</v>
      </c>
      <c r="X398" s="18"/>
      <c r="Y398" s="18"/>
      <c r="Z398" s="18"/>
      <c r="AA398" s="18"/>
      <c r="AB398" s="18"/>
      <c r="AC398" s="18"/>
    </row>
    <row r="399" spans="1:29" ht="25.5">
      <c r="A399" s="32">
        <v>51</v>
      </c>
      <c r="B399" s="181" t="s">
        <v>81</v>
      </c>
      <c r="C399" s="185" t="s">
        <v>2543</v>
      </c>
      <c r="D399" s="177" t="s">
        <v>2119</v>
      </c>
      <c r="E399" s="547"/>
      <c r="F399" s="547"/>
      <c r="G399" s="190" t="s">
        <v>2547</v>
      </c>
      <c r="H399" s="179"/>
      <c r="I399" s="179"/>
      <c r="J399" s="179" t="s">
        <v>3148</v>
      </c>
      <c r="K399" s="185"/>
      <c r="L399" s="185" t="s">
        <v>374</v>
      </c>
      <c r="M399" s="180">
        <v>46101</v>
      </c>
      <c r="N399" s="181"/>
      <c r="O399" s="181">
        <v>9.4683679999999999</v>
      </c>
      <c r="P399" s="181">
        <v>125.580995</v>
      </c>
      <c r="Q399" s="182" t="s">
        <v>1813</v>
      </c>
      <c r="R399" s="183" t="s">
        <v>1814</v>
      </c>
      <c r="S399" s="547"/>
      <c r="T399" s="547"/>
      <c r="U399" s="181" t="s">
        <v>1815</v>
      </c>
      <c r="V399" s="185" t="s">
        <v>89</v>
      </c>
      <c r="W399" s="185" t="s">
        <v>1782</v>
      </c>
      <c r="X399" s="18"/>
      <c r="Y399" s="18"/>
      <c r="Z399" s="18"/>
      <c r="AA399" s="18"/>
      <c r="AB399" s="18"/>
      <c r="AC399" s="18"/>
    </row>
    <row r="400" spans="1:29" ht="25.5">
      <c r="A400" s="32">
        <v>52</v>
      </c>
      <c r="B400" s="185" t="s">
        <v>81</v>
      </c>
      <c r="C400" s="185" t="s">
        <v>141</v>
      </c>
      <c r="D400" s="177" t="s">
        <v>2119</v>
      </c>
      <c r="E400" s="548" t="s">
        <v>1439</v>
      </c>
      <c r="F400" s="548" t="s">
        <v>1810</v>
      </c>
      <c r="G400" s="213" t="s">
        <v>1439</v>
      </c>
      <c r="H400" s="179"/>
      <c r="I400" s="179"/>
      <c r="J400" s="179" t="s">
        <v>3149</v>
      </c>
      <c r="K400" s="185"/>
      <c r="L400" s="185" t="s">
        <v>553</v>
      </c>
      <c r="M400" s="180">
        <v>46127</v>
      </c>
      <c r="N400" s="185"/>
      <c r="O400" s="185">
        <v>9.87148</v>
      </c>
      <c r="P400" s="185">
        <v>125.97338999999999</v>
      </c>
      <c r="Q400" s="182" t="s">
        <v>1775</v>
      </c>
      <c r="R400" s="183" t="s">
        <v>1814</v>
      </c>
      <c r="S400" s="548" t="b">
        <v>0</v>
      </c>
      <c r="T400" s="548" t="b">
        <v>0</v>
      </c>
      <c r="U400" s="181" t="s">
        <v>1695</v>
      </c>
      <c r="V400" s="185" t="s">
        <v>89</v>
      </c>
      <c r="W400" s="185" t="s">
        <v>1782</v>
      </c>
      <c r="X400" s="18"/>
      <c r="Y400" s="18"/>
      <c r="Z400" s="18"/>
      <c r="AA400" s="18"/>
      <c r="AB400" s="18"/>
      <c r="AC400" s="18"/>
    </row>
    <row r="401" spans="1:31" ht="25.5">
      <c r="A401" s="32">
        <v>53</v>
      </c>
      <c r="B401" s="185" t="s">
        <v>81</v>
      </c>
      <c r="C401" s="185" t="s">
        <v>141</v>
      </c>
      <c r="D401" s="177" t="s">
        <v>2119</v>
      </c>
      <c r="E401" s="553"/>
      <c r="F401" s="553"/>
      <c r="G401" s="213" t="s">
        <v>1439</v>
      </c>
      <c r="H401" s="179"/>
      <c r="I401" s="179"/>
      <c r="J401" s="179" t="s">
        <v>3149</v>
      </c>
      <c r="K401" s="185"/>
      <c r="L401" s="185" t="s">
        <v>553</v>
      </c>
      <c r="M401" s="180">
        <v>46127</v>
      </c>
      <c r="N401" s="185"/>
      <c r="O401" s="185">
        <v>9.87148</v>
      </c>
      <c r="P401" s="185">
        <v>125.97338999999999</v>
      </c>
      <c r="Q401" s="182" t="s">
        <v>1775</v>
      </c>
      <c r="R401" s="183" t="s">
        <v>1814</v>
      </c>
      <c r="S401" s="553"/>
      <c r="T401" s="553"/>
      <c r="U401" s="181" t="s">
        <v>1695</v>
      </c>
      <c r="V401" s="185" t="s">
        <v>89</v>
      </c>
      <c r="W401" s="185" t="s">
        <v>1782</v>
      </c>
      <c r="X401" s="18"/>
      <c r="Y401" s="18"/>
      <c r="Z401" s="18"/>
      <c r="AA401" s="18"/>
      <c r="AB401" s="18"/>
      <c r="AC401" s="18"/>
    </row>
    <row r="402" spans="1:31" ht="25.5">
      <c r="A402" s="32">
        <v>54</v>
      </c>
      <c r="B402" s="185" t="s">
        <v>81</v>
      </c>
      <c r="C402" s="185" t="s">
        <v>141</v>
      </c>
      <c r="D402" s="177" t="s">
        <v>2119</v>
      </c>
      <c r="E402" s="549"/>
      <c r="F402" s="549"/>
      <c r="G402" s="213" t="s">
        <v>1439</v>
      </c>
      <c r="H402" s="179"/>
      <c r="I402" s="179"/>
      <c r="J402" s="179" t="s">
        <v>3149</v>
      </c>
      <c r="K402" s="185"/>
      <c r="L402" s="185" t="s">
        <v>553</v>
      </c>
      <c r="M402" s="180">
        <v>46127</v>
      </c>
      <c r="N402" s="185"/>
      <c r="O402" s="185">
        <v>9.87148</v>
      </c>
      <c r="P402" s="185">
        <v>125.97338999999999</v>
      </c>
      <c r="Q402" s="182" t="s">
        <v>1775</v>
      </c>
      <c r="R402" s="183" t="s">
        <v>1814</v>
      </c>
      <c r="S402" s="549"/>
      <c r="T402" s="549"/>
      <c r="U402" s="181" t="s">
        <v>1695</v>
      </c>
      <c r="V402" s="185" t="s">
        <v>89</v>
      </c>
      <c r="W402" s="185" t="s">
        <v>1782</v>
      </c>
      <c r="X402" s="18"/>
      <c r="Y402" s="18"/>
      <c r="Z402" s="18"/>
      <c r="AA402" s="18"/>
      <c r="AB402" s="18"/>
      <c r="AC402" s="18"/>
    </row>
    <row r="403" spans="1:31" ht="25.5">
      <c r="A403" s="32">
        <v>1</v>
      </c>
      <c r="B403" s="176" t="s">
        <v>79</v>
      </c>
      <c r="C403" s="176" t="s">
        <v>97</v>
      </c>
      <c r="D403" s="177" t="s">
        <v>2119</v>
      </c>
      <c r="E403" s="545" t="s">
        <v>98</v>
      </c>
      <c r="F403" s="545" t="s">
        <v>1768</v>
      </c>
      <c r="G403" s="178" t="s">
        <v>100</v>
      </c>
      <c r="H403" s="13"/>
      <c r="I403" s="13"/>
      <c r="J403" s="13" t="s">
        <v>1138</v>
      </c>
      <c r="K403" s="176"/>
      <c r="L403" s="176" t="s">
        <v>65</v>
      </c>
      <c r="M403" s="180">
        <v>45211</v>
      </c>
      <c r="N403" s="181"/>
      <c r="O403" s="181">
        <v>9.7823740000000008</v>
      </c>
      <c r="P403" s="181">
        <v>126.15665799999999</v>
      </c>
      <c r="Q403" s="182" t="s">
        <v>1775</v>
      </c>
      <c r="R403" s="183" t="s">
        <v>1776</v>
      </c>
      <c r="S403" s="545" t="b">
        <v>0</v>
      </c>
      <c r="T403" s="545" t="b">
        <v>0</v>
      </c>
      <c r="U403" s="181" t="s">
        <v>22</v>
      </c>
      <c r="V403" s="184" t="s">
        <v>199</v>
      </c>
      <c r="W403" s="185" t="s">
        <v>1782</v>
      </c>
      <c r="X403" s="18"/>
      <c r="Y403" s="18"/>
      <c r="Z403" s="18"/>
      <c r="AA403" s="18"/>
      <c r="AB403" s="525" t="s">
        <v>3151</v>
      </c>
      <c r="AC403" s="522">
        <v>9514539087</v>
      </c>
    </row>
    <row r="404" spans="1:31" ht="25.5">
      <c r="A404" s="32">
        <v>2</v>
      </c>
      <c r="B404" s="176" t="s">
        <v>79</v>
      </c>
      <c r="C404" s="176" t="s">
        <v>97</v>
      </c>
      <c r="D404" s="177" t="s">
        <v>2119</v>
      </c>
      <c r="E404" s="546"/>
      <c r="F404" s="546"/>
      <c r="G404" s="178" t="s">
        <v>101</v>
      </c>
      <c r="H404" s="13"/>
      <c r="I404" s="13"/>
      <c r="J404" s="13" t="s">
        <v>1147</v>
      </c>
      <c r="K404" s="176"/>
      <c r="L404" s="176" t="s">
        <v>65</v>
      </c>
      <c r="M404" s="180">
        <v>45211</v>
      </c>
      <c r="N404" s="181"/>
      <c r="O404" s="181">
        <v>9.7822689999999994</v>
      </c>
      <c r="P404" s="181">
        <v>126.156454</v>
      </c>
      <c r="Q404" s="182" t="s">
        <v>1775</v>
      </c>
      <c r="R404" s="183" t="s">
        <v>1776</v>
      </c>
      <c r="S404" s="546"/>
      <c r="T404" s="546"/>
      <c r="U404" s="181" t="s">
        <v>22</v>
      </c>
      <c r="V404" s="184" t="s">
        <v>199</v>
      </c>
      <c r="W404" s="185" t="s">
        <v>1782</v>
      </c>
      <c r="X404" s="18"/>
      <c r="Y404" s="18"/>
      <c r="Z404" s="18"/>
      <c r="AA404" s="18"/>
      <c r="AB404" s="511"/>
      <c r="AC404" s="511"/>
    </row>
    <row r="405" spans="1:31" ht="25.5">
      <c r="A405" s="32">
        <v>3</v>
      </c>
      <c r="B405" s="176" t="s">
        <v>79</v>
      </c>
      <c r="C405" s="176" t="s">
        <v>97</v>
      </c>
      <c r="D405" s="177" t="s">
        <v>2119</v>
      </c>
      <c r="E405" s="547"/>
      <c r="F405" s="547"/>
      <c r="G405" s="178" t="s">
        <v>104</v>
      </c>
      <c r="H405" s="13"/>
      <c r="I405" s="13"/>
      <c r="J405" s="13" t="s">
        <v>1156</v>
      </c>
      <c r="K405" s="176"/>
      <c r="L405" s="176" t="s">
        <v>65</v>
      </c>
      <c r="M405" s="180">
        <v>45211</v>
      </c>
      <c r="N405" s="181"/>
      <c r="O405" s="181">
        <v>9.7823740000000008</v>
      </c>
      <c r="P405" s="181">
        <v>126.15665799999999</v>
      </c>
      <c r="Q405" s="182" t="s">
        <v>1775</v>
      </c>
      <c r="R405" s="183" t="s">
        <v>1776</v>
      </c>
      <c r="S405" s="547"/>
      <c r="T405" s="547"/>
      <c r="U405" s="181" t="s">
        <v>22</v>
      </c>
      <c r="V405" s="184" t="s">
        <v>199</v>
      </c>
      <c r="W405" s="185" t="s">
        <v>1782</v>
      </c>
      <c r="X405" s="18"/>
      <c r="Y405" s="18"/>
      <c r="Z405" s="18"/>
      <c r="AA405" s="18"/>
      <c r="AB405" s="511"/>
      <c r="AC405" s="511"/>
    </row>
    <row r="406" spans="1:31" ht="38.25">
      <c r="A406" s="32">
        <v>4</v>
      </c>
      <c r="B406" s="176" t="s">
        <v>79</v>
      </c>
      <c r="C406" s="176" t="s">
        <v>97</v>
      </c>
      <c r="D406" s="177" t="s">
        <v>2119</v>
      </c>
      <c r="E406" s="176" t="s">
        <v>107</v>
      </c>
      <c r="F406" s="176" t="s">
        <v>1768</v>
      </c>
      <c r="G406" s="178" t="s">
        <v>107</v>
      </c>
      <c r="H406" s="13"/>
      <c r="I406" s="13"/>
      <c r="J406" s="13" t="s">
        <v>1167</v>
      </c>
      <c r="K406" s="176"/>
      <c r="L406" s="176" t="s">
        <v>238</v>
      </c>
      <c r="M406" s="180">
        <v>45211</v>
      </c>
      <c r="N406" s="181"/>
      <c r="O406" s="181">
        <v>9.7811629999999994</v>
      </c>
      <c r="P406" s="181">
        <v>126.156639</v>
      </c>
      <c r="Q406" s="182" t="s">
        <v>1775</v>
      </c>
      <c r="R406" s="183" t="s">
        <v>1776</v>
      </c>
      <c r="S406" s="176" t="b">
        <v>0</v>
      </c>
      <c r="T406" s="176" t="b">
        <v>0</v>
      </c>
      <c r="U406" s="181" t="s">
        <v>22</v>
      </c>
      <c r="V406" s="185" t="s">
        <v>89</v>
      </c>
      <c r="W406" s="185" t="s">
        <v>1782</v>
      </c>
      <c r="X406" s="18"/>
      <c r="Y406" s="18"/>
      <c r="Z406" s="18"/>
      <c r="AA406" s="18"/>
      <c r="AB406" s="511"/>
      <c r="AC406" s="511"/>
    </row>
    <row r="407" spans="1:31" ht="38.25">
      <c r="A407" s="32">
        <v>5</v>
      </c>
      <c r="B407" s="176" t="s">
        <v>79</v>
      </c>
      <c r="C407" s="176" t="s">
        <v>97</v>
      </c>
      <c r="D407" s="177" t="s">
        <v>2119</v>
      </c>
      <c r="E407" s="176" t="s">
        <v>109</v>
      </c>
      <c r="F407" s="176" t="s">
        <v>1768</v>
      </c>
      <c r="G407" s="178" t="s">
        <v>109</v>
      </c>
      <c r="H407" s="13"/>
      <c r="I407" s="13"/>
      <c r="J407" s="13" t="s">
        <v>1175</v>
      </c>
      <c r="K407" s="176"/>
      <c r="L407" s="176" t="s">
        <v>103</v>
      </c>
      <c r="M407" s="180">
        <v>45211</v>
      </c>
      <c r="N407" s="181"/>
      <c r="O407" s="181">
        <v>9.7825399999999991</v>
      </c>
      <c r="P407" s="181">
        <v>126.15658000000001</v>
      </c>
      <c r="Q407" s="182" t="s">
        <v>1775</v>
      </c>
      <c r="R407" s="183" t="s">
        <v>1776</v>
      </c>
      <c r="S407" s="176" t="b">
        <v>0</v>
      </c>
      <c r="T407" s="176" t="b">
        <v>0</v>
      </c>
      <c r="U407" s="181" t="s">
        <v>22</v>
      </c>
      <c r="V407" s="184" t="s">
        <v>199</v>
      </c>
      <c r="W407" s="185" t="s">
        <v>1782</v>
      </c>
      <c r="X407" s="18"/>
      <c r="Y407" s="18"/>
      <c r="Z407" s="18"/>
      <c r="AA407" s="18"/>
      <c r="AB407" s="511"/>
      <c r="AC407" s="511"/>
    </row>
    <row r="408" spans="1:31" ht="38.25">
      <c r="A408" s="32">
        <v>6</v>
      </c>
      <c r="B408" s="176" t="s">
        <v>79</v>
      </c>
      <c r="C408" s="176" t="s">
        <v>97</v>
      </c>
      <c r="D408" s="177" t="s">
        <v>2119</v>
      </c>
      <c r="E408" s="176" t="s">
        <v>111</v>
      </c>
      <c r="F408" s="176" t="s">
        <v>1768</v>
      </c>
      <c r="G408" s="178" t="s">
        <v>111</v>
      </c>
      <c r="H408" s="13"/>
      <c r="I408" s="13"/>
      <c r="J408" s="13" t="s">
        <v>1183</v>
      </c>
      <c r="K408" s="176"/>
      <c r="L408" s="176" t="s">
        <v>31</v>
      </c>
      <c r="M408" s="180">
        <v>45211</v>
      </c>
      <c r="N408" s="181"/>
      <c r="O408" s="181">
        <v>9.781663</v>
      </c>
      <c r="P408" s="181">
        <v>126.156935</v>
      </c>
      <c r="Q408" s="182" t="s">
        <v>1775</v>
      </c>
      <c r="R408" s="183" t="s">
        <v>1776</v>
      </c>
      <c r="S408" s="176" t="b">
        <v>0</v>
      </c>
      <c r="T408" s="176" t="b">
        <v>0</v>
      </c>
      <c r="U408" s="181" t="s">
        <v>22</v>
      </c>
      <c r="V408" s="185" t="s">
        <v>89</v>
      </c>
      <c r="W408" s="185" t="s">
        <v>1782</v>
      </c>
      <c r="X408" s="18"/>
      <c r="Y408" s="18"/>
      <c r="Z408" s="18"/>
      <c r="AA408" s="18"/>
      <c r="AB408" s="512"/>
      <c r="AC408" s="512"/>
    </row>
    <row r="409" spans="1:31" ht="25.5" hidden="1">
      <c r="A409" s="279">
        <v>7</v>
      </c>
      <c r="B409" s="280" t="s">
        <v>79</v>
      </c>
      <c r="C409" s="280" t="s">
        <v>1665</v>
      </c>
      <c r="D409" s="281" t="s">
        <v>2119</v>
      </c>
      <c r="E409" s="554" t="s">
        <v>511</v>
      </c>
      <c r="F409" s="554" t="s">
        <v>1810</v>
      </c>
      <c r="G409" s="235" t="s">
        <v>510</v>
      </c>
      <c r="H409" s="328"/>
      <c r="I409" s="328"/>
      <c r="J409" s="328" t="s">
        <v>1667</v>
      </c>
      <c r="K409" s="280"/>
      <c r="L409" s="280" t="s">
        <v>128</v>
      </c>
      <c r="M409" s="283">
        <v>45581</v>
      </c>
      <c r="N409" s="284"/>
      <c r="O409" s="284">
        <v>9.8123750699999999</v>
      </c>
      <c r="P409" s="284">
        <v>126.1638323</v>
      </c>
      <c r="Q409" s="285" t="s">
        <v>1775</v>
      </c>
      <c r="R409" s="286" t="s">
        <v>1776</v>
      </c>
      <c r="S409" s="554" t="b">
        <v>0</v>
      </c>
      <c r="T409" s="554" t="b">
        <v>0</v>
      </c>
      <c r="U409" s="284" t="s">
        <v>513</v>
      </c>
      <c r="V409" s="284" t="s">
        <v>199</v>
      </c>
      <c r="W409" s="284" t="s">
        <v>1782</v>
      </c>
      <c r="X409" s="287"/>
      <c r="Y409" s="560" t="s">
        <v>1428</v>
      </c>
      <c r="Z409" s="560" t="s">
        <v>386</v>
      </c>
      <c r="AA409" s="560" t="s">
        <v>386</v>
      </c>
      <c r="AB409" s="561" t="s">
        <v>3155</v>
      </c>
      <c r="AC409" s="562" t="s">
        <v>1673</v>
      </c>
      <c r="AD409" s="330"/>
      <c r="AE409" s="330"/>
    </row>
    <row r="410" spans="1:31" ht="25.5" hidden="1">
      <c r="A410" s="279">
        <v>8</v>
      </c>
      <c r="B410" s="280" t="s">
        <v>79</v>
      </c>
      <c r="C410" s="280" t="s">
        <v>1665</v>
      </c>
      <c r="D410" s="281" t="s">
        <v>2119</v>
      </c>
      <c r="E410" s="555"/>
      <c r="F410" s="555"/>
      <c r="G410" s="235" t="s">
        <v>517</v>
      </c>
      <c r="H410" s="328"/>
      <c r="I410" s="328"/>
      <c r="J410" s="328" t="s">
        <v>1677</v>
      </c>
      <c r="K410" s="280"/>
      <c r="L410" s="280" t="s">
        <v>128</v>
      </c>
      <c r="M410" s="283">
        <v>45581</v>
      </c>
      <c r="N410" s="284"/>
      <c r="O410" s="284">
        <v>9.8127084199999999</v>
      </c>
      <c r="P410" s="284">
        <v>126.16365279999999</v>
      </c>
      <c r="Q410" s="285" t="s">
        <v>1775</v>
      </c>
      <c r="R410" s="286" t="s">
        <v>1776</v>
      </c>
      <c r="S410" s="555"/>
      <c r="T410" s="555"/>
      <c r="U410" s="284" t="s">
        <v>513</v>
      </c>
      <c r="V410" s="411" t="s">
        <v>199</v>
      </c>
      <c r="W410" s="284" t="s">
        <v>1782</v>
      </c>
      <c r="X410" s="287"/>
      <c r="Y410" s="511"/>
      <c r="Z410" s="511"/>
      <c r="AA410" s="511"/>
      <c r="AB410" s="511"/>
      <c r="AC410" s="511"/>
      <c r="AD410" s="330"/>
      <c r="AE410" s="330"/>
    </row>
    <row r="411" spans="1:31" ht="25.5" hidden="1">
      <c r="A411" s="279">
        <v>9</v>
      </c>
      <c r="B411" s="280" t="s">
        <v>79</v>
      </c>
      <c r="C411" s="280" t="s">
        <v>1665</v>
      </c>
      <c r="D411" s="281" t="s">
        <v>2119</v>
      </c>
      <c r="E411" s="556"/>
      <c r="F411" s="556"/>
      <c r="G411" s="235" t="s">
        <v>518</v>
      </c>
      <c r="H411" s="328"/>
      <c r="I411" s="328"/>
      <c r="J411" s="328" t="s">
        <v>1679</v>
      </c>
      <c r="K411" s="280"/>
      <c r="L411" s="280" t="s">
        <v>128</v>
      </c>
      <c r="M411" s="283">
        <v>45581</v>
      </c>
      <c r="N411" s="284"/>
      <c r="O411" s="284">
        <v>9.8121245199999994</v>
      </c>
      <c r="P411" s="284">
        <v>126.16345440000001</v>
      </c>
      <c r="Q411" s="285" t="s">
        <v>1775</v>
      </c>
      <c r="R411" s="286" t="s">
        <v>1776</v>
      </c>
      <c r="S411" s="556"/>
      <c r="T411" s="556"/>
      <c r="U411" s="284" t="s">
        <v>513</v>
      </c>
      <c r="V411" s="411" t="s">
        <v>199</v>
      </c>
      <c r="W411" s="284" t="s">
        <v>1782</v>
      </c>
      <c r="X411" s="287"/>
      <c r="Y411" s="512"/>
      <c r="Z411" s="512"/>
      <c r="AA411" s="512"/>
      <c r="AB411" s="512"/>
      <c r="AC411" s="512"/>
      <c r="AD411" s="330"/>
      <c r="AE411" s="330"/>
    </row>
    <row r="412" spans="1:31" ht="25.5">
      <c r="A412" s="32">
        <v>10</v>
      </c>
      <c r="B412" s="176" t="s">
        <v>79</v>
      </c>
      <c r="C412" s="176" t="s">
        <v>15</v>
      </c>
      <c r="D412" s="177" t="s">
        <v>2119</v>
      </c>
      <c r="E412" s="545" t="s">
        <v>520</v>
      </c>
      <c r="F412" s="545" t="s">
        <v>1810</v>
      </c>
      <c r="G412" s="213" t="s">
        <v>519</v>
      </c>
      <c r="H412" s="23"/>
      <c r="I412" s="23"/>
      <c r="J412" s="23" t="s">
        <v>1684</v>
      </c>
      <c r="K412" s="176"/>
      <c r="L412" s="176" t="s">
        <v>207</v>
      </c>
      <c r="M412" s="180">
        <v>45582</v>
      </c>
      <c r="N412" s="181"/>
      <c r="O412" s="181">
        <v>9.7826132999999995</v>
      </c>
      <c r="P412" s="181">
        <v>126.15794219999999</v>
      </c>
      <c r="Q412" s="182" t="s">
        <v>1775</v>
      </c>
      <c r="R412" s="183" t="s">
        <v>1776</v>
      </c>
      <c r="S412" s="545" t="b">
        <v>0</v>
      </c>
      <c r="T412" s="545" t="b">
        <v>0</v>
      </c>
      <c r="U412" s="181" t="s">
        <v>513</v>
      </c>
      <c r="V412" s="185" t="s">
        <v>89</v>
      </c>
      <c r="W412" s="185" t="s">
        <v>1782</v>
      </c>
      <c r="X412" s="18"/>
      <c r="Y412" s="527" t="s">
        <v>1428</v>
      </c>
      <c r="Z412" s="527" t="s">
        <v>386</v>
      </c>
      <c r="AA412" s="527" t="s">
        <v>386</v>
      </c>
      <c r="AB412" s="525" t="s">
        <v>1687</v>
      </c>
      <c r="AC412" s="528" t="s">
        <v>1688</v>
      </c>
    </row>
    <row r="413" spans="1:31" ht="25.5">
      <c r="A413" s="32">
        <v>11</v>
      </c>
      <c r="B413" s="176" t="s">
        <v>79</v>
      </c>
      <c r="C413" s="176" t="s">
        <v>15</v>
      </c>
      <c r="D413" s="177" t="s">
        <v>2119</v>
      </c>
      <c r="E413" s="546"/>
      <c r="F413" s="546"/>
      <c r="G413" s="213" t="s">
        <v>521</v>
      </c>
      <c r="H413" s="23"/>
      <c r="I413" s="23"/>
      <c r="J413" s="23" t="s">
        <v>1692</v>
      </c>
      <c r="K413" s="176"/>
      <c r="L413" s="176" t="s">
        <v>207</v>
      </c>
      <c r="M413" s="180">
        <v>45582</v>
      </c>
      <c r="N413" s="181"/>
      <c r="O413" s="181">
        <v>9.7824388100000004</v>
      </c>
      <c r="P413" s="181">
        <v>126.1579481</v>
      </c>
      <c r="Q413" s="182" t="s">
        <v>1775</v>
      </c>
      <c r="R413" s="183" t="s">
        <v>1776</v>
      </c>
      <c r="S413" s="546"/>
      <c r="T413" s="546"/>
      <c r="U413" s="181" t="s">
        <v>513</v>
      </c>
      <c r="V413" s="185" t="s">
        <v>89</v>
      </c>
      <c r="W413" s="185" t="s">
        <v>1782</v>
      </c>
      <c r="X413" s="18"/>
      <c r="Y413" s="512"/>
      <c r="Z413" s="512"/>
      <c r="AA413" s="512"/>
      <c r="AB413" s="512"/>
      <c r="AC413" s="512"/>
    </row>
    <row r="414" spans="1:31" ht="25.5">
      <c r="A414" s="32">
        <v>12</v>
      </c>
      <c r="B414" s="176" t="s">
        <v>79</v>
      </c>
      <c r="C414" s="176" t="s">
        <v>15</v>
      </c>
      <c r="D414" s="177" t="s">
        <v>2119</v>
      </c>
      <c r="E414" s="546"/>
      <c r="F414" s="546"/>
      <c r="G414" s="213" t="s">
        <v>522</v>
      </c>
      <c r="H414" s="23"/>
      <c r="I414" s="23"/>
      <c r="J414" s="23" t="s">
        <v>1694</v>
      </c>
      <c r="K414" s="176"/>
      <c r="L414" s="176" t="s">
        <v>374</v>
      </c>
      <c r="M414" s="180">
        <v>45582</v>
      </c>
      <c r="N414" s="181"/>
      <c r="O414" s="181">
        <v>9.7824229999999996</v>
      </c>
      <c r="P414" s="181">
        <v>126.157258</v>
      </c>
      <c r="Q414" s="182" t="s">
        <v>1775</v>
      </c>
      <c r="R414" s="183" t="s">
        <v>1776</v>
      </c>
      <c r="S414" s="546"/>
      <c r="T414" s="546"/>
      <c r="U414" s="181" t="s">
        <v>513</v>
      </c>
      <c r="V414" s="185" t="s">
        <v>89</v>
      </c>
      <c r="W414" s="185" t="s">
        <v>1782</v>
      </c>
      <c r="X414" s="18"/>
      <c r="Y414" s="128" t="s">
        <v>1428</v>
      </c>
      <c r="Z414" s="128" t="s">
        <v>386</v>
      </c>
      <c r="AA414" s="119"/>
      <c r="AB414" s="16" t="s">
        <v>1696</v>
      </c>
      <c r="AC414" s="96">
        <v>9260027256</v>
      </c>
    </row>
    <row r="415" spans="1:31" ht="25.5">
      <c r="A415" s="32">
        <v>13</v>
      </c>
      <c r="B415" s="176" t="s">
        <v>79</v>
      </c>
      <c r="C415" s="176" t="s">
        <v>15</v>
      </c>
      <c r="D415" s="177" t="s">
        <v>2119</v>
      </c>
      <c r="E415" s="547"/>
      <c r="F415" s="547"/>
      <c r="G415" s="213" t="s">
        <v>524</v>
      </c>
      <c r="H415" s="97"/>
      <c r="I415" s="97"/>
      <c r="J415" s="97" t="s">
        <v>1701</v>
      </c>
      <c r="K415" s="176"/>
      <c r="L415" s="176" t="s">
        <v>238</v>
      </c>
      <c r="M415" s="180">
        <v>45582</v>
      </c>
      <c r="N415" s="181"/>
      <c r="O415" s="181">
        <v>9.7824287400000003</v>
      </c>
      <c r="P415" s="181">
        <v>126.15844199999999</v>
      </c>
      <c r="Q415" s="182" t="s">
        <v>1775</v>
      </c>
      <c r="R415" s="183" t="s">
        <v>1776</v>
      </c>
      <c r="S415" s="547"/>
      <c r="T415" s="547"/>
      <c r="U415" s="181" t="s">
        <v>513</v>
      </c>
      <c r="V415" s="185" t="s">
        <v>89</v>
      </c>
      <c r="W415" s="185" t="s">
        <v>1782</v>
      </c>
      <c r="X415" s="18"/>
      <c r="Y415" s="128" t="s">
        <v>1428</v>
      </c>
      <c r="Z415" s="128" t="s">
        <v>386</v>
      </c>
      <c r="AA415" s="119"/>
      <c r="AB415" s="49" t="s">
        <v>3156</v>
      </c>
      <c r="AC415" s="16">
        <v>9514539087</v>
      </c>
    </row>
    <row r="416" spans="1:31" ht="25.5">
      <c r="A416" s="32">
        <v>14</v>
      </c>
      <c r="B416" s="176" t="s">
        <v>79</v>
      </c>
      <c r="C416" s="176" t="s">
        <v>258</v>
      </c>
      <c r="D416" s="177" t="s">
        <v>2119</v>
      </c>
      <c r="E416" s="545" t="s">
        <v>529</v>
      </c>
      <c r="F416" s="545" t="s">
        <v>1810</v>
      </c>
      <c r="G416" s="407" t="s">
        <v>526</v>
      </c>
      <c r="H416" s="97"/>
      <c r="I416" s="97"/>
      <c r="J416" s="97" t="s">
        <v>1705</v>
      </c>
      <c r="K416" s="176"/>
      <c r="L416" s="176" t="s">
        <v>238</v>
      </c>
      <c r="M416" s="180">
        <v>45580</v>
      </c>
      <c r="N416" s="181"/>
      <c r="O416" s="181">
        <v>9.8407395300000005</v>
      </c>
      <c r="P416" s="181">
        <v>126.1400117</v>
      </c>
      <c r="Q416" s="182" t="s">
        <v>1775</v>
      </c>
      <c r="R416" s="183" t="s">
        <v>1776</v>
      </c>
      <c r="S416" s="545" t="b">
        <v>0</v>
      </c>
      <c r="T416" s="545" t="b">
        <v>0</v>
      </c>
      <c r="U416" s="181" t="s">
        <v>513</v>
      </c>
      <c r="V416" s="184" t="s">
        <v>89</v>
      </c>
      <c r="W416" s="185" t="s">
        <v>1782</v>
      </c>
      <c r="X416" s="18"/>
      <c r="Y416" s="128" t="s">
        <v>1428</v>
      </c>
      <c r="Z416" s="128" t="s">
        <v>386</v>
      </c>
      <c r="AA416" s="119"/>
      <c r="AB416" s="16" t="s">
        <v>3156</v>
      </c>
      <c r="AC416" s="96">
        <v>9514539087</v>
      </c>
    </row>
    <row r="417" spans="1:29" ht="25.5">
      <c r="A417" s="32">
        <v>15</v>
      </c>
      <c r="B417" s="176" t="s">
        <v>79</v>
      </c>
      <c r="C417" s="176" t="s">
        <v>258</v>
      </c>
      <c r="D417" s="177" t="s">
        <v>2119</v>
      </c>
      <c r="E417" s="546"/>
      <c r="F417" s="546"/>
      <c r="G417" s="213" t="s">
        <v>528</v>
      </c>
      <c r="H417" s="97"/>
      <c r="I417" s="97"/>
      <c r="J417" s="97" t="s">
        <v>1711</v>
      </c>
      <c r="K417" s="176"/>
      <c r="L417" s="176" t="s">
        <v>155</v>
      </c>
      <c r="M417" s="180">
        <v>45580</v>
      </c>
      <c r="N417" s="181"/>
      <c r="O417" s="181">
        <v>9.8409222599999993</v>
      </c>
      <c r="P417" s="181">
        <v>126.13875</v>
      </c>
      <c r="Q417" s="182" t="s">
        <v>1775</v>
      </c>
      <c r="R417" s="183" t="s">
        <v>1776</v>
      </c>
      <c r="S417" s="546"/>
      <c r="T417" s="546"/>
      <c r="U417" s="181" t="s">
        <v>513</v>
      </c>
      <c r="V417" s="184" t="s">
        <v>89</v>
      </c>
      <c r="W417" s="185" t="s">
        <v>1782</v>
      </c>
      <c r="X417" s="18"/>
      <c r="Y417" s="128" t="s">
        <v>1428</v>
      </c>
      <c r="Z417" s="128" t="s">
        <v>386</v>
      </c>
      <c r="AA417" s="128" t="s">
        <v>386</v>
      </c>
      <c r="AB417" s="96" t="s">
        <v>3157</v>
      </c>
      <c r="AC417" s="96">
        <v>9639833464</v>
      </c>
    </row>
    <row r="418" spans="1:29" ht="25.5">
      <c r="A418" s="32">
        <v>16</v>
      </c>
      <c r="B418" s="176" t="s">
        <v>79</v>
      </c>
      <c r="C418" s="176" t="s">
        <v>258</v>
      </c>
      <c r="D418" s="177" t="s">
        <v>2119</v>
      </c>
      <c r="E418" s="547"/>
      <c r="F418" s="547"/>
      <c r="G418" s="213" t="s">
        <v>530</v>
      </c>
      <c r="H418" s="23"/>
      <c r="I418" s="23"/>
      <c r="J418" s="23" t="s">
        <v>1717</v>
      </c>
      <c r="K418" s="176"/>
      <c r="L418" s="176" t="s">
        <v>374</v>
      </c>
      <c r="M418" s="180">
        <v>45580</v>
      </c>
      <c r="N418" s="181"/>
      <c r="O418" s="181">
        <v>9.8409222599999993</v>
      </c>
      <c r="P418" s="181">
        <v>126.13875</v>
      </c>
      <c r="Q418" s="182" t="s">
        <v>1775</v>
      </c>
      <c r="R418" s="183" t="s">
        <v>1776</v>
      </c>
      <c r="S418" s="547"/>
      <c r="T418" s="547"/>
      <c r="U418" s="181" t="s">
        <v>513</v>
      </c>
      <c r="V418" s="184" t="s">
        <v>89</v>
      </c>
      <c r="W418" s="185" t="s">
        <v>1782</v>
      </c>
      <c r="X418" s="18"/>
      <c r="Y418" s="128" t="s">
        <v>1428</v>
      </c>
      <c r="Z418" s="128" t="s">
        <v>386</v>
      </c>
      <c r="AA418" s="119"/>
      <c r="AB418" s="96" t="s">
        <v>3158</v>
      </c>
      <c r="AC418" s="96">
        <v>9476349225</v>
      </c>
    </row>
    <row r="419" spans="1:29" ht="25.5">
      <c r="A419" s="32">
        <v>17</v>
      </c>
      <c r="B419" s="176" t="s">
        <v>79</v>
      </c>
      <c r="C419" s="176" t="s">
        <v>1723</v>
      </c>
      <c r="D419" s="177" t="s">
        <v>2119</v>
      </c>
      <c r="E419" s="545" t="s">
        <v>536</v>
      </c>
      <c r="F419" s="545" t="s">
        <v>1810</v>
      </c>
      <c r="G419" s="213" t="s">
        <v>531</v>
      </c>
      <c r="H419" s="23"/>
      <c r="I419" s="23"/>
      <c r="J419" s="23" t="s">
        <v>1727</v>
      </c>
      <c r="K419" s="176"/>
      <c r="L419" s="176" t="s">
        <v>207</v>
      </c>
      <c r="M419" s="180">
        <v>45601</v>
      </c>
      <c r="N419" s="181"/>
      <c r="O419" s="181" t="s">
        <v>1724</v>
      </c>
      <c r="P419" s="181" t="s">
        <v>1725</v>
      </c>
      <c r="Q419" s="182" t="s">
        <v>1775</v>
      </c>
      <c r="R419" s="183" t="s">
        <v>1776</v>
      </c>
      <c r="S419" s="545" t="b">
        <v>0</v>
      </c>
      <c r="T419" s="545" t="b">
        <v>0</v>
      </c>
      <c r="U419" s="181" t="s">
        <v>513</v>
      </c>
      <c r="V419" s="184" t="s">
        <v>89</v>
      </c>
      <c r="W419" s="185" t="s">
        <v>1782</v>
      </c>
      <c r="X419" s="18"/>
      <c r="Y419" s="527" t="s">
        <v>1428</v>
      </c>
      <c r="Z419" s="527" t="s">
        <v>386</v>
      </c>
      <c r="AA419" s="119"/>
      <c r="AB419" s="525" t="s">
        <v>3160</v>
      </c>
      <c r="AC419" s="525" t="s">
        <v>1734</v>
      </c>
    </row>
    <row r="420" spans="1:29" ht="25.5" hidden="1">
      <c r="A420" s="32">
        <v>18</v>
      </c>
      <c r="B420" s="176" t="s">
        <v>79</v>
      </c>
      <c r="C420" s="176" t="s">
        <v>1723</v>
      </c>
      <c r="D420" s="177" t="s">
        <v>2119</v>
      </c>
      <c r="E420" s="546"/>
      <c r="F420" s="546"/>
      <c r="G420" s="213" t="s">
        <v>533</v>
      </c>
      <c r="H420" s="23"/>
      <c r="I420" s="23"/>
      <c r="J420" s="23" t="s">
        <v>1727</v>
      </c>
      <c r="K420" s="176"/>
      <c r="L420" s="176" t="s">
        <v>207</v>
      </c>
      <c r="M420" s="180">
        <v>45601</v>
      </c>
      <c r="N420" s="181"/>
      <c r="O420" s="181" t="s">
        <v>1737</v>
      </c>
      <c r="P420" s="181" t="s">
        <v>1738</v>
      </c>
      <c r="Q420" s="182" t="s">
        <v>1775</v>
      </c>
      <c r="R420" s="183" t="s">
        <v>1776</v>
      </c>
      <c r="S420" s="546"/>
      <c r="T420" s="546"/>
      <c r="U420" s="181" t="s">
        <v>513</v>
      </c>
      <c r="V420" s="411" t="s">
        <v>1847</v>
      </c>
      <c r="W420" s="185" t="s">
        <v>1782</v>
      </c>
      <c r="X420" s="18"/>
      <c r="Y420" s="512"/>
      <c r="Z420" s="512"/>
      <c r="AA420" s="119"/>
      <c r="AB420" s="512"/>
      <c r="AC420" s="512"/>
    </row>
    <row r="421" spans="1:29" ht="25.5">
      <c r="A421" s="32">
        <v>19</v>
      </c>
      <c r="B421" s="176" t="s">
        <v>79</v>
      </c>
      <c r="C421" s="176" t="s">
        <v>1723</v>
      </c>
      <c r="D421" s="177" t="s">
        <v>2119</v>
      </c>
      <c r="E421" s="546"/>
      <c r="F421" s="546"/>
      <c r="G421" s="213" t="s">
        <v>534</v>
      </c>
      <c r="H421" s="23"/>
      <c r="I421" s="23"/>
      <c r="J421" s="23" t="s">
        <v>1743</v>
      </c>
      <c r="K421" s="176"/>
      <c r="L421" s="176" t="s">
        <v>374</v>
      </c>
      <c r="M421" s="180">
        <v>45583</v>
      </c>
      <c r="N421" s="181"/>
      <c r="O421" s="181">
        <v>9.7968492299999994</v>
      </c>
      <c r="P421" s="181">
        <v>126.1008222</v>
      </c>
      <c r="Q421" s="182" t="s">
        <v>1775</v>
      </c>
      <c r="R421" s="183" t="s">
        <v>1776</v>
      </c>
      <c r="S421" s="546"/>
      <c r="T421" s="546"/>
      <c r="U421" s="181" t="s">
        <v>513</v>
      </c>
      <c r="V421" s="184" t="s">
        <v>89</v>
      </c>
      <c r="W421" s="185" t="s">
        <v>1782</v>
      </c>
      <c r="X421" s="18"/>
      <c r="Y421" s="128" t="s">
        <v>1428</v>
      </c>
      <c r="Z421" s="128" t="s">
        <v>386</v>
      </c>
      <c r="AA421" s="128" t="s">
        <v>386</v>
      </c>
      <c r="AB421" s="96" t="s">
        <v>3162</v>
      </c>
      <c r="AC421" s="96">
        <v>9171023980</v>
      </c>
    </row>
    <row r="422" spans="1:29" ht="38.25">
      <c r="A422" s="32">
        <v>20</v>
      </c>
      <c r="B422" s="176" t="s">
        <v>79</v>
      </c>
      <c r="C422" s="176" t="s">
        <v>1723</v>
      </c>
      <c r="D422" s="177" t="s">
        <v>2119</v>
      </c>
      <c r="E422" s="547"/>
      <c r="F422" s="547"/>
      <c r="G422" s="213" t="s">
        <v>83</v>
      </c>
      <c r="H422" s="23"/>
      <c r="I422" s="23"/>
      <c r="J422" s="23" t="s">
        <v>1757</v>
      </c>
      <c r="K422" s="176"/>
      <c r="L422" s="176" t="s">
        <v>155</v>
      </c>
      <c r="M422" s="180">
        <v>45583</v>
      </c>
      <c r="N422" s="181"/>
      <c r="O422" s="181">
        <v>9.7960316699999996</v>
      </c>
      <c r="P422" s="181">
        <v>126.2087296</v>
      </c>
      <c r="Q422" s="182" t="s">
        <v>1775</v>
      </c>
      <c r="R422" s="183" t="s">
        <v>1776</v>
      </c>
      <c r="S422" s="547"/>
      <c r="T422" s="547"/>
      <c r="U422" s="181" t="s">
        <v>513</v>
      </c>
      <c r="V422" s="185" t="s">
        <v>89</v>
      </c>
      <c r="W422" s="185" t="s">
        <v>1782</v>
      </c>
      <c r="X422" s="18"/>
      <c r="Y422" s="128" t="s">
        <v>1428</v>
      </c>
      <c r="Z422" s="128" t="s">
        <v>386</v>
      </c>
      <c r="AA422" s="119"/>
      <c r="AB422" s="96" t="s">
        <v>3163</v>
      </c>
      <c r="AC422" s="96" t="s">
        <v>95</v>
      </c>
    </row>
    <row r="423" spans="1:29" ht="25.5">
      <c r="A423" s="32">
        <v>21</v>
      </c>
      <c r="B423" s="181" t="s">
        <v>79</v>
      </c>
      <c r="C423" s="185" t="s">
        <v>1665</v>
      </c>
      <c r="D423" s="177" t="s">
        <v>2119</v>
      </c>
      <c r="E423" s="545" t="s">
        <v>643</v>
      </c>
      <c r="F423" s="545" t="s">
        <v>1810</v>
      </c>
      <c r="G423" s="190" t="s">
        <v>643</v>
      </c>
      <c r="H423" s="179"/>
      <c r="I423" s="179"/>
      <c r="J423" s="179" t="s">
        <v>3164</v>
      </c>
      <c r="K423" s="185"/>
      <c r="L423" s="185" t="s">
        <v>666</v>
      </c>
      <c r="M423" s="180">
        <v>45980</v>
      </c>
      <c r="N423" s="181"/>
      <c r="O423" s="181">
        <v>9.8070678200000003</v>
      </c>
      <c r="P423" s="181">
        <v>126.15990069</v>
      </c>
      <c r="Q423" s="182" t="s">
        <v>1775</v>
      </c>
      <c r="R423" s="183" t="s">
        <v>1776</v>
      </c>
      <c r="S423" s="545" t="b">
        <v>0</v>
      </c>
      <c r="T423" s="545" t="b">
        <v>0</v>
      </c>
      <c r="U423" s="181" t="s">
        <v>1999</v>
      </c>
      <c r="V423" s="185" t="s">
        <v>89</v>
      </c>
      <c r="W423" s="185" t="s">
        <v>1782</v>
      </c>
      <c r="X423" s="18"/>
      <c r="Y423" s="18"/>
      <c r="Z423" s="18"/>
      <c r="AA423" s="18"/>
      <c r="AB423" s="16" t="s">
        <v>3165</v>
      </c>
      <c r="AC423" s="16">
        <v>9666680053</v>
      </c>
    </row>
    <row r="424" spans="1:29" ht="25.5">
      <c r="A424" s="32">
        <v>22</v>
      </c>
      <c r="B424" s="181" t="s">
        <v>79</v>
      </c>
      <c r="C424" s="185" t="s">
        <v>1665</v>
      </c>
      <c r="D424" s="177" t="s">
        <v>2119</v>
      </c>
      <c r="E424" s="547"/>
      <c r="F424" s="547"/>
      <c r="G424" s="190" t="s">
        <v>2344</v>
      </c>
      <c r="H424" s="179"/>
      <c r="I424" s="179"/>
      <c r="J424" s="179" t="s">
        <v>3166</v>
      </c>
      <c r="K424" s="185"/>
      <c r="L424" s="185" t="s">
        <v>374</v>
      </c>
      <c r="M424" s="180">
        <v>45980</v>
      </c>
      <c r="N424" s="181"/>
      <c r="O424" s="181">
        <v>9.8066755000000008</v>
      </c>
      <c r="P424" s="181">
        <v>126.15984219000001</v>
      </c>
      <c r="Q424" s="182" t="s">
        <v>1775</v>
      </c>
      <c r="R424" s="183" t="s">
        <v>1776</v>
      </c>
      <c r="S424" s="547"/>
      <c r="T424" s="547"/>
      <c r="U424" s="181" t="s">
        <v>1999</v>
      </c>
      <c r="V424" s="185" t="s">
        <v>89</v>
      </c>
      <c r="W424" s="185" t="s">
        <v>1782</v>
      </c>
      <c r="X424" s="18"/>
      <c r="Y424" s="18"/>
      <c r="Z424" s="18"/>
      <c r="AA424" s="18"/>
      <c r="AB424" s="16" t="s">
        <v>3167</v>
      </c>
      <c r="AC424" s="16">
        <v>9302064377</v>
      </c>
    </row>
    <row r="425" spans="1:29" ht="25.5">
      <c r="A425" s="32">
        <v>23</v>
      </c>
      <c r="B425" s="181" t="s">
        <v>79</v>
      </c>
      <c r="C425" s="185" t="s">
        <v>2548</v>
      </c>
      <c r="D425" s="177" t="s">
        <v>2119</v>
      </c>
      <c r="E425" s="545" t="s">
        <v>2550</v>
      </c>
      <c r="F425" s="545" t="s">
        <v>1810</v>
      </c>
      <c r="G425" s="190" t="s">
        <v>2549</v>
      </c>
      <c r="H425" s="179"/>
      <c r="I425" s="179"/>
      <c r="J425" s="179" t="s">
        <v>3168</v>
      </c>
      <c r="K425" s="185"/>
      <c r="L425" s="185" t="s">
        <v>374</v>
      </c>
      <c r="M425" s="180">
        <v>46101</v>
      </c>
      <c r="N425" s="181"/>
      <c r="O425" s="181">
        <v>9.8957151000000003</v>
      </c>
      <c r="P425" s="181">
        <v>126.110184</v>
      </c>
      <c r="Q425" s="182" t="s">
        <v>1813</v>
      </c>
      <c r="R425" s="183" t="s">
        <v>1814</v>
      </c>
      <c r="S425" s="545" t="b">
        <v>0</v>
      </c>
      <c r="T425" s="545" t="b">
        <v>0</v>
      </c>
      <c r="U425" s="181" t="s">
        <v>1815</v>
      </c>
      <c r="V425" s="185" t="s">
        <v>89</v>
      </c>
      <c r="W425" s="185" t="s">
        <v>1782</v>
      </c>
      <c r="X425" s="18"/>
      <c r="Y425" s="18"/>
      <c r="Z425" s="18"/>
      <c r="AA425" s="18"/>
      <c r="AB425" s="18"/>
      <c r="AC425" s="18"/>
    </row>
    <row r="426" spans="1:29" ht="25.5">
      <c r="A426" s="32">
        <v>24</v>
      </c>
      <c r="B426" s="181" t="s">
        <v>79</v>
      </c>
      <c r="C426" s="185" t="s">
        <v>2548</v>
      </c>
      <c r="D426" s="177" t="s">
        <v>2119</v>
      </c>
      <c r="E426" s="546"/>
      <c r="F426" s="546"/>
      <c r="G426" s="190" t="s">
        <v>2551</v>
      </c>
      <c r="H426" s="179"/>
      <c r="I426" s="179"/>
      <c r="J426" s="179" t="s">
        <v>3168</v>
      </c>
      <c r="K426" s="185"/>
      <c r="L426" s="185" t="s">
        <v>374</v>
      </c>
      <c r="M426" s="180">
        <v>46101</v>
      </c>
      <c r="N426" s="181"/>
      <c r="O426" s="181">
        <v>9.8957151000000003</v>
      </c>
      <c r="P426" s="181">
        <v>126.110184</v>
      </c>
      <c r="Q426" s="182" t="s">
        <v>1813</v>
      </c>
      <c r="R426" s="183" t="s">
        <v>1814</v>
      </c>
      <c r="S426" s="546"/>
      <c r="T426" s="546"/>
      <c r="U426" s="181" t="s">
        <v>1815</v>
      </c>
      <c r="V426" s="185" t="s">
        <v>89</v>
      </c>
      <c r="W426" s="185" t="s">
        <v>1782</v>
      </c>
      <c r="X426" s="18"/>
      <c r="Y426" s="18"/>
      <c r="Z426" s="18"/>
      <c r="AA426" s="18"/>
      <c r="AB426" s="18"/>
      <c r="AC426" s="18"/>
    </row>
    <row r="427" spans="1:29" ht="25.5">
      <c r="A427" s="32">
        <v>25</v>
      </c>
      <c r="B427" s="181" t="s">
        <v>79</v>
      </c>
      <c r="C427" s="185" t="s">
        <v>2548</v>
      </c>
      <c r="D427" s="177" t="s">
        <v>2119</v>
      </c>
      <c r="E427" s="547"/>
      <c r="F427" s="547"/>
      <c r="G427" s="190" t="s">
        <v>2553</v>
      </c>
      <c r="H427" s="179"/>
      <c r="I427" s="179"/>
      <c r="J427" s="179" t="s">
        <v>3168</v>
      </c>
      <c r="K427" s="185"/>
      <c r="L427" s="185" t="s">
        <v>374</v>
      </c>
      <c r="M427" s="180">
        <v>46101</v>
      </c>
      <c r="N427" s="181"/>
      <c r="O427" s="181">
        <v>9.8957151000000003</v>
      </c>
      <c r="P427" s="181">
        <v>126.110184</v>
      </c>
      <c r="Q427" s="182" t="s">
        <v>1813</v>
      </c>
      <c r="R427" s="183" t="s">
        <v>1814</v>
      </c>
      <c r="S427" s="547"/>
      <c r="T427" s="547"/>
      <c r="U427" s="181" t="s">
        <v>1815</v>
      </c>
      <c r="V427" s="185" t="s">
        <v>89</v>
      </c>
      <c r="W427" s="185" t="s">
        <v>1782</v>
      </c>
      <c r="X427" s="18"/>
      <c r="Y427" s="18"/>
      <c r="Z427" s="18"/>
      <c r="AA427" s="18"/>
      <c r="AB427" s="18"/>
      <c r="AC427" s="18"/>
    </row>
    <row r="428" spans="1:29" ht="25.5">
      <c r="A428" s="32">
        <v>26</v>
      </c>
      <c r="B428" s="181" t="s">
        <v>79</v>
      </c>
      <c r="C428" s="185" t="s">
        <v>2554</v>
      </c>
      <c r="D428" s="177" t="s">
        <v>2119</v>
      </c>
      <c r="E428" s="545" t="s">
        <v>2556</v>
      </c>
      <c r="F428" s="545" t="s">
        <v>1810</v>
      </c>
      <c r="G428" s="190" t="s">
        <v>2555</v>
      </c>
      <c r="H428" s="179"/>
      <c r="I428" s="179"/>
      <c r="J428" s="179" t="s">
        <v>3169</v>
      </c>
      <c r="K428" s="185"/>
      <c r="L428" s="185" t="s">
        <v>374</v>
      </c>
      <c r="M428" s="180">
        <v>46101</v>
      </c>
      <c r="N428" s="181"/>
      <c r="O428" s="181">
        <v>9.8754902999999992</v>
      </c>
      <c r="P428" s="181">
        <v>126.106155</v>
      </c>
      <c r="Q428" s="182" t="s">
        <v>1813</v>
      </c>
      <c r="R428" s="183" t="s">
        <v>1814</v>
      </c>
      <c r="S428" s="545" t="b">
        <v>0</v>
      </c>
      <c r="T428" s="545" t="b">
        <v>0</v>
      </c>
      <c r="U428" s="181" t="s">
        <v>1815</v>
      </c>
      <c r="V428" s="184" t="s">
        <v>89</v>
      </c>
      <c r="W428" s="185" t="s">
        <v>1782</v>
      </c>
      <c r="X428" s="18"/>
      <c r="Y428" s="18"/>
      <c r="Z428" s="18"/>
      <c r="AA428" s="18"/>
      <c r="AB428" s="18"/>
      <c r="AC428" s="18"/>
    </row>
    <row r="429" spans="1:29" ht="25.5">
      <c r="A429" s="32">
        <v>27</v>
      </c>
      <c r="B429" s="181" t="s">
        <v>79</v>
      </c>
      <c r="C429" s="185" t="s">
        <v>2554</v>
      </c>
      <c r="D429" s="177" t="s">
        <v>2119</v>
      </c>
      <c r="E429" s="546"/>
      <c r="F429" s="546"/>
      <c r="G429" s="190" t="s">
        <v>2558</v>
      </c>
      <c r="H429" s="179"/>
      <c r="I429" s="179"/>
      <c r="J429" s="179" t="s">
        <v>3169</v>
      </c>
      <c r="K429" s="185"/>
      <c r="L429" s="185" t="s">
        <v>374</v>
      </c>
      <c r="M429" s="180">
        <v>46101</v>
      </c>
      <c r="N429" s="181"/>
      <c r="O429" s="181">
        <v>9.8754902999999992</v>
      </c>
      <c r="P429" s="181">
        <v>126.106155</v>
      </c>
      <c r="Q429" s="182" t="s">
        <v>1813</v>
      </c>
      <c r="R429" s="183" t="s">
        <v>1814</v>
      </c>
      <c r="S429" s="546"/>
      <c r="T429" s="546"/>
      <c r="U429" s="181" t="s">
        <v>1815</v>
      </c>
      <c r="V429" s="184" t="s">
        <v>89</v>
      </c>
      <c r="W429" s="185" t="s">
        <v>1782</v>
      </c>
      <c r="X429" s="18"/>
      <c r="Y429" s="18"/>
      <c r="Z429" s="18"/>
      <c r="AA429" s="18"/>
      <c r="AB429" s="18"/>
      <c r="AC429" s="18"/>
    </row>
    <row r="430" spans="1:29" ht="25.5">
      <c r="A430" s="32">
        <v>28</v>
      </c>
      <c r="B430" s="181" t="s">
        <v>79</v>
      </c>
      <c r="C430" s="185" t="s">
        <v>2554</v>
      </c>
      <c r="D430" s="177" t="s">
        <v>2119</v>
      </c>
      <c r="E430" s="547"/>
      <c r="F430" s="547"/>
      <c r="G430" s="190" t="s">
        <v>2559</v>
      </c>
      <c r="H430" s="179"/>
      <c r="I430" s="179"/>
      <c r="J430" s="179" t="s">
        <v>3169</v>
      </c>
      <c r="K430" s="185"/>
      <c r="L430" s="185" t="s">
        <v>374</v>
      </c>
      <c r="M430" s="180">
        <v>46101</v>
      </c>
      <c r="N430" s="181"/>
      <c r="O430" s="181">
        <v>9.8754902999999992</v>
      </c>
      <c r="P430" s="181">
        <v>126.106155</v>
      </c>
      <c r="Q430" s="182" t="s">
        <v>1813</v>
      </c>
      <c r="R430" s="183" t="s">
        <v>1814</v>
      </c>
      <c r="S430" s="547"/>
      <c r="T430" s="547"/>
      <c r="U430" s="181" t="s">
        <v>1815</v>
      </c>
      <c r="V430" s="184" t="s">
        <v>199</v>
      </c>
      <c r="W430" s="185" t="s">
        <v>1782</v>
      </c>
      <c r="X430" s="18"/>
      <c r="Y430" s="18"/>
      <c r="Z430" s="18"/>
      <c r="AA430" s="18"/>
      <c r="AB430" s="18"/>
      <c r="AC430" s="18"/>
    </row>
    <row r="431" spans="1:29" ht="25.5">
      <c r="A431" s="32">
        <v>29</v>
      </c>
      <c r="B431" s="181" t="s">
        <v>79</v>
      </c>
      <c r="C431" s="185" t="s">
        <v>1723</v>
      </c>
      <c r="D431" s="177" t="s">
        <v>2119</v>
      </c>
      <c r="E431" s="545" t="s">
        <v>535</v>
      </c>
      <c r="F431" s="545" t="s">
        <v>1810</v>
      </c>
      <c r="G431" s="190" t="s">
        <v>2560</v>
      </c>
      <c r="H431" s="179"/>
      <c r="I431" s="179"/>
      <c r="J431" s="179" t="s">
        <v>3170</v>
      </c>
      <c r="K431" s="185"/>
      <c r="L431" s="185" t="s">
        <v>374</v>
      </c>
      <c r="M431" s="180">
        <v>46101</v>
      </c>
      <c r="N431" s="181"/>
      <c r="O431" s="181">
        <v>9.8359138000000002</v>
      </c>
      <c r="P431" s="181">
        <v>126.123964</v>
      </c>
      <c r="Q431" s="182" t="s">
        <v>1813</v>
      </c>
      <c r="R431" s="183" t="s">
        <v>1814</v>
      </c>
      <c r="S431" s="545" t="b">
        <v>0</v>
      </c>
      <c r="T431" s="545" t="b">
        <v>0</v>
      </c>
      <c r="U431" s="181" t="s">
        <v>1815</v>
      </c>
      <c r="V431" s="185" t="s">
        <v>89</v>
      </c>
      <c r="W431" s="185" t="s">
        <v>1782</v>
      </c>
      <c r="X431" s="18"/>
      <c r="Y431" s="18"/>
      <c r="Z431" s="18"/>
      <c r="AA431" s="18"/>
      <c r="AB431" s="18"/>
      <c r="AC431" s="18"/>
    </row>
    <row r="432" spans="1:29" ht="25.5">
      <c r="A432" s="32">
        <v>30</v>
      </c>
      <c r="B432" s="181" t="s">
        <v>79</v>
      </c>
      <c r="C432" s="185" t="s">
        <v>1723</v>
      </c>
      <c r="D432" s="177" t="s">
        <v>2119</v>
      </c>
      <c r="E432" s="546"/>
      <c r="F432" s="546"/>
      <c r="G432" s="190" t="s">
        <v>2562</v>
      </c>
      <c r="H432" s="179"/>
      <c r="I432" s="179"/>
      <c r="J432" s="179" t="s">
        <v>3170</v>
      </c>
      <c r="K432" s="185"/>
      <c r="L432" s="185" t="s">
        <v>374</v>
      </c>
      <c r="M432" s="180">
        <v>46101</v>
      </c>
      <c r="N432" s="181"/>
      <c r="O432" s="181">
        <v>9.8359138000000002</v>
      </c>
      <c r="P432" s="181">
        <v>126.123964</v>
      </c>
      <c r="Q432" s="182" t="s">
        <v>1813</v>
      </c>
      <c r="R432" s="183" t="s">
        <v>1814</v>
      </c>
      <c r="S432" s="546"/>
      <c r="T432" s="546"/>
      <c r="U432" s="181" t="s">
        <v>1815</v>
      </c>
      <c r="V432" s="185" t="s">
        <v>89</v>
      </c>
      <c r="W432" s="185" t="s">
        <v>1782</v>
      </c>
      <c r="X432" s="18"/>
      <c r="Y432" s="18"/>
      <c r="Z432" s="18"/>
      <c r="AA432" s="18"/>
      <c r="AB432" s="18"/>
      <c r="AC432" s="18"/>
    </row>
    <row r="433" spans="1:29" ht="25.5">
      <c r="A433" s="32">
        <v>31</v>
      </c>
      <c r="B433" s="181" t="s">
        <v>79</v>
      </c>
      <c r="C433" s="185" t="s">
        <v>1723</v>
      </c>
      <c r="D433" s="177" t="s">
        <v>2119</v>
      </c>
      <c r="E433" s="547"/>
      <c r="F433" s="547"/>
      <c r="G433" s="190" t="s">
        <v>2564</v>
      </c>
      <c r="H433" s="179"/>
      <c r="I433" s="179"/>
      <c r="J433" s="179" t="s">
        <v>3170</v>
      </c>
      <c r="K433" s="185"/>
      <c r="L433" s="185" t="s">
        <v>374</v>
      </c>
      <c r="M433" s="180">
        <v>46101</v>
      </c>
      <c r="N433" s="181"/>
      <c r="O433" s="181">
        <v>9.8359138000000002</v>
      </c>
      <c r="P433" s="181">
        <v>126.123964</v>
      </c>
      <c r="Q433" s="182" t="s">
        <v>1813</v>
      </c>
      <c r="R433" s="183" t="s">
        <v>1814</v>
      </c>
      <c r="S433" s="547"/>
      <c r="T433" s="547"/>
      <c r="U433" s="181" t="s">
        <v>1815</v>
      </c>
      <c r="V433" s="185" t="s">
        <v>89</v>
      </c>
      <c r="W433" s="185" t="s">
        <v>1782</v>
      </c>
      <c r="X433" s="18"/>
      <c r="Y433" s="18"/>
      <c r="Z433" s="18"/>
      <c r="AA433" s="18"/>
      <c r="AB433" s="18"/>
      <c r="AC433" s="18"/>
    </row>
    <row r="434" spans="1:29" ht="25.5">
      <c r="A434" s="32">
        <v>32</v>
      </c>
      <c r="B434" s="181" t="s">
        <v>79</v>
      </c>
      <c r="C434" s="185" t="s">
        <v>2565</v>
      </c>
      <c r="D434" s="177" t="s">
        <v>2119</v>
      </c>
      <c r="E434" s="545" t="s">
        <v>2567</v>
      </c>
      <c r="F434" s="545" t="s">
        <v>1810</v>
      </c>
      <c r="G434" s="190" t="s">
        <v>2566</v>
      </c>
      <c r="H434" s="179"/>
      <c r="I434" s="179"/>
      <c r="J434" s="179" t="s">
        <v>3171</v>
      </c>
      <c r="K434" s="185"/>
      <c r="L434" s="185" t="s">
        <v>374</v>
      </c>
      <c r="M434" s="180">
        <v>46101</v>
      </c>
      <c r="N434" s="181"/>
      <c r="O434" s="181">
        <v>9.7969814</v>
      </c>
      <c r="P434" s="181">
        <v>126.108616</v>
      </c>
      <c r="Q434" s="182" t="s">
        <v>1813</v>
      </c>
      <c r="R434" s="183" t="s">
        <v>1814</v>
      </c>
      <c r="S434" s="545" t="b">
        <v>0</v>
      </c>
      <c r="T434" s="545" t="b">
        <v>0</v>
      </c>
      <c r="U434" s="181" t="s">
        <v>1815</v>
      </c>
      <c r="V434" s="184" t="s">
        <v>89</v>
      </c>
      <c r="W434" s="185" t="s">
        <v>1782</v>
      </c>
      <c r="X434" s="18"/>
      <c r="Y434" s="18"/>
      <c r="Z434" s="18"/>
      <c r="AA434" s="18"/>
      <c r="AB434" s="18"/>
      <c r="AC434" s="18"/>
    </row>
    <row r="435" spans="1:29" ht="25.5">
      <c r="A435" s="32">
        <v>33</v>
      </c>
      <c r="B435" s="181" t="s">
        <v>79</v>
      </c>
      <c r="C435" s="185" t="s">
        <v>2565</v>
      </c>
      <c r="D435" s="177" t="s">
        <v>2119</v>
      </c>
      <c r="E435" s="546"/>
      <c r="F435" s="546"/>
      <c r="G435" s="190" t="s">
        <v>2570</v>
      </c>
      <c r="H435" s="179"/>
      <c r="I435" s="179"/>
      <c r="J435" s="179" t="s">
        <v>3171</v>
      </c>
      <c r="K435" s="185"/>
      <c r="L435" s="185" t="s">
        <v>374</v>
      </c>
      <c r="M435" s="180">
        <v>46101</v>
      </c>
      <c r="N435" s="181"/>
      <c r="O435" s="181">
        <v>9.7969814</v>
      </c>
      <c r="P435" s="181">
        <v>126.108616</v>
      </c>
      <c r="Q435" s="182" t="s">
        <v>1813</v>
      </c>
      <c r="R435" s="183" t="s">
        <v>1814</v>
      </c>
      <c r="S435" s="546"/>
      <c r="T435" s="546"/>
      <c r="U435" s="181" t="s">
        <v>1815</v>
      </c>
      <c r="V435" s="184" t="s">
        <v>89</v>
      </c>
      <c r="W435" s="185" t="s">
        <v>1782</v>
      </c>
      <c r="X435" s="18"/>
      <c r="Y435" s="18"/>
      <c r="Z435" s="18"/>
      <c r="AA435" s="18"/>
      <c r="AB435" s="18"/>
      <c r="AC435" s="18"/>
    </row>
    <row r="436" spans="1:29" ht="25.5">
      <c r="A436" s="32">
        <v>34</v>
      </c>
      <c r="B436" s="181" t="s">
        <v>79</v>
      </c>
      <c r="C436" s="185" t="s">
        <v>2565</v>
      </c>
      <c r="D436" s="177" t="s">
        <v>2119</v>
      </c>
      <c r="E436" s="547"/>
      <c r="F436" s="547"/>
      <c r="G436" s="190" t="s">
        <v>2572</v>
      </c>
      <c r="H436" s="179"/>
      <c r="I436" s="179"/>
      <c r="J436" s="179" t="s">
        <v>3171</v>
      </c>
      <c r="K436" s="185"/>
      <c r="L436" s="185" t="s">
        <v>374</v>
      </c>
      <c r="M436" s="180">
        <v>46101</v>
      </c>
      <c r="N436" s="181"/>
      <c r="O436" s="181">
        <v>9.7969814</v>
      </c>
      <c r="P436" s="181">
        <v>126.108616</v>
      </c>
      <c r="Q436" s="182" t="s">
        <v>1813</v>
      </c>
      <c r="R436" s="183" t="s">
        <v>1814</v>
      </c>
      <c r="S436" s="547"/>
      <c r="T436" s="547"/>
      <c r="U436" s="181" t="s">
        <v>1815</v>
      </c>
      <c r="V436" s="184" t="s">
        <v>89</v>
      </c>
      <c r="W436" s="185" t="s">
        <v>1782</v>
      </c>
      <c r="X436" s="18"/>
      <c r="Y436" s="18"/>
      <c r="Z436" s="18"/>
      <c r="AA436" s="18"/>
      <c r="AB436" s="18"/>
      <c r="AC436" s="18"/>
    </row>
    <row r="437" spans="1:29" ht="25.5">
      <c r="A437" s="32">
        <v>35</v>
      </c>
      <c r="B437" s="181" t="s">
        <v>79</v>
      </c>
      <c r="C437" s="185" t="s">
        <v>2573</v>
      </c>
      <c r="D437" s="177" t="s">
        <v>2119</v>
      </c>
      <c r="E437" s="545" t="s">
        <v>2575</v>
      </c>
      <c r="F437" s="545" t="s">
        <v>1810</v>
      </c>
      <c r="G437" s="190" t="s">
        <v>2574</v>
      </c>
      <c r="H437" s="179"/>
      <c r="I437" s="179"/>
      <c r="J437" s="179" t="s">
        <v>3172</v>
      </c>
      <c r="K437" s="185"/>
      <c r="L437" s="185" t="s">
        <v>374</v>
      </c>
      <c r="M437" s="180">
        <v>46101</v>
      </c>
      <c r="N437" s="181"/>
      <c r="O437" s="181">
        <v>9.7898133999999999</v>
      </c>
      <c r="P437" s="181">
        <v>126.01161399999999</v>
      </c>
      <c r="Q437" s="182" t="s">
        <v>1813</v>
      </c>
      <c r="R437" s="183" t="s">
        <v>1814</v>
      </c>
      <c r="S437" s="545" t="b">
        <v>0</v>
      </c>
      <c r="T437" s="545" t="b">
        <v>0</v>
      </c>
      <c r="U437" s="181" t="s">
        <v>1815</v>
      </c>
      <c r="V437" s="184" t="s">
        <v>89</v>
      </c>
      <c r="W437" s="185" t="s">
        <v>1782</v>
      </c>
      <c r="X437" s="18"/>
      <c r="Y437" s="18"/>
      <c r="Z437" s="18"/>
      <c r="AA437" s="18"/>
      <c r="AB437" s="18"/>
      <c r="AC437" s="18"/>
    </row>
    <row r="438" spans="1:29" ht="25.5">
      <c r="A438" s="32">
        <v>36</v>
      </c>
      <c r="B438" s="181" t="s">
        <v>79</v>
      </c>
      <c r="C438" s="185" t="s">
        <v>2573</v>
      </c>
      <c r="D438" s="177" t="s">
        <v>2119</v>
      </c>
      <c r="E438" s="546"/>
      <c r="F438" s="546"/>
      <c r="G438" s="190" t="s">
        <v>2576</v>
      </c>
      <c r="H438" s="179"/>
      <c r="I438" s="179"/>
      <c r="J438" s="179" t="s">
        <v>3172</v>
      </c>
      <c r="K438" s="185"/>
      <c r="L438" s="185" t="s">
        <v>374</v>
      </c>
      <c r="M438" s="180">
        <v>46101</v>
      </c>
      <c r="N438" s="181"/>
      <c r="O438" s="181">
        <v>9.7898133999999999</v>
      </c>
      <c r="P438" s="181">
        <v>126.01161399999999</v>
      </c>
      <c r="Q438" s="182" t="s">
        <v>1813</v>
      </c>
      <c r="R438" s="183" t="s">
        <v>1814</v>
      </c>
      <c r="S438" s="546"/>
      <c r="T438" s="546"/>
      <c r="U438" s="181" t="s">
        <v>1815</v>
      </c>
      <c r="V438" s="184" t="s">
        <v>89</v>
      </c>
      <c r="W438" s="185" t="s">
        <v>1782</v>
      </c>
      <c r="X438" s="18"/>
      <c r="Y438" s="18"/>
      <c r="Z438" s="18"/>
      <c r="AA438" s="18"/>
      <c r="AB438" s="18"/>
      <c r="AC438" s="18"/>
    </row>
    <row r="439" spans="1:29" ht="25.5">
      <c r="A439" s="32">
        <v>37</v>
      </c>
      <c r="B439" s="181" t="s">
        <v>79</v>
      </c>
      <c r="C439" s="185" t="s">
        <v>2573</v>
      </c>
      <c r="D439" s="177" t="s">
        <v>2119</v>
      </c>
      <c r="E439" s="547"/>
      <c r="F439" s="547"/>
      <c r="G439" s="190" t="s">
        <v>2577</v>
      </c>
      <c r="H439" s="179"/>
      <c r="I439" s="179"/>
      <c r="J439" s="179" t="s">
        <v>3172</v>
      </c>
      <c r="K439" s="185"/>
      <c r="L439" s="185" t="s">
        <v>374</v>
      </c>
      <c r="M439" s="180">
        <v>46101</v>
      </c>
      <c r="N439" s="181"/>
      <c r="O439" s="181">
        <v>9.7898133999999999</v>
      </c>
      <c r="P439" s="181">
        <v>126.01161399999999</v>
      </c>
      <c r="Q439" s="182" t="s">
        <v>1813</v>
      </c>
      <c r="R439" s="183" t="s">
        <v>1814</v>
      </c>
      <c r="S439" s="547"/>
      <c r="T439" s="547"/>
      <c r="U439" s="181" t="s">
        <v>1815</v>
      </c>
      <c r="V439" s="184" t="s">
        <v>89</v>
      </c>
      <c r="W439" s="185" t="s">
        <v>1782</v>
      </c>
      <c r="X439" s="18"/>
      <c r="Y439" s="18"/>
      <c r="Z439" s="18"/>
      <c r="AA439" s="18"/>
      <c r="AB439" s="18"/>
      <c r="AC439" s="18"/>
    </row>
    <row r="440" spans="1:29" ht="25.5">
      <c r="A440" s="32">
        <v>38</v>
      </c>
      <c r="B440" s="181" t="s">
        <v>79</v>
      </c>
      <c r="C440" s="185" t="s">
        <v>356</v>
      </c>
      <c r="D440" s="177" t="s">
        <v>2119</v>
      </c>
      <c r="E440" s="545" t="s">
        <v>2579</v>
      </c>
      <c r="F440" s="545" t="s">
        <v>1810</v>
      </c>
      <c r="G440" s="190" t="s">
        <v>2578</v>
      </c>
      <c r="H440" s="179"/>
      <c r="I440" s="179"/>
      <c r="J440" s="179" t="s">
        <v>3175</v>
      </c>
      <c r="K440" s="185"/>
      <c r="L440" s="185" t="s">
        <v>374</v>
      </c>
      <c r="M440" s="180">
        <v>46101</v>
      </c>
      <c r="N440" s="181"/>
      <c r="O440" s="181">
        <v>9.8364434999999997</v>
      </c>
      <c r="P440" s="181">
        <v>126.01219</v>
      </c>
      <c r="Q440" s="182" t="s">
        <v>1813</v>
      </c>
      <c r="R440" s="183" t="s">
        <v>1814</v>
      </c>
      <c r="S440" s="545" t="b">
        <v>0</v>
      </c>
      <c r="T440" s="545" t="b">
        <v>0</v>
      </c>
      <c r="U440" s="181" t="s">
        <v>1815</v>
      </c>
      <c r="V440" s="184" t="s">
        <v>89</v>
      </c>
      <c r="W440" s="185" t="s">
        <v>1782</v>
      </c>
      <c r="X440" s="18"/>
      <c r="Y440" s="18"/>
      <c r="Z440" s="18"/>
      <c r="AA440" s="18"/>
      <c r="AB440" s="18"/>
      <c r="AC440" s="18"/>
    </row>
    <row r="441" spans="1:29" ht="25.5">
      <c r="A441" s="32">
        <v>39</v>
      </c>
      <c r="B441" s="181" t="s">
        <v>79</v>
      </c>
      <c r="C441" s="185" t="s">
        <v>356</v>
      </c>
      <c r="D441" s="177" t="s">
        <v>2119</v>
      </c>
      <c r="E441" s="546"/>
      <c r="F441" s="546"/>
      <c r="G441" s="190" t="s">
        <v>2580</v>
      </c>
      <c r="H441" s="179"/>
      <c r="I441" s="179"/>
      <c r="J441" s="179" t="s">
        <v>3175</v>
      </c>
      <c r="K441" s="185"/>
      <c r="L441" s="185" t="s">
        <v>374</v>
      </c>
      <c r="M441" s="180">
        <v>46101</v>
      </c>
      <c r="N441" s="181"/>
      <c r="O441" s="181">
        <v>9.8364434999999997</v>
      </c>
      <c r="P441" s="181">
        <v>126.01219</v>
      </c>
      <c r="Q441" s="182" t="s">
        <v>1813</v>
      </c>
      <c r="R441" s="183" t="s">
        <v>1814</v>
      </c>
      <c r="S441" s="546"/>
      <c r="T441" s="546"/>
      <c r="U441" s="181" t="s">
        <v>1815</v>
      </c>
      <c r="V441" s="184" t="s">
        <v>89</v>
      </c>
      <c r="W441" s="185" t="s">
        <v>1782</v>
      </c>
      <c r="X441" s="18"/>
      <c r="Y441" s="18"/>
      <c r="Z441" s="18"/>
      <c r="AA441" s="18"/>
      <c r="AB441" s="18"/>
      <c r="AC441" s="18"/>
    </row>
    <row r="442" spans="1:29" ht="25.5">
      <c r="A442" s="32">
        <v>40</v>
      </c>
      <c r="B442" s="181" t="s">
        <v>79</v>
      </c>
      <c r="C442" s="185" t="s">
        <v>356</v>
      </c>
      <c r="D442" s="177" t="s">
        <v>2119</v>
      </c>
      <c r="E442" s="547"/>
      <c r="F442" s="547"/>
      <c r="G442" s="190" t="s">
        <v>2581</v>
      </c>
      <c r="H442" s="179"/>
      <c r="I442" s="179"/>
      <c r="J442" s="179" t="s">
        <v>3175</v>
      </c>
      <c r="K442" s="185"/>
      <c r="L442" s="185" t="s">
        <v>374</v>
      </c>
      <c r="M442" s="180">
        <v>46101</v>
      </c>
      <c r="N442" s="181"/>
      <c r="O442" s="181">
        <v>9.8364434999999997</v>
      </c>
      <c r="P442" s="181">
        <v>126.01219</v>
      </c>
      <c r="Q442" s="182" t="s">
        <v>1813</v>
      </c>
      <c r="R442" s="183" t="s">
        <v>1814</v>
      </c>
      <c r="S442" s="547"/>
      <c r="T442" s="547"/>
      <c r="U442" s="181" t="s">
        <v>1815</v>
      </c>
      <c r="V442" s="184" t="s">
        <v>89</v>
      </c>
      <c r="W442" s="185" t="s">
        <v>1782</v>
      </c>
      <c r="X442" s="18"/>
      <c r="Y442" s="18"/>
      <c r="Z442" s="18"/>
      <c r="AA442" s="18"/>
      <c r="AB442" s="18"/>
      <c r="AC442" s="18"/>
    </row>
    <row r="443" spans="1:29" ht="25.5">
      <c r="A443" s="32">
        <v>41</v>
      </c>
      <c r="B443" s="181" t="s">
        <v>79</v>
      </c>
      <c r="C443" s="185" t="s">
        <v>356</v>
      </c>
      <c r="D443" s="177" t="s">
        <v>2119</v>
      </c>
      <c r="E443" s="545" t="s">
        <v>2585</v>
      </c>
      <c r="F443" s="545" t="s">
        <v>1810</v>
      </c>
      <c r="G443" s="190" t="s">
        <v>2584</v>
      </c>
      <c r="H443" s="179"/>
      <c r="I443" s="179"/>
      <c r="J443" s="179" t="s">
        <v>3176</v>
      </c>
      <c r="K443" s="185"/>
      <c r="L443" s="185" t="s">
        <v>374</v>
      </c>
      <c r="M443" s="180">
        <v>46101</v>
      </c>
      <c r="N443" s="181"/>
      <c r="O443" s="181">
        <v>9.8253266000000004</v>
      </c>
      <c r="P443" s="181">
        <v>126.04498599999999</v>
      </c>
      <c r="Q443" s="182" t="s">
        <v>1813</v>
      </c>
      <c r="R443" s="183" t="s">
        <v>1814</v>
      </c>
      <c r="S443" s="545" t="b">
        <v>0</v>
      </c>
      <c r="T443" s="545" t="b">
        <v>0</v>
      </c>
      <c r="U443" s="181" t="s">
        <v>1815</v>
      </c>
      <c r="V443" s="184" t="s">
        <v>89</v>
      </c>
      <c r="W443" s="185" t="s">
        <v>1782</v>
      </c>
      <c r="X443" s="18"/>
      <c r="Y443" s="18"/>
      <c r="Z443" s="18"/>
      <c r="AA443" s="18"/>
      <c r="AB443" s="18"/>
      <c r="AC443" s="18"/>
    </row>
    <row r="444" spans="1:29" ht="25.5">
      <c r="A444" s="32">
        <v>42</v>
      </c>
      <c r="B444" s="181" t="s">
        <v>79</v>
      </c>
      <c r="C444" s="185" t="s">
        <v>356</v>
      </c>
      <c r="D444" s="177" t="s">
        <v>2119</v>
      </c>
      <c r="E444" s="546"/>
      <c r="F444" s="546"/>
      <c r="G444" s="190" t="s">
        <v>2586</v>
      </c>
      <c r="H444" s="179"/>
      <c r="I444" s="179"/>
      <c r="J444" s="179" t="s">
        <v>3176</v>
      </c>
      <c r="K444" s="185"/>
      <c r="L444" s="185" t="s">
        <v>374</v>
      </c>
      <c r="M444" s="180">
        <v>46101</v>
      </c>
      <c r="N444" s="181"/>
      <c r="O444" s="181">
        <v>9.8253266000000004</v>
      </c>
      <c r="P444" s="181">
        <v>126.04498599999999</v>
      </c>
      <c r="Q444" s="182" t="s">
        <v>1813</v>
      </c>
      <c r="R444" s="183" t="s">
        <v>1814</v>
      </c>
      <c r="S444" s="546"/>
      <c r="T444" s="546"/>
      <c r="U444" s="181" t="s">
        <v>1815</v>
      </c>
      <c r="V444" s="185" t="s">
        <v>89</v>
      </c>
      <c r="W444" s="185" t="s">
        <v>1782</v>
      </c>
      <c r="X444" s="18"/>
      <c r="Y444" s="18"/>
      <c r="Z444" s="18"/>
      <c r="AA444" s="18"/>
      <c r="AB444" s="18"/>
      <c r="AC444" s="18"/>
    </row>
    <row r="445" spans="1:29" ht="25.5">
      <c r="A445" s="32">
        <v>43</v>
      </c>
      <c r="B445" s="181" t="s">
        <v>79</v>
      </c>
      <c r="C445" s="185" t="s">
        <v>356</v>
      </c>
      <c r="D445" s="177" t="s">
        <v>2119</v>
      </c>
      <c r="E445" s="547"/>
      <c r="F445" s="547"/>
      <c r="G445" s="190" t="s">
        <v>2587</v>
      </c>
      <c r="H445" s="179"/>
      <c r="I445" s="179"/>
      <c r="J445" s="179" t="s">
        <v>3176</v>
      </c>
      <c r="K445" s="185"/>
      <c r="L445" s="185" t="s">
        <v>374</v>
      </c>
      <c r="M445" s="180">
        <v>46101</v>
      </c>
      <c r="N445" s="181"/>
      <c r="O445" s="181">
        <v>9.8253266000000004</v>
      </c>
      <c r="P445" s="181">
        <v>126.04498599999999</v>
      </c>
      <c r="Q445" s="182" t="s">
        <v>1813</v>
      </c>
      <c r="R445" s="183" t="s">
        <v>1814</v>
      </c>
      <c r="S445" s="547"/>
      <c r="T445" s="547"/>
      <c r="U445" s="181" t="s">
        <v>1815</v>
      </c>
      <c r="V445" s="185" t="s">
        <v>89</v>
      </c>
      <c r="W445" s="185" t="s">
        <v>1782</v>
      </c>
      <c r="X445" s="18"/>
      <c r="Y445" s="18"/>
      <c r="Z445" s="18"/>
      <c r="AA445" s="18"/>
      <c r="AB445" s="18"/>
      <c r="AC445" s="18"/>
    </row>
    <row r="446" spans="1:29" ht="25.5">
      <c r="A446" s="32">
        <v>44</v>
      </c>
      <c r="B446" s="181" t="s">
        <v>79</v>
      </c>
      <c r="C446" s="185" t="s">
        <v>2588</v>
      </c>
      <c r="D446" s="177" t="s">
        <v>2119</v>
      </c>
      <c r="E446" s="545" t="s">
        <v>2590</v>
      </c>
      <c r="F446" s="545" t="s">
        <v>1810</v>
      </c>
      <c r="G446" s="75" t="s">
        <v>3182</v>
      </c>
      <c r="H446" s="179"/>
      <c r="I446" s="179"/>
      <c r="J446" s="179" t="s">
        <v>3183</v>
      </c>
      <c r="K446" s="185"/>
      <c r="L446" s="185" t="s">
        <v>374</v>
      </c>
      <c r="M446" s="180">
        <v>46101</v>
      </c>
      <c r="N446" s="181"/>
      <c r="O446" s="181">
        <v>9.8258914999999991</v>
      </c>
      <c r="P446" s="181">
        <v>126.04514399999999</v>
      </c>
      <c r="Q446" s="182" t="s">
        <v>1813</v>
      </c>
      <c r="R446" s="183" t="s">
        <v>1814</v>
      </c>
      <c r="S446" s="545" t="b">
        <v>0</v>
      </c>
      <c r="T446" s="545" t="b">
        <v>0</v>
      </c>
      <c r="U446" s="181" t="s">
        <v>1815</v>
      </c>
      <c r="V446" s="185" t="s">
        <v>89</v>
      </c>
      <c r="W446" s="185" t="s">
        <v>1782</v>
      </c>
      <c r="X446" s="18"/>
      <c r="Y446" s="18"/>
      <c r="Z446" s="18"/>
      <c r="AA446" s="18"/>
      <c r="AB446" s="18"/>
      <c r="AC446" s="18"/>
    </row>
    <row r="447" spans="1:29" ht="25.5">
      <c r="A447" s="32">
        <v>45</v>
      </c>
      <c r="B447" s="181" t="s">
        <v>79</v>
      </c>
      <c r="C447" s="185" t="s">
        <v>2588</v>
      </c>
      <c r="D447" s="177" t="s">
        <v>2119</v>
      </c>
      <c r="E447" s="546"/>
      <c r="F447" s="546"/>
      <c r="G447" s="75" t="s">
        <v>3185</v>
      </c>
      <c r="H447" s="179"/>
      <c r="I447" s="179"/>
      <c r="J447" s="179" t="s">
        <v>3183</v>
      </c>
      <c r="K447" s="185"/>
      <c r="L447" s="185" t="s">
        <v>374</v>
      </c>
      <c r="M447" s="180">
        <v>46101</v>
      </c>
      <c r="N447" s="181"/>
      <c r="O447" s="181">
        <v>9.8258914999999991</v>
      </c>
      <c r="P447" s="181">
        <v>126.04514399999999</v>
      </c>
      <c r="Q447" s="182" t="s">
        <v>1813</v>
      </c>
      <c r="R447" s="183" t="s">
        <v>1814</v>
      </c>
      <c r="S447" s="546"/>
      <c r="T447" s="546"/>
      <c r="U447" s="181" t="s">
        <v>1815</v>
      </c>
      <c r="V447" s="185" t="s">
        <v>89</v>
      </c>
      <c r="W447" s="185" t="s">
        <v>1782</v>
      </c>
      <c r="X447" s="18"/>
      <c r="Y447" s="18"/>
      <c r="Z447" s="18"/>
      <c r="AA447" s="18"/>
      <c r="AB447" s="18"/>
      <c r="AC447" s="18"/>
    </row>
    <row r="448" spans="1:29" ht="25.5">
      <c r="A448" s="32">
        <v>46</v>
      </c>
      <c r="B448" s="181" t="s">
        <v>79</v>
      </c>
      <c r="C448" s="185" t="s">
        <v>2588</v>
      </c>
      <c r="D448" s="177" t="s">
        <v>2119</v>
      </c>
      <c r="E448" s="547"/>
      <c r="F448" s="547"/>
      <c r="G448" s="75" t="s">
        <v>3186</v>
      </c>
      <c r="H448" s="179"/>
      <c r="I448" s="179"/>
      <c r="J448" s="179" t="s">
        <v>3183</v>
      </c>
      <c r="K448" s="185"/>
      <c r="L448" s="185" t="s">
        <v>374</v>
      </c>
      <c r="M448" s="180">
        <v>46101</v>
      </c>
      <c r="N448" s="181"/>
      <c r="O448" s="181">
        <v>9.8258914999999991</v>
      </c>
      <c r="P448" s="181">
        <v>126.04514399999999</v>
      </c>
      <c r="Q448" s="182" t="s">
        <v>1813</v>
      </c>
      <c r="R448" s="183" t="s">
        <v>1814</v>
      </c>
      <c r="S448" s="547"/>
      <c r="T448" s="547"/>
      <c r="U448" s="181" t="s">
        <v>1815</v>
      </c>
      <c r="V448" s="185" t="s">
        <v>89</v>
      </c>
      <c r="W448" s="185" t="s">
        <v>1782</v>
      </c>
      <c r="X448" s="18"/>
      <c r="Y448" s="18"/>
      <c r="Z448" s="18"/>
      <c r="AA448" s="18"/>
      <c r="AB448" s="18"/>
      <c r="AC448" s="18"/>
    </row>
    <row r="449" spans="1:29" ht="25.5">
      <c r="A449" s="32">
        <v>47</v>
      </c>
      <c r="B449" s="181" t="s">
        <v>79</v>
      </c>
      <c r="C449" s="185" t="s">
        <v>172</v>
      </c>
      <c r="D449" s="177" t="s">
        <v>2119</v>
      </c>
      <c r="E449" s="545" t="s">
        <v>2594</v>
      </c>
      <c r="F449" s="545" t="s">
        <v>1810</v>
      </c>
      <c r="G449" s="190" t="s">
        <v>2593</v>
      </c>
      <c r="H449" s="179"/>
      <c r="I449" s="179"/>
      <c r="J449" s="179" t="s">
        <v>3192</v>
      </c>
      <c r="K449" s="185"/>
      <c r="L449" s="185" t="s">
        <v>374</v>
      </c>
      <c r="M449" s="180">
        <v>46101</v>
      </c>
      <c r="N449" s="181"/>
      <c r="O449" s="181">
        <v>9.8550237000000003</v>
      </c>
      <c r="P449" s="181">
        <v>126.02239400000001</v>
      </c>
      <c r="Q449" s="182" t="s">
        <v>1813</v>
      </c>
      <c r="R449" s="183" t="s">
        <v>1814</v>
      </c>
      <c r="S449" s="545" t="b">
        <v>0</v>
      </c>
      <c r="T449" s="545" t="b">
        <v>0</v>
      </c>
      <c r="U449" s="181" t="s">
        <v>1815</v>
      </c>
      <c r="V449" s="185" t="s">
        <v>89</v>
      </c>
      <c r="W449" s="185" t="s">
        <v>1782</v>
      </c>
      <c r="X449" s="18"/>
      <c r="Y449" s="18"/>
      <c r="Z449" s="18"/>
      <c r="AA449" s="18"/>
      <c r="AB449" s="18"/>
      <c r="AC449" s="18"/>
    </row>
    <row r="450" spans="1:29" ht="25.5">
      <c r="A450" s="32">
        <v>48</v>
      </c>
      <c r="B450" s="181" t="s">
        <v>79</v>
      </c>
      <c r="C450" s="185" t="s">
        <v>172</v>
      </c>
      <c r="D450" s="177" t="s">
        <v>2119</v>
      </c>
      <c r="E450" s="546"/>
      <c r="F450" s="546"/>
      <c r="G450" s="190" t="s">
        <v>2595</v>
      </c>
      <c r="H450" s="179"/>
      <c r="I450" s="179"/>
      <c r="J450" s="179" t="s">
        <v>3192</v>
      </c>
      <c r="K450" s="185"/>
      <c r="L450" s="185" t="s">
        <v>374</v>
      </c>
      <c r="M450" s="180">
        <v>46101</v>
      </c>
      <c r="N450" s="181"/>
      <c r="O450" s="181">
        <v>9.8550237000000003</v>
      </c>
      <c r="P450" s="181">
        <v>126.02239400000001</v>
      </c>
      <c r="Q450" s="182" t="s">
        <v>1813</v>
      </c>
      <c r="R450" s="183" t="s">
        <v>1814</v>
      </c>
      <c r="S450" s="546"/>
      <c r="T450" s="546"/>
      <c r="U450" s="181" t="s">
        <v>1815</v>
      </c>
      <c r="V450" s="185" t="s">
        <v>89</v>
      </c>
      <c r="W450" s="185" t="s">
        <v>1782</v>
      </c>
      <c r="X450" s="18"/>
      <c r="Y450" s="18"/>
      <c r="Z450" s="18"/>
      <c r="AA450" s="18"/>
      <c r="AB450" s="18"/>
      <c r="AC450" s="18"/>
    </row>
    <row r="451" spans="1:29" ht="25.5">
      <c r="A451" s="32">
        <v>49</v>
      </c>
      <c r="B451" s="181" t="s">
        <v>79</v>
      </c>
      <c r="C451" s="185" t="s">
        <v>172</v>
      </c>
      <c r="D451" s="177" t="s">
        <v>2119</v>
      </c>
      <c r="E451" s="547"/>
      <c r="F451" s="547"/>
      <c r="G451" s="190" t="s">
        <v>2596</v>
      </c>
      <c r="H451" s="179"/>
      <c r="I451" s="179"/>
      <c r="J451" s="179" t="s">
        <v>3192</v>
      </c>
      <c r="K451" s="185"/>
      <c r="L451" s="185" t="s">
        <v>374</v>
      </c>
      <c r="M451" s="180">
        <v>46101</v>
      </c>
      <c r="N451" s="181"/>
      <c r="O451" s="181">
        <v>9.8550237000000003</v>
      </c>
      <c r="P451" s="181">
        <v>126.02239400000001</v>
      </c>
      <c r="Q451" s="182" t="s">
        <v>1813</v>
      </c>
      <c r="R451" s="183" t="s">
        <v>1814</v>
      </c>
      <c r="S451" s="547"/>
      <c r="T451" s="547"/>
      <c r="U451" s="181" t="s">
        <v>1815</v>
      </c>
      <c r="V451" s="185" t="s">
        <v>89</v>
      </c>
      <c r="W451" s="185" t="s">
        <v>1782</v>
      </c>
      <c r="X451" s="18"/>
      <c r="Y451" s="18"/>
      <c r="Z451" s="18"/>
      <c r="AA451" s="18"/>
      <c r="AB451" s="18"/>
      <c r="AC451" s="18"/>
    </row>
    <row r="452" spans="1:29" ht="38.25">
      <c r="A452" s="32">
        <v>50</v>
      </c>
      <c r="B452" s="181" t="s">
        <v>79</v>
      </c>
      <c r="C452" s="185" t="s">
        <v>1723</v>
      </c>
      <c r="D452" s="177" t="s">
        <v>2119</v>
      </c>
      <c r="E452" s="545" t="s">
        <v>2598</v>
      </c>
      <c r="F452" s="545" t="s">
        <v>1810</v>
      </c>
      <c r="G452" s="190" t="s">
        <v>2597</v>
      </c>
      <c r="H452" s="179"/>
      <c r="I452" s="179"/>
      <c r="J452" s="179" t="s">
        <v>3199</v>
      </c>
      <c r="K452" s="185"/>
      <c r="L452" s="185" t="s">
        <v>207</v>
      </c>
      <c r="M452" s="180">
        <v>46101</v>
      </c>
      <c r="N452" s="181"/>
      <c r="O452" s="181">
        <v>9.8764874999999996</v>
      </c>
      <c r="P452" s="181">
        <v>126.065825</v>
      </c>
      <c r="Q452" s="182" t="s">
        <v>1813</v>
      </c>
      <c r="R452" s="183" t="s">
        <v>1814</v>
      </c>
      <c r="S452" s="545" t="b">
        <v>0</v>
      </c>
      <c r="T452" s="545" t="b">
        <v>0</v>
      </c>
      <c r="U452" s="181" t="s">
        <v>1815</v>
      </c>
      <c r="V452" s="185" t="s">
        <v>89</v>
      </c>
      <c r="W452" s="185" t="s">
        <v>1782</v>
      </c>
      <c r="X452" s="18"/>
      <c r="Y452" s="18"/>
      <c r="Z452" s="18"/>
      <c r="AA452" s="18"/>
      <c r="AB452" s="522" t="s">
        <v>3200</v>
      </c>
      <c r="AC452" s="522" t="s">
        <v>3201</v>
      </c>
    </row>
    <row r="453" spans="1:29" ht="38.25">
      <c r="A453" s="32">
        <v>51</v>
      </c>
      <c r="B453" s="181" t="s">
        <v>79</v>
      </c>
      <c r="C453" s="185" t="s">
        <v>1723</v>
      </c>
      <c r="D453" s="177" t="s">
        <v>2119</v>
      </c>
      <c r="E453" s="546"/>
      <c r="F453" s="546"/>
      <c r="G453" s="190" t="s">
        <v>2599</v>
      </c>
      <c r="H453" s="179"/>
      <c r="I453" s="179"/>
      <c r="J453" s="179" t="s">
        <v>3199</v>
      </c>
      <c r="K453" s="185"/>
      <c r="L453" s="185" t="s">
        <v>207</v>
      </c>
      <c r="M453" s="180">
        <v>46101</v>
      </c>
      <c r="N453" s="181"/>
      <c r="O453" s="181">
        <v>9.8764874999999996</v>
      </c>
      <c r="P453" s="181">
        <v>126.065825</v>
      </c>
      <c r="Q453" s="182" t="s">
        <v>1813</v>
      </c>
      <c r="R453" s="183" t="s">
        <v>1814</v>
      </c>
      <c r="S453" s="546"/>
      <c r="T453" s="546"/>
      <c r="U453" s="181" t="s">
        <v>1815</v>
      </c>
      <c r="V453" s="185" t="s">
        <v>89</v>
      </c>
      <c r="W453" s="185" t="s">
        <v>1782</v>
      </c>
      <c r="X453" s="18"/>
      <c r="Y453" s="18"/>
      <c r="Z453" s="18"/>
      <c r="AA453" s="18"/>
      <c r="AB453" s="511"/>
      <c r="AC453" s="511"/>
    </row>
    <row r="454" spans="1:29" ht="38.25">
      <c r="A454" s="32">
        <v>52</v>
      </c>
      <c r="B454" s="181" t="s">
        <v>79</v>
      </c>
      <c r="C454" s="185" t="s">
        <v>1723</v>
      </c>
      <c r="D454" s="177" t="s">
        <v>2119</v>
      </c>
      <c r="E454" s="547"/>
      <c r="F454" s="547"/>
      <c r="G454" s="190" t="s">
        <v>2600</v>
      </c>
      <c r="H454" s="179"/>
      <c r="I454" s="179"/>
      <c r="J454" s="179" t="s">
        <v>3199</v>
      </c>
      <c r="K454" s="185"/>
      <c r="L454" s="185" t="s">
        <v>207</v>
      </c>
      <c r="M454" s="180">
        <v>46101</v>
      </c>
      <c r="N454" s="181"/>
      <c r="O454" s="181">
        <v>9.8764874999999996</v>
      </c>
      <c r="P454" s="181">
        <v>126.065825</v>
      </c>
      <c r="Q454" s="182" t="s">
        <v>1813</v>
      </c>
      <c r="R454" s="183" t="s">
        <v>1814</v>
      </c>
      <c r="S454" s="547"/>
      <c r="T454" s="547"/>
      <c r="U454" s="181" t="s">
        <v>1815</v>
      </c>
      <c r="V454" s="185" t="s">
        <v>89</v>
      </c>
      <c r="W454" s="185" t="s">
        <v>1782</v>
      </c>
      <c r="X454" s="18"/>
      <c r="Y454" s="18"/>
      <c r="Z454" s="18"/>
      <c r="AA454" s="18"/>
      <c r="AB454" s="512"/>
      <c r="AC454" s="512"/>
    </row>
    <row r="455" spans="1:29" ht="25.5">
      <c r="A455" s="32">
        <v>53</v>
      </c>
      <c r="B455" s="185" t="s">
        <v>79</v>
      </c>
      <c r="C455" s="176" t="s">
        <v>15</v>
      </c>
      <c r="D455" s="177" t="s">
        <v>2119</v>
      </c>
      <c r="E455" s="548" t="s">
        <v>2797</v>
      </c>
      <c r="F455" s="548" t="s">
        <v>1810</v>
      </c>
      <c r="G455" s="213" t="s">
        <v>2797</v>
      </c>
      <c r="H455" s="423"/>
      <c r="I455" s="423"/>
      <c r="J455" s="423" t="s">
        <v>1851</v>
      </c>
      <c r="K455" s="185"/>
      <c r="L455" s="185" t="s">
        <v>553</v>
      </c>
      <c r="M455" s="180">
        <v>46127</v>
      </c>
      <c r="N455" s="185"/>
      <c r="O455" s="185">
        <v>9.7926300000000008</v>
      </c>
      <c r="P455" s="185">
        <v>126.15622999999999</v>
      </c>
      <c r="Q455" s="182" t="s">
        <v>1775</v>
      </c>
      <c r="R455" s="183" t="s">
        <v>1814</v>
      </c>
      <c r="S455" s="548" t="b">
        <v>0</v>
      </c>
      <c r="T455" s="548" t="b">
        <v>0</v>
      </c>
      <c r="U455" s="181" t="s">
        <v>1695</v>
      </c>
      <c r="V455" s="185" t="s">
        <v>89</v>
      </c>
      <c r="W455" s="185" t="s">
        <v>1782</v>
      </c>
      <c r="X455" s="18"/>
      <c r="Y455" s="18"/>
      <c r="Z455" s="18"/>
      <c r="AA455" s="18"/>
      <c r="AB455" s="522" t="s">
        <v>3204</v>
      </c>
      <c r="AC455" s="522">
        <v>9206647682</v>
      </c>
    </row>
    <row r="456" spans="1:29" ht="25.5">
      <c r="A456" s="32">
        <v>54</v>
      </c>
      <c r="B456" s="185" t="s">
        <v>79</v>
      </c>
      <c r="C456" s="176" t="s">
        <v>15</v>
      </c>
      <c r="D456" s="177" t="s">
        <v>2119</v>
      </c>
      <c r="E456" s="553"/>
      <c r="F456" s="553"/>
      <c r="G456" s="213" t="s">
        <v>2797</v>
      </c>
      <c r="H456" s="423"/>
      <c r="I456" s="423"/>
      <c r="J456" s="423" t="s">
        <v>1865</v>
      </c>
      <c r="K456" s="185"/>
      <c r="L456" s="185" t="s">
        <v>553</v>
      </c>
      <c r="M456" s="180">
        <v>46127</v>
      </c>
      <c r="N456" s="185"/>
      <c r="O456" s="185">
        <v>9.7926300000000008</v>
      </c>
      <c r="P456" s="185">
        <v>126.15622999999999</v>
      </c>
      <c r="Q456" s="182" t="s">
        <v>1775</v>
      </c>
      <c r="R456" s="183" t="s">
        <v>1814</v>
      </c>
      <c r="S456" s="553"/>
      <c r="T456" s="553"/>
      <c r="U456" s="181" t="s">
        <v>1695</v>
      </c>
      <c r="V456" s="185" t="s">
        <v>89</v>
      </c>
      <c r="W456" s="185" t="s">
        <v>1782</v>
      </c>
      <c r="X456" s="18"/>
      <c r="Y456" s="18"/>
      <c r="Z456" s="18"/>
      <c r="AA456" s="18"/>
      <c r="AB456" s="511"/>
      <c r="AC456" s="511"/>
    </row>
    <row r="457" spans="1:29" ht="25.5">
      <c r="A457" s="32">
        <v>55</v>
      </c>
      <c r="B457" s="185" t="s">
        <v>79</v>
      </c>
      <c r="C457" s="176" t="s">
        <v>15</v>
      </c>
      <c r="D457" s="177" t="s">
        <v>2119</v>
      </c>
      <c r="E457" s="549"/>
      <c r="F457" s="549"/>
      <c r="G457" s="213" t="s">
        <v>2797</v>
      </c>
      <c r="H457" s="423"/>
      <c r="I457" s="423"/>
      <c r="J457" s="423" t="s">
        <v>1868</v>
      </c>
      <c r="K457" s="185"/>
      <c r="L457" s="185" t="s">
        <v>553</v>
      </c>
      <c r="M457" s="180">
        <v>46127</v>
      </c>
      <c r="N457" s="185"/>
      <c r="O457" s="185">
        <v>9.7926300000000008</v>
      </c>
      <c r="P457" s="185">
        <v>126.15622999999999</v>
      </c>
      <c r="Q457" s="182" t="s">
        <v>1775</v>
      </c>
      <c r="R457" s="183" t="s">
        <v>1814</v>
      </c>
      <c r="S457" s="549"/>
      <c r="T457" s="549"/>
      <c r="U457" s="181" t="s">
        <v>1695</v>
      </c>
      <c r="V457" s="185" t="s">
        <v>89</v>
      </c>
      <c r="W457" s="185" t="s">
        <v>1782</v>
      </c>
      <c r="X457" s="18"/>
      <c r="Y457" s="18"/>
      <c r="Z457" s="18"/>
      <c r="AA457" s="18"/>
      <c r="AB457" s="512"/>
      <c r="AC457" s="512"/>
    </row>
    <row r="458" spans="1:29" ht="25.5">
      <c r="A458" s="32">
        <v>1</v>
      </c>
      <c r="B458" s="176" t="s">
        <v>113</v>
      </c>
      <c r="C458" s="176" t="s">
        <v>114</v>
      </c>
      <c r="D458" s="177" t="s">
        <v>2119</v>
      </c>
      <c r="E458" s="545" t="s">
        <v>2142</v>
      </c>
      <c r="F458" s="545" t="s">
        <v>1810</v>
      </c>
      <c r="G458" s="178" t="s">
        <v>116</v>
      </c>
      <c r="H458" s="13"/>
      <c r="I458" s="13"/>
      <c r="J458" s="13" t="s">
        <v>1193</v>
      </c>
      <c r="K458" s="176"/>
      <c r="L458" s="176" t="s">
        <v>65</v>
      </c>
      <c r="M458" s="180">
        <v>45212</v>
      </c>
      <c r="N458" s="181"/>
      <c r="O458" s="181">
        <v>9.8644020000000001</v>
      </c>
      <c r="P458" s="181">
        <v>126.100433</v>
      </c>
      <c r="Q458" s="182" t="s">
        <v>1775</v>
      </c>
      <c r="R458" s="183" t="s">
        <v>1776</v>
      </c>
      <c r="S458" s="545" t="b">
        <v>0</v>
      </c>
      <c r="T458" s="545" t="b">
        <v>0</v>
      </c>
      <c r="U458" s="181" t="s">
        <v>22</v>
      </c>
      <c r="V458" s="185" t="s">
        <v>89</v>
      </c>
      <c r="W458" s="185" t="s">
        <v>1782</v>
      </c>
      <c r="X458" s="18"/>
      <c r="Y458" s="18"/>
      <c r="Z458" s="18"/>
      <c r="AA458" s="18"/>
      <c r="AB458" s="525" t="s">
        <v>3206</v>
      </c>
      <c r="AC458" s="522">
        <v>9456876247</v>
      </c>
    </row>
    <row r="459" spans="1:29" ht="25.5">
      <c r="A459" s="32">
        <v>2</v>
      </c>
      <c r="B459" s="176" t="s">
        <v>113</v>
      </c>
      <c r="C459" s="176" t="s">
        <v>114</v>
      </c>
      <c r="D459" s="177" t="s">
        <v>2119</v>
      </c>
      <c r="E459" s="546"/>
      <c r="F459" s="546"/>
      <c r="G459" s="178" t="s">
        <v>119</v>
      </c>
      <c r="H459" s="13"/>
      <c r="I459" s="13"/>
      <c r="J459" s="13" t="s">
        <v>1202</v>
      </c>
      <c r="K459" s="176"/>
      <c r="L459" s="176" t="s">
        <v>238</v>
      </c>
      <c r="M459" s="180">
        <v>45212</v>
      </c>
      <c r="N459" s="181"/>
      <c r="O459" s="181">
        <v>9.8644479999999994</v>
      </c>
      <c r="P459" s="181">
        <v>126.100222</v>
      </c>
      <c r="Q459" s="182" t="s">
        <v>1775</v>
      </c>
      <c r="R459" s="183" t="s">
        <v>1776</v>
      </c>
      <c r="S459" s="546"/>
      <c r="T459" s="546"/>
      <c r="U459" s="181" t="s">
        <v>22</v>
      </c>
      <c r="V459" s="184" t="s">
        <v>89</v>
      </c>
      <c r="W459" s="185" t="s">
        <v>1782</v>
      </c>
      <c r="X459" s="18"/>
      <c r="Y459" s="18"/>
      <c r="Z459" s="18"/>
      <c r="AA459" s="18"/>
      <c r="AB459" s="511"/>
      <c r="AC459" s="511"/>
    </row>
    <row r="460" spans="1:29" ht="25.5">
      <c r="A460" s="32">
        <v>3</v>
      </c>
      <c r="B460" s="176" t="s">
        <v>113</v>
      </c>
      <c r="C460" s="176" t="s">
        <v>114</v>
      </c>
      <c r="D460" s="177" t="s">
        <v>2119</v>
      </c>
      <c r="E460" s="546"/>
      <c r="F460" s="546"/>
      <c r="G460" s="178" t="s">
        <v>121</v>
      </c>
      <c r="H460" s="13"/>
      <c r="I460" s="13"/>
      <c r="J460" s="13" t="s">
        <v>1206</v>
      </c>
      <c r="K460" s="176"/>
      <c r="L460" s="176" t="s">
        <v>238</v>
      </c>
      <c r="M460" s="180">
        <v>45212</v>
      </c>
      <c r="N460" s="181"/>
      <c r="O460" s="181">
        <v>9.8641930000000002</v>
      </c>
      <c r="P460" s="181">
        <v>126.100151</v>
      </c>
      <c r="Q460" s="182" t="s">
        <v>1775</v>
      </c>
      <c r="R460" s="183" t="s">
        <v>1776</v>
      </c>
      <c r="S460" s="546"/>
      <c r="T460" s="546"/>
      <c r="U460" s="181" t="s">
        <v>22</v>
      </c>
      <c r="V460" s="184" t="s">
        <v>89</v>
      </c>
      <c r="W460" s="185" t="s">
        <v>1782</v>
      </c>
      <c r="X460" s="18"/>
      <c r="Y460" s="18"/>
      <c r="Z460" s="18"/>
      <c r="AA460" s="18"/>
      <c r="AB460" s="511"/>
      <c r="AC460" s="511"/>
    </row>
    <row r="461" spans="1:29" ht="38.25">
      <c r="A461" s="32">
        <v>4</v>
      </c>
      <c r="B461" s="176" t="s">
        <v>113</v>
      </c>
      <c r="C461" s="176" t="s">
        <v>114</v>
      </c>
      <c r="D461" s="177" t="s">
        <v>2119</v>
      </c>
      <c r="E461" s="546"/>
      <c r="F461" s="546"/>
      <c r="G461" s="178" t="s">
        <v>123</v>
      </c>
      <c r="H461" s="13"/>
      <c r="I461" s="13"/>
      <c r="J461" s="13" t="s">
        <v>1212</v>
      </c>
      <c r="K461" s="176"/>
      <c r="L461" s="176" t="s">
        <v>103</v>
      </c>
      <c r="M461" s="180">
        <v>45212</v>
      </c>
      <c r="N461" s="181"/>
      <c r="O461" s="181">
        <v>9.8641930000000002</v>
      </c>
      <c r="P461" s="181">
        <v>126.100151</v>
      </c>
      <c r="Q461" s="182" t="s">
        <v>1775</v>
      </c>
      <c r="R461" s="183" t="s">
        <v>1776</v>
      </c>
      <c r="S461" s="546"/>
      <c r="T461" s="546"/>
      <c r="U461" s="181" t="s">
        <v>22</v>
      </c>
      <c r="V461" s="185" t="s">
        <v>89</v>
      </c>
      <c r="W461" s="185" t="s">
        <v>1782</v>
      </c>
      <c r="X461" s="18"/>
      <c r="Y461" s="18"/>
      <c r="Z461" s="18"/>
      <c r="AA461" s="18"/>
      <c r="AB461" s="511"/>
      <c r="AC461" s="511"/>
    </row>
    <row r="462" spans="1:29" ht="25.5">
      <c r="A462" s="32">
        <v>5</v>
      </c>
      <c r="B462" s="176" t="s">
        <v>113</v>
      </c>
      <c r="C462" s="176" t="s">
        <v>114</v>
      </c>
      <c r="D462" s="177" t="s">
        <v>2119</v>
      </c>
      <c r="E462" s="546"/>
      <c r="F462" s="546"/>
      <c r="G462" s="178" t="s">
        <v>125</v>
      </c>
      <c r="H462" s="13"/>
      <c r="I462" s="13"/>
      <c r="J462" s="13" t="s">
        <v>1220</v>
      </c>
      <c r="K462" s="176"/>
      <c r="L462" s="176" t="s">
        <v>31</v>
      </c>
      <c r="M462" s="180">
        <v>45212</v>
      </c>
      <c r="N462" s="181"/>
      <c r="O462" s="181">
        <v>9.8639559999999999</v>
      </c>
      <c r="P462" s="181">
        <v>126.1003</v>
      </c>
      <c r="Q462" s="182" t="s">
        <v>1775</v>
      </c>
      <c r="R462" s="183" t="s">
        <v>1776</v>
      </c>
      <c r="S462" s="546"/>
      <c r="T462" s="546"/>
      <c r="U462" s="181" t="s">
        <v>22</v>
      </c>
      <c r="V462" s="185" t="s">
        <v>89</v>
      </c>
      <c r="W462" s="185" t="s">
        <v>1782</v>
      </c>
      <c r="X462" s="18"/>
      <c r="Y462" s="18"/>
      <c r="Z462" s="18"/>
      <c r="AA462" s="18"/>
      <c r="AB462" s="511"/>
      <c r="AC462" s="511"/>
    </row>
    <row r="463" spans="1:29" ht="25.5">
      <c r="A463" s="32">
        <v>6</v>
      </c>
      <c r="B463" s="176" t="s">
        <v>113</v>
      </c>
      <c r="C463" s="176" t="s">
        <v>114</v>
      </c>
      <c r="D463" s="177" t="s">
        <v>2119</v>
      </c>
      <c r="E463" s="546"/>
      <c r="F463" s="546"/>
      <c r="G463" s="178" t="s">
        <v>127</v>
      </c>
      <c r="H463" s="13"/>
      <c r="I463" s="13"/>
      <c r="J463" s="13" t="s">
        <v>1229</v>
      </c>
      <c r="K463" s="176"/>
      <c r="L463" s="176" t="s">
        <v>155</v>
      </c>
      <c r="M463" s="180">
        <v>45212</v>
      </c>
      <c r="N463" s="181"/>
      <c r="O463" s="181">
        <v>9.8628359999999997</v>
      </c>
      <c r="P463" s="181">
        <v>126.09936500000001</v>
      </c>
      <c r="Q463" s="182" t="s">
        <v>1775</v>
      </c>
      <c r="R463" s="183" t="s">
        <v>1776</v>
      </c>
      <c r="S463" s="546"/>
      <c r="T463" s="546"/>
      <c r="U463" s="181" t="s">
        <v>22</v>
      </c>
      <c r="V463" s="185" t="s">
        <v>89</v>
      </c>
      <c r="W463" s="185" t="s">
        <v>2080</v>
      </c>
      <c r="X463" s="18"/>
      <c r="Y463" s="18"/>
      <c r="Z463" s="18"/>
      <c r="AA463" s="18"/>
      <c r="AB463" s="512"/>
      <c r="AC463" s="512"/>
    </row>
    <row r="464" spans="1:29" ht="25.5">
      <c r="A464" s="32">
        <v>7</v>
      </c>
      <c r="B464" s="176" t="s">
        <v>113</v>
      </c>
      <c r="C464" s="176" t="s">
        <v>114</v>
      </c>
      <c r="D464" s="177" t="s">
        <v>2119</v>
      </c>
      <c r="E464" s="547"/>
      <c r="F464" s="547"/>
      <c r="G464" s="213" t="s">
        <v>132</v>
      </c>
      <c r="H464" s="97"/>
      <c r="I464" s="97"/>
      <c r="J464" s="97" t="s">
        <v>1663</v>
      </c>
      <c r="K464" s="176"/>
      <c r="L464" s="176" t="s">
        <v>491</v>
      </c>
      <c r="M464" s="180">
        <v>45671</v>
      </c>
      <c r="N464" s="181"/>
      <c r="O464" s="181">
        <v>9.8645649300000002</v>
      </c>
      <c r="P464" s="181">
        <v>126.1006359</v>
      </c>
      <c r="Q464" s="182" t="s">
        <v>1775</v>
      </c>
      <c r="R464" s="183" t="s">
        <v>1776</v>
      </c>
      <c r="S464" s="547"/>
      <c r="T464" s="547"/>
      <c r="U464" s="181" t="s">
        <v>22</v>
      </c>
      <c r="V464" s="185" t="s">
        <v>89</v>
      </c>
      <c r="W464" s="185" t="s">
        <v>1782</v>
      </c>
      <c r="X464" s="18"/>
      <c r="Y464" s="18"/>
      <c r="Z464" s="162" t="s">
        <v>1664</v>
      </c>
      <c r="AA464" s="18"/>
      <c r="AB464" s="18"/>
      <c r="AC464" s="18"/>
    </row>
    <row r="465" spans="1:29" ht="25.5">
      <c r="A465" s="32">
        <v>8</v>
      </c>
      <c r="B465" s="176" t="s">
        <v>113</v>
      </c>
      <c r="C465" s="176" t="s">
        <v>1959</v>
      </c>
      <c r="D465" s="177" t="s">
        <v>2119</v>
      </c>
      <c r="E465" s="545" t="s">
        <v>569</v>
      </c>
      <c r="F465" s="545" t="s">
        <v>1810</v>
      </c>
      <c r="G465" s="427" t="s">
        <v>565</v>
      </c>
      <c r="H465" s="23"/>
      <c r="I465" s="23"/>
      <c r="J465" s="23" t="s">
        <v>1961</v>
      </c>
      <c r="K465" s="176"/>
      <c r="L465" s="176" t="s">
        <v>155</v>
      </c>
      <c r="M465" s="180">
        <v>45573</v>
      </c>
      <c r="N465" s="181"/>
      <c r="O465" s="181">
        <v>9.8951607199999998</v>
      </c>
      <c r="P465" s="181">
        <v>126.1093609</v>
      </c>
      <c r="Q465" s="182" t="s">
        <v>1775</v>
      </c>
      <c r="R465" s="183" t="s">
        <v>1776</v>
      </c>
      <c r="S465" s="545" t="b">
        <v>0</v>
      </c>
      <c r="T465" s="545" t="b">
        <v>0</v>
      </c>
      <c r="U465" s="181" t="s">
        <v>513</v>
      </c>
      <c r="V465" s="184" t="s">
        <v>89</v>
      </c>
      <c r="W465" s="185" t="s">
        <v>1782</v>
      </c>
      <c r="X465" s="18"/>
      <c r="Y465" s="128" t="s">
        <v>1428</v>
      </c>
      <c r="Z465" s="128" t="s">
        <v>386</v>
      </c>
      <c r="AA465" s="119"/>
      <c r="AB465" s="96" t="s">
        <v>1971</v>
      </c>
      <c r="AC465" s="96">
        <v>9656782791</v>
      </c>
    </row>
    <row r="466" spans="1:29" ht="25.5">
      <c r="A466" s="32">
        <v>9</v>
      </c>
      <c r="B466" s="176" t="s">
        <v>113</v>
      </c>
      <c r="C466" s="176" t="s">
        <v>1959</v>
      </c>
      <c r="D466" s="177" t="s">
        <v>2119</v>
      </c>
      <c r="E466" s="546"/>
      <c r="F466" s="546"/>
      <c r="G466" s="427" t="s">
        <v>568</v>
      </c>
      <c r="H466" s="23"/>
      <c r="I466" s="23"/>
      <c r="J466" s="23" t="s">
        <v>1975</v>
      </c>
      <c r="K466" s="176"/>
      <c r="L466" s="176" t="s">
        <v>207</v>
      </c>
      <c r="M466" s="180">
        <v>45573</v>
      </c>
      <c r="N466" s="181"/>
      <c r="O466" s="181">
        <v>9.8951834499999993</v>
      </c>
      <c r="P466" s="181">
        <v>126.1096766</v>
      </c>
      <c r="Q466" s="182" t="s">
        <v>1775</v>
      </c>
      <c r="R466" s="183" t="s">
        <v>1776</v>
      </c>
      <c r="S466" s="546"/>
      <c r="T466" s="546"/>
      <c r="U466" s="181" t="s">
        <v>513</v>
      </c>
      <c r="V466" s="184" t="s">
        <v>89</v>
      </c>
      <c r="W466" s="185" t="s">
        <v>1782</v>
      </c>
      <c r="X466" s="18"/>
      <c r="Y466" s="128" t="s">
        <v>1428</v>
      </c>
      <c r="Z466" s="128" t="s">
        <v>386</v>
      </c>
      <c r="AA466" s="128" t="s">
        <v>386</v>
      </c>
      <c r="AB466" s="96" t="s">
        <v>3227</v>
      </c>
      <c r="AC466" s="96">
        <v>9668660949</v>
      </c>
    </row>
    <row r="467" spans="1:29" ht="25.5" hidden="1">
      <c r="A467" s="32">
        <v>10</v>
      </c>
      <c r="B467" s="176" t="s">
        <v>113</v>
      </c>
      <c r="C467" s="176" t="s">
        <v>1959</v>
      </c>
      <c r="D467" s="177" t="s">
        <v>2119</v>
      </c>
      <c r="E467" s="547"/>
      <c r="F467" s="547"/>
      <c r="G467" s="209" t="s">
        <v>156</v>
      </c>
      <c r="H467" s="23"/>
      <c r="I467" s="23"/>
      <c r="J467" s="23" t="s">
        <v>1990</v>
      </c>
      <c r="K467" s="176"/>
      <c r="L467" s="176" t="s">
        <v>374</v>
      </c>
      <c r="M467" s="180">
        <v>45573</v>
      </c>
      <c r="N467" s="181"/>
      <c r="O467" s="181">
        <v>9.8958943099999992</v>
      </c>
      <c r="P467" s="181">
        <v>126.11028159999999</v>
      </c>
      <c r="Q467" s="182" t="s">
        <v>1775</v>
      </c>
      <c r="R467" s="183" t="s">
        <v>1776</v>
      </c>
      <c r="S467" s="547"/>
      <c r="T467" s="547"/>
      <c r="U467" s="181" t="s">
        <v>513</v>
      </c>
      <c r="V467" s="184" t="s">
        <v>89</v>
      </c>
      <c r="W467" s="185" t="s">
        <v>1782</v>
      </c>
      <c r="X467" s="18"/>
      <c r="Y467" s="128" t="s">
        <v>1428</v>
      </c>
      <c r="Z467" s="128" t="s">
        <v>386</v>
      </c>
      <c r="AA467" s="119"/>
      <c r="AB467" s="96" t="s">
        <v>3232</v>
      </c>
      <c r="AC467" s="18"/>
    </row>
    <row r="468" spans="1:29" ht="38.25">
      <c r="A468" s="32">
        <v>11</v>
      </c>
      <c r="B468" s="176" t="s">
        <v>113</v>
      </c>
      <c r="C468" s="176" t="s">
        <v>2000</v>
      </c>
      <c r="D468" s="177" t="s">
        <v>2119</v>
      </c>
      <c r="E468" s="545" t="s">
        <v>575</v>
      </c>
      <c r="F468" s="545" t="s">
        <v>1810</v>
      </c>
      <c r="G468" s="213" t="s">
        <v>2001</v>
      </c>
      <c r="H468" s="23"/>
      <c r="I468" s="23"/>
      <c r="J468" s="23" t="s">
        <v>2004</v>
      </c>
      <c r="K468" s="176"/>
      <c r="L468" s="176" t="s">
        <v>553</v>
      </c>
      <c r="M468" s="180">
        <v>45574</v>
      </c>
      <c r="N468" s="181"/>
      <c r="O468" s="181">
        <v>9.8649566899999996</v>
      </c>
      <c r="P468" s="181">
        <v>126.10087179999999</v>
      </c>
      <c r="Q468" s="182" t="s">
        <v>1775</v>
      </c>
      <c r="R468" s="183" t="s">
        <v>1776</v>
      </c>
      <c r="S468" s="545" t="b">
        <v>0</v>
      </c>
      <c r="T468" s="545" t="b">
        <v>0</v>
      </c>
      <c r="U468" s="181" t="s">
        <v>513</v>
      </c>
      <c r="V468" s="185" t="s">
        <v>89</v>
      </c>
      <c r="W468" s="185" t="s">
        <v>1782</v>
      </c>
      <c r="X468" s="18"/>
      <c r="Y468" s="128" t="s">
        <v>1428</v>
      </c>
      <c r="Z468" s="128" t="s">
        <v>386</v>
      </c>
      <c r="AA468" s="119"/>
      <c r="AB468" s="96" t="s">
        <v>3233</v>
      </c>
      <c r="AC468" s="96" t="s">
        <v>163</v>
      </c>
    </row>
    <row r="469" spans="1:29" ht="25.5">
      <c r="A469" s="32">
        <v>12</v>
      </c>
      <c r="B469" s="176" t="s">
        <v>113</v>
      </c>
      <c r="C469" s="176" t="s">
        <v>2000</v>
      </c>
      <c r="D469" s="177" t="s">
        <v>2119</v>
      </c>
      <c r="E469" s="546"/>
      <c r="F469" s="546"/>
      <c r="G469" s="213" t="s">
        <v>572</v>
      </c>
      <c r="H469" s="23"/>
      <c r="I469" s="23"/>
      <c r="J469" s="23" t="s">
        <v>2004</v>
      </c>
      <c r="K469" s="176"/>
      <c r="L469" s="176" t="s">
        <v>207</v>
      </c>
      <c r="M469" s="180">
        <v>45574</v>
      </c>
      <c r="N469" s="181"/>
      <c r="O469" s="181">
        <v>9.8653713700000001</v>
      </c>
      <c r="P469" s="181">
        <v>126.09960239999999</v>
      </c>
      <c r="Q469" s="182" t="s">
        <v>1775</v>
      </c>
      <c r="R469" s="183" t="s">
        <v>1776</v>
      </c>
      <c r="S469" s="546"/>
      <c r="T469" s="546"/>
      <c r="U469" s="181" t="s">
        <v>513</v>
      </c>
      <c r="V469" s="185" t="s">
        <v>89</v>
      </c>
      <c r="W469" s="185" t="s">
        <v>1782</v>
      </c>
      <c r="X469" s="18"/>
      <c r="Y469" s="128" t="s">
        <v>1428</v>
      </c>
      <c r="Z469" s="128" t="s">
        <v>386</v>
      </c>
      <c r="AA469" s="119"/>
      <c r="AB469" s="96" t="s">
        <v>2013</v>
      </c>
      <c r="AC469" s="96" t="s">
        <v>2014</v>
      </c>
    </row>
    <row r="470" spans="1:29" ht="25.5">
      <c r="A470" s="32">
        <v>13</v>
      </c>
      <c r="B470" s="176" t="s">
        <v>113</v>
      </c>
      <c r="C470" s="176" t="s">
        <v>2000</v>
      </c>
      <c r="D470" s="177" t="s">
        <v>2119</v>
      </c>
      <c r="E470" s="547"/>
      <c r="F470" s="547"/>
      <c r="G470" s="213" t="s">
        <v>574</v>
      </c>
      <c r="H470" s="23"/>
      <c r="I470" s="23"/>
      <c r="J470" s="23" t="s">
        <v>2017</v>
      </c>
      <c r="K470" s="176"/>
      <c r="L470" s="176" t="s">
        <v>374</v>
      </c>
      <c r="M470" s="180">
        <v>45574</v>
      </c>
      <c r="N470" s="181"/>
      <c r="O470" s="181">
        <v>9.8652061999999994</v>
      </c>
      <c r="P470" s="181">
        <v>126.1000537</v>
      </c>
      <c r="Q470" s="182" t="s">
        <v>1775</v>
      </c>
      <c r="R470" s="183" t="s">
        <v>1776</v>
      </c>
      <c r="S470" s="547"/>
      <c r="T470" s="547"/>
      <c r="U470" s="181" t="s">
        <v>513</v>
      </c>
      <c r="V470" s="185" t="s">
        <v>89</v>
      </c>
      <c r="W470" s="185" t="s">
        <v>1782</v>
      </c>
      <c r="X470" s="18"/>
      <c r="Y470" s="128" t="s">
        <v>1428</v>
      </c>
      <c r="Z470" s="128" t="s">
        <v>386</v>
      </c>
      <c r="AA470" s="119"/>
      <c r="AB470" s="96" t="s">
        <v>2022</v>
      </c>
      <c r="AC470" s="96">
        <v>9560134785</v>
      </c>
    </row>
    <row r="471" spans="1:29" ht="25.5">
      <c r="A471" s="32">
        <v>14</v>
      </c>
      <c r="B471" s="181" t="s">
        <v>113</v>
      </c>
      <c r="C471" s="185" t="s">
        <v>286</v>
      </c>
      <c r="D471" s="177" t="s">
        <v>2119</v>
      </c>
      <c r="E471" s="545" t="s">
        <v>287</v>
      </c>
      <c r="F471" s="545" t="s">
        <v>1810</v>
      </c>
      <c r="G471" s="190" t="s">
        <v>287</v>
      </c>
      <c r="H471" s="179"/>
      <c r="I471" s="179"/>
      <c r="J471" s="179" t="s">
        <v>3236</v>
      </c>
      <c r="K471" s="176"/>
      <c r="L471" s="176" t="s">
        <v>155</v>
      </c>
      <c r="M471" s="180">
        <v>45982</v>
      </c>
      <c r="N471" s="181"/>
      <c r="O471" s="181">
        <v>9.8313141000000002</v>
      </c>
      <c r="P471" s="181">
        <v>126.09358084</v>
      </c>
      <c r="Q471" s="182" t="s">
        <v>1775</v>
      </c>
      <c r="R471" s="183" t="s">
        <v>1776</v>
      </c>
      <c r="S471" s="545" t="b">
        <v>0</v>
      </c>
      <c r="T471" s="545" t="b">
        <v>0</v>
      </c>
      <c r="U471" s="181" t="s">
        <v>1999</v>
      </c>
      <c r="V471" s="185" t="s">
        <v>89</v>
      </c>
      <c r="W471" s="185" t="s">
        <v>1782</v>
      </c>
      <c r="X471" s="18"/>
      <c r="Y471" s="18"/>
      <c r="Z471" s="18"/>
      <c r="AA471" s="18"/>
      <c r="AB471" s="18"/>
      <c r="AC471" s="18"/>
    </row>
    <row r="472" spans="1:29" ht="12.75">
      <c r="A472" s="32">
        <v>15</v>
      </c>
      <c r="B472" s="181" t="s">
        <v>113</v>
      </c>
      <c r="C472" s="185" t="s">
        <v>286</v>
      </c>
      <c r="D472" s="177" t="s">
        <v>2119</v>
      </c>
      <c r="E472" s="547"/>
      <c r="F472" s="547"/>
      <c r="G472" s="190" t="s">
        <v>292</v>
      </c>
      <c r="H472" s="179"/>
      <c r="I472" s="179"/>
      <c r="J472" s="179" t="s">
        <v>3237</v>
      </c>
      <c r="K472" s="185"/>
      <c r="L472" s="185" t="s">
        <v>374</v>
      </c>
      <c r="M472" s="180">
        <v>45982</v>
      </c>
      <c r="N472" s="181"/>
      <c r="O472" s="181">
        <v>9.8311959000000009</v>
      </c>
      <c r="P472" s="181">
        <v>126.0939602</v>
      </c>
      <c r="Q472" s="182" t="s">
        <v>1775</v>
      </c>
      <c r="R472" s="183" t="s">
        <v>1776</v>
      </c>
      <c r="S472" s="547"/>
      <c r="T472" s="547"/>
      <c r="U472" s="181" t="s">
        <v>1999</v>
      </c>
      <c r="V472" s="185" t="s">
        <v>89</v>
      </c>
      <c r="W472" s="185" t="s">
        <v>1782</v>
      </c>
      <c r="X472" s="18"/>
      <c r="Y472" s="18"/>
      <c r="Z472" s="18"/>
      <c r="AA472" s="18"/>
      <c r="AB472" s="18"/>
      <c r="AC472" s="18"/>
    </row>
    <row r="473" spans="1:29" ht="25.5">
      <c r="A473" s="32">
        <v>16</v>
      </c>
      <c r="B473" s="181" t="s">
        <v>113</v>
      </c>
      <c r="C473" s="185" t="s">
        <v>1959</v>
      </c>
      <c r="D473" s="177" t="s">
        <v>2119</v>
      </c>
      <c r="E473" s="545" t="s">
        <v>570</v>
      </c>
      <c r="F473" s="545" t="s">
        <v>1810</v>
      </c>
      <c r="G473" s="190" t="s">
        <v>2608</v>
      </c>
      <c r="H473" s="179"/>
      <c r="I473" s="179"/>
      <c r="J473" s="179" t="s">
        <v>3238</v>
      </c>
      <c r="K473" s="185"/>
      <c r="L473" s="185" t="s">
        <v>374</v>
      </c>
      <c r="M473" s="180">
        <v>46101</v>
      </c>
      <c r="N473" s="181"/>
      <c r="O473" s="181">
        <v>9.8953100000000003</v>
      </c>
      <c r="P473" s="181">
        <v>126.10984999999999</v>
      </c>
      <c r="Q473" s="182" t="s">
        <v>1813</v>
      </c>
      <c r="R473" s="183" t="s">
        <v>1814</v>
      </c>
      <c r="S473" s="545" t="b">
        <v>0</v>
      </c>
      <c r="T473" s="545" t="b">
        <v>0</v>
      </c>
      <c r="U473" s="181" t="s">
        <v>1815</v>
      </c>
      <c r="V473" s="185" t="s">
        <v>89</v>
      </c>
      <c r="W473" s="185" t="s">
        <v>1782</v>
      </c>
      <c r="X473" s="18"/>
      <c r="Y473" s="18"/>
      <c r="Z473" s="18"/>
      <c r="AA473" s="18"/>
      <c r="AB473" s="18"/>
      <c r="AC473" s="18"/>
    </row>
    <row r="474" spans="1:29" ht="25.5">
      <c r="A474" s="32">
        <v>17</v>
      </c>
      <c r="B474" s="181" t="s">
        <v>113</v>
      </c>
      <c r="C474" s="185" t="s">
        <v>1959</v>
      </c>
      <c r="D474" s="177" t="s">
        <v>2119</v>
      </c>
      <c r="E474" s="546"/>
      <c r="F474" s="546"/>
      <c r="G474" s="190" t="s">
        <v>2611</v>
      </c>
      <c r="H474" s="179"/>
      <c r="I474" s="179"/>
      <c r="J474" s="179" t="s">
        <v>3238</v>
      </c>
      <c r="K474" s="185"/>
      <c r="L474" s="185" t="s">
        <v>374</v>
      </c>
      <c r="M474" s="180">
        <v>46101</v>
      </c>
      <c r="N474" s="181"/>
      <c r="O474" s="181">
        <v>9.8953100000000003</v>
      </c>
      <c r="P474" s="181">
        <v>126.10984999999999</v>
      </c>
      <c r="Q474" s="182" t="s">
        <v>1813</v>
      </c>
      <c r="R474" s="183" t="s">
        <v>1814</v>
      </c>
      <c r="S474" s="546"/>
      <c r="T474" s="546"/>
      <c r="U474" s="181" t="s">
        <v>1815</v>
      </c>
      <c r="V474" s="185" t="s">
        <v>89</v>
      </c>
      <c r="W474" s="185" t="s">
        <v>1782</v>
      </c>
      <c r="X474" s="18"/>
      <c r="Y474" s="18"/>
      <c r="Z474" s="18"/>
      <c r="AA474" s="18"/>
      <c r="AB474" s="18"/>
      <c r="AC474" s="18"/>
    </row>
    <row r="475" spans="1:29" ht="25.5">
      <c r="A475" s="32">
        <v>18</v>
      </c>
      <c r="B475" s="181" t="s">
        <v>113</v>
      </c>
      <c r="C475" s="185" t="s">
        <v>1959</v>
      </c>
      <c r="D475" s="177" t="s">
        <v>2119</v>
      </c>
      <c r="E475" s="547"/>
      <c r="F475" s="547"/>
      <c r="G475" s="190" t="s">
        <v>2614</v>
      </c>
      <c r="H475" s="179"/>
      <c r="I475" s="179"/>
      <c r="J475" s="179" t="s">
        <v>3238</v>
      </c>
      <c r="K475" s="185"/>
      <c r="L475" s="185" t="s">
        <v>374</v>
      </c>
      <c r="M475" s="180">
        <v>46101</v>
      </c>
      <c r="N475" s="181"/>
      <c r="O475" s="181">
        <v>9.8953100000000003</v>
      </c>
      <c r="P475" s="181">
        <v>126.10984999999999</v>
      </c>
      <c r="Q475" s="182" t="s">
        <v>1813</v>
      </c>
      <c r="R475" s="183" t="s">
        <v>1814</v>
      </c>
      <c r="S475" s="547"/>
      <c r="T475" s="547"/>
      <c r="U475" s="181" t="s">
        <v>1815</v>
      </c>
      <c r="V475" s="185" t="s">
        <v>89</v>
      </c>
      <c r="W475" s="185" t="s">
        <v>1782</v>
      </c>
      <c r="X475" s="18"/>
      <c r="Y475" s="18"/>
      <c r="Z475" s="18"/>
      <c r="AA475" s="18"/>
      <c r="AB475" s="18"/>
      <c r="AC475" s="18"/>
    </row>
    <row r="476" spans="1:29" ht="25.5">
      <c r="A476" s="32">
        <v>19</v>
      </c>
      <c r="B476" s="181" t="s">
        <v>113</v>
      </c>
      <c r="C476" s="185" t="s">
        <v>1804</v>
      </c>
      <c r="D476" s="177" t="s">
        <v>2119</v>
      </c>
      <c r="E476" s="545" t="s">
        <v>551</v>
      </c>
      <c r="F476" s="545" t="s">
        <v>1810</v>
      </c>
      <c r="G476" s="190" t="s">
        <v>2431</v>
      </c>
      <c r="H476" s="179"/>
      <c r="I476" s="179"/>
      <c r="J476" s="179" t="s">
        <v>3250</v>
      </c>
      <c r="K476" s="185"/>
      <c r="L476" s="185" t="s">
        <v>374</v>
      </c>
      <c r="M476" s="180">
        <v>46101</v>
      </c>
      <c r="N476" s="181"/>
      <c r="O476" s="181">
        <v>9.9319790000000001</v>
      </c>
      <c r="P476" s="181">
        <v>126.10328699999999</v>
      </c>
      <c r="Q476" s="182" t="s">
        <v>1813</v>
      </c>
      <c r="R476" s="183" t="s">
        <v>1814</v>
      </c>
      <c r="S476" s="545" t="b">
        <v>0</v>
      </c>
      <c r="T476" s="545" t="b">
        <v>0</v>
      </c>
      <c r="U476" s="181" t="s">
        <v>1815</v>
      </c>
      <c r="V476" s="184" t="s">
        <v>89</v>
      </c>
      <c r="W476" s="185" t="s">
        <v>1782</v>
      </c>
      <c r="X476" s="18"/>
      <c r="Y476" s="18"/>
      <c r="Z476" s="18"/>
      <c r="AA476" s="18"/>
      <c r="AB476" s="18"/>
      <c r="AC476" s="18"/>
    </row>
    <row r="477" spans="1:29" ht="25.5">
      <c r="A477" s="32">
        <v>20</v>
      </c>
      <c r="B477" s="181" t="s">
        <v>113</v>
      </c>
      <c r="C477" s="185" t="s">
        <v>1804</v>
      </c>
      <c r="D477" s="177" t="s">
        <v>2119</v>
      </c>
      <c r="E477" s="546"/>
      <c r="F477" s="546"/>
      <c r="G477" s="190" t="s">
        <v>2432</v>
      </c>
      <c r="H477" s="179"/>
      <c r="I477" s="179"/>
      <c r="J477" s="179" t="s">
        <v>3250</v>
      </c>
      <c r="K477" s="185"/>
      <c r="L477" s="185" t="s">
        <v>374</v>
      </c>
      <c r="M477" s="180">
        <v>46101</v>
      </c>
      <c r="N477" s="181"/>
      <c r="O477" s="181">
        <v>9.9319790000000001</v>
      </c>
      <c r="P477" s="181">
        <v>126.10328699999999</v>
      </c>
      <c r="Q477" s="182" t="s">
        <v>1813</v>
      </c>
      <c r="R477" s="183" t="s">
        <v>1814</v>
      </c>
      <c r="S477" s="546"/>
      <c r="T477" s="546"/>
      <c r="U477" s="181" t="s">
        <v>1815</v>
      </c>
      <c r="V477" s="184" t="s">
        <v>89</v>
      </c>
      <c r="W477" s="185" t="s">
        <v>1782</v>
      </c>
      <c r="X477" s="18"/>
      <c r="Y477" s="18"/>
      <c r="Z477" s="18"/>
      <c r="AA477" s="18"/>
      <c r="AB477" s="18"/>
      <c r="AC477" s="18"/>
    </row>
    <row r="478" spans="1:29" ht="25.5">
      <c r="A478" s="32">
        <v>21</v>
      </c>
      <c r="B478" s="181" t="s">
        <v>113</v>
      </c>
      <c r="C478" s="185" t="s">
        <v>1804</v>
      </c>
      <c r="D478" s="177" t="s">
        <v>2119</v>
      </c>
      <c r="E478" s="547"/>
      <c r="F478" s="547"/>
      <c r="G478" s="190" t="s">
        <v>2433</v>
      </c>
      <c r="H478" s="179"/>
      <c r="I478" s="179"/>
      <c r="J478" s="179" t="s">
        <v>3250</v>
      </c>
      <c r="K478" s="185"/>
      <c r="L478" s="185" t="s">
        <v>374</v>
      </c>
      <c r="M478" s="180">
        <v>46101</v>
      </c>
      <c r="N478" s="181"/>
      <c r="O478" s="181">
        <v>9.9319790000000001</v>
      </c>
      <c r="P478" s="181">
        <v>126.10328699999999</v>
      </c>
      <c r="Q478" s="182" t="s">
        <v>1813</v>
      </c>
      <c r="R478" s="183" t="s">
        <v>1814</v>
      </c>
      <c r="S478" s="547"/>
      <c r="T478" s="547"/>
      <c r="U478" s="181" t="s">
        <v>1815</v>
      </c>
      <c r="V478" s="184" t="s">
        <v>89</v>
      </c>
      <c r="W478" s="185" t="s">
        <v>1782</v>
      </c>
      <c r="X478" s="18"/>
      <c r="Y478" s="18"/>
      <c r="Z478" s="18"/>
      <c r="AA478" s="18"/>
      <c r="AB478" s="18"/>
      <c r="AC478" s="18"/>
    </row>
    <row r="479" spans="1:29" ht="12.75">
      <c r="A479" s="32">
        <v>22</v>
      </c>
      <c r="B479" s="181" t="s">
        <v>113</v>
      </c>
      <c r="C479" s="185" t="s">
        <v>1500</v>
      </c>
      <c r="D479" s="177" t="s">
        <v>2119</v>
      </c>
      <c r="E479" s="545" t="s">
        <v>2618</v>
      </c>
      <c r="F479" s="545" t="s">
        <v>1810</v>
      </c>
      <c r="G479" s="190" t="s">
        <v>2617</v>
      </c>
      <c r="H479" s="179"/>
      <c r="I479" s="179"/>
      <c r="J479" s="179" t="s">
        <v>3264</v>
      </c>
      <c r="K479" s="185"/>
      <c r="L479" s="185" t="s">
        <v>374</v>
      </c>
      <c r="M479" s="180">
        <v>46101</v>
      </c>
      <c r="N479" s="181"/>
      <c r="O479" s="181">
        <v>9.9216438</v>
      </c>
      <c r="P479" s="181">
        <v>126.04997400000001</v>
      </c>
      <c r="Q479" s="182" t="s">
        <v>1813</v>
      </c>
      <c r="R479" s="183" t="s">
        <v>1814</v>
      </c>
      <c r="S479" s="545" t="b">
        <v>0</v>
      </c>
      <c r="T479" s="545" t="b">
        <v>0</v>
      </c>
      <c r="U479" s="181" t="s">
        <v>1815</v>
      </c>
      <c r="V479" s="184" t="s">
        <v>89</v>
      </c>
      <c r="W479" s="185" t="s">
        <v>1782</v>
      </c>
      <c r="X479" s="18"/>
      <c r="Y479" s="18"/>
      <c r="Z479" s="18"/>
      <c r="AA479" s="18"/>
      <c r="AB479" s="18"/>
      <c r="AC479" s="18"/>
    </row>
    <row r="480" spans="1:29" ht="12.75">
      <c r="A480" s="32">
        <v>23</v>
      </c>
      <c r="B480" s="181" t="s">
        <v>113</v>
      </c>
      <c r="C480" s="185" t="s">
        <v>1500</v>
      </c>
      <c r="D480" s="177" t="s">
        <v>2119</v>
      </c>
      <c r="E480" s="546"/>
      <c r="F480" s="546"/>
      <c r="G480" s="190" t="s">
        <v>2620</v>
      </c>
      <c r="H480" s="179"/>
      <c r="I480" s="179"/>
      <c r="J480" s="179" t="s">
        <v>3264</v>
      </c>
      <c r="K480" s="185"/>
      <c r="L480" s="185" t="s">
        <v>374</v>
      </c>
      <c r="M480" s="180">
        <v>46101</v>
      </c>
      <c r="N480" s="181"/>
      <c r="O480" s="181">
        <v>9.9216438</v>
      </c>
      <c r="P480" s="181">
        <v>126.04997400000001</v>
      </c>
      <c r="Q480" s="182" t="s">
        <v>1813</v>
      </c>
      <c r="R480" s="183" t="s">
        <v>1814</v>
      </c>
      <c r="S480" s="546"/>
      <c r="T480" s="546"/>
      <c r="U480" s="181" t="s">
        <v>1815</v>
      </c>
      <c r="V480" s="184" t="s">
        <v>199</v>
      </c>
      <c r="W480" s="185" t="s">
        <v>1782</v>
      </c>
      <c r="X480" s="18"/>
      <c r="Y480" s="18"/>
      <c r="Z480" s="18"/>
      <c r="AA480" s="18"/>
      <c r="AB480" s="18"/>
      <c r="AC480" s="18"/>
    </row>
    <row r="481" spans="1:29" ht="12.75">
      <c r="A481" s="32">
        <v>24</v>
      </c>
      <c r="B481" s="181" t="s">
        <v>113</v>
      </c>
      <c r="C481" s="185" t="s">
        <v>1500</v>
      </c>
      <c r="D481" s="177" t="s">
        <v>2119</v>
      </c>
      <c r="E481" s="547"/>
      <c r="F481" s="547"/>
      <c r="G481" s="190" t="s">
        <v>2622</v>
      </c>
      <c r="H481" s="179"/>
      <c r="I481" s="179"/>
      <c r="J481" s="179" t="s">
        <v>3264</v>
      </c>
      <c r="K481" s="185"/>
      <c r="L481" s="185" t="s">
        <v>374</v>
      </c>
      <c r="M481" s="180">
        <v>46101</v>
      </c>
      <c r="N481" s="181"/>
      <c r="O481" s="181">
        <v>9.9216438</v>
      </c>
      <c r="P481" s="181">
        <v>126.04997400000001</v>
      </c>
      <c r="Q481" s="182" t="s">
        <v>1813</v>
      </c>
      <c r="R481" s="183" t="s">
        <v>1814</v>
      </c>
      <c r="S481" s="547"/>
      <c r="T481" s="547"/>
      <c r="U481" s="181" t="s">
        <v>1815</v>
      </c>
      <c r="V481" s="184" t="s">
        <v>89</v>
      </c>
      <c r="W481" s="185" t="s">
        <v>1782</v>
      </c>
      <c r="X481" s="18"/>
      <c r="Y481" s="18"/>
      <c r="Z481" s="18"/>
      <c r="AA481" s="18"/>
      <c r="AB481" s="18"/>
      <c r="AC481" s="18"/>
    </row>
    <row r="482" spans="1:29" ht="12.75">
      <c r="A482" s="32">
        <v>25</v>
      </c>
      <c r="B482" s="181" t="s">
        <v>113</v>
      </c>
      <c r="C482" s="185" t="s">
        <v>2624</v>
      </c>
      <c r="D482" s="177" t="s">
        <v>2119</v>
      </c>
      <c r="E482" s="545" t="s">
        <v>2627</v>
      </c>
      <c r="F482" s="545" t="s">
        <v>1810</v>
      </c>
      <c r="G482" s="190" t="s">
        <v>2625</v>
      </c>
      <c r="H482" s="179"/>
      <c r="I482" s="179"/>
      <c r="J482" s="179" t="s">
        <v>3292</v>
      </c>
      <c r="K482" s="185"/>
      <c r="L482" s="185" t="s">
        <v>374</v>
      </c>
      <c r="M482" s="180">
        <v>46101</v>
      </c>
      <c r="N482" s="181"/>
      <c r="O482" s="181">
        <v>9.9466126999999993</v>
      </c>
      <c r="P482" s="181">
        <v>126.101069</v>
      </c>
      <c r="Q482" s="182" t="s">
        <v>1813</v>
      </c>
      <c r="R482" s="183" t="s">
        <v>1814</v>
      </c>
      <c r="S482" s="545" t="b">
        <v>0</v>
      </c>
      <c r="T482" s="545" t="b">
        <v>0</v>
      </c>
      <c r="U482" s="181" t="s">
        <v>1815</v>
      </c>
      <c r="V482" s="184" t="s">
        <v>89</v>
      </c>
      <c r="W482" s="185" t="s">
        <v>1782</v>
      </c>
      <c r="X482" s="18"/>
      <c r="Y482" s="18"/>
      <c r="Z482" s="18"/>
      <c r="AA482" s="18"/>
      <c r="AB482" s="18"/>
      <c r="AC482" s="18"/>
    </row>
    <row r="483" spans="1:29" ht="12.75">
      <c r="A483" s="32">
        <v>26</v>
      </c>
      <c r="B483" s="181" t="s">
        <v>113</v>
      </c>
      <c r="C483" s="185" t="s">
        <v>2624</v>
      </c>
      <c r="D483" s="177" t="s">
        <v>2119</v>
      </c>
      <c r="E483" s="546"/>
      <c r="F483" s="546"/>
      <c r="G483" s="190" t="s">
        <v>2630</v>
      </c>
      <c r="H483" s="179"/>
      <c r="I483" s="179"/>
      <c r="J483" s="179" t="s">
        <v>3292</v>
      </c>
      <c r="K483" s="185"/>
      <c r="L483" s="185" t="s">
        <v>374</v>
      </c>
      <c r="M483" s="180">
        <v>46101</v>
      </c>
      <c r="N483" s="181"/>
      <c r="O483" s="181">
        <v>9.9466126999999993</v>
      </c>
      <c r="P483" s="181">
        <v>126.101069</v>
      </c>
      <c r="Q483" s="182" t="s">
        <v>1813</v>
      </c>
      <c r="R483" s="183" t="s">
        <v>1814</v>
      </c>
      <c r="S483" s="546"/>
      <c r="T483" s="546"/>
      <c r="U483" s="181" t="s">
        <v>1815</v>
      </c>
      <c r="V483" s="184" t="s">
        <v>89</v>
      </c>
      <c r="W483" s="185" t="s">
        <v>1782</v>
      </c>
      <c r="X483" s="18"/>
      <c r="Y483" s="18"/>
      <c r="Z483" s="18"/>
      <c r="AA483" s="18"/>
      <c r="AB483" s="18"/>
      <c r="AC483" s="18"/>
    </row>
    <row r="484" spans="1:29" ht="12.75">
      <c r="A484" s="32">
        <v>27</v>
      </c>
      <c r="B484" s="181" t="s">
        <v>113</v>
      </c>
      <c r="C484" s="185" t="s">
        <v>2624</v>
      </c>
      <c r="D484" s="177" t="s">
        <v>2119</v>
      </c>
      <c r="E484" s="547"/>
      <c r="F484" s="547"/>
      <c r="G484" s="190" t="s">
        <v>2632</v>
      </c>
      <c r="H484" s="179"/>
      <c r="I484" s="179"/>
      <c r="J484" s="179" t="s">
        <v>3292</v>
      </c>
      <c r="K484" s="185"/>
      <c r="L484" s="185" t="s">
        <v>374</v>
      </c>
      <c r="M484" s="180">
        <v>46101</v>
      </c>
      <c r="N484" s="181"/>
      <c r="O484" s="181">
        <v>9.9466126999999993</v>
      </c>
      <c r="P484" s="181">
        <v>126.101069</v>
      </c>
      <c r="Q484" s="182" t="s">
        <v>1813</v>
      </c>
      <c r="R484" s="183" t="s">
        <v>1814</v>
      </c>
      <c r="S484" s="547"/>
      <c r="T484" s="547"/>
      <c r="U484" s="181" t="s">
        <v>1815</v>
      </c>
      <c r="V484" s="184" t="s">
        <v>89</v>
      </c>
      <c r="W484" s="185" t="s">
        <v>1782</v>
      </c>
      <c r="X484" s="18"/>
      <c r="Y484" s="18"/>
      <c r="Z484" s="18"/>
      <c r="AA484" s="18"/>
      <c r="AB484" s="18"/>
      <c r="AC484" s="18"/>
    </row>
    <row r="485" spans="1:29" ht="25.5">
      <c r="A485" s="32">
        <v>28</v>
      </c>
      <c r="B485" s="181" t="s">
        <v>113</v>
      </c>
      <c r="C485" s="185" t="s">
        <v>2635</v>
      </c>
      <c r="D485" s="177" t="s">
        <v>2119</v>
      </c>
      <c r="E485" s="545" t="s">
        <v>2638</v>
      </c>
      <c r="F485" s="545" t="s">
        <v>1810</v>
      </c>
      <c r="G485" s="190" t="s">
        <v>2637</v>
      </c>
      <c r="H485" s="179"/>
      <c r="I485" s="179"/>
      <c r="J485" s="179" t="s">
        <v>3312</v>
      </c>
      <c r="K485" s="185"/>
      <c r="L485" s="185" t="s">
        <v>374</v>
      </c>
      <c r="M485" s="180">
        <v>46101</v>
      </c>
      <c r="N485" s="181"/>
      <c r="O485" s="181">
        <v>9.9293578</v>
      </c>
      <c r="P485" s="181">
        <v>126.05641199999999</v>
      </c>
      <c r="Q485" s="182" t="s">
        <v>1813</v>
      </c>
      <c r="R485" s="183" t="s">
        <v>1814</v>
      </c>
      <c r="S485" s="545" t="b">
        <v>0</v>
      </c>
      <c r="T485" s="545" t="b">
        <v>0</v>
      </c>
      <c r="U485" s="181" t="s">
        <v>1815</v>
      </c>
      <c r="V485" s="185" t="s">
        <v>89</v>
      </c>
      <c r="W485" s="185" t="s">
        <v>1782</v>
      </c>
      <c r="X485" s="18"/>
      <c r="Y485" s="18"/>
      <c r="Z485" s="18"/>
      <c r="AA485" s="18"/>
      <c r="AB485" s="18"/>
      <c r="AC485" s="18"/>
    </row>
    <row r="486" spans="1:29" ht="25.5">
      <c r="A486" s="32">
        <v>29</v>
      </c>
      <c r="B486" s="181" t="s">
        <v>113</v>
      </c>
      <c r="C486" s="185" t="s">
        <v>2635</v>
      </c>
      <c r="D486" s="177" t="s">
        <v>2119</v>
      </c>
      <c r="E486" s="546"/>
      <c r="F486" s="546"/>
      <c r="G486" s="190" t="s">
        <v>2639</v>
      </c>
      <c r="H486" s="179"/>
      <c r="I486" s="179"/>
      <c r="J486" s="179" t="s">
        <v>3312</v>
      </c>
      <c r="K486" s="185"/>
      <c r="L486" s="185" t="s">
        <v>374</v>
      </c>
      <c r="M486" s="180">
        <v>46101</v>
      </c>
      <c r="N486" s="181"/>
      <c r="O486" s="181">
        <v>9.9293578</v>
      </c>
      <c r="P486" s="181">
        <v>126.05641199999999</v>
      </c>
      <c r="Q486" s="182" t="s">
        <v>1813</v>
      </c>
      <c r="R486" s="183" t="s">
        <v>1814</v>
      </c>
      <c r="S486" s="546"/>
      <c r="T486" s="546"/>
      <c r="U486" s="181" t="s">
        <v>1815</v>
      </c>
      <c r="V486" s="185" t="s">
        <v>89</v>
      </c>
      <c r="W486" s="185" t="s">
        <v>1782</v>
      </c>
      <c r="X486" s="18"/>
      <c r="Y486" s="18"/>
      <c r="Z486" s="18"/>
      <c r="AA486" s="18"/>
      <c r="AB486" s="18"/>
      <c r="AC486" s="18"/>
    </row>
    <row r="487" spans="1:29" ht="25.5">
      <c r="A487" s="32">
        <v>30</v>
      </c>
      <c r="B487" s="181" t="s">
        <v>113</v>
      </c>
      <c r="C487" s="185" t="s">
        <v>2635</v>
      </c>
      <c r="D487" s="177" t="s">
        <v>2119</v>
      </c>
      <c r="E487" s="547"/>
      <c r="F487" s="547"/>
      <c r="G487" s="190" t="s">
        <v>2644</v>
      </c>
      <c r="H487" s="179"/>
      <c r="I487" s="179"/>
      <c r="J487" s="179" t="s">
        <v>3312</v>
      </c>
      <c r="K487" s="185"/>
      <c r="L487" s="185" t="s">
        <v>374</v>
      </c>
      <c r="M487" s="180">
        <v>46101</v>
      </c>
      <c r="N487" s="181"/>
      <c r="O487" s="181">
        <v>9.9293578</v>
      </c>
      <c r="P487" s="181">
        <v>126.05641199999999</v>
      </c>
      <c r="Q487" s="182" t="s">
        <v>1813</v>
      </c>
      <c r="R487" s="183" t="s">
        <v>1814</v>
      </c>
      <c r="S487" s="547"/>
      <c r="T487" s="547"/>
      <c r="U487" s="181" t="s">
        <v>1815</v>
      </c>
      <c r="V487" s="185" t="s">
        <v>89</v>
      </c>
      <c r="W487" s="185" t="s">
        <v>1782</v>
      </c>
      <c r="X487" s="18"/>
      <c r="Y487" s="18"/>
      <c r="Z487" s="18"/>
      <c r="AA487" s="18"/>
      <c r="AB487" s="18"/>
      <c r="AC487" s="18"/>
    </row>
    <row r="488" spans="1:29" ht="12.75">
      <c r="A488" s="32">
        <v>31</v>
      </c>
      <c r="B488" s="181" t="s">
        <v>113</v>
      </c>
      <c r="C488" s="185" t="s">
        <v>2429</v>
      </c>
      <c r="D488" s="177" t="s">
        <v>2119</v>
      </c>
      <c r="E488" s="545" t="s">
        <v>2648</v>
      </c>
      <c r="F488" s="545" t="s">
        <v>1810</v>
      </c>
      <c r="G488" s="190" t="s">
        <v>2647</v>
      </c>
      <c r="H488" s="179"/>
      <c r="I488" s="179"/>
      <c r="J488" s="179" t="s">
        <v>3330</v>
      </c>
      <c r="K488" s="185"/>
      <c r="L488" s="185" t="s">
        <v>374</v>
      </c>
      <c r="M488" s="180">
        <v>46101</v>
      </c>
      <c r="N488" s="181"/>
      <c r="O488" s="181">
        <v>9.9356899999999992</v>
      </c>
      <c r="P488" s="181">
        <v>126.08748</v>
      </c>
      <c r="Q488" s="182" t="s">
        <v>1813</v>
      </c>
      <c r="R488" s="183" t="s">
        <v>1814</v>
      </c>
      <c r="S488" s="545" t="b">
        <v>0</v>
      </c>
      <c r="T488" s="545" t="b">
        <v>0</v>
      </c>
      <c r="U488" s="181" t="s">
        <v>1815</v>
      </c>
      <c r="V488" s="185" t="s">
        <v>89</v>
      </c>
      <c r="W488" s="185" t="s">
        <v>1782</v>
      </c>
      <c r="X488" s="18"/>
      <c r="Y488" s="18"/>
      <c r="Z488" s="18"/>
      <c r="AA488" s="18"/>
      <c r="AB488" s="18"/>
      <c r="AC488" s="18"/>
    </row>
    <row r="489" spans="1:29" ht="12.75">
      <c r="A489" s="32">
        <v>32</v>
      </c>
      <c r="B489" s="181" t="s">
        <v>113</v>
      </c>
      <c r="C489" s="185" t="s">
        <v>2429</v>
      </c>
      <c r="D489" s="177" t="s">
        <v>2119</v>
      </c>
      <c r="E489" s="546"/>
      <c r="F489" s="546"/>
      <c r="G489" s="190" t="s">
        <v>2651</v>
      </c>
      <c r="H489" s="179"/>
      <c r="I489" s="179"/>
      <c r="J489" s="179" t="s">
        <v>3330</v>
      </c>
      <c r="K489" s="185"/>
      <c r="L489" s="185" t="s">
        <v>374</v>
      </c>
      <c r="M489" s="180">
        <v>46101</v>
      </c>
      <c r="N489" s="181"/>
      <c r="O489" s="181">
        <v>9.9356899999999992</v>
      </c>
      <c r="P489" s="181">
        <v>126.08748</v>
      </c>
      <c r="Q489" s="182" t="s">
        <v>1813</v>
      </c>
      <c r="R489" s="183" t="s">
        <v>1814</v>
      </c>
      <c r="S489" s="546"/>
      <c r="T489" s="546"/>
      <c r="U489" s="181" t="s">
        <v>1815</v>
      </c>
      <c r="V489" s="185" t="s">
        <v>89</v>
      </c>
      <c r="W489" s="185" t="s">
        <v>1782</v>
      </c>
      <c r="X489" s="18"/>
      <c r="Y489" s="18"/>
      <c r="Z489" s="18"/>
      <c r="AA489" s="18"/>
      <c r="AB489" s="18"/>
      <c r="AC489" s="18"/>
    </row>
    <row r="490" spans="1:29" ht="12.75">
      <c r="A490" s="32">
        <v>33</v>
      </c>
      <c r="B490" s="181" t="s">
        <v>113</v>
      </c>
      <c r="C490" s="185" t="s">
        <v>2429</v>
      </c>
      <c r="D490" s="177" t="s">
        <v>2119</v>
      </c>
      <c r="E490" s="547"/>
      <c r="F490" s="547"/>
      <c r="G490" s="190" t="s">
        <v>2652</v>
      </c>
      <c r="H490" s="179"/>
      <c r="I490" s="179"/>
      <c r="J490" s="179" t="s">
        <v>3330</v>
      </c>
      <c r="K490" s="185"/>
      <c r="L490" s="185" t="s">
        <v>374</v>
      </c>
      <c r="M490" s="180">
        <v>46101</v>
      </c>
      <c r="N490" s="181"/>
      <c r="O490" s="181">
        <v>9.9356899999999992</v>
      </c>
      <c r="P490" s="181">
        <v>126.08748</v>
      </c>
      <c r="Q490" s="182" t="s">
        <v>1813</v>
      </c>
      <c r="R490" s="183" t="s">
        <v>1814</v>
      </c>
      <c r="S490" s="547"/>
      <c r="T490" s="547"/>
      <c r="U490" s="181" t="s">
        <v>1815</v>
      </c>
      <c r="V490" s="185" t="s">
        <v>89</v>
      </c>
      <c r="W490" s="185" t="s">
        <v>1782</v>
      </c>
      <c r="X490" s="18"/>
      <c r="Y490" s="18"/>
      <c r="Z490" s="18"/>
      <c r="AA490" s="18"/>
      <c r="AB490" s="18"/>
      <c r="AC490" s="18"/>
    </row>
    <row r="491" spans="1:29" ht="25.5">
      <c r="A491" s="32">
        <v>34</v>
      </c>
      <c r="B491" s="181" t="s">
        <v>113</v>
      </c>
      <c r="C491" s="185" t="s">
        <v>82</v>
      </c>
      <c r="D491" s="177" t="s">
        <v>2119</v>
      </c>
      <c r="E491" s="545" t="s">
        <v>2655</v>
      </c>
      <c r="F491" s="545" t="s">
        <v>1810</v>
      </c>
      <c r="G491" s="190" t="s">
        <v>2654</v>
      </c>
      <c r="H491" s="179"/>
      <c r="I491" s="179"/>
      <c r="J491" s="179" t="s">
        <v>3353</v>
      </c>
      <c r="K491" s="185"/>
      <c r="L491" s="185" t="s">
        <v>374</v>
      </c>
      <c r="M491" s="180">
        <v>46101</v>
      </c>
      <c r="N491" s="181"/>
      <c r="O491" s="181">
        <v>9.9543984000000005</v>
      </c>
      <c r="P491" s="181">
        <v>126.068269</v>
      </c>
      <c r="Q491" s="182" t="s">
        <v>1813</v>
      </c>
      <c r="R491" s="183" t="s">
        <v>1814</v>
      </c>
      <c r="S491" s="545" t="b">
        <v>0</v>
      </c>
      <c r="T491" s="545" t="b">
        <v>0</v>
      </c>
      <c r="U491" s="181" t="s">
        <v>1815</v>
      </c>
      <c r="V491" s="185" t="s">
        <v>89</v>
      </c>
      <c r="W491" s="185" t="s">
        <v>1782</v>
      </c>
      <c r="X491" s="18"/>
      <c r="Y491" s="18"/>
      <c r="Z491" s="18"/>
      <c r="AA491" s="18"/>
      <c r="AB491" s="18"/>
      <c r="AC491" s="18"/>
    </row>
    <row r="492" spans="1:29" ht="25.5">
      <c r="A492" s="32">
        <v>35</v>
      </c>
      <c r="B492" s="181" t="s">
        <v>113</v>
      </c>
      <c r="C492" s="185" t="s">
        <v>82</v>
      </c>
      <c r="D492" s="177" t="s">
        <v>2119</v>
      </c>
      <c r="E492" s="546"/>
      <c r="F492" s="546"/>
      <c r="G492" s="190" t="s">
        <v>2658</v>
      </c>
      <c r="H492" s="179"/>
      <c r="I492" s="179"/>
      <c r="J492" s="179" t="s">
        <v>3353</v>
      </c>
      <c r="K492" s="185"/>
      <c r="L492" s="185" t="s">
        <v>374</v>
      </c>
      <c r="M492" s="180">
        <v>46101</v>
      </c>
      <c r="N492" s="181"/>
      <c r="O492" s="181">
        <v>9.9543984000000005</v>
      </c>
      <c r="P492" s="181">
        <v>126.068269</v>
      </c>
      <c r="Q492" s="182" t="s">
        <v>1813</v>
      </c>
      <c r="R492" s="183" t="s">
        <v>1814</v>
      </c>
      <c r="S492" s="546"/>
      <c r="T492" s="546"/>
      <c r="U492" s="181" t="s">
        <v>1815</v>
      </c>
      <c r="V492" s="185" t="s">
        <v>89</v>
      </c>
      <c r="W492" s="185" t="s">
        <v>1782</v>
      </c>
      <c r="X492" s="18"/>
      <c r="Y492" s="18"/>
      <c r="Z492" s="18"/>
      <c r="AA492" s="18"/>
      <c r="AB492" s="18"/>
      <c r="AC492" s="18"/>
    </row>
    <row r="493" spans="1:29" ht="25.5">
      <c r="A493" s="32">
        <v>36</v>
      </c>
      <c r="B493" s="181" t="s">
        <v>113</v>
      </c>
      <c r="C493" s="185" t="s">
        <v>82</v>
      </c>
      <c r="D493" s="177" t="s">
        <v>2119</v>
      </c>
      <c r="E493" s="547"/>
      <c r="F493" s="547"/>
      <c r="G493" s="190" t="s">
        <v>2661</v>
      </c>
      <c r="H493" s="179"/>
      <c r="I493" s="179"/>
      <c r="J493" s="179" t="s">
        <v>3353</v>
      </c>
      <c r="K493" s="185"/>
      <c r="L493" s="185" t="s">
        <v>374</v>
      </c>
      <c r="M493" s="180">
        <v>46101</v>
      </c>
      <c r="N493" s="181"/>
      <c r="O493" s="181">
        <v>9.9543984000000005</v>
      </c>
      <c r="P493" s="181">
        <v>126.068269</v>
      </c>
      <c r="Q493" s="182" t="s">
        <v>1813</v>
      </c>
      <c r="R493" s="183" t="s">
        <v>1814</v>
      </c>
      <c r="S493" s="547"/>
      <c r="T493" s="547"/>
      <c r="U493" s="181" t="s">
        <v>1815</v>
      </c>
      <c r="V493" s="185" t="s">
        <v>89</v>
      </c>
      <c r="W493" s="185" t="s">
        <v>1782</v>
      </c>
      <c r="X493" s="18"/>
      <c r="Y493" s="18"/>
      <c r="Z493" s="18"/>
      <c r="AA493" s="18"/>
      <c r="AB493" s="18"/>
      <c r="AC493" s="18"/>
    </row>
    <row r="494" spans="1:29" ht="25.5">
      <c r="A494" s="32">
        <v>37</v>
      </c>
      <c r="B494" s="181" t="s">
        <v>113</v>
      </c>
      <c r="C494" s="185" t="s">
        <v>2662</v>
      </c>
      <c r="D494" s="177" t="s">
        <v>2119</v>
      </c>
      <c r="E494" s="545" t="s">
        <v>575</v>
      </c>
      <c r="F494" s="545" t="s">
        <v>1810</v>
      </c>
      <c r="G494" s="190" t="s">
        <v>2663</v>
      </c>
      <c r="H494" s="179"/>
      <c r="I494" s="179"/>
      <c r="J494" s="179" t="s">
        <v>3363</v>
      </c>
      <c r="K494" s="342"/>
      <c r="L494" s="185" t="s">
        <v>374</v>
      </c>
      <c r="M494" s="180">
        <v>46101</v>
      </c>
      <c r="N494" s="181"/>
      <c r="O494" s="181">
        <v>9.9217460000000006</v>
      </c>
      <c r="P494" s="181">
        <v>126.04125999999999</v>
      </c>
      <c r="Q494" s="182" t="s">
        <v>1813</v>
      </c>
      <c r="R494" s="183" t="s">
        <v>1814</v>
      </c>
      <c r="S494" s="545" t="b">
        <v>0</v>
      </c>
      <c r="T494" s="545" t="b">
        <v>0</v>
      </c>
      <c r="U494" s="181" t="s">
        <v>1815</v>
      </c>
      <c r="V494" s="184" t="s">
        <v>89</v>
      </c>
      <c r="W494" s="185" t="s">
        <v>1782</v>
      </c>
      <c r="X494" s="18"/>
      <c r="Y494" s="18"/>
      <c r="Z494" s="18"/>
      <c r="AA494" s="18"/>
      <c r="AB494" s="18"/>
      <c r="AC494" s="18"/>
    </row>
    <row r="495" spans="1:29" ht="25.5">
      <c r="A495" s="32">
        <v>38</v>
      </c>
      <c r="B495" s="181" t="s">
        <v>113</v>
      </c>
      <c r="C495" s="185" t="s">
        <v>2662</v>
      </c>
      <c r="D495" s="177" t="s">
        <v>2119</v>
      </c>
      <c r="E495" s="546"/>
      <c r="F495" s="546"/>
      <c r="G495" s="190" t="s">
        <v>2665</v>
      </c>
      <c r="H495" s="179"/>
      <c r="I495" s="179"/>
      <c r="J495" s="179" t="s">
        <v>3363</v>
      </c>
      <c r="K495" s="342"/>
      <c r="L495" s="185" t="s">
        <v>374</v>
      </c>
      <c r="M495" s="180">
        <v>46101</v>
      </c>
      <c r="N495" s="181"/>
      <c r="O495" s="181">
        <v>9.9217460000000006</v>
      </c>
      <c r="P495" s="181">
        <v>126.04125999999999</v>
      </c>
      <c r="Q495" s="182" t="s">
        <v>1813</v>
      </c>
      <c r="R495" s="183" t="s">
        <v>1814</v>
      </c>
      <c r="S495" s="546"/>
      <c r="T495" s="546"/>
      <c r="U495" s="181" t="s">
        <v>1815</v>
      </c>
      <c r="V495" s="184" t="s">
        <v>89</v>
      </c>
      <c r="W495" s="185" t="s">
        <v>1782</v>
      </c>
      <c r="X495" s="18"/>
      <c r="Y495" s="18"/>
      <c r="Z495" s="18"/>
      <c r="AA495" s="18"/>
      <c r="AB495" s="18"/>
      <c r="AC495" s="18"/>
    </row>
    <row r="496" spans="1:29" ht="25.5">
      <c r="A496" s="32">
        <v>39</v>
      </c>
      <c r="B496" s="181" t="s">
        <v>113</v>
      </c>
      <c r="C496" s="185" t="s">
        <v>2662</v>
      </c>
      <c r="D496" s="177" t="s">
        <v>2119</v>
      </c>
      <c r="E496" s="547"/>
      <c r="F496" s="547"/>
      <c r="G496" s="190" t="s">
        <v>2667</v>
      </c>
      <c r="H496" s="179"/>
      <c r="I496" s="179"/>
      <c r="J496" s="179" t="s">
        <v>3363</v>
      </c>
      <c r="K496" s="342"/>
      <c r="L496" s="185" t="s">
        <v>374</v>
      </c>
      <c r="M496" s="180">
        <v>46101</v>
      </c>
      <c r="N496" s="181"/>
      <c r="O496" s="181">
        <v>9.9217460000000006</v>
      </c>
      <c r="P496" s="181">
        <v>126.04125999999999</v>
      </c>
      <c r="Q496" s="182" t="s">
        <v>1813</v>
      </c>
      <c r="R496" s="183" t="s">
        <v>1814</v>
      </c>
      <c r="S496" s="547"/>
      <c r="T496" s="547"/>
      <c r="U496" s="181" t="s">
        <v>1815</v>
      </c>
      <c r="V496" s="184" t="s">
        <v>89</v>
      </c>
      <c r="W496" s="185" t="s">
        <v>1782</v>
      </c>
      <c r="X496" s="18"/>
      <c r="Y496" s="18"/>
      <c r="Z496" s="18"/>
      <c r="AA496" s="18"/>
      <c r="AB496" s="18"/>
      <c r="AC496" s="18"/>
    </row>
    <row r="497" spans="1:29" ht="25.5">
      <c r="A497" s="32">
        <v>40</v>
      </c>
      <c r="B497" s="181" t="s">
        <v>113</v>
      </c>
      <c r="C497" s="185" t="s">
        <v>1567</v>
      </c>
      <c r="D497" s="177" t="s">
        <v>2119</v>
      </c>
      <c r="E497" s="545" t="s">
        <v>2670</v>
      </c>
      <c r="F497" s="545" t="s">
        <v>1810</v>
      </c>
      <c r="G497" s="190" t="s">
        <v>2668</v>
      </c>
      <c r="H497" s="179"/>
      <c r="I497" s="179"/>
      <c r="J497" s="179" t="s">
        <v>3387</v>
      </c>
      <c r="K497" s="185"/>
      <c r="L497" s="185" t="s">
        <v>374</v>
      </c>
      <c r="M497" s="180">
        <v>46101</v>
      </c>
      <c r="N497" s="181"/>
      <c r="O497" s="181">
        <v>9.9255069999999996</v>
      </c>
      <c r="P497" s="181">
        <v>126.10277499999999</v>
      </c>
      <c r="Q497" s="182" t="s">
        <v>1813</v>
      </c>
      <c r="R497" s="183" t="s">
        <v>1814</v>
      </c>
      <c r="S497" s="545" t="b">
        <v>0</v>
      </c>
      <c r="T497" s="545" t="b">
        <v>0</v>
      </c>
      <c r="U497" s="181" t="s">
        <v>1815</v>
      </c>
      <c r="V497" s="185" t="s">
        <v>89</v>
      </c>
      <c r="W497" s="185" t="s">
        <v>1782</v>
      </c>
      <c r="X497" s="18"/>
      <c r="Y497" s="18"/>
      <c r="Z497" s="18"/>
      <c r="AA497" s="18"/>
      <c r="AB497" s="18"/>
      <c r="AC497" s="18"/>
    </row>
    <row r="498" spans="1:29" ht="25.5">
      <c r="A498" s="32">
        <v>41</v>
      </c>
      <c r="B498" s="181" t="s">
        <v>113</v>
      </c>
      <c r="C498" s="185" t="s">
        <v>1567</v>
      </c>
      <c r="D498" s="177" t="s">
        <v>2119</v>
      </c>
      <c r="E498" s="546"/>
      <c r="F498" s="546"/>
      <c r="G498" s="190" t="s">
        <v>2674</v>
      </c>
      <c r="H498" s="179"/>
      <c r="I498" s="179"/>
      <c r="J498" s="179" t="s">
        <v>3387</v>
      </c>
      <c r="K498" s="185"/>
      <c r="L498" s="185" t="s">
        <v>374</v>
      </c>
      <c r="M498" s="180">
        <v>46101</v>
      </c>
      <c r="N498" s="181"/>
      <c r="O498" s="181">
        <v>9.9255069999999996</v>
      </c>
      <c r="P498" s="181">
        <v>126.10277499999999</v>
      </c>
      <c r="Q498" s="182" t="s">
        <v>1813</v>
      </c>
      <c r="R498" s="183" t="s">
        <v>1814</v>
      </c>
      <c r="S498" s="546"/>
      <c r="T498" s="546"/>
      <c r="U498" s="181" t="s">
        <v>1815</v>
      </c>
      <c r="V498" s="185" t="s">
        <v>89</v>
      </c>
      <c r="W498" s="185" t="s">
        <v>1782</v>
      </c>
      <c r="X498" s="18"/>
      <c r="Y498" s="18"/>
      <c r="Z498" s="18"/>
      <c r="AA498" s="18"/>
      <c r="AB498" s="18"/>
      <c r="AC498" s="18"/>
    </row>
    <row r="499" spans="1:29" ht="25.5">
      <c r="A499" s="32">
        <v>42</v>
      </c>
      <c r="B499" s="181" t="s">
        <v>113</v>
      </c>
      <c r="C499" s="185" t="s">
        <v>1567</v>
      </c>
      <c r="D499" s="177" t="s">
        <v>2119</v>
      </c>
      <c r="E499" s="547"/>
      <c r="F499" s="547"/>
      <c r="G499" s="190" t="s">
        <v>2675</v>
      </c>
      <c r="H499" s="179"/>
      <c r="I499" s="179"/>
      <c r="J499" s="179" t="s">
        <v>3387</v>
      </c>
      <c r="K499" s="185"/>
      <c r="L499" s="185" t="s">
        <v>374</v>
      </c>
      <c r="M499" s="180">
        <v>46101</v>
      </c>
      <c r="N499" s="181"/>
      <c r="O499" s="181">
        <v>9.9255069999999996</v>
      </c>
      <c r="P499" s="181">
        <v>126.10277499999999</v>
      </c>
      <c r="Q499" s="182" t="s">
        <v>1813</v>
      </c>
      <c r="R499" s="183" t="s">
        <v>1814</v>
      </c>
      <c r="S499" s="547"/>
      <c r="T499" s="547"/>
      <c r="U499" s="181" t="s">
        <v>1815</v>
      </c>
      <c r="V499" s="185" t="s">
        <v>89</v>
      </c>
      <c r="W499" s="185" t="s">
        <v>1782</v>
      </c>
      <c r="X499" s="18"/>
      <c r="Y499" s="18"/>
      <c r="Z499" s="18"/>
      <c r="AA499" s="18"/>
      <c r="AB499" s="18"/>
      <c r="AC499" s="18"/>
    </row>
    <row r="500" spans="1:29" ht="25.5">
      <c r="A500" s="32">
        <v>43</v>
      </c>
      <c r="B500" s="181" t="s">
        <v>113</v>
      </c>
      <c r="C500" s="185" t="s">
        <v>1959</v>
      </c>
      <c r="D500" s="177" t="s">
        <v>2119</v>
      </c>
      <c r="E500" s="545" t="s">
        <v>569</v>
      </c>
      <c r="F500" s="545" t="s">
        <v>1810</v>
      </c>
      <c r="G500" s="190" t="s">
        <v>2676</v>
      </c>
      <c r="H500" s="179"/>
      <c r="I500" s="179"/>
      <c r="J500" s="179" t="s">
        <v>3398</v>
      </c>
      <c r="K500" s="185"/>
      <c r="L500" s="185" t="s">
        <v>207</v>
      </c>
      <c r="M500" s="180">
        <v>46101</v>
      </c>
      <c r="N500" s="181"/>
      <c r="O500" s="181">
        <v>9.9990153409999998</v>
      </c>
      <c r="P500" s="181">
        <v>126.0348784</v>
      </c>
      <c r="Q500" s="182" t="s">
        <v>1813</v>
      </c>
      <c r="R500" s="183" t="s">
        <v>1814</v>
      </c>
      <c r="S500" s="545" t="b">
        <v>0</v>
      </c>
      <c r="T500" s="545" t="b">
        <v>0</v>
      </c>
      <c r="U500" s="181" t="s">
        <v>1815</v>
      </c>
      <c r="V500" s="185" t="s">
        <v>89</v>
      </c>
      <c r="W500" s="185" t="s">
        <v>1782</v>
      </c>
      <c r="X500" s="18"/>
      <c r="Y500" s="18"/>
      <c r="Z500" s="18"/>
      <c r="AA500" s="18"/>
      <c r="AB500" s="18"/>
      <c r="AC500" s="18"/>
    </row>
    <row r="501" spans="1:29" ht="25.5">
      <c r="A501" s="32">
        <v>44</v>
      </c>
      <c r="B501" s="181" t="s">
        <v>113</v>
      </c>
      <c r="C501" s="185" t="s">
        <v>1959</v>
      </c>
      <c r="D501" s="177" t="s">
        <v>2119</v>
      </c>
      <c r="E501" s="546"/>
      <c r="F501" s="546"/>
      <c r="G501" s="190" t="s">
        <v>2678</v>
      </c>
      <c r="H501" s="179"/>
      <c r="I501" s="179"/>
      <c r="J501" s="179" t="s">
        <v>3398</v>
      </c>
      <c r="K501" s="185"/>
      <c r="L501" s="185" t="s">
        <v>207</v>
      </c>
      <c r="M501" s="180">
        <v>46101</v>
      </c>
      <c r="N501" s="181"/>
      <c r="O501" s="181">
        <v>9.9990153409999998</v>
      </c>
      <c r="P501" s="181">
        <v>126.0348784</v>
      </c>
      <c r="Q501" s="182" t="s">
        <v>1813</v>
      </c>
      <c r="R501" s="183" t="s">
        <v>1814</v>
      </c>
      <c r="S501" s="546"/>
      <c r="T501" s="546"/>
      <c r="U501" s="181" t="s">
        <v>1815</v>
      </c>
      <c r="V501" s="185" t="s">
        <v>89</v>
      </c>
      <c r="W501" s="185" t="s">
        <v>1782</v>
      </c>
      <c r="X501" s="18"/>
      <c r="Y501" s="18"/>
      <c r="Z501" s="18"/>
      <c r="AA501" s="18"/>
      <c r="AB501" s="18"/>
      <c r="AC501" s="18"/>
    </row>
    <row r="502" spans="1:29" ht="25.5">
      <c r="A502" s="32">
        <v>45</v>
      </c>
      <c r="B502" s="181" t="s">
        <v>113</v>
      </c>
      <c r="C502" s="185" t="s">
        <v>1959</v>
      </c>
      <c r="D502" s="177" t="s">
        <v>2119</v>
      </c>
      <c r="E502" s="547"/>
      <c r="F502" s="547"/>
      <c r="G502" s="190" t="s">
        <v>2680</v>
      </c>
      <c r="H502" s="179"/>
      <c r="I502" s="179"/>
      <c r="J502" s="179" t="s">
        <v>3398</v>
      </c>
      <c r="K502" s="185"/>
      <c r="L502" s="185" t="s">
        <v>207</v>
      </c>
      <c r="M502" s="180">
        <v>46101</v>
      </c>
      <c r="N502" s="181"/>
      <c r="O502" s="181">
        <v>9.9990153409999998</v>
      </c>
      <c r="P502" s="181">
        <v>126.0348784</v>
      </c>
      <c r="Q502" s="182" t="s">
        <v>1813</v>
      </c>
      <c r="R502" s="183" t="s">
        <v>1814</v>
      </c>
      <c r="S502" s="547"/>
      <c r="T502" s="547"/>
      <c r="U502" s="181" t="s">
        <v>1815</v>
      </c>
      <c r="V502" s="185" t="s">
        <v>89</v>
      </c>
      <c r="W502" s="185" t="s">
        <v>1782</v>
      </c>
      <c r="X502" s="18"/>
      <c r="Y502" s="18"/>
      <c r="Z502" s="18"/>
      <c r="AA502" s="18"/>
      <c r="AB502" s="18"/>
      <c r="AC502" s="18"/>
    </row>
    <row r="503" spans="1:29" ht="25.5">
      <c r="A503" s="32">
        <v>1</v>
      </c>
      <c r="B503" s="176" t="s">
        <v>165</v>
      </c>
      <c r="C503" s="176" t="s">
        <v>172</v>
      </c>
      <c r="D503" s="177" t="s">
        <v>2119</v>
      </c>
      <c r="E503" s="545" t="s">
        <v>173</v>
      </c>
      <c r="F503" s="545" t="s">
        <v>1768</v>
      </c>
      <c r="G503" s="178" t="s">
        <v>175</v>
      </c>
      <c r="H503" s="13"/>
      <c r="I503" s="13"/>
      <c r="J503" s="13" t="s">
        <v>1281</v>
      </c>
      <c r="K503" s="176"/>
      <c r="L503" s="176" t="s">
        <v>65</v>
      </c>
      <c r="M503" s="180">
        <v>45235</v>
      </c>
      <c r="N503" s="181"/>
      <c r="O503" s="181">
        <v>9.9595330000000004</v>
      </c>
      <c r="P503" s="181">
        <v>126.007548</v>
      </c>
      <c r="Q503" s="182" t="s">
        <v>1775</v>
      </c>
      <c r="R503" s="183" t="s">
        <v>1776</v>
      </c>
      <c r="S503" s="545" t="b">
        <v>0</v>
      </c>
      <c r="T503" s="545" t="b">
        <v>0</v>
      </c>
      <c r="U503" s="181" t="s">
        <v>22</v>
      </c>
      <c r="V503" s="185" t="s">
        <v>89</v>
      </c>
      <c r="W503" s="185" t="s">
        <v>1782</v>
      </c>
      <c r="X503" s="18"/>
      <c r="Y503" s="18"/>
      <c r="Z503" s="18"/>
      <c r="AA503" s="18"/>
      <c r="AB503" s="525" t="s">
        <v>3414</v>
      </c>
      <c r="AC503" s="522">
        <v>9704543112</v>
      </c>
    </row>
    <row r="504" spans="1:29" ht="25.5">
      <c r="A504" s="32">
        <v>2</v>
      </c>
      <c r="B504" s="176" t="s">
        <v>165</v>
      </c>
      <c r="C504" s="176" t="s">
        <v>172</v>
      </c>
      <c r="D504" s="177" t="s">
        <v>2119</v>
      </c>
      <c r="E504" s="546"/>
      <c r="F504" s="546"/>
      <c r="G504" s="178" t="s">
        <v>178</v>
      </c>
      <c r="H504" s="13"/>
      <c r="I504" s="13"/>
      <c r="J504" s="13" t="s">
        <v>1287</v>
      </c>
      <c r="K504" s="176"/>
      <c r="L504" s="176" t="s">
        <v>65</v>
      </c>
      <c r="M504" s="180">
        <v>45235</v>
      </c>
      <c r="N504" s="181"/>
      <c r="O504" s="181">
        <v>9.9764300000000006</v>
      </c>
      <c r="P504" s="181">
        <v>126.02217400000001</v>
      </c>
      <c r="Q504" s="182" t="s">
        <v>1775</v>
      </c>
      <c r="R504" s="183" t="s">
        <v>1776</v>
      </c>
      <c r="S504" s="546"/>
      <c r="T504" s="546"/>
      <c r="U504" s="181" t="s">
        <v>22</v>
      </c>
      <c r="V504" s="185" t="s">
        <v>89</v>
      </c>
      <c r="W504" s="185" t="s">
        <v>1782</v>
      </c>
      <c r="X504" s="18"/>
      <c r="Y504" s="18"/>
      <c r="Z504" s="18"/>
      <c r="AA504" s="18"/>
      <c r="AB504" s="511"/>
      <c r="AC504" s="511"/>
    </row>
    <row r="505" spans="1:29" ht="25.5">
      <c r="A505" s="32">
        <v>3</v>
      </c>
      <c r="B505" s="176" t="s">
        <v>165</v>
      </c>
      <c r="C505" s="176" t="s">
        <v>172</v>
      </c>
      <c r="D505" s="177" t="s">
        <v>2119</v>
      </c>
      <c r="E505" s="547"/>
      <c r="F505" s="547"/>
      <c r="G505" s="178" t="s">
        <v>180</v>
      </c>
      <c r="H505" s="13"/>
      <c r="I505" s="13"/>
      <c r="J505" s="13" t="s">
        <v>1294</v>
      </c>
      <c r="K505" s="176"/>
      <c r="L505" s="176" t="s">
        <v>65</v>
      </c>
      <c r="M505" s="180">
        <v>45235</v>
      </c>
      <c r="N505" s="181"/>
      <c r="O505" s="181">
        <v>9.9595330000000004</v>
      </c>
      <c r="P505" s="181">
        <v>126.007548</v>
      </c>
      <c r="Q505" s="182" t="s">
        <v>1775</v>
      </c>
      <c r="R505" s="183" t="s">
        <v>1776</v>
      </c>
      <c r="S505" s="547"/>
      <c r="T505" s="547"/>
      <c r="U505" s="181" t="s">
        <v>22</v>
      </c>
      <c r="V505" s="185" t="s">
        <v>89</v>
      </c>
      <c r="W505" s="185" t="s">
        <v>1782</v>
      </c>
      <c r="X505" s="18"/>
      <c r="Y505" s="18"/>
      <c r="Z505" s="18"/>
      <c r="AA505" s="18"/>
      <c r="AB505" s="511"/>
      <c r="AC505" s="511"/>
    </row>
    <row r="506" spans="1:29" ht="76.5">
      <c r="A506" s="32">
        <v>4</v>
      </c>
      <c r="B506" s="176" t="s">
        <v>165</v>
      </c>
      <c r="C506" s="176" t="s">
        <v>183</v>
      </c>
      <c r="D506" s="177" t="s">
        <v>2119</v>
      </c>
      <c r="E506" s="181" t="s">
        <v>187</v>
      </c>
      <c r="F506" s="181" t="s">
        <v>1768</v>
      </c>
      <c r="G506" s="178" t="s">
        <v>187</v>
      </c>
      <c r="H506" s="13"/>
      <c r="I506" s="13"/>
      <c r="J506" s="13" t="s">
        <v>1301</v>
      </c>
      <c r="K506" s="176"/>
      <c r="L506" s="176" t="s">
        <v>65</v>
      </c>
      <c r="M506" s="180">
        <v>45235</v>
      </c>
      <c r="N506" s="181"/>
      <c r="O506" s="181">
        <v>9.9595330000000004</v>
      </c>
      <c r="P506" s="181">
        <v>126.007548</v>
      </c>
      <c r="Q506" s="182" t="s">
        <v>1775</v>
      </c>
      <c r="R506" s="183" t="s">
        <v>1776</v>
      </c>
      <c r="S506" s="181" t="b">
        <v>0</v>
      </c>
      <c r="T506" s="181" t="b">
        <v>0</v>
      </c>
      <c r="U506" s="181" t="s">
        <v>22</v>
      </c>
      <c r="V506" s="185" t="s">
        <v>89</v>
      </c>
      <c r="W506" s="185" t="s">
        <v>1782</v>
      </c>
      <c r="X506" s="18"/>
      <c r="Y506" s="18"/>
      <c r="Z506" s="18"/>
      <c r="AA506" s="18"/>
      <c r="AB506" s="511"/>
      <c r="AC506" s="511"/>
    </row>
    <row r="507" spans="1:29" ht="38.25">
      <c r="A507" s="32">
        <v>5</v>
      </c>
      <c r="B507" s="176" t="s">
        <v>165</v>
      </c>
      <c r="C507" s="176" t="s">
        <v>172</v>
      </c>
      <c r="D507" s="177" t="s">
        <v>2119</v>
      </c>
      <c r="E507" s="176" t="s">
        <v>192</v>
      </c>
      <c r="F507" s="176" t="s">
        <v>1768</v>
      </c>
      <c r="G507" s="445" t="s">
        <v>192</v>
      </c>
      <c r="H507" s="13"/>
      <c r="I507" s="13"/>
      <c r="J507" s="13" t="s">
        <v>1312</v>
      </c>
      <c r="K507" s="176"/>
      <c r="L507" s="176" t="s">
        <v>103</v>
      </c>
      <c r="M507" s="180">
        <v>45235</v>
      </c>
      <c r="N507" s="181"/>
      <c r="O507" s="181">
        <v>9.9596809999999998</v>
      </c>
      <c r="P507" s="181">
        <v>126.007367</v>
      </c>
      <c r="Q507" s="182" t="s">
        <v>1775</v>
      </c>
      <c r="R507" s="183" t="s">
        <v>1776</v>
      </c>
      <c r="S507" s="176" t="b">
        <v>0</v>
      </c>
      <c r="T507" s="176" t="b">
        <v>0</v>
      </c>
      <c r="U507" s="181" t="s">
        <v>22</v>
      </c>
      <c r="V507" s="184" t="s">
        <v>89</v>
      </c>
      <c r="W507" s="185" t="s">
        <v>1782</v>
      </c>
      <c r="X507" s="18"/>
      <c r="Y507" s="18"/>
      <c r="Z507" s="18"/>
      <c r="AA507" s="18"/>
      <c r="AB507" s="511"/>
      <c r="AC507" s="511"/>
    </row>
    <row r="508" spans="1:29" ht="38.25">
      <c r="A508" s="32">
        <v>6</v>
      </c>
      <c r="B508" s="176" t="s">
        <v>165</v>
      </c>
      <c r="C508" s="176" t="s">
        <v>29</v>
      </c>
      <c r="D508" s="177" t="s">
        <v>2119</v>
      </c>
      <c r="E508" s="176" t="s">
        <v>195</v>
      </c>
      <c r="F508" s="176" t="s">
        <v>1768</v>
      </c>
      <c r="G508" s="178" t="s">
        <v>195</v>
      </c>
      <c r="H508" s="13"/>
      <c r="I508" s="13"/>
      <c r="J508" s="13" t="s">
        <v>1324</v>
      </c>
      <c r="K508" s="176"/>
      <c r="L508" s="176" t="s">
        <v>31</v>
      </c>
      <c r="M508" s="180">
        <v>45235</v>
      </c>
      <c r="N508" s="181"/>
      <c r="O508" s="181">
        <v>9.9590069999999997</v>
      </c>
      <c r="P508" s="181">
        <v>126.00693</v>
      </c>
      <c r="Q508" s="182" t="s">
        <v>1775</v>
      </c>
      <c r="R508" s="183" t="s">
        <v>1776</v>
      </c>
      <c r="S508" s="176" t="b">
        <v>0</v>
      </c>
      <c r="T508" s="176" t="b">
        <v>0</v>
      </c>
      <c r="U508" s="181" t="s">
        <v>22</v>
      </c>
      <c r="V508" s="185" t="s">
        <v>89</v>
      </c>
      <c r="W508" s="185" t="s">
        <v>1782</v>
      </c>
      <c r="X508" s="18"/>
      <c r="Y508" s="18"/>
      <c r="Z508" s="18"/>
      <c r="AA508" s="18"/>
      <c r="AB508" s="512"/>
      <c r="AC508" s="512"/>
    </row>
    <row r="509" spans="1:29" ht="38.25">
      <c r="A509" s="32">
        <v>7</v>
      </c>
      <c r="B509" s="176" t="s">
        <v>165</v>
      </c>
      <c r="C509" s="176" t="s">
        <v>183</v>
      </c>
      <c r="D509" s="177" t="s">
        <v>2119</v>
      </c>
      <c r="E509" s="185" t="s">
        <v>206</v>
      </c>
      <c r="F509" s="185" t="s">
        <v>1768</v>
      </c>
      <c r="G509" s="213" t="s">
        <v>206</v>
      </c>
      <c r="H509" s="97"/>
      <c r="I509" s="97"/>
      <c r="J509" s="97" t="s">
        <v>1634</v>
      </c>
      <c r="K509" s="176"/>
      <c r="L509" s="176" t="s">
        <v>155</v>
      </c>
      <c r="M509" s="180">
        <v>45478</v>
      </c>
      <c r="N509" s="181"/>
      <c r="O509" s="181">
        <v>9.8215315309999998</v>
      </c>
      <c r="P509" s="181">
        <v>125.6140971</v>
      </c>
      <c r="Q509" s="182" t="s">
        <v>1775</v>
      </c>
      <c r="R509" s="183" t="s">
        <v>1776</v>
      </c>
      <c r="S509" s="185" t="b">
        <v>0</v>
      </c>
      <c r="T509" s="185" t="b">
        <v>0</v>
      </c>
      <c r="U509" s="181" t="s">
        <v>22</v>
      </c>
      <c r="V509" s="185" t="s">
        <v>89</v>
      </c>
      <c r="W509" s="185" t="s">
        <v>1782</v>
      </c>
      <c r="X509" s="18"/>
      <c r="Y509" s="161" t="s">
        <v>1635</v>
      </c>
      <c r="Z509" s="162" t="s">
        <v>1636</v>
      </c>
      <c r="AA509" s="18"/>
      <c r="AB509" s="23" t="s">
        <v>3480</v>
      </c>
      <c r="AC509" s="16">
        <v>9387300382</v>
      </c>
    </row>
    <row r="510" spans="1:29" ht="25.5">
      <c r="A510" s="32">
        <v>8</v>
      </c>
      <c r="B510" s="176" t="s">
        <v>165</v>
      </c>
      <c r="C510" s="176" t="s">
        <v>1981</v>
      </c>
      <c r="D510" s="177" t="s">
        <v>2119</v>
      </c>
      <c r="E510" s="545" t="s">
        <v>578</v>
      </c>
      <c r="F510" s="545" t="s">
        <v>1810</v>
      </c>
      <c r="G510" s="407" t="s">
        <v>166</v>
      </c>
      <c r="H510" s="23"/>
      <c r="I510" s="23"/>
      <c r="J510" s="23" t="s">
        <v>2025</v>
      </c>
      <c r="K510" s="176"/>
      <c r="L510" s="176" t="s">
        <v>155</v>
      </c>
      <c r="M510" s="180">
        <v>45578</v>
      </c>
      <c r="N510" s="181"/>
      <c r="O510" s="181">
        <v>9.9603052900000009</v>
      </c>
      <c r="P510" s="181">
        <v>126.0075779</v>
      </c>
      <c r="Q510" s="182" t="s">
        <v>1775</v>
      </c>
      <c r="R510" s="183" t="s">
        <v>1776</v>
      </c>
      <c r="S510" s="545" t="b">
        <v>0</v>
      </c>
      <c r="T510" s="545" t="b">
        <v>0</v>
      </c>
      <c r="U510" s="181" t="s">
        <v>513</v>
      </c>
      <c r="V510" s="184" t="s">
        <v>89</v>
      </c>
      <c r="W510" s="185" t="s">
        <v>2282</v>
      </c>
      <c r="X510" s="18"/>
      <c r="Y510" s="18"/>
      <c r="Z510" s="18"/>
      <c r="AA510" s="18"/>
      <c r="AB510" s="23" t="s">
        <v>3488</v>
      </c>
      <c r="AC510" s="23">
        <v>9467386473</v>
      </c>
    </row>
    <row r="511" spans="1:29" ht="38.25">
      <c r="A511" s="32">
        <v>9</v>
      </c>
      <c r="B511" s="176" t="s">
        <v>165</v>
      </c>
      <c r="C511" s="176" t="s">
        <v>1981</v>
      </c>
      <c r="D511" s="177" t="s">
        <v>2119</v>
      </c>
      <c r="E511" s="546"/>
      <c r="F511" s="546"/>
      <c r="G511" s="213" t="s">
        <v>577</v>
      </c>
      <c r="H511" s="23"/>
      <c r="I511" s="23"/>
      <c r="J511" s="23" t="s">
        <v>2034</v>
      </c>
      <c r="K511" s="176"/>
      <c r="L511" s="176" t="s">
        <v>374</v>
      </c>
      <c r="M511" s="180">
        <v>45578</v>
      </c>
      <c r="N511" s="181"/>
      <c r="O511" s="181">
        <v>9.9581590999999996</v>
      </c>
      <c r="P511" s="181">
        <v>126.00709000000001</v>
      </c>
      <c r="Q511" s="182" t="s">
        <v>1775</v>
      </c>
      <c r="R511" s="183" t="s">
        <v>1776</v>
      </c>
      <c r="S511" s="546"/>
      <c r="T511" s="546"/>
      <c r="U511" s="181" t="s">
        <v>513</v>
      </c>
      <c r="V511" s="184" t="s">
        <v>199</v>
      </c>
      <c r="W511" s="185" t="s">
        <v>1782</v>
      </c>
      <c r="X511" s="18"/>
      <c r="Y511" s="18"/>
      <c r="Z511" s="18"/>
      <c r="AA511" s="18"/>
      <c r="AB511" s="96" t="s">
        <v>3495</v>
      </c>
      <c r="AC511" s="96" t="s">
        <v>2041</v>
      </c>
    </row>
    <row r="512" spans="1:29" ht="12.75">
      <c r="A512" s="32">
        <v>10</v>
      </c>
      <c r="B512" s="176" t="s">
        <v>165</v>
      </c>
      <c r="C512" s="176" t="s">
        <v>1981</v>
      </c>
      <c r="D512" s="177" t="s">
        <v>2119</v>
      </c>
      <c r="E512" s="547"/>
      <c r="F512" s="547"/>
      <c r="G512" s="213" t="s">
        <v>170</v>
      </c>
      <c r="H512" s="23"/>
      <c r="I512" s="23"/>
      <c r="J512" s="23" t="s">
        <v>2046</v>
      </c>
      <c r="K512" s="176"/>
      <c r="L512" s="176" t="s">
        <v>491</v>
      </c>
      <c r="M512" s="180">
        <v>45579</v>
      </c>
      <c r="N512" s="181"/>
      <c r="O512" s="181">
        <v>9.9573648499999994</v>
      </c>
      <c r="P512" s="181">
        <v>126.0073194</v>
      </c>
      <c r="Q512" s="182" t="s">
        <v>1775</v>
      </c>
      <c r="R512" s="183" t="s">
        <v>1776</v>
      </c>
      <c r="S512" s="547"/>
      <c r="T512" s="547"/>
      <c r="U512" s="181" t="s">
        <v>513</v>
      </c>
      <c r="V512" s="185" t="s">
        <v>199</v>
      </c>
      <c r="W512" s="185" t="s">
        <v>1782</v>
      </c>
      <c r="X512" s="18"/>
      <c r="Y512" s="18"/>
      <c r="Z512" s="18"/>
      <c r="AA512" s="18"/>
      <c r="AB512" s="96" t="s">
        <v>3501</v>
      </c>
      <c r="AC512" s="96">
        <v>9704543112</v>
      </c>
    </row>
    <row r="513" spans="1:29" ht="25.5">
      <c r="A513" s="32">
        <v>11</v>
      </c>
      <c r="B513" s="176" t="s">
        <v>165</v>
      </c>
      <c r="C513" s="176" t="s">
        <v>183</v>
      </c>
      <c r="D513" s="177" t="s">
        <v>2119</v>
      </c>
      <c r="E513" s="550" t="str">
        <f>LEFT(G513,FIND("_",G513) - 1)</f>
        <v>San Benito National high School</v>
      </c>
      <c r="F513" s="550" t="s">
        <v>1810</v>
      </c>
      <c r="G513" s="213" t="s">
        <v>580</v>
      </c>
      <c r="H513" s="23"/>
      <c r="I513" s="23"/>
      <c r="J513" s="23" t="s">
        <v>2058</v>
      </c>
      <c r="K513" s="176"/>
      <c r="L513" s="176" t="s">
        <v>207</v>
      </c>
      <c r="M513" s="180">
        <v>45577</v>
      </c>
      <c r="N513" s="181"/>
      <c r="O513" s="181">
        <v>9.9476759599999998</v>
      </c>
      <c r="P513" s="181">
        <v>126.0015066</v>
      </c>
      <c r="Q513" s="182" t="s">
        <v>1775</v>
      </c>
      <c r="R513" s="183" t="s">
        <v>1776</v>
      </c>
      <c r="S513" s="550" t="b">
        <v>0</v>
      </c>
      <c r="T513" s="550" t="b">
        <v>0</v>
      </c>
      <c r="U513" s="181" t="s">
        <v>513</v>
      </c>
      <c r="V513" s="184" t="s">
        <v>199</v>
      </c>
      <c r="W513" s="185" t="s">
        <v>1782</v>
      </c>
      <c r="X513" s="18"/>
      <c r="Y513" s="18"/>
      <c r="Z513" s="18"/>
      <c r="AA513" s="18"/>
      <c r="AB513" s="525" t="s">
        <v>3507</v>
      </c>
      <c r="AC513" s="525" t="s">
        <v>2066</v>
      </c>
    </row>
    <row r="514" spans="1:29" ht="25.5">
      <c r="A514" s="32">
        <v>12</v>
      </c>
      <c r="B514" s="176" t="s">
        <v>165</v>
      </c>
      <c r="C514" s="176" t="s">
        <v>183</v>
      </c>
      <c r="D514" s="177" t="s">
        <v>2119</v>
      </c>
      <c r="E514" s="551"/>
      <c r="F514" s="551"/>
      <c r="G514" s="213" t="s">
        <v>582</v>
      </c>
      <c r="H514" s="23"/>
      <c r="I514" s="23"/>
      <c r="J514" s="23" t="s">
        <v>2070</v>
      </c>
      <c r="K514" s="176"/>
      <c r="L514" s="176" t="s">
        <v>207</v>
      </c>
      <c r="M514" s="180">
        <v>45577</v>
      </c>
      <c r="N514" s="181"/>
      <c r="O514" s="181">
        <v>9.9476759599999998</v>
      </c>
      <c r="P514" s="181">
        <v>126.0015066</v>
      </c>
      <c r="Q514" s="182" t="s">
        <v>1775</v>
      </c>
      <c r="R514" s="183" t="s">
        <v>1776</v>
      </c>
      <c r="S514" s="551"/>
      <c r="T514" s="551"/>
      <c r="U514" s="181" t="s">
        <v>513</v>
      </c>
      <c r="V514" s="184" t="s">
        <v>199</v>
      </c>
      <c r="W514" s="185" t="s">
        <v>1782</v>
      </c>
      <c r="X514" s="18"/>
      <c r="Y514" s="18"/>
      <c r="Z514" s="18"/>
      <c r="AA514" s="18"/>
      <c r="AB514" s="511"/>
      <c r="AC514" s="511"/>
    </row>
    <row r="515" spans="1:29" ht="25.5">
      <c r="A515" s="32">
        <v>13</v>
      </c>
      <c r="B515" s="176" t="s">
        <v>165</v>
      </c>
      <c r="C515" s="176" t="s">
        <v>183</v>
      </c>
      <c r="D515" s="177" t="s">
        <v>2119</v>
      </c>
      <c r="E515" s="552"/>
      <c r="F515" s="552"/>
      <c r="G515" s="213" t="s">
        <v>2071</v>
      </c>
      <c r="H515" s="23"/>
      <c r="I515" s="23"/>
      <c r="J515" s="23" t="s">
        <v>2073</v>
      </c>
      <c r="K515" s="176"/>
      <c r="L515" s="176" t="s">
        <v>207</v>
      </c>
      <c r="M515" s="180">
        <v>45577</v>
      </c>
      <c r="N515" s="181"/>
      <c r="O515" s="181">
        <v>9.9476759599999998</v>
      </c>
      <c r="P515" s="181">
        <v>126.0015066</v>
      </c>
      <c r="Q515" s="182" t="s">
        <v>1775</v>
      </c>
      <c r="R515" s="183" t="s">
        <v>1776</v>
      </c>
      <c r="S515" s="552"/>
      <c r="T515" s="552"/>
      <c r="U515" s="181" t="s">
        <v>513</v>
      </c>
      <c r="V515" s="184" t="s">
        <v>199</v>
      </c>
      <c r="W515" s="185" t="s">
        <v>1782</v>
      </c>
      <c r="X515" s="18"/>
      <c r="Y515" s="18"/>
      <c r="Z515" s="18"/>
      <c r="AA515" s="18"/>
      <c r="AB515" s="512"/>
      <c r="AC515" s="512"/>
    </row>
    <row r="516" spans="1:29" ht="25.5">
      <c r="A516" s="32">
        <v>14</v>
      </c>
      <c r="B516" s="181" t="s">
        <v>165</v>
      </c>
      <c r="C516" s="185" t="s">
        <v>2683</v>
      </c>
      <c r="D516" s="177" t="s">
        <v>2119</v>
      </c>
      <c r="E516" s="545" t="s">
        <v>2685</v>
      </c>
      <c r="F516" s="545" t="s">
        <v>1810</v>
      </c>
      <c r="G516" s="190" t="s">
        <v>2684</v>
      </c>
      <c r="H516" s="179"/>
      <c r="I516" s="179"/>
      <c r="J516" s="179" t="s">
        <v>3517</v>
      </c>
      <c r="K516" s="185"/>
      <c r="L516" s="185" t="s">
        <v>374</v>
      </c>
      <c r="M516" s="180">
        <v>46101</v>
      </c>
      <c r="N516" s="181"/>
      <c r="O516" s="181">
        <v>9.8822781000000006</v>
      </c>
      <c r="P516" s="181">
        <v>125.565912</v>
      </c>
      <c r="Q516" s="182" t="s">
        <v>1813</v>
      </c>
      <c r="R516" s="183" t="s">
        <v>1814</v>
      </c>
      <c r="S516" s="545" t="b">
        <v>0</v>
      </c>
      <c r="T516" s="545" t="b">
        <v>0</v>
      </c>
      <c r="U516" s="181" t="s">
        <v>1815</v>
      </c>
      <c r="V516" s="184" t="s">
        <v>199</v>
      </c>
      <c r="W516" s="185" t="s">
        <v>1782</v>
      </c>
      <c r="X516" s="18"/>
      <c r="Y516" s="18"/>
      <c r="Z516" s="18"/>
      <c r="AA516" s="18"/>
      <c r="AB516" s="18"/>
      <c r="AC516" s="18"/>
    </row>
    <row r="517" spans="1:29" ht="25.5">
      <c r="A517" s="32">
        <v>15</v>
      </c>
      <c r="B517" s="181" t="s">
        <v>165</v>
      </c>
      <c r="C517" s="185" t="s">
        <v>2683</v>
      </c>
      <c r="D517" s="177" t="s">
        <v>2119</v>
      </c>
      <c r="E517" s="546"/>
      <c r="F517" s="546"/>
      <c r="G517" s="190" t="s">
        <v>2686</v>
      </c>
      <c r="H517" s="179"/>
      <c r="I517" s="179"/>
      <c r="J517" s="179" t="s">
        <v>3517</v>
      </c>
      <c r="K517" s="185"/>
      <c r="L517" s="185" t="s">
        <v>374</v>
      </c>
      <c r="M517" s="180">
        <v>46101</v>
      </c>
      <c r="N517" s="181"/>
      <c r="O517" s="181">
        <v>9.8822781000000006</v>
      </c>
      <c r="P517" s="181">
        <v>125.565912</v>
      </c>
      <c r="Q517" s="182" t="s">
        <v>1813</v>
      </c>
      <c r="R517" s="183" t="s">
        <v>1814</v>
      </c>
      <c r="S517" s="546"/>
      <c r="T517" s="546"/>
      <c r="U517" s="181" t="s">
        <v>1815</v>
      </c>
      <c r="V517" s="184" t="s">
        <v>199</v>
      </c>
      <c r="W517" s="185" t="s">
        <v>1782</v>
      </c>
      <c r="X517" s="18"/>
      <c r="Y517" s="18"/>
      <c r="Z517" s="18"/>
      <c r="AA517" s="18"/>
      <c r="AB517" s="18"/>
      <c r="AC517" s="18"/>
    </row>
    <row r="518" spans="1:29" ht="25.5">
      <c r="A518" s="32">
        <v>16</v>
      </c>
      <c r="B518" s="181" t="s">
        <v>165</v>
      </c>
      <c r="C518" s="185" t="s">
        <v>2683</v>
      </c>
      <c r="D518" s="177" t="s">
        <v>2119</v>
      </c>
      <c r="E518" s="547"/>
      <c r="F518" s="547"/>
      <c r="G518" s="190" t="s">
        <v>2687</v>
      </c>
      <c r="H518" s="179"/>
      <c r="I518" s="179"/>
      <c r="J518" s="179" t="s">
        <v>3517</v>
      </c>
      <c r="K518" s="185"/>
      <c r="L518" s="185" t="s">
        <v>374</v>
      </c>
      <c r="M518" s="180">
        <v>46101</v>
      </c>
      <c r="N518" s="181"/>
      <c r="O518" s="181">
        <v>9.8822781000000006</v>
      </c>
      <c r="P518" s="181">
        <v>125.565912</v>
      </c>
      <c r="Q518" s="182" t="s">
        <v>1813</v>
      </c>
      <c r="R518" s="183" t="s">
        <v>1814</v>
      </c>
      <c r="S518" s="547"/>
      <c r="T518" s="547"/>
      <c r="U518" s="181" t="s">
        <v>1815</v>
      </c>
      <c r="V518" s="184" t="s">
        <v>199</v>
      </c>
      <c r="W518" s="185" t="s">
        <v>1782</v>
      </c>
      <c r="X518" s="18"/>
      <c r="Y518" s="18"/>
      <c r="Z518" s="18"/>
      <c r="AA518" s="18"/>
      <c r="AB518" s="18"/>
      <c r="AC518" s="18"/>
    </row>
    <row r="519" spans="1:29" ht="25.5">
      <c r="A519" s="32">
        <v>1</v>
      </c>
      <c r="B519" s="176" t="s">
        <v>140</v>
      </c>
      <c r="C519" s="176" t="s">
        <v>141</v>
      </c>
      <c r="D519" s="177" t="s">
        <v>2119</v>
      </c>
      <c r="E519" s="545" t="s">
        <v>2150</v>
      </c>
      <c r="F519" s="545" t="s">
        <v>1810</v>
      </c>
      <c r="G519" s="178" t="s">
        <v>146</v>
      </c>
      <c r="H519" s="13"/>
      <c r="I519" s="13"/>
      <c r="J519" s="13" t="s">
        <v>1235</v>
      </c>
      <c r="K519" s="176"/>
      <c r="L519" s="176" t="s">
        <v>65</v>
      </c>
      <c r="M519" s="180">
        <v>45227</v>
      </c>
      <c r="N519" s="181"/>
      <c r="O519" s="181">
        <v>9.9366299999999992</v>
      </c>
      <c r="P519" s="181">
        <v>126.08703199999999</v>
      </c>
      <c r="Q519" s="182" t="s">
        <v>1775</v>
      </c>
      <c r="R519" s="183" t="s">
        <v>1776</v>
      </c>
      <c r="S519" s="545" t="b">
        <v>0</v>
      </c>
      <c r="T519" s="545" t="b">
        <v>0</v>
      </c>
      <c r="U519" s="181" t="s">
        <v>22</v>
      </c>
      <c r="V519" s="185" t="s">
        <v>89</v>
      </c>
      <c r="W519" s="185" t="s">
        <v>1782</v>
      </c>
      <c r="X519" s="18"/>
      <c r="Y519" s="18"/>
      <c r="Z519" s="18"/>
      <c r="AA519" s="18"/>
      <c r="AB519" s="525" t="s">
        <v>3556</v>
      </c>
      <c r="AC519" s="522">
        <v>9453113674</v>
      </c>
    </row>
    <row r="520" spans="1:29" ht="25.5">
      <c r="A520" s="32">
        <v>2</v>
      </c>
      <c r="B520" s="176" t="s">
        <v>140</v>
      </c>
      <c r="C520" s="176" t="s">
        <v>141</v>
      </c>
      <c r="D520" s="177" t="s">
        <v>2119</v>
      </c>
      <c r="E520" s="546"/>
      <c r="F520" s="546"/>
      <c r="G520" s="178" t="s">
        <v>148</v>
      </c>
      <c r="H520" s="13"/>
      <c r="I520" s="13"/>
      <c r="J520" s="13" t="s">
        <v>1240</v>
      </c>
      <c r="K520" s="176"/>
      <c r="L520" s="176" t="s">
        <v>65</v>
      </c>
      <c r="M520" s="180">
        <v>45227</v>
      </c>
      <c r="N520" s="181"/>
      <c r="O520" s="181">
        <v>9.9366299999999992</v>
      </c>
      <c r="P520" s="181">
        <v>126.08703199999999</v>
      </c>
      <c r="Q520" s="182" t="s">
        <v>1775</v>
      </c>
      <c r="R520" s="183" t="s">
        <v>1776</v>
      </c>
      <c r="S520" s="546"/>
      <c r="T520" s="546"/>
      <c r="U520" s="181" t="s">
        <v>22</v>
      </c>
      <c r="V520" s="184" t="s">
        <v>89</v>
      </c>
      <c r="W520" s="185" t="s">
        <v>1782</v>
      </c>
      <c r="X520" s="18"/>
      <c r="Y520" s="18"/>
      <c r="Z520" s="18"/>
      <c r="AA520" s="18"/>
      <c r="AB520" s="511"/>
      <c r="AC520" s="511"/>
    </row>
    <row r="521" spans="1:29" ht="25.5">
      <c r="A521" s="32">
        <v>3</v>
      </c>
      <c r="B521" s="176" t="s">
        <v>140</v>
      </c>
      <c r="C521" s="176" t="s">
        <v>141</v>
      </c>
      <c r="D521" s="177" t="s">
        <v>2119</v>
      </c>
      <c r="E521" s="546"/>
      <c r="F521" s="546"/>
      <c r="G521" s="178" t="s">
        <v>153</v>
      </c>
      <c r="H521" s="13"/>
      <c r="I521" s="13"/>
      <c r="J521" s="13" t="s">
        <v>1248</v>
      </c>
      <c r="K521" s="176"/>
      <c r="L521" s="176" t="s">
        <v>31</v>
      </c>
      <c r="M521" s="180">
        <v>45227</v>
      </c>
      <c r="N521" s="181"/>
      <c r="O521" s="181">
        <v>9.9365480000000002</v>
      </c>
      <c r="P521" s="181">
        <v>126.08649800000001</v>
      </c>
      <c r="Q521" s="182" t="s">
        <v>1775</v>
      </c>
      <c r="R521" s="183" t="s">
        <v>1776</v>
      </c>
      <c r="S521" s="546"/>
      <c r="T521" s="546"/>
      <c r="U521" s="181" t="s">
        <v>22</v>
      </c>
      <c r="V521" s="185" t="s">
        <v>89</v>
      </c>
      <c r="W521" s="185" t="s">
        <v>1782</v>
      </c>
      <c r="X521" s="18"/>
      <c r="Y521" s="18"/>
      <c r="Z521" s="18"/>
      <c r="AA521" s="18"/>
      <c r="AB521" s="511"/>
      <c r="AC521" s="511"/>
    </row>
    <row r="522" spans="1:29" ht="25.5">
      <c r="A522" s="32">
        <v>4</v>
      </c>
      <c r="B522" s="176" t="s">
        <v>140</v>
      </c>
      <c r="C522" s="176" t="s">
        <v>141</v>
      </c>
      <c r="D522" s="177" t="s">
        <v>2119</v>
      </c>
      <c r="E522" s="546"/>
      <c r="F522" s="546"/>
      <c r="G522" s="178" t="s">
        <v>158</v>
      </c>
      <c r="H522" s="13"/>
      <c r="I522" s="13"/>
      <c r="J522" s="13" t="s">
        <v>1257</v>
      </c>
      <c r="K522" s="176"/>
      <c r="L522" s="176" t="s">
        <v>238</v>
      </c>
      <c r="M522" s="180">
        <v>45227</v>
      </c>
      <c r="N522" s="181"/>
      <c r="O522" s="181">
        <v>9.9364369999999997</v>
      </c>
      <c r="P522" s="181">
        <v>126.08668</v>
      </c>
      <c r="Q522" s="182" t="s">
        <v>1775</v>
      </c>
      <c r="R522" s="183" t="s">
        <v>1776</v>
      </c>
      <c r="S522" s="546"/>
      <c r="T522" s="546"/>
      <c r="U522" s="181" t="s">
        <v>22</v>
      </c>
      <c r="V522" s="185" t="s">
        <v>89</v>
      </c>
      <c r="W522" s="185" t="s">
        <v>1782</v>
      </c>
      <c r="X522" s="18"/>
      <c r="Y522" s="18"/>
      <c r="Z522" s="18"/>
      <c r="AA522" s="18"/>
      <c r="AB522" s="511"/>
      <c r="AC522" s="511"/>
    </row>
    <row r="523" spans="1:29" ht="25.5">
      <c r="A523" s="32">
        <v>5</v>
      </c>
      <c r="B523" s="176" t="s">
        <v>140</v>
      </c>
      <c r="C523" s="176" t="s">
        <v>141</v>
      </c>
      <c r="D523" s="177" t="s">
        <v>2119</v>
      </c>
      <c r="E523" s="546"/>
      <c r="F523" s="546"/>
      <c r="G523" s="178" t="s">
        <v>157</v>
      </c>
      <c r="H523" s="13"/>
      <c r="I523" s="13"/>
      <c r="J523" s="13" t="s">
        <v>1265</v>
      </c>
      <c r="K523" s="176"/>
      <c r="L523" s="176" t="s">
        <v>31</v>
      </c>
      <c r="M523" s="180">
        <v>45235</v>
      </c>
      <c r="N523" s="181"/>
      <c r="O523" s="181">
        <v>9.9372220000000002</v>
      </c>
      <c r="P523" s="181">
        <v>126.08669399999999</v>
      </c>
      <c r="Q523" s="182" t="s">
        <v>1775</v>
      </c>
      <c r="R523" s="183" t="s">
        <v>1776</v>
      </c>
      <c r="S523" s="546"/>
      <c r="T523" s="546"/>
      <c r="U523" s="181" t="s">
        <v>22</v>
      </c>
      <c r="V523" s="184" t="s">
        <v>199</v>
      </c>
      <c r="W523" s="185" t="s">
        <v>1782</v>
      </c>
      <c r="X523" s="18"/>
      <c r="Y523" s="18"/>
      <c r="Z523" s="18"/>
      <c r="AA523" s="18"/>
      <c r="AB523" s="511"/>
      <c r="AC523" s="511"/>
    </row>
    <row r="524" spans="1:29" ht="25.5">
      <c r="A524" s="32">
        <v>6</v>
      </c>
      <c r="B524" s="176" t="s">
        <v>140</v>
      </c>
      <c r="C524" s="176" t="s">
        <v>141</v>
      </c>
      <c r="D524" s="177" t="s">
        <v>2119</v>
      </c>
      <c r="E524" s="546"/>
      <c r="F524" s="546"/>
      <c r="G524" s="178" t="s">
        <v>164</v>
      </c>
      <c r="H524" s="13"/>
      <c r="I524" s="13"/>
      <c r="J524" s="13" t="s">
        <v>1272</v>
      </c>
      <c r="K524" s="176"/>
      <c r="L524" s="176" t="s">
        <v>103</v>
      </c>
      <c r="M524" s="180">
        <v>45227</v>
      </c>
      <c r="N524" s="181"/>
      <c r="O524" s="181">
        <v>9.9379679999999997</v>
      </c>
      <c r="P524" s="181">
        <v>126.08846800000001</v>
      </c>
      <c r="Q524" s="182" t="s">
        <v>1775</v>
      </c>
      <c r="R524" s="183" t="s">
        <v>1776</v>
      </c>
      <c r="S524" s="546"/>
      <c r="T524" s="546"/>
      <c r="U524" s="181" t="s">
        <v>22</v>
      </c>
      <c r="V524" s="184" t="s">
        <v>199</v>
      </c>
      <c r="W524" s="185" t="s">
        <v>1782</v>
      </c>
      <c r="X524" s="18"/>
      <c r="Y524" s="18"/>
      <c r="Z524" s="18"/>
      <c r="AA524" s="18"/>
      <c r="AB524" s="512"/>
      <c r="AC524" s="512"/>
    </row>
    <row r="525" spans="1:29" ht="25.5">
      <c r="A525" s="32">
        <v>7</v>
      </c>
      <c r="B525" s="176" t="s">
        <v>140</v>
      </c>
      <c r="C525" s="176" t="s">
        <v>141</v>
      </c>
      <c r="D525" s="177" t="s">
        <v>2119</v>
      </c>
      <c r="E525" s="547"/>
      <c r="F525" s="547"/>
      <c r="G525" s="213" t="s">
        <v>168</v>
      </c>
      <c r="H525" s="97"/>
      <c r="I525" s="97"/>
      <c r="J525" s="97" t="s">
        <v>1655</v>
      </c>
      <c r="K525" s="176"/>
      <c r="L525" s="176" t="s">
        <v>491</v>
      </c>
      <c r="M525" s="180">
        <v>45670</v>
      </c>
      <c r="N525" s="181"/>
      <c r="O525" s="181">
        <v>9.9367263399999999</v>
      </c>
      <c r="P525" s="181">
        <v>126.08706239999999</v>
      </c>
      <c r="Q525" s="182" t="s">
        <v>1775</v>
      </c>
      <c r="R525" s="183" t="s">
        <v>1776</v>
      </c>
      <c r="S525" s="547"/>
      <c r="T525" s="547"/>
      <c r="U525" s="181" t="s">
        <v>22</v>
      </c>
      <c r="V525" s="185" t="s">
        <v>89</v>
      </c>
      <c r="W525" s="185" t="s">
        <v>1782</v>
      </c>
      <c r="X525" s="18"/>
      <c r="Y525" s="18"/>
      <c r="Z525" s="162" t="s">
        <v>1661</v>
      </c>
      <c r="AA525" s="18"/>
      <c r="AB525" s="18"/>
      <c r="AC525" s="18"/>
    </row>
    <row r="526" spans="1:29" ht="25.5">
      <c r="A526" s="32">
        <v>8</v>
      </c>
      <c r="B526" s="176" t="s">
        <v>140</v>
      </c>
      <c r="C526" s="176" t="s">
        <v>299</v>
      </c>
      <c r="D526" s="177" t="s">
        <v>2119</v>
      </c>
      <c r="E526" s="545" t="s">
        <v>2204</v>
      </c>
      <c r="F526" s="545" t="s">
        <v>1810</v>
      </c>
      <c r="G526" s="213" t="s">
        <v>301</v>
      </c>
      <c r="H526" s="97"/>
      <c r="I526" s="97"/>
      <c r="J526" s="97" t="s">
        <v>1496</v>
      </c>
      <c r="K526" s="176"/>
      <c r="L526" s="176" t="s">
        <v>155</v>
      </c>
      <c r="M526" s="180">
        <v>45358</v>
      </c>
      <c r="N526" s="181"/>
      <c r="O526" s="181">
        <v>9.9414829999999998</v>
      </c>
      <c r="P526" s="181">
        <v>126.065558</v>
      </c>
      <c r="Q526" s="182" t="s">
        <v>1775</v>
      </c>
      <c r="R526" s="183" t="s">
        <v>1776</v>
      </c>
      <c r="S526" s="545" t="b">
        <v>0</v>
      </c>
      <c r="T526" s="545" t="b">
        <v>0</v>
      </c>
      <c r="U526" s="181" t="s">
        <v>261</v>
      </c>
      <c r="V526" s="185" t="s">
        <v>89</v>
      </c>
      <c r="W526" s="185" t="s">
        <v>1782</v>
      </c>
      <c r="X526" s="121" t="s">
        <v>652</v>
      </c>
      <c r="Y526" s="121" t="s">
        <v>1428</v>
      </c>
      <c r="Z526" s="123" t="s">
        <v>386</v>
      </c>
      <c r="AA526" s="122"/>
      <c r="AB526" s="96" t="s">
        <v>3607</v>
      </c>
      <c r="AC526" s="23">
        <v>9450742278</v>
      </c>
    </row>
    <row r="527" spans="1:29" ht="25.5">
      <c r="A527" s="32">
        <v>9</v>
      </c>
      <c r="B527" s="176" t="s">
        <v>140</v>
      </c>
      <c r="C527" s="176" t="s">
        <v>299</v>
      </c>
      <c r="D527" s="177" t="s">
        <v>2119</v>
      </c>
      <c r="E527" s="546"/>
      <c r="F527" s="546"/>
      <c r="G527" s="213" t="s">
        <v>304</v>
      </c>
      <c r="H527" s="23"/>
      <c r="I527" s="23"/>
      <c r="J527" s="23" t="s">
        <v>1506</v>
      </c>
      <c r="K527" s="176"/>
      <c r="L527" s="176" t="s">
        <v>374</v>
      </c>
      <c r="M527" s="180">
        <v>45358</v>
      </c>
      <c r="N527" s="181"/>
      <c r="O527" s="181">
        <v>9.9421652139999992</v>
      </c>
      <c r="P527" s="181">
        <v>126.0661104</v>
      </c>
      <c r="Q527" s="182" t="s">
        <v>1775</v>
      </c>
      <c r="R527" s="183" t="s">
        <v>1776</v>
      </c>
      <c r="S527" s="546"/>
      <c r="T527" s="546"/>
      <c r="U527" s="181" t="s">
        <v>261</v>
      </c>
      <c r="V527" s="184" t="s">
        <v>89</v>
      </c>
      <c r="W527" s="185" t="s">
        <v>1782</v>
      </c>
      <c r="X527" s="120"/>
      <c r="Y527" s="121" t="s">
        <v>1428</v>
      </c>
      <c r="Z527" s="123" t="s">
        <v>386</v>
      </c>
      <c r="AA527" s="456"/>
      <c r="AB527" s="96"/>
      <c r="AC527" s="18"/>
    </row>
    <row r="528" spans="1:29" ht="25.5">
      <c r="A528" s="32">
        <v>10</v>
      </c>
      <c r="B528" s="176" t="s">
        <v>140</v>
      </c>
      <c r="C528" s="176" t="s">
        <v>306</v>
      </c>
      <c r="D528" s="177" t="s">
        <v>2119</v>
      </c>
      <c r="E528" s="547"/>
      <c r="F528" s="547"/>
      <c r="G528" s="213" t="s">
        <v>307</v>
      </c>
      <c r="H528" s="97"/>
      <c r="I528" s="97"/>
      <c r="J528" s="97" t="s">
        <v>1655</v>
      </c>
      <c r="K528" s="176"/>
      <c r="L528" s="176" t="s">
        <v>155</v>
      </c>
      <c r="M528" s="180">
        <v>45625</v>
      </c>
      <c r="N528" s="181"/>
      <c r="O528" s="181">
        <v>9.9540810000000004</v>
      </c>
      <c r="P528" s="181">
        <v>126.0676</v>
      </c>
      <c r="Q528" s="182" t="s">
        <v>1775</v>
      </c>
      <c r="R528" s="183" t="s">
        <v>1776</v>
      </c>
      <c r="S528" s="547"/>
      <c r="T528" s="547"/>
      <c r="U528" s="181" t="s">
        <v>261</v>
      </c>
      <c r="V528" s="184" t="s">
        <v>89</v>
      </c>
      <c r="W528" s="185" t="s">
        <v>2282</v>
      </c>
      <c r="X528" s="120"/>
      <c r="Y528" s="120"/>
      <c r="Z528" s="122"/>
      <c r="AA528" s="134"/>
      <c r="AB528" s="96"/>
      <c r="AC528" s="18"/>
    </row>
    <row r="529" spans="1:29" ht="25.5">
      <c r="A529" s="32">
        <v>11</v>
      </c>
      <c r="B529" s="176" t="s">
        <v>140</v>
      </c>
      <c r="C529" s="185" t="s">
        <v>141</v>
      </c>
      <c r="D529" s="177" t="s">
        <v>2119</v>
      </c>
      <c r="E529" s="550" t="str">
        <f>LEFT(G529,FIND("_",G529) - 1)</f>
        <v>San Isidro National High School</v>
      </c>
      <c r="F529" s="550" t="s">
        <v>1810</v>
      </c>
      <c r="G529" s="213" t="s">
        <v>585</v>
      </c>
      <c r="H529" s="23"/>
      <c r="I529" s="23"/>
      <c r="J529" s="23" t="s">
        <v>2078</v>
      </c>
      <c r="K529" s="176"/>
      <c r="L529" s="176" t="s">
        <v>207</v>
      </c>
      <c r="M529" s="180">
        <v>45568</v>
      </c>
      <c r="N529" s="181"/>
      <c r="O529" s="181">
        <v>9.9355012299999999</v>
      </c>
      <c r="P529" s="181">
        <v>126.0889493</v>
      </c>
      <c r="Q529" s="182" t="s">
        <v>1775</v>
      </c>
      <c r="R529" s="183" t="s">
        <v>1776</v>
      </c>
      <c r="S529" s="550" t="b">
        <v>0</v>
      </c>
      <c r="T529" s="550" t="b">
        <v>0</v>
      </c>
      <c r="U529" s="181" t="s">
        <v>513</v>
      </c>
      <c r="V529" s="185" t="s">
        <v>89</v>
      </c>
      <c r="W529" s="185" t="s">
        <v>1782</v>
      </c>
      <c r="X529" s="18"/>
      <c r="Y529" s="18"/>
      <c r="Z529" s="18"/>
      <c r="AA529" s="18"/>
      <c r="AB529" s="525" t="s">
        <v>2084</v>
      </c>
      <c r="AC529" s="525">
        <v>9352281628</v>
      </c>
    </row>
    <row r="530" spans="1:29" ht="25.5">
      <c r="A530" s="32">
        <v>12</v>
      </c>
      <c r="B530" s="176" t="s">
        <v>140</v>
      </c>
      <c r="C530" s="185" t="s">
        <v>141</v>
      </c>
      <c r="D530" s="177" t="s">
        <v>2119</v>
      </c>
      <c r="E530" s="551"/>
      <c r="F530" s="551"/>
      <c r="G530" s="213" t="s">
        <v>587</v>
      </c>
      <c r="H530" s="23"/>
      <c r="I530" s="23"/>
      <c r="J530" s="23" t="s">
        <v>2087</v>
      </c>
      <c r="K530" s="176"/>
      <c r="L530" s="176" t="s">
        <v>207</v>
      </c>
      <c r="M530" s="180">
        <v>45568</v>
      </c>
      <c r="N530" s="181"/>
      <c r="O530" s="181">
        <v>9.9355012299999999</v>
      </c>
      <c r="P530" s="181">
        <v>126.0889493</v>
      </c>
      <c r="Q530" s="182" t="s">
        <v>1775</v>
      </c>
      <c r="R530" s="183" t="s">
        <v>1776</v>
      </c>
      <c r="S530" s="551"/>
      <c r="T530" s="551"/>
      <c r="U530" s="181" t="s">
        <v>513</v>
      </c>
      <c r="V530" s="185" t="s">
        <v>89</v>
      </c>
      <c r="W530" s="185" t="s">
        <v>1782</v>
      </c>
      <c r="X530" s="18"/>
      <c r="Y530" s="18"/>
      <c r="Z530" s="18"/>
      <c r="AA530" s="18"/>
      <c r="AB530" s="512"/>
      <c r="AC530" s="512"/>
    </row>
    <row r="531" spans="1:29" ht="25.5">
      <c r="A531" s="32">
        <v>13</v>
      </c>
      <c r="B531" s="176" t="s">
        <v>140</v>
      </c>
      <c r="C531" s="185" t="s">
        <v>141</v>
      </c>
      <c r="D531" s="177" t="s">
        <v>2119</v>
      </c>
      <c r="E531" s="552"/>
      <c r="F531" s="552"/>
      <c r="G531" s="213" t="s">
        <v>588</v>
      </c>
      <c r="H531" s="23"/>
      <c r="I531" s="23"/>
      <c r="J531" s="23" t="s">
        <v>2089</v>
      </c>
      <c r="K531" s="176"/>
      <c r="L531" s="176" t="s">
        <v>155</v>
      </c>
      <c r="M531" s="180">
        <v>45568</v>
      </c>
      <c r="N531" s="181"/>
      <c r="O531" s="181">
        <v>9.9362349000000005</v>
      </c>
      <c r="P531" s="181">
        <v>126.089263</v>
      </c>
      <c r="Q531" s="182" t="s">
        <v>1775</v>
      </c>
      <c r="R531" s="183" t="s">
        <v>1776</v>
      </c>
      <c r="S531" s="552"/>
      <c r="T531" s="552"/>
      <c r="U531" s="181" t="s">
        <v>513</v>
      </c>
      <c r="V531" s="185" t="s">
        <v>89</v>
      </c>
      <c r="W531" s="185" t="s">
        <v>1782</v>
      </c>
      <c r="X531" s="18"/>
      <c r="Y531" s="18"/>
      <c r="Z531" s="18"/>
      <c r="AA531" s="18"/>
      <c r="AB531" s="96" t="s">
        <v>2092</v>
      </c>
      <c r="AC531" s="96">
        <v>9151322078</v>
      </c>
    </row>
    <row r="532" spans="1:29" ht="25.5">
      <c r="A532" s="32">
        <v>14</v>
      </c>
      <c r="B532" s="176" t="s">
        <v>140</v>
      </c>
      <c r="C532" s="176" t="s">
        <v>2051</v>
      </c>
      <c r="D532" s="177" t="s">
        <v>2119</v>
      </c>
      <c r="E532" s="550" t="str">
        <f>LEFT(G532,FIND("_",G532) - 1)</f>
        <v>Roxas National High School</v>
      </c>
      <c r="F532" s="550" t="s">
        <v>1810</v>
      </c>
      <c r="G532" s="407" t="s">
        <v>590</v>
      </c>
      <c r="H532" s="457"/>
      <c r="I532" s="457"/>
      <c r="J532" s="457" t="s">
        <v>2094</v>
      </c>
      <c r="K532" s="176"/>
      <c r="L532" s="176" t="s">
        <v>207</v>
      </c>
      <c r="M532" s="180">
        <v>45565</v>
      </c>
      <c r="N532" s="181"/>
      <c r="O532" s="181">
        <v>9.9291041</v>
      </c>
      <c r="P532" s="181">
        <v>126.0568121</v>
      </c>
      <c r="Q532" s="182" t="s">
        <v>1775</v>
      </c>
      <c r="R532" s="183" t="s">
        <v>1776</v>
      </c>
      <c r="S532" s="550" t="b">
        <v>0</v>
      </c>
      <c r="T532" s="550" t="b">
        <v>0</v>
      </c>
      <c r="U532" s="181" t="s">
        <v>513</v>
      </c>
      <c r="V532" s="184" t="s">
        <v>89</v>
      </c>
      <c r="W532" s="185" t="s">
        <v>1782</v>
      </c>
      <c r="X532" s="535" t="s">
        <v>652</v>
      </c>
      <c r="Y532" s="527" t="s">
        <v>1428</v>
      </c>
      <c r="Z532" s="527" t="s">
        <v>386</v>
      </c>
      <c r="AA532" s="527" t="s">
        <v>386</v>
      </c>
      <c r="AB532" s="96" t="s">
        <v>3690</v>
      </c>
      <c r="AC532" s="96">
        <v>9951505813</v>
      </c>
    </row>
    <row r="533" spans="1:29" ht="25.5">
      <c r="A533" s="32">
        <v>15</v>
      </c>
      <c r="B533" s="176" t="s">
        <v>140</v>
      </c>
      <c r="C533" s="176" t="s">
        <v>2051</v>
      </c>
      <c r="D533" s="177" t="s">
        <v>2119</v>
      </c>
      <c r="E533" s="551"/>
      <c r="F533" s="551"/>
      <c r="G533" s="407" t="s">
        <v>592</v>
      </c>
      <c r="H533" s="457"/>
      <c r="I533" s="457"/>
      <c r="J533" s="457" t="s">
        <v>2109</v>
      </c>
      <c r="K533" s="176"/>
      <c r="L533" s="176" t="s">
        <v>374</v>
      </c>
      <c r="M533" s="180">
        <v>45565</v>
      </c>
      <c r="N533" s="181"/>
      <c r="O533" s="181">
        <v>9.9292522600000002</v>
      </c>
      <c r="P533" s="181">
        <v>126.0565847</v>
      </c>
      <c r="Q533" s="182" t="s">
        <v>1775</v>
      </c>
      <c r="R533" s="183" t="s">
        <v>1776</v>
      </c>
      <c r="S533" s="551"/>
      <c r="T533" s="551"/>
      <c r="U533" s="181" t="s">
        <v>513</v>
      </c>
      <c r="V533" s="184" t="s">
        <v>89</v>
      </c>
      <c r="W533" s="185" t="s">
        <v>1782</v>
      </c>
      <c r="X533" s="512"/>
      <c r="Y533" s="512"/>
      <c r="Z533" s="512"/>
      <c r="AA533" s="511"/>
      <c r="AB533" s="96" t="s">
        <v>3698</v>
      </c>
      <c r="AC533" s="226" t="s">
        <v>2115</v>
      </c>
    </row>
    <row r="534" spans="1:29" ht="38.25">
      <c r="A534" s="32">
        <v>16</v>
      </c>
      <c r="B534" s="176" t="s">
        <v>140</v>
      </c>
      <c r="C534" s="176" t="s">
        <v>2051</v>
      </c>
      <c r="D534" s="177" t="s">
        <v>2119</v>
      </c>
      <c r="E534" s="552"/>
      <c r="F534" s="552"/>
      <c r="G534" s="407" t="s">
        <v>594</v>
      </c>
      <c r="H534" s="457"/>
      <c r="I534" s="457"/>
      <c r="J534" s="457" t="s">
        <v>2118</v>
      </c>
      <c r="K534" s="176"/>
      <c r="L534" s="176" t="s">
        <v>155</v>
      </c>
      <c r="M534" s="180">
        <v>45565</v>
      </c>
      <c r="N534" s="181"/>
      <c r="O534" s="181">
        <v>9.9282031600000007</v>
      </c>
      <c r="P534" s="181">
        <v>126.0549845</v>
      </c>
      <c r="Q534" s="182" t="s">
        <v>1775</v>
      </c>
      <c r="R534" s="183" t="s">
        <v>1776</v>
      </c>
      <c r="S534" s="552"/>
      <c r="T534" s="552"/>
      <c r="U534" s="181" t="s">
        <v>513</v>
      </c>
      <c r="V534" s="185" t="s">
        <v>199</v>
      </c>
      <c r="W534" s="185" t="s">
        <v>2080</v>
      </c>
      <c r="X534" s="225"/>
      <c r="Y534" s="128" t="s">
        <v>1428</v>
      </c>
      <c r="Z534" s="128" t="s">
        <v>386</v>
      </c>
      <c r="AA534" s="119"/>
      <c r="AB534" s="96" t="s">
        <v>3704</v>
      </c>
      <c r="AC534" s="96" t="s">
        <v>2123</v>
      </c>
    </row>
    <row r="535" spans="1:29" ht="25.5">
      <c r="A535" s="32">
        <v>17</v>
      </c>
      <c r="B535" s="181" t="s">
        <v>140</v>
      </c>
      <c r="C535" s="185" t="s">
        <v>1530</v>
      </c>
      <c r="D535" s="177" t="s">
        <v>2119</v>
      </c>
      <c r="E535" s="545" t="s">
        <v>2346</v>
      </c>
      <c r="F535" s="545" t="s">
        <v>1810</v>
      </c>
      <c r="G535" s="190" t="s">
        <v>2345</v>
      </c>
      <c r="H535" s="179"/>
      <c r="I535" s="179"/>
      <c r="J535" s="179" t="s">
        <v>3705</v>
      </c>
      <c r="K535" s="185"/>
      <c r="L535" s="185" t="s">
        <v>374</v>
      </c>
      <c r="M535" s="180">
        <v>45981</v>
      </c>
      <c r="N535" s="181"/>
      <c r="O535" s="181">
        <v>9.8973885599999996</v>
      </c>
      <c r="P535" s="181">
        <v>126.060681</v>
      </c>
      <c r="Q535" s="182" t="s">
        <v>1775</v>
      </c>
      <c r="R535" s="183" t="s">
        <v>1776</v>
      </c>
      <c r="S535" s="545" t="b">
        <v>0</v>
      </c>
      <c r="T535" s="545" t="b">
        <v>0</v>
      </c>
      <c r="U535" s="181" t="s">
        <v>1999</v>
      </c>
      <c r="V535" s="185" t="s">
        <v>89</v>
      </c>
      <c r="W535" s="185" t="s">
        <v>1782</v>
      </c>
      <c r="X535" s="119"/>
      <c r="Y535" s="128" t="s">
        <v>1428</v>
      </c>
      <c r="Z535" s="128" t="s">
        <v>386</v>
      </c>
      <c r="AA535" s="527" t="s">
        <v>386</v>
      </c>
      <c r="AB535" s="96"/>
      <c r="AC535" s="18"/>
    </row>
    <row r="536" spans="1:29" ht="25.5">
      <c r="A536" s="32">
        <v>18</v>
      </c>
      <c r="B536" s="181" t="s">
        <v>140</v>
      </c>
      <c r="C536" s="185" t="s">
        <v>1530</v>
      </c>
      <c r="D536" s="177" t="s">
        <v>2119</v>
      </c>
      <c r="E536" s="547"/>
      <c r="F536" s="547"/>
      <c r="G536" s="190" t="s">
        <v>2347</v>
      </c>
      <c r="H536" s="179"/>
      <c r="I536" s="179"/>
      <c r="J536" s="179" t="s">
        <v>3731</v>
      </c>
      <c r="K536" s="185"/>
      <c r="L536" s="185" t="s">
        <v>374</v>
      </c>
      <c r="M536" s="180">
        <v>45981</v>
      </c>
      <c r="N536" s="181"/>
      <c r="O536" s="181">
        <v>9.8976231600000002</v>
      </c>
      <c r="P536" s="181">
        <v>126.060806</v>
      </c>
      <c r="Q536" s="182" t="s">
        <v>1775</v>
      </c>
      <c r="R536" s="183" t="s">
        <v>1776</v>
      </c>
      <c r="S536" s="547"/>
      <c r="T536" s="547"/>
      <c r="U536" s="181" t="s">
        <v>1999</v>
      </c>
      <c r="V536" s="185" t="s">
        <v>89</v>
      </c>
      <c r="W536" s="185" t="s">
        <v>1782</v>
      </c>
      <c r="X536" s="119"/>
      <c r="Y536" s="128" t="s">
        <v>1428</v>
      </c>
      <c r="Z536" s="128" t="s">
        <v>386</v>
      </c>
      <c r="AA536" s="512"/>
      <c r="AB536" s="96"/>
      <c r="AC536" s="18"/>
    </row>
    <row r="537" spans="1:29" ht="25.5">
      <c r="A537" s="32">
        <v>19</v>
      </c>
      <c r="B537" s="181" t="s">
        <v>140</v>
      </c>
      <c r="C537" s="185" t="s">
        <v>2689</v>
      </c>
      <c r="D537" s="177" t="s">
        <v>2119</v>
      </c>
      <c r="E537" s="545" t="s">
        <v>2691</v>
      </c>
      <c r="F537" s="545" t="s">
        <v>1810</v>
      </c>
      <c r="G537" s="190" t="s">
        <v>2690</v>
      </c>
      <c r="H537" s="179"/>
      <c r="I537" s="179"/>
      <c r="J537" s="179" t="s">
        <v>3753</v>
      </c>
      <c r="K537" s="185"/>
      <c r="L537" s="185" t="s">
        <v>374</v>
      </c>
      <c r="M537" s="180">
        <v>46101</v>
      </c>
      <c r="N537" s="181"/>
      <c r="O537" s="181">
        <v>10.017884199999999</v>
      </c>
      <c r="P537" s="181">
        <v>126.07304999999999</v>
      </c>
      <c r="Q537" s="182" t="s">
        <v>1813</v>
      </c>
      <c r="R537" s="183" t="s">
        <v>1814</v>
      </c>
      <c r="S537" s="545" t="b">
        <v>0</v>
      </c>
      <c r="T537" s="545" t="b">
        <v>0</v>
      </c>
      <c r="U537" s="181" t="s">
        <v>1815</v>
      </c>
      <c r="V537" s="184" t="s">
        <v>89</v>
      </c>
      <c r="W537" s="185" t="s">
        <v>1782</v>
      </c>
      <c r="X537" s="119"/>
      <c r="Y537" s="128" t="s">
        <v>1428</v>
      </c>
      <c r="Z537" s="128" t="s">
        <v>386</v>
      </c>
      <c r="AA537" s="119"/>
      <c r="AB537" s="96"/>
      <c r="AC537" s="18"/>
    </row>
    <row r="538" spans="1:29" ht="25.5">
      <c r="A538" s="32">
        <v>20</v>
      </c>
      <c r="B538" s="181" t="s">
        <v>140</v>
      </c>
      <c r="C538" s="185" t="s">
        <v>2689</v>
      </c>
      <c r="D538" s="177" t="s">
        <v>2119</v>
      </c>
      <c r="E538" s="546"/>
      <c r="F538" s="546"/>
      <c r="G538" s="190" t="s">
        <v>2692</v>
      </c>
      <c r="H538" s="179"/>
      <c r="I538" s="179"/>
      <c r="J538" s="179" t="s">
        <v>3753</v>
      </c>
      <c r="K538" s="185"/>
      <c r="L538" s="185" t="s">
        <v>374</v>
      </c>
      <c r="M538" s="180">
        <v>46101</v>
      </c>
      <c r="N538" s="181"/>
      <c r="O538" s="181">
        <v>10.017884199999999</v>
      </c>
      <c r="P538" s="181">
        <v>126.07304999999999</v>
      </c>
      <c r="Q538" s="182" t="s">
        <v>1813</v>
      </c>
      <c r="R538" s="183" t="s">
        <v>1814</v>
      </c>
      <c r="S538" s="546"/>
      <c r="T538" s="546"/>
      <c r="U538" s="181" t="s">
        <v>1815</v>
      </c>
      <c r="V538" s="184" t="s">
        <v>89</v>
      </c>
      <c r="W538" s="185" t="s">
        <v>1782</v>
      </c>
      <c r="X538" s="18"/>
      <c r="Y538" s="18"/>
      <c r="Z538" s="18"/>
      <c r="AA538" s="18"/>
      <c r="AB538" s="18"/>
      <c r="AC538" s="18"/>
    </row>
    <row r="539" spans="1:29" ht="25.5">
      <c r="A539" s="32">
        <v>21</v>
      </c>
      <c r="B539" s="181" t="s">
        <v>140</v>
      </c>
      <c r="C539" s="185" t="s">
        <v>2689</v>
      </c>
      <c r="D539" s="177" t="s">
        <v>2119</v>
      </c>
      <c r="E539" s="547"/>
      <c r="F539" s="547"/>
      <c r="G539" s="190" t="s">
        <v>2693</v>
      </c>
      <c r="H539" s="179"/>
      <c r="I539" s="179"/>
      <c r="J539" s="179" t="s">
        <v>3753</v>
      </c>
      <c r="K539" s="185"/>
      <c r="L539" s="185" t="s">
        <v>374</v>
      </c>
      <c r="M539" s="180">
        <v>46101</v>
      </c>
      <c r="N539" s="181"/>
      <c r="O539" s="181">
        <v>10.017884199999999</v>
      </c>
      <c r="P539" s="181">
        <v>126.07304999999999</v>
      </c>
      <c r="Q539" s="182" t="s">
        <v>1813</v>
      </c>
      <c r="R539" s="183" t="s">
        <v>1814</v>
      </c>
      <c r="S539" s="547"/>
      <c r="T539" s="547"/>
      <c r="U539" s="181" t="s">
        <v>1815</v>
      </c>
      <c r="V539" s="184" t="s">
        <v>89</v>
      </c>
      <c r="W539" s="185" t="s">
        <v>1782</v>
      </c>
      <c r="X539" s="18"/>
      <c r="Y539" s="18"/>
      <c r="Z539" s="18"/>
      <c r="AA539" s="18"/>
      <c r="AB539" s="18"/>
      <c r="AC539" s="18"/>
    </row>
    <row r="540" spans="1:29" ht="25.5">
      <c r="A540" s="32">
        <v>22</v>
      </c>
      <c r="B540" s="181" t="s">
        <v>140</v>
      </c>
      <c r="C540" s="185" t="s">
        <v>2694</v>
      </c>
      <c r="D540" s="177" t="s">
        <v>2119</v>
      </c>
      <c r="E540" s="545" t="s">
        <v>2696</v>
      </c>
      <c r="F540" s="545" t="s">
        <v>1810</v>
      </c>
      <c r="G540" s="190" t="s">
        <v>2695</v>
      </c>
      <c r="H540" s="179"/>
      <c r="I540" s="179"/>
      <c r="J540" s="179" t="s">
        <v>3785</v>
      </c>
      <c r="K540" s="185"/>
      <c r="L540" s="185" t="s">
        <v>374</v>
      </c>
      <c r="M540" s="180">
        <v>46101</v>
      </c>
      <c r="N540" s="181"/>
      <c r="O540" s="181">
        <v>10.017117300000001</v>
      </c>
      <c r="P540" s="181">
        <v>126.073564</v>
      </c>
      <c r="Q540" s="182" t="s">
        <v>1813</v>
      </c>
      <c r="R540" s="183" t="s">
        <v>1814</v>
      </c>
      <c r="S540" s="545" t="b">
        <v>0</v>
      </c>
      <c r="T540" s="545" t="b">
        <v>0</v>
      </c>
      <c r="U540" s="181" t="s">
        <v>1815</v>
      </c>
      <c r="V540" s="184" t="s">
        <v>89</v>
      </c>
      <c r="W540" s="185" t="s">
        <v>1782</v>
      </c>
      <c r="X540" s="18"/>
      <c r="Y540" s="18"/>
      <c r="Z540" s="18"/>
      <c r="AA540" s="18"/>
      <c r="AB540" s="18"/>
      <c r="AC540" s="18"/>
    </row>
    <row r="541" spans="1:29" ht="25.5">
      <c r="A541" s="32">
        <v>23</v>
      </c>
      <c r="B541" s="181" t="s">
        <v>140</v>
      </c>
      <c r="C541" s="185" t="s">
        <v>2694</v>
      </c>
      <c r="D541" s="177" t="s">
        <v>2119</v>
      </c>
      <c r="E541" s="546"/>
      <c r="F541" s="546"/>
      <c r="G541" s="190" t="s">
        <v>2697</v>
      </c>
      <c r="H541" s="179"/>
      <c r="I541" s="179"/>
      <c r="J541" s="179" t="s">
        <v>3785</v>
      </c>
      <c r="K541" s="185"/>
      <c r="L541" s="185" t="s">
        <v>374</v>
      </c>
      <c r="M541" s="180">
        <v>46101</v>
      </c>
      <c r="N541" s="181"/>
      <c r="O541" s="181">
        <v>10.017117300000001</v>
      </c>
      <c r="P541" s="181">
        <v>126.073564</v>
      </c>
      <c r="Q541" s="182" t="s">
        <v>1813</v>
      </c>
      <c r="R541" s="183" t="s">
        <v>1814</v>
      </c>
      <c r="S541" s="546"/>
      <c r="T541" s="546"/>
      <c r="U541" s="181" t="s">
        <v>1815</v>
      </c>
      <c r="V541" s="184" t="s">
        <v>89</v>
      </c>
      <c r="W541" s="185" t="s">
        <v>1782</v>
      </c>
      <c r="X541" s="18"/>
      <c r="Y541" s="18"/>
      <c r="Z541" s="18"/>
      <c r="AA541" s="18"/>
      <c r="AB541" s="18"/>
      <c r="AC541" s="18"/>
    </row>
    <row r="542" spans="1:29" ht="25.5">
      <c r="A542" s="32">
        <v>24</v>
      </c>
      <c r="B542" s="181" t="s">
        <v>140</v>
      </c>
      <c r="C542" s="185" t="s">
        <v>2694</v>
      </c>
      <c r="D542" s="177" t="s">
        <v>2119</v>
      </c>
      <c r="E542" s="547"/>
      <c r="F542" s="547"/>
      <c r="G542" s="190" t="s">
        <v>2698</v>
      </c>
      <c r="H542" s="179"/>
      <c r="I542" s="179"/>
      <c r="J542" s="179" t="s">
        <v>3785</v>
      </c>
      <c r="K542" s="185"/>
      <c r="L542" s="185" t="s">
        <v>374</v>
      </c>
      <c r="M542" s="180">
        <v>46101</v>
      </c>
      <c r="N542" s="181"/>
      <c r="O542" s="181">
        <v>10.017117300000001</v>
      </c>
      <c r="P542" s="181">
        <v>126.073564</v>
      </c>
      <c r="Q542" s="182" t="s">
        <v>1813</v>
      </c>
      <c r="R542" s="183" t="s">
        <v>1814</v>
      </c>
      <c r="S542" s="547"/>
      <c r="T542" s="547"/>
      <c r="U542" s="181" t="s">
        <v>1815</v>
      </c>
      <c r="V542" s="184" t="s">
        <v>89</v>
      </c>
      <c r="W542" s="185" t="s">
        <v>1782</v>
      </c>
      <c r="X542" s="18"/>
      <c r="Y542" s="18"/>
      <c r="Z542" s="18"/>
      <c r="AA542" s="18"/>
      <c r="AB542" s="18"/>
      <c r="AC542" s="18"/>
    </row>
    <row r="543" spans="1:29" ht="12.75">
      <c r="A543" s="32">
        <v>25</v>
      </c>
      <c r="B543" s="181" t="s">
        <v>140</v>
      </c>
      <c r="C543" s="185" t="s">
        <v>2699</v>
      </c>
      <c r="D543" s="177" t="s">
        <v>2119</v>
      </c>
      <c r="E543" s="545" t="s">
        <v>2701</v>
      </c>
      <c r="F543" s="545" t="s">
        <v>1810</v>
      </c>
      <c r="G543" s="190" t="s">
        <v>2700</v>
      </c>
      <c r="H543" s="179"/>
      <c r="I543" s="179"/>
      <c r="J543" s="179" t="s">
        <v>3791</v>
      </c>
      <c r="K543" s="185"/>
      <c r="L543" s="185" t="s">
        <v>374</v>
      </c>
      <c r="M543" s="180">
        <v>46101</v>
      </c>
      <c r="N543" s="181"/>
      <c r="O543" s="181">
        <v>9.5699959999999997</v>
      </c>
      <c r="P543" s="181">
        <v>125.941124</v>
      </c>
      <c r="Q543" s="182" t="s">
        <v>1813</v>
      </c>
      <c r="R543" s="183" t="s">
        <v>1814</v>
      </c>
      <c r="S543" s="545" t="b">
        <v>0</v>
      </c>
      <c r="T543" s="545" t="b">
        <v>0</v>
      </c>
      <c r="U543" s="181" t="s">
        <v>1815</v>
      </c>
      <c r="V543" s="184" t="s">
        <v>89</v>
      </c>
      <c r="W543" s="185" t="s">
        <v>1782</v>
      </c>
      <c r="X543" s="18"/>
      <c r="Y543" s="18"/>
      <c r="Z543" s="18"/>
      <c r="AA543" s="18"/>
      <c r="AB543" s="18"/>
      <c r="AC543" s="18"/>
    </row>
    <row r="544" spans="1:29" ht="12.75">
      <c r="A544" s="32">
        <v>26</v>
      </c>
      <c r="B544" s="181" t="s">
        <v>140</v>
      </c>
      <c r="C544" s="185" t="s">
        <v>2699</v>
      </c>
      <c r="D544" s="177" t="s">
        <v>2119</v>
      </c>
      <c r="E544" s="546"/>
      <c r="F544" s="546"/>
      <c r="G544" s="190" t="s">
        <v>2702</v>
      </c>
      <c r="H544" s="179"/>
      <c r="I544" s="179"/>
      <c r="J544" s="179" t="s">
        <v>3791</v>
      </c>
      <c r="K544" s="185"/>
      <c r="L544" s="185" t="s">
        <v>374</v>
      </c>
      <c r="M544" s="180">
        <v>46101</v>
      </c>
      <c r="N544" s="181"/>
      <c r="O544" s="181">
        <v>9.5699959999999997</v>
      </c>
      <c r="P544" s="181">
        <v>125.941124</v>
      </c>
      <c r="Q544" s="182" t="s">
        <v>1813</v>
      </c>
      <c r="R544" s="183" t="s">
        <v>1814</v>
      </c>
      <c r="S544" s="546"/>
      <c r="T544" s="546"/>
      <c r="U544" s="181" t="s">
        <v>1815</v>
      </c>
      <c r="V544" s="184" t="s">
        <v>89</v>
      </c>
      <c r="W544" s="185" t="s">
        <v>1782</v>
      </c>
      <c r="X544" s="18"/>
      <c r="Y544" s="18"/>
      <c r="Z544" s="18"/>
      <c r="AA544" s="18"/>
      <c r="AB544" s="18"/>
      <c r="AC544" s="18"/>
    </row>
    <row r="545" spans="1:29" ht="12.75">
      <c r="A545" s="32">
        <v>27</v>
      </c>
      <c r="B545" s="181" t="s">
        <v>140</v>
      </c>
      <c r="C545" s="185" t="s">
        <v>2699</v>
      </c>
      <c r="D545" s="177" t="s">
        <v>2119</v>
      </c>
      <c r="E545" s="547"/>
      <c r="F545" s="547"/>
      <c r="G545" s="190" t="s">
        <v>2704</v>
      </c>
      <c r="H545" s="179"/>
      <c r="I545" s="179"/>
      <c r="J545" s="179" t="s">
        <v>3791</v>
      </c>
      <c r="K545" s="185"/>
      <c r="L545" s="185" t="s">
        <v>374</v>
      </c>
      <c r="M545" s="180">
        <v>46101</v>
      </c>
      <c r="N545" s="181"/>
      <c r="O545" s="181">
        <v>9.5699959999999997</v>
      </c>
      <c r="P545" s="181">
        <v>125.941124</v>
      </c>
      <c r="Q545" s="182" t="s">
        <v>1813</v>
      </c>
      <c r="R545" s="183" t="s">
        <v>1814</v>
      </c>
      <c r="S545" s="547"/>
      <c r="T545" s="547"/>
      <c r="U545" s="181" t="s">
        <v>1815</v>
      </c>
      <c r="V545" s="184" t="s">
        <v>89</v>
      </c>
      <c r="W545" s="185" t="s">
        <v>1782</v>
      </c>
      <c r="X545" s="18"/>
      <c r="Y545" s="18"/>
      <c r="Z545" s="18"/>
      <c r="AA545" s="18"/>
      <c r="AB545" s="18"/>
      <c r="AC545" s="18"/>
    </row>
    <row r="546" spans="1:29" ht="12.75">
      <c r="A546" s="32">
        <v>28</v>
      </c>
      <c r="B546" s="181" t="s">
        <v>140</v>
      </c>
      <c r="C546" s="185" t="s">
        <v>2051</v>
      </c>
      <c r="D546" s="177" t="s">
        <v>2119</v>
      </c>
      <c r="E546" s="545" t="s">
        <v>593</v>
      </c>
      <c r="F546" s="545" t="s">
        <v>1810</v>
      </c>
      <c r="G546" s="190" t="s">
        <v>2706</v>
      </c>
      <c r="H546" s="179"/>
      <c r="I546" s="179"/>
      <c r="J546" s="179" t="s">
        <v>3805</v>
      </c>
      <c r="K546" s="185"/>
      <c r="L546" s="185" t="s">
        <v>374</v>
      </c>
      <c r="M546" s="180">
        <v>46101</v>
      </c>
      <c r="N546" s="181"/>
      <c r="O546" s="181">
        <v>9.6845660000000002</v>
      </c>
      <c r="P546" s="181">
        <v>125.975976</v>
      </c>
      <c r="Q546" s="182" t="s">
        <v>1813</v>
      </c>
      <c r="R546" s="183" t="s">
        <v>1814</v>
      </c>
      <c r="S546" s="545" t="b">
        <v>0</v>
      </c>
      <c r="T546" s="545" t="b">
        <v>0</v>
      </c>
      <c r="U546" s="181" t="s">
        <v>1815</v>
      </c>
      <c r="V546" s="185" t="s">
        <v>89</v>
      </c>
      <c r="W546" s="185" t="s">
        <v>1782</v>
      </c>
      <c r="X546" s="18"/>
      <c r="Y546" s="18"/>
      <c r="Z546" s="18"/>
      <c r="AA546" s="18"/>
      <c r="AB546" s="522" t="s">
        <v>3810</v>
      </c>
      <c r="AC546" s="522">
        <v>9491133376</v>
      </c>
    </row>
    <row r="547" spans="1:29" ht="12.75">
      <c r="A547" s="32">
        <v>29</v>
      </c>
      <c r="B547" s="181" t="s">
        <v>140</v>
      </c>
      <c r="C547" s="185" t="s">
        <v>2051</v>
      </c>
      <c r="D547" s="177" t="s">
        <v>2119</v>
      </c>
      <c r="E547" s="546"/>
      <c r="F547" s="546"/>
      <c r="G547" s="190" t="s">
        <v>2709</v>
      </c>
      <c r="H547" s="179"/>
      <c r="I547" s="179"/>
      <c r="J547" s="179" t="s">
        <v>3805</v>
      </c>
      <c r="K547" s="185"/>
      <c r="L547" s="185" t="s">
        <v>374</v>
      </c>
      <c r="M547" s="180">
        <v>46101</v>
      </c>
      <c r="N547" s="181"/>
      <c r="O547" s="181">
        <v>9.6845660000000002</v>
      </c>
      <c r="P547" s="181">
        <v>125.975976</v>
      </c>
      <c r="Q547" s="182" t="s">
        <v>1813</v>
      </c>
      <c r="R547" s="183" t="s">
        <v>1814</v>
      </c>
      <c r="S547" s="546"/>
      <c r="T547" s="546"/>
      <c r="U547" s="181" t="s">
        <v>1815</v>
      </c>
      <c r="V547" s="185" t="s">
        <v>89</v>
      </c>
      <c r="W547" s="185" t="s">
        <v>1782</v>
      </c>
      <c r="X547" s="18"/>
      <c r="Y547" s="18"/>
      <c r="Z547" s="18"/>
      <c r="AA547" s="18"/>
      <c r="AB547" s="511"/>
      <c r="AC547" s="511"/>
    </row>
    <row r="548" spans="1:29" ht="12.75">
      <c r="A548" s="32">
        <v>30</v>
      </c>
      <c r="B548" s="181" t="s">
        <v>140</v>
      </c>
      <c r="C548" s="185" t="s">
        <v>2051</v>
      </c>
      <c r="D548" s="177" t="s">
        <v>2119</v>
      </c>
      <c r="E548" s="547"/>
      <c r="F548" s="547"/>
      <c r="G548" s="190" t="s">
        <v>2710</v>
      </c>
      <c r="H548" s="179"/>
      <c r="I548" s="179"/>
      <c r="J548" s="179" t="s">
        <v>3805</v>
      </c>
      <c r="K548" s="185"/>
      <c r="L548" s="185" t="s">
        <v>374</v>
      </c>
      <c r="M548" s="180">
        <v>46101</v>
      </c>
      <c r="N548" s="181"/>
      <c r="O548" s="181">
        <v>9.6845660000000002</v>
      </c>
      <c r="P548" s="181">
        <v>125.975976</v>
      </c>
      <c r="Q548" s="182" t="s">
        <v>1813</v>
      </c>
      <c r="R548" s="183" t="s">
        <v>1814</v>
      </c>
      <c r="S548" s="547"/>
      <c r="T548" s="547"/>
      <c r="U548" s="181" t="s">
        <v>1815</v>
      </c>
      <c r="V548" s="185" t="s">
        <v>89</v>
      </c>
      <c r="W548" s="185" t="s">
        <v>1782</v>
      </c>
      <c r="X548" s="18"/>
      <c r="Y548" s="18"/>
      <c r="Z548" s="18"/>
      <c r="AA548" s="18"/>
      <c r="AB548" s="512"/>
      <c r="AC548" s="512"/>
    </row>
    <row r="549" spans="1:29" ht="25.5">
      <c r="A549" s="32">
        <v>31</v>
      </c>
      <c r="B549" s="181" t="s">
        <v>140</v>
      </c>
      <c r="C549" s="185" t="s">
        <v>141</v>
      </c>
      <c r="D549" s="177" t="s">
        <v>2119</v>
      </c>
      <c r="E549" s="545" t="s">
        <v>2712</v>
      </c>
      <c r="F549" s="545" t="s">
        <v>1810</v>
      </c>
      <c r="G549" s="190" t="s">
        <v>2711</v>
      </c>
      <c r="H549" s="179"/>
      <c r="I549" s="179"/>
      <c r="J549" s="179" t="s">
        <v>3828</v>
      </c>
      <c r="K549" s="185"/>
      <c r="L549" s="185" t="s">
        <v>374</v>
      </c>
      <c r="M549" s="180">
        <v>46101</v>
      </c>
      <c r="N549" s="181"/>
      <c r="O549" s="181">
        <v>9.9480350000000008</v>
      </c>
      <c r="P549" s="181">
        <v>126.00679</v>
      </c>
      <c r="Q549" s="182" t="s">
        <v>1813</v>
      </c>
      <c r="R549" s="183" t="s">
        <v>1814</v>
      </c>
      <c r="S549" s="545" t="b">
        <v>0</v>
      </c>
      <c r="T549" s="545" t="b">
        <v>0</v>
      </c>
      <c r="U549" s="181" t="s">
        <v>1815</v>
      </c>
      <c r="V549" s="184" t="s">
        <v>89</v>
      </c>
      <c r="W549" s="185" t="s">
        <v>1782</v>
      </c>
      <c r="X549" s="18"/>
      <c r="Y549" s="18"/>
      <c r="Z549" s="18"/>
      <c r="AA549" s="18"/>
      <c r="AB549" s="18"/>
      <c r="AC549" s="18"/>
    </row>
    <row r="550" spans="1:29" ht="25.5">
      <c r="A550" s="32">
        <v>32</v>
      </c>
      <c r="B550" s="181" t="s">
        <v>140</v>
      </c>
      <c r="C550" s="185" t="s">
        <v>141</v>
      </c>
      <c r="D550" s="177" t="s">
        <v>2119</v>
      </c>
      <c r="E550" s="546"/>
      <c r="F550" s="546"/>
      <c r="G550" s="190" t="s">
        <v>2714</v>
      </c>
      <c r="H550" s="179"/>
      <c r="I550" s="179"/>
      <c r="J550" s="179" t="s">
        <v>3828</v>
      </c>
      <c r="K550" s="185"/>
      <c r="L550" s="185" t="s">
        <v>374</v>
      </c>
      <c r="M550" s="180">
        <v>46101</v>
      </c>
      <c r="N550" s="181"/>
      <c r="O550" s="181">
        <v>9.9480350000000008</v>
      </c>
      <c r="P550" s="181">
        <v>126.00679</v>
      </c>
      <c r="Q550" s="182" t="s">
        <v>1813</v>
      </c>
      <c r="R550" s="183" t="s">
        <v>1814</v>
      </c>
      <c r="S550" s="546"/>
      <c r="T550" s="546"/>
      <c r="U550" s="181" t="s">
        <v>1815</v>
      </c>
      <c r="V550" s="185" t="s">
        <v>89</v>
      </c>
      <c r="W550" s="185" t="s">
        <v>1782</v>
      </c>
      <c r="X550" s="18"/>
      <c r="Y550" s="18"/>
      <c r="Z550" s="18"/>
      <c r="AA550" s="18"/>
      <c r="AB550" s="18"/>
      <c r="AC550" s="18"/>
    </row>
    <row r="551" spans="1:29" ht="25.5">
      <c r="A551" s="32">
        <v>33</v>
      </c>
      <c r="B551" s="181" t="s">
        <v>140</v>
      </c>
      <c r="C551" s="185" t="s">
        <v>141</v>
      </c>
      <c r="D551" s="177" t="s">
        <v>2119</v>
      </c>
      <c r="E551" s="547"/>
      <c r="F551" s="547"/>
      <c r="G551" s="190" t="s">
        <v>2715</v>
      </c>
      <c r="H551" s="179"/>
      <c r="I551" s="179"/>
      <c r="J551" s="179" t="s">
        <v>3828</v>
      </c>
      <c r="K551" s="185"/>
      <c r="L551" s="185" t="s">
        <v>374</v>
      </c>
      <c r="M551" s="180">
        <v>46101</v>
      </c>
      <c r="N551" s="181"/>
      <c r="O551" s="181">
        <v>9.9480350000000008</v>
      </c>
      <c r="P551" s="181">
        <v>126.00679</v>
      </c>
      <c r="Q551" s="182" t="s">
        <v>1813</v>
      </c>
      <c r="R551" s="183" t="s">
        <v>1814</v>
      </c>
      <c r="S551" s="547"/>
      <c r="T551" s="547"/>
      <c r="U551" s="181" t="s">
        <v>1815</v>
      </c>
      <c r="V551" s="185" t="s">
        <v>89</v>
      </c>
      <c r="W551" s="185" t="s">
        <v>1782</v>
      </c>
      <c r="X551" s="18"/>
      <c r="Y551" s="18"/>
      <c r="Z551" s="18"/>
      <c r="AA551" s="18"/>
      <c r="AB551" s="18"/>
      <c r="AC551" s="18"/>
    </row>
    <row r="552" spans="1:29" ht="25.5">
      <c r="A552" s="32">
        <v>34</v>
      </c>
      <c r="B552" s="181" t="s">
        <v>140</v>
      </c>
      <c r="C552" s="185" t="s">
        <v>306</v>
      </c>
      <c r="D552" s="177" t="s">
        <v>2119</v>
      </c>
      <c r="E552" s="545" t="s">
        <v>2718</v>
      </c>
      <c r="F552" s="545" t="s">
        <v>1810</v>
      </c>
      <c r="G552" s="190" t="s">
        <v>2717</v>
      </c>
      <c r="H552" s="179"/>
      <c r="I552" s="179"/>
      <c r="J552" s="179" t="s">
        <v>3839</v>
      </c>
      <c r="K552" s="185"/>
      <c r="L552" s="185" t="s">
        <v>374</v>
      </c>
      <c r="M552" s="180">
        <v>46101</v>
      </c>
      <c r="N552" s="181"/>
      <c r="O552" s="181">
        <v>9.6439477999999994</v>
      </c>
      <c r="P552" s="181">
        <v>125.943318</v>
      </c>
      <c r="Q552" s="182" t="s">
        <v>1813</v>
      </c>
      <c r="R552" s="183" t="s">
        <v>1814</v>
      </c>
      <c r="S552" s="545" t="b">
        <v>0</v>
      </c>
      <c r="T552" s="545" t="b">
        <v>0</v>
      </c>
      <c r="U552" s="181" t="s">
        <v>1815</v>
      </c>
      <c r="V552" s="185" t="s">
        <v>89</v>
      </c>
      <c r="W552" s="185" t="s">
        <v>1782</v>
      </c>
      <c r="X552" s="18"/>
      <c r="Y552" s="18"/>
      <c r="Z552" s="18"/>
      <c r="AA552" s="18"/>
      <c r="AB552" s="18"/>
      <c r="AC552" s="18"/>
    </row>
    <row r="553" spans="1:29" ht="25.5">
      <c r="A553" s="32">
        <v>35</v>
      </c>
      <c r="B553" s="181" t="s">
        <v>140</v>
      </c>
      <c r="C553" s="185" t="s">
        <v>306</v>
      </c>
      <c r="D553" s="177" t="s">
        <v>2119</v>
      </c>
      <c r="E553" s="546"/>
      <c r="F553" s="546"/>
      <c r="G553" s="190" t="s">
        <v>2719</v>
      </c>
      <c r="H553" s="179"/>
      <c r="I553" s="179"/>
      <c r="J553" s="179" t="s">
        <v>3839</v>
      </c>
      <c r="K553" s="185"/>
      <c r="L553" s="185" t="s">
        <v>374</v>
      </c>
      <c r="M553" s="180">
        <v>46101</v>
      </c>
      <c r="N553" s="181"/>
      <c r="O553" s="181">
        <v>9.6439477999999994</v>
      </c>
      <c r="P553" s="181">
        <v>125.943318</v>
      </c>
      <c r="Q553" s="182" t="s">
        <v>1813</v>
      </c>
      <c r="R553" s="183" t="s">
        <v>1814</v>
      </c>
      <c r="S553" s="546"/>
      <c r="T553" s="546"/>
      <c r="U553" s="181" t="s">
        <v>1815</v>
      </c>
      <c r="V553" s="185" t="s">
        <v>89</v>
      </c>
      <c r="W553" s="185" t="s">
        <v>1782</v>
      </c>
      <c r="X553" s="18"/>
      <c r="Y553" s="18"/>
      <c r="Z553" s="18"/>
      <c r="AA553" s="18"/>
      <c r="AB553" s="18"/>
      <c r="AC553" s="18"/>
    </row>
    <row r="554" spans="1:29" ht="25.5">
      <c r="A554" s="32">
        <v>36</v>
      </c>
      <c r="B554" s="181" t="s">
        <v>140</v>
      </c>
      <c r="C554" s="185" t="s">
        <v>306</v>
      </c>
      <c r="D554" s="177" t="s">
        <v>2119</v>
      </c>
      <c r="E554" s="547"/>
      <c r="F554" s="547"/>
      <c r="G554" s="190" t="s">
        <v>2720</v>
      </c>
      <c r="H554" s="179"/>
      <c r="I554" s="179"/>
      <c r="J554" s="179" t="s">
        <v>3839</v>
      </c>
      <c r="K554" s="185"/>
      <c r="L554" s="185" t="s">
        <v>374</v>
      </c>
      <c r="M554" s="180">
        <v>46101</v>
      </c>
      <c r="N554" s="181"/>
      <c r="O554" s="181">
        <v>9.6439477999999994</v>
      </c>
      <c r="P554" s="181">
        <v>125.943318</v>
      </c>
      <c r="Q554" s="182" t="s">
        <v>1813</v>
      </c>
      <c r="R554" s="183" t="s">
        <v>1814</v>
      </c>
      <c r="S554" s="547"/>
      <c r="T554" s="547"/>
      <c r="U554" s="181" t="s">
        <v>1815</v>
      </c>
      <c r="V554" s="185" t="s">
        <v>89</v>
      </c>
      <c r="W554" s="185" t="s">
        <v>1782</v>
      </c>
      <c r="X554" s="18"/>
      <c r="Y554" s="18"/>
      <c r="Z554" s="18"/>
      <c r="AA554" s="18"/>
      <c r="AB554" s="18"/>
      <c r="AC554" s="18"/>
    </row>
    <row r="555" spans="1:29" ht="25.5">
      <c r="A555" s="32">
        <v>37</v>
      </c>
      <c r="B555" s="181" t="s">
        <v>140</v>
      </c>
      <c r="C555" s="185" t="s">
        <v>2722</v>
      </c>
      <c r="D555" s="177" t="s">
        <v>2119</v>
      </c>
      <c r="E555" s="545" t="s">
        <v>2724</v>
      </c>
      <c r="F555" s="545" t="s">
        <v>1810</v>
      </c>
      <c r="G555" s="190" t="s">
        <v>2723</v>
      </c>
      <c r="H555" s="179"/>
      <c r="I555" s="179"/>
      <c r="J555" s="179" t="s">
        <v>3841</v>
      </c>
      <c r="K555" s="185"/>
      <c r="L555" s="185" t="s">
        <v>374</v>
      </c>
      <c r="M555" s="180">
        <v>46101</v>
      </c>
      <c r="N555" s="181"/>
      <c r="O555" s="181">
        <v>9.6562319999999993</v>
      </c>
      <c r="P555" s="181">
        <v>125.92850199999999</v>
      </c>
      <c r="Q555" s="182" t="s">
        <v>1813</v>
      </c>
      <c r="R555" s="183" t="s">
        <v>1814</v>
      </c>
      <c r="S555" s="545" t="b">
        <v>0</v>
      </c>
      <c r="T555" s="545" t="b">
        <v>0</v>
      </c>
      <c r="U555" s="181" t="s">
        <v>1815</v>
      </c>
      <c r="V555" s="185" t="s">
        <v>89</v>
      </c>
      <c r="W555" s="185" t="s">
        <v>1782</v>
      </c>
      <c r="X555" s="18"/>
      <c r="Y555" s="18"/>
      <c r="Z555" s="18"/>
      <c r="AA555" s="18"/>
      <c r="AB555" s="18"/>
      <c r="AC555" s="18"/>
    </row>
    <row r="556" spans="1:29" ht="25.5">
      <c r="A556" s="32">
        <v>38</v>
      </c>
      <c r="B556" s="181" t="s">
        <v>140</v>
      </c>
      <c r="C556" s="185" t="s">
        <v>2722</v>
      </c>
      <c r="D556" s="177" t="s">
        <v>2119</v>
      </c>
      <c r="E556" s="546"/>
      <c r="F556" s="546"/>
      <c r="G556" s="190" t="s">
        <v>2725</v>
      </c>
      <c r="H556" s="179"/>
      <c r="I556" s="179"/>
      <c r="J556" s="179" t="s">
        <v>3841</v>
      </c>
      <c r="K556" s="185"/>
      <c r="L556" s="185" t="s">
        <v>374</v>
      </c>
      <c r="M556" s="180">
        <v>46101</v>
      </c>
      <c r="N556" s="181"/>
      <c r="O556" s="181">
        <v>9.6562319999999993</v>
      </c>
      <c r="P556" s="181">
        <v>125.92850199999999</v>
      </c>
      <c r="Q556" s="182" t="s">
        <v>1813</v>
      </c>
      <c r="R556" s="183" t="s">
        <v>1814</v>
      </c>
      <c r="S556" s="546"/>
      <c r="T556" s="546"/>
      <c r="U556" s="181" t="s">
        <v>1815</v>
      </c>
      <c r="V556" s="185" t="s">
        <v>89</v>
      </c>
      <c r="W556" s="185" t="s">
        <v>1782</v>
      </c>
      <c r="X556" s="18"/>
      <c r="Y556" s="18"/>
      <c r="Z556" s="18"/>
      <c r="AA556" s="18"/>
      <c r="AB556" s="18"/>
      <c r="AC556" s="18"/>
    </row>
    <row r="557" spans="1:29" ht="25.5">
      <c r="A557" s="32">
        <v>39</v>
      </c>
      <c r="B557" s="181" t="s">
        <v>140</v>
      </c>
      <c r="C557" s="185" t="s">
        <v>2722</v>
      </c>
      <c r="D557" s="177" t="s">
        <v>2119</v>
      </c>
      <c r="E557" s="547"/>
      <c r="F557" s="547"/>
      <c r="G557" s="190" t="s">
        <v>2726</v>
      </c>
      <c r="H557" s="179"/>
      <c r="I557" s="179"/>
      <c r="J557" s="179" t="s">
        <v>3841</v>
      </c>
      <c r="K557" s="185"/>
      <c r="L557" s="185" t="s">
        <v>374</v>
      </c>
      <c r="M557" s="180">
        <v>46101</v>
      </c>
      <c r="N557" s="181"/>
      <c r="O557" s="181">
        <v>9.6562319999999993</v>
      </c>
      <c r="P557" s="181">
        <v>125.92850199999999</v>
      </c>
      <c r="Q557" s="182" t="s">
        <v>1813</v>
      </c>
      <c r="R557" s="183" t="s">
        <v>1814</v>
      </c>
      <c r="S557" s="547"/>
      <c r="T557" s="547"/>
      <c r="U557" s="181" t="s">
        <v>1815</v>
      </c>
      <c r="V557" s="185" t="s">
        <v>89</v>
      </c>
      <c r="W557" s="185" t="s">
        <v>1782</v>
      </c>
      <c r="X557" s="18"/>
      <c r="Y557" s="18"/>
      <c r="Z557" s="18"/>
      <c r="AA557" s="18"/>
      <c r="AB557" s="18"/>
      <c r="AC557" s="18"/>
    </row>
    <row r="558" spans="1:29" ht="25.5">
      <c r="A558" s="32">
        <v>40</v>
      </c>
      <c r="B558" s="181" t="s">
        <v>140</v>
      </c>
      <c r="C558" s="185" t="s">
        <v>2727</v>
      </c>
      <c r="D558" s="177" t="s">
        <v>2119</v>
      </c>
      <c r="E558" s="545" t="s">
        <v>2729</v>
      </c>
      <c r="F558" s="545" t="s">
        <v>1810</v>
      </c>
      <c r="G558" s="190" t="s">
        <v>2728</v>
      </c>
      <c r="H558" s="179"/>
      <c r="I558" s="179"/>
      <c r="J558" s="179" t="s">
        <v>3842</v>
      </c>
      <c r="K558" s="185"/>
      <c r="L558" s="185" t="s">
        <v>374</v>
      </c>
      <c r="M558" s="180">
        <v>46101</v>
      </c>
      <c r="N558" s="181"/>
      <c r="O558" s="181">
        <v>9.8432051000000005</v>
      </c>
      <c r="P558" s="181">
        <v>125.986155</v>
      </c>
      <c r="Q558" s="182" t="s">
        <v>1813</v>
      </c>
      <c r="R558" s="183" t="s">
        <v>1814</v>
      </c>
      <c r="S558" s="545" t="b">
        <v>0</v>
      </c>
      <c r="T558" s="545" t="b">
        <v>0</v>
      </c>
      <c r="U558" s="181" t="s">
        <v>1815</v>
      </c>
      <c r="V558" s="185" t="s">
        <v>89</v>
      </c>
      <c r="W558" s="185" t="s">
        <v>1782</v>
      </c>
      <c r="X558" s="18"/>
      <c r="Y558" s="18"/>
      <c r="Z558" s="18"/>
      <c r="AA558" s="18"/>
      <c r="AB558" s="18"/>
      <c r="AC558" s="18"/>
    </row>
    <row r="559" spans="1:29" ht="25.5">
      <c r="A559" s="32">
        <v>41</v>
      </c>
      <c r="B559" s="181" t="s">
        <v>140</v>
      </c>
      <c r="C559" s="185" t="s">
        <v>2727</v>
      </c>
      <c r="D559" s="177" t="s">
        <v>2119</v>
      </c>
      <c r="E559" s="546"/>
      <c r="F559" s="546"/>
      <c r="G559" s="190" t="s">
        <v>2730</v>
      </c>
      <c r="H559" s="179"/>
      <c r="I559" s="179"/>
      <c r="J559" s="179" t="s">
        <v>3842</v>
      </c>
      <c r="K559" s="185"/>
      <c r="L559" s="185" t="s">
        <v>374</v>
      </c>
      <c r="M559" s="180">
        <v>46101</v>
      </c>
      <c r="N559" s="181"/>
      <c r="O559" s="181">
        <v>9.8432051000000005</v>
      </c>
      <c r="P559" s="181">
        <v>125.986155</v>
      </c>
      <c r="Q559" s="182" t="s">
        <v>1813</v>
      </c>
      <c r="R559" s="183" t="s">
        <v>1814</v>
      </c>
      <c r="S559" s="546"/>
      <c r="T559" s="546"/>
      <c r="U559" s="181" t="s">
        <v>1815</v>
      </c>
      <c r="V559" s="185" t="s">
        <v>89</v>
      </c>
      <c r="W559" s="185" t="s">
        <v>1782</v>
      </c>
      <c r="X559" s="18"/>
      <c r="Y559" s="18"/>
      <c r="Z559" s="18"/>
      <c r="AA559" s="18"/>
      <c r="AB559" s="18"/>
      <c r="AC559" s="18"/>
    </row>
    <row r="560" spans="1:29" ht="25.5">
      <c r="A560" s="32">
        <v>42</v>
      </c>
      <c r="B560" s="181" t="s">
        <v>140</v>
      </c>
      <c r="C560" s="185" t="s">
        <v>2727</v>
      </c>
      <c r="D560" s="177" t="s">
        <v>2119</v>
      </c>
      <c r="E560" s="547"/>
      <c r="F560" s="547"/>
      <c r="G560" s="190" t="s">
        <v>2731</v>
      </c>
      <c r="H560" s="179"/>
      <c r="I560" s="179"/>
      <c r="J560" s="179" t="s">
        <v>3842</v>
      </c>
      <c r="K560" s="185"/>
      <c r="L560" s="185" t="s">
        <v>374</v>
      </c>
      <c r="M560" s="180">
        <v>46101</v>
      </c>
      <c r="N560" s="181"/>
      <c r="O560" s="181">
        <v>9.8432051000000005</v>
      </c>
      <c r="P560" s="181">
        <v>125.986155</v>
      </c>
      <c r="Q560" s="182" t="s">
        <v>1813</v>
      </c>
      <c r="R560" s="183" t="s">
        <v>1814</v>
      </c>
      <c r="S560" s="547"/>
      <c r="T560" s="547"/>
      <c r="U560" s="181" t="s">
        <v>1815</v>
      </c>
      <c r="V560" s="185" t="s">
        <v>89</v>
      </c>
      <c r="W560" s="185" t="s">
        <v>1782</v>
      </c>
      <c r="X560" s="18"/>
      <c r="Y560" s="18"/>
      <c r="Z560" s="18"/>
      <c r="AA560" s="18"/>
      <c r="AB560" s="18"/>
      <c r="AC560" s="18"/>
    </row>
    <row r="561" spans="1:29" ht="25.5">
      <c r="A561" s="32">
        <v>1</v>
      </c>
      <c r="B561" s="176" t="s">
        <v>196</v>
      </c>
      <c r="C561" s="176" t="s">
        <v>241</v>
      </c>
      <c r="D561" s="177" t="s">
        <v>2119</v>
      </c>
      <c r="E561" s="545" t="s">
        <v>2184</v>
      </c>
      <c r="F561" s="545" t="s">
        <v>1810</v>
      </c>
      <c r="G561" s="178" t="s">
        <v>242</v>
      </c>
      <c r="H561" s="13"/>
      <c r="I561" s="13"/>
      <c r="J561" s="13" t="s">
        <v>1366</v>
      </c>
      <c r="K561" s="176"/>
      <c r="L561" s="176" t="s">
        <v>238</v>
      </c>
      <c r="M561" s="180">
        <v>45240</v>
      </c>
      <c r="N561" s="181"/>
      <c r="O561" s="181">
        <v>9.6182909999999993</v>
      </c>
      <c r="P561" s="181">
        <v>125.966008</v>
      </c>
      <c r="Q561" s="182" t="s">
        <v>1775</v>
      </c>
      <c r="R561" s="183" t="s">
        <v>1776</v>
      </c>
      <c r="S561" s="545" t="b">
        <v>0</v>
      </c>
      <c r="T561" s="545" t="b">
        <v>0</v>
      </c>
      <c r="U561" s="181" t="s">
        <v>22</v>
      </c>
      <c r="V561" s="185" t="s">
        <v>89</v>
      </c>
      <c r="W561" s="185" t="s">
        <v>1782</v>
      </c>
      <c r="X561" s="18"/>
      <c r="Y561" s="18"/>
      <c r="Z561" s="18"/>
      <c r="AA561" s="18"/>
      <c r="AB561" s="525" t="s">
        <v>3844</v>
      </c>
      <c r="AC561" s="522">
        <v>9107798765</v>
      </c>
    </row>
    <row r="562" spans="1:29" ht="25.5">
      <c r="A562" s="32">
        <v>2</v>
      </c>
      <c r="B562" s="176" t="s">
        <v>196</v>
      </c>
      <c r="C562" s="176" t="s">
        <v>241</v>
      </c>
      <c r="D562" s="177" t="s">
        <v>2119</v>
      </c>
      <c r="E562" s="546"/>
      <c r="F562" s="546"/>
      <c r="G562" s="178" t="s">
        <v>247</v>
      </c>
      <c r="H562" s="13"/>
      <c r="I562" s="13"/>
      <c r="J562" s="13" t="s">
        <v>1374</v>
      </c>
      <c r="K562" s="176"/>
      <c r="L562" s="176" t="s">
        <v>65</v>
      </c>
      <c r="M562" s="180">
        <v>45240</v>
      </c>
      <c r="N562" s="181"/>
      <c r="O562" s="181">
        <v>9.6168420000000001</v>
      </c>
      <c r="P562" s="181">
        <v>125.965041</v>
      </c>
      <c r="Q562" s="182" t="s">
        <v>1775</v>
      </c>
      <c r="R562" s="183" t="s">
        <v>1776</v>
      </c>
      <c r="S562" s="546"/>
      <c r="T562" s="546"/>
      <c r="U562" s="181" t="s">
        <v>22</v>
      </c>
      <c r="V562" s="184" t="s">
        <v>89</v>
      </c>
      <c r="W562" s="185" t="s">
        <v>1782</v>
      </c>
      <c r="X562" s="18"/>
      <c r="Y562" s="18"/>
      <c r="Z562" s="18"/>
      <c r="AA562" s="18"/>
      <c r="AB562" s="511"/>
      <c r="AC562" s="511"/>
    </row>
    <row r="563" spans="1:29" ht="25.5">
      <c r="A563" s="32">
        <v>3</v>
      </c>
      <c r="B563" s="176" t="s">
        <v>196</v>
      </c>
      <c r="C563" s="176" t="s">
        <v>241</v>
      </c>
      <c r="D563" s="177" t="s">
        <v>2119</v>
      </c>
      <c r="E563" s="546"/>
      <c r="F563" s="546"/>
      <c r="G563" s="178" t="s">
        <v>249</v>
      </c>
      <c r="H563" s="13"/>
      <c r="I563" s="13"/>
      <c r="J563" s="13" t="s">
        <v>1383</v>
      </c>
      <c r="K563" s="176"/>
      <c r="L563" s="176" t="s">
        <v>31</v>
      </c>
      <c r="M563" s="180">
        <v>45241</v>
      </c>
      <c r="N563" s="181"/>
      <c r="O563" s="181">
        <v>9.6182909999999993</v>
      </c>
      <c r="P563" s="181">
        <v>125.966008</v>
      </c>
      <c r="Q563" s="182" t="s">
        <v>1775</v>
      </c>
      <c r="R563" s="183" t="s">
        <v>1776</v>
      </c>
      <c r="S563" s="546"/>
      <c r="T563" s="546"/>
      <c r="U563" s="181" t="s">
        <v>22</v>
      </c>
      <c r="V563" s="184" t="s">
        <v>89</v>
      </c>
      <c r="W563" s="185" t="s">
        <v>2080</v>
      </c>
      <c r="X563" s="18"/>
      <c r="Y563" s="18"/>
      <c r="Z563" s="18"/>
      <c r="AA563" s="18"/>
      <c r="AB563" s="511"/>
      <c r="AC563" s="511"/>
    </row>
    <row r="564" spans="1:29" ht="25.5">
      <c r="A564" s="32">
        <v>4</v>
      </c>
      <c r="B564" s="176" t="s">
        <v>196</v>
      </c>
      <c r="C564" s="176" t="s">
        <v>241</v>
      </c>
      <c r="D564" s="177" t="s">
        <v>2119</v>
      </c>
      <c r="E564" s="546"/>
      <c r="F564" s="546"/>
      <c r="G564" s="178" t="s">
        <v>250</v>
      </c>
      <c r="H564" s="13"/>
      <c r="I564" s="13"/>
      <c r="J564" s="13" t="s">
        <v>1391</v>
      </c>
      <c r="K564" s="176"/>
      <c r="L564" s="176" t="s">
        <v>65</v>
      </c>
      <c r="M564" s="180">
        <v>45240</v>
      </c>
      <c r="N564" s="181"/>
      <c r="O564" s="181">
        <v>9.6189780000000003</v>
      </c>
      <c r="P564" s="181">
        <v>125.965622</v>
      </c>
      <c r="Q564" s="182" t="s">
        <v>1775</v>
      </c>
      <c r="R564" s="183" t="s">
        <v>1776</v>
      </c>
      <c r="S564" s="546"/>
      <c r="T564" s="546"/>
      <c r="U564" s="181" t="s">
        <v>22</v>
      </c>
      <c r="V564" s="184" t="s">
        <v>89</v>
      </c>
      <c r="W564" s="185" t="s">
        <v>1782</v>
      </c>
      <c r="X564" s="18"/>
      <c r="Y564" s="18"/>
      <c r="Z564" s="18"/>
      <c r="AA564" s="18"/>
      <c r="AB564" s="511"/>
      <c r="AC564" s="511"/>
    </row>
    <row r="565" spans="1:29" ht="12.75">
      <c r="A565" s="32">
        <v>5</v>
      </c>
      <c r="B565" s="176" t="s">
        <v>196</v>
      </c>
      <c r="C565" s="176" t="s">
        <v>241</v>
      </c>
      <c r="D565" s="177" t="s">
        <v>2119</v>
      </c>
      <c r="E565" s="546"/>
      <c r="F565" s="546"/>
      <c r="G565" s="178" t="s">
        <v>254</v>
      </c>
      <c r="H565" s="13"/>
      <c r="I565" s="13"/>
      <c r="J565" s="13" t="s">
        <v>1399</v>
      </c>
      <c r="K565" s="176"/>
      <c r="L565" s="176" t="s">
        <v>103</v>
      </c>
      <c r="M565" s="180">
        <v>45240</v>
      </c>
      <c r="N565" s="181"/>
      <c r="O565" s="181">
        <v>9.6185960000000001</v>
      </c>
      <c r="P565" s="181">
        <v>125.96572399999999</v>
      </c>
      <c r="Q565" s="182" t="s">
        <v>1775</v>
      </c>
      <c r="R565" s="183" t="s">
        <v>1776</v>
      </c>
      <c r="S565" s="546"/>
      <c r="T565" s="546"/>
      <c r="U565" s="181" t="s">
        <v>22</v>
      </c>
      <c r="V565" s="184" t="s">
        <v>89</v>
      </c>
      <c r="W565" s="185" t="s">
        <v>1782</v>
      </c>
      <c r="X565" s="18"/>
      <c r="Y565" s="18"/>
      <c r="Z565" s="18"/>
      <c r="AA565" s="18"/>
      <c r="AB565" s="511"/>
      <c r="AC565" s="511"/>
    </row>
    <row r="566" spans="1:29" ht="12.75">
      <c r="A566" s="32">
        <v>6</v>
      </c>
      <c r="B566" s="176" t="s">
        <v>196</v>
      </c>
      <c r="C566" s="176" t="s">
        <v>241</v>
      </c>
      <c r="D566" s="177" t="s">
        <v>2119</v>
      </c>
      <c r="E566" s="546"/>
      <c r="F566" s="546"/>
      <c r="G566" s="178" t="s">
        <v>255</v>
      </c>
      <c r="H566" s="13"/>
      <c r="I566" s="13"/>
      <c r="J566" s="13" t="s">
        <v>1406</v>
      </c>
      <c r="K566" s="176"/>
      <c r="L566" s="176" t="s">
        <v>408</v>
      </c>
      <c r="M566" s="180">
        <v>45241</v>
      </c>
      <c r="N566" s="181"/>
      <c r="O566" s="181">
        <v>9.6169349999999998</v>
      </c>
      <c r="P566" s="181">
        <v>125.966363</v>
      </c>
      <c r="Q566" s="182" t="s">
        <v>1775</v>
      </c>
      <c r="R566" s="183" t="s">
        <v>1776</v>
      </c>
      <c r="S566" s="546"/>
      <c r="T566" s="546"/>
      <c r="U566" s="181" t="s">
        <v>22</v>
      </c>
      <c r="V566" s="184" t="s">
        <v>89</v>
      </c>
      <c r="W566" s="185" t="s">
        <v>2080</v>
      </c>
      <c r="X566" s="18"/>
      <c r="Y566" s="18"/>
      <c r="Z566" s="18"/>
      <c r="AA566" s="18"/>
      <c r="AB566" s="512"/>
      <c r="AC566" s="512"/>
    </row>
    <row r="567" spans="1:29" ht="25.5">
      <c r="A567" s="32">
        <v>7</v>
      </c>
      <c r="B567" s="176" t="s">
        <v>196</v>
      </c>
      <c r="C567" s="176" t="s">
        <v>241</v>
      </c>
      <c r="D567" s="177" t="s">
        <v>2119</v>
      </c>
      <c r="E567" s="547"/>
      <c r="F567" s="547"/>
      <c r="G567" s="209" t="s">
        <v>3845</v>
      </c>
      <c r="H567" s="97"/>
      <c r="I567" s="97"/>
      <c r="J567" s="97" t="s">
        <v>1648</v>
      </c>
      <c r="K567" s="176"/>
      <c r="L567" s="176" t="s">
        <v>238</v>
      </c>
      <c r="M567" s="180">
        <v>45547</v>
      </c>
      <c r="N567" s="181"/>
      <c r="O567" s="181">
        <v>9.6176959740000001</v>
      </c>
      <c r="P567" s="181">
        <v>125.966459</v>
      </c>
      <c r="Q567" s="182" t="s">
        <v>1775</v>
      </c>
      <c r="R567" s="183" t="s">
        <v>1776</v>
      </c>
      <c r="S567" s="547"/>
      <c r="T567" s="547"/>
      <c r="U567" s="181" t="s">
        <v>22</v>
      </c>
      <c r="V567" s="184" t="s">
        <v>89</v>
      </c>
      <c r="W567" s="185" t="s">
        <v>1782</v>
      </c>
      <c r="X567" s="18"/>
      <c r="Y567" s="18"/>
      <c r="Z567" s="162" t="s">
        <v>1649</v>
      </c>
      <c r="AA567" s="18"/>
      <c r="AB567" s="18"/>
      <c r="AC567" s="18"/>
    </row>
    <row r="568" spans="1:29" ht="25.5">
      <c r="A568" s="32">
        <v>8</v>
      </c>
      <c r="B568" s="176" t="s">
        <v>196</v>
      </c>
      <c r="C568" s="176" t="s">
        <v>241</v>
      </c>
      <c r="D568" s="177" t="s">
        <v>2119</v>
      </c>
      <c r="E568" s="545" t="s">
        <v>600</v>
      </c>
      <c r="F568" s="545" t="s">
        <v>1810</v>
      </c>
      <c r="G568" s="407" t="s">
        <v>197</v>
      </c>
      <c r="H568" s="23"/>
      <c r="I568" s="23"/>
      <c r="J568" s="23" t="s">
        <v>2140</v>
      </c>
      <c r="K568" s="176"/>
      <c r="L568" s="176" t="s">
        <v>374</v>
      </c>
      <c r="M568" s="180">
        <v>45674</v>
      </c>
      <c r="N568" s="181"/>
      <c r="O568" s="181">
        <v>9.6197565300000001</v>
      </c>
      <c r="P568" s="181">
        <v>125.96419400000001</v>
      </c>
      <c r="Q568" s="182" t="s">
        <v>1775</v>
      </c>
      <c r="R568" s="183" t="s">
        <v>1776</v>
      </c>
      <c r="S568" s="545" t="b">
        <v>0</v>
      </c>
      <c r="T568" s="545" t="b">
        <v>0</v>
      </c>
      <c r="U568" s="181" t="s">
        <v>513</v>
      </c>
      <c r="V568" s="184" t="s">
        <v>89</v>
      </c>
      <c r="W568" s="185" t="s">
        <v>2080</v>
      </c>
      <c r="X568" s="18"/>
      <c r="Y568" s="128" t="s">
        <v>1428</v>
      </c>
      <c r="Z568" s="114"/>
      <c r="AA568" s="18"/>
      <c r="AB568" s="96" t="s">
        <v>200</v>
      </c>
      <c r="AC568" s="96">
        <v>9104424991</v>
      </c>
    </row>
    <row r="569" spans="1:29" ht="25.5">
      <c r="A569" s="32">
        <v>9</v>
      </c>
      <c r="B569" s="176" t="s">
        <v>196</v>
      </c>
      <c r="C569" s="176" t="s">
        <v>241</v>
      </c>
      <c r="D569" s="177" t="s">
        <v>2119</v>
      </c>
      <c r="E569" s="546"/>
      <c r="F569" s="546"/>
      <c r="G569" s="213" t="s">
        <v>599</v>
      </c>
      <c r="H569" s="23"/>
      <c r="I569" s="23"/>
      <c r="J569" s="23" t="s">
        <v>2147</v>
      </c>
      <c r="K569" s="176"/>
      <c r="L569" s="176" t="s">
        <v>553</v>
      </c>
      <c r="M569" s="180">
        <v>45546</v>
      </c>
      <c r="N569" s="181"/>
      <c r="O569" s="181">
        <v>9.6196971799999993</v>
      </c>
      <c r="P569" s="181">
        <v>125.9613155</v>
      </c>
      <c r="Q569" s="182" t="s">
        <v>1775</v>
      </c>
      <c r="R569" s="183" t="s">
        <v>1776</v>
      </c>
      <c r="S569" s="546"/>
      <c r="T569" s="546"/>
      <c r="U569" s="181" t="s">
        <v>513</v>
      </c>
      <c r="V569" s="184" t="s">
        <v>89</v>
      </c>
      <c r="W569" s="185" t="s">
        <v>1782</v>
      </c>
      <c r="X569" s="18"/>
      <c r="Y569" s="527" t="s">
        <v>1428</v>
      </c>
      <c r="Z569" s="527" t="s">
        <v>386</v>
      </c>
      <c r="AA569" s="18"/>
      <c r="AB569" s="525" t="s">
        <v>2152</v>
      </c>
      <c r="AC569" s="525">
        <v>9172067127</v>
      </c>
    </row>
    <row r="570" spans="1:29" ht="25.5">
      <c r="A570" s="32">
        <v>10</v>
      </c>
      <c r="B570" s="176" t="s">
        <v>196</v>
      </c>
      <c r="C570" s="176" t="s">
        <v>241</v>
      </c>
      <c r="D570" s="177" t="s">
        <v>2119</v>
      </c>
      <c r="E570" s="547"/>
      <c r="F570" s="547"/>
      <c r="G570" s="213" t="s">
        <v>601</v>
      </c>
      <c r="H570" s="23"/>
      <c r="I570" s="23"/>
      <c r="J570" s="23" t="s">
        <v>2159</v>
      </c>
      <c r="K570" s="176"/>
      <c r="L570" s="176" t="s">
        <v>553</v>
      </c>
      <c r="M570" s="180">
        <v>45546</v>
      </c>
      <c r="N570" s="181"/>
      <c r="O570" s="181">
        <v>9.6197879299999993</v>
      </c>
      <c r="P570" s="181">
        <v>125.9616092</v>
      </c>
      <c r="Q570" s="182" t="s">
        <v>1775</v>
      </c>
      <c r="R570" s="183" t="s">
        <v>1776</v>
      </c>
      <c r="S570" s="547"/>
      <c r="T570" s="547"/>
      <c r="U570" s="181" t="s">
        <v>513</v>
      </c>
      <c r="V570" s="184" t="s">
        <v>89</v>
      </c>
      <c r="W570" s="185" t="s">
        <v>1782</v>
      </c>
      <c r="X570" s="18"/>
      <c r="Y570" s="512"/>
      <c r="Z570" s="512"/>
      <c r="AA570" s="18"/>
      <c r="AB570" s="512"/>
      <c r="AC570" s="512"/>
    </row>
    <row r="571" spans="1:29" ht="25.5">
      <c r="A571" s="32">
        <v>11</v>
      </c>
      <c r="B571" s="176" t="s">
        <v>196</v>
      </c>
      <c r="C571" s="176" t="s">
        <v>2061</v>
      </c>
      <c r="D571" s="177" t="s">
        <v>2119</v>
      </c>
      <c r="E571" s="550" t="str">
        <f>LEFT(G571,FIND("_",G571) - 1)</f>
        <v>Socorro National High School</v>
      </c>
      <c r="F571" s="550" t="s">
        <v>1810</v>
      </c>
      <c r="G571" s="213" t="s">
        <v>602</v>
      </c>
      <c r="H571" s="23"/>
      <c r="I571" s="23"/>
      <c r="J571" s="23" t="s">
        <v>2162</v>
      </c>
      <c r="K571" s="176"/>
      <c r="L571" s="176" t="s">
        <v>207</v>
      </c>
      <c r="M571" s="180">
        <v>45544</v>
      </c>
      <c r="N571" s="181"/>
      <c r="O571" s="181">
        <v>9.6144084500000009</v>
      </c>
      <c r="P571" s="181">
        <v>125.96273429999999</v>
      </c>
      <c r="Q571" s="182" t="s">
        <v>1775</v>
      </c>
      <c r="R571" s="183" t="s">
        <v>1776</v>
      </c>
      <c r="S571" s="550" t="b">
        <v>0</v>
      </c>
      <c r="T571" s="550" t="b">
        <v>0</v>
      </c>
      <c r="U571" s="181" t="s">
        <v>513</v>
      </c>
      <c r="V571" s="185" t="s">
        <v>89</v>
      </c>
      <c r="W571" s="185" t="s">
        <v>1782</v>
      </c>
      <c r="X571" s="18"/>
      <c r="Y571" s="527" t="s">
        <v>1428</v>
      </c>
      <c r="Z571" s="527" t="s">
        <v>386</v>
      </c>
      <c r="AA571" s="18"/>
      <c r="AB571" s="525" t="s">
        <v>2166</v>
      </c>
      <c r="AC571" s="525" t="s">
        <v>2168</v>
      </c>
    </row>
    <row r="572" spans="1:29" ht="25.5">
      <c r="A572" s="32">
        <v>12</v>
      </c>
      <c r="B572" s="176" t="s">
        <v>196</v>
      </c>
      <c r="C572" s="176" t="s">
        <v>2061</v>
      </c>
      <c r="D572" s="177" t="s">
        <v>2119</v>
      </c>
      <c r="E572" s="551"/>
      <c r="F572" s="551"/>
      <c r="G572" s="213" t="s">
        <v>604</v>
      </c>
      <c r="H572" s="23"/>
      <c r="I572" s="23"/>
      <c r="J572" s="23" t="s">
        <v>2172</v>
      </c>
      <c r="K572" s="176"/>
      <c r="L572" s="176" t="s">
        <v>207</v>
      </c>
      <c r="M572" s="180">
        <v>45544</v>
      </c>
      <c r="N572" s="181"/>
      <c r="O572" s="181">
        <v>9.61404076</v>
      </c>
      <c r="P572" s="181">
        <v>125.9629016</v>
      </c>
      <c r="Q572" s="182" t="s">
        <v>1775</v>
      </c>
      <c r="R572" s="183" t="s">
        <v>1776</v>
      </c>
      <c r="S572" s="551"/>
      <c r="T572" s="551"/>
      <c r="U572" s="181" t="s">
        <v>513</v>
      </c>
      <c r="V572" s="185" t="s">
        <v>89</v>
      </c>
      <c r="W572" s="185" t="s">
        <v>1782</v>
      </c>
      <c r="X572" s="18"/>
      <c r="Y572" s="512"/>
      <c r="Z572" s="512"/>
      <c r="AA572" s="18"/>
      <c r="AB572" s="512"/>
      <c r="AC572" s="512"/>
    </row>
    <row r="573" spans="1:29" ht="25.5">
      <c r="A573" s="32">
        <v>13</v>
      </c>
      <c r="B573" s="176" t="s">
        <v>196</v>
      </c>
      <c r="C573" s="176" t="s">
        <v>2061</v>
      </c>
      <c r="D573" s="177" t="s">
        <v>2119</v>
      </c>
      <c r="E573" s="552"/>
      <c r="F573" s="552"/>
      <c r="G573" s="407" t="s">
        <v>202</v>
      </c>
      <c r="H573" s="23"/>
      <c r="I573" s="23"/>
      <c r="J573" s="23" t="s">
        <v>2175</v>
      </c>
      <c r="K573" s="176"/>
      <c r="L573" s="176" t="s">
        <v>374</v>
      </c>
      <c r="M573" s="180">
        <v>45674</v>
      </c>
      <c r="N573" s="181"/>
      <c r="O573" s="181">
        <v>9.6131130000000002</v>
      </c>
      <c r="P573" s="181">
        <v>125.963888</v>
      </c>
      <c r="Q573" s="182" t="s">
        <v>1775</v>
      </c>
      <c r="R573" s="183" t="s">
        <v>1776</v>
      </c>
      <c r="S573" s="552"/>
      <c r="T573" s="552"/>
      <c r="U573" s="181" t="s">
        <v>513</v>
      </c>
      <c r="V573" s="184" t="s">
        <v>89</v>
      </c>
      <c r="W573" s="185" t="s">
        <v>2080</v>
      </c>
      <c r="X573" s="18"/>
      <c r="Y573" s="128" t="s">
        <v>1428</v>
      </c>
      <c r="Z573" s="114"/>
      <c r="AA573" s="18"/>
      <c r="AB573" s="18"/>
      <c r="AC573" s="18"/>
    </row>
    <row r="574" spans="1:29" ht="51">
      <c r="A574" s="32">
        <v>14</v>
      </c>
      <c r="B574" s="176" t="s">
        <v>196</v>
      </c>
      <c r="C574" s="176" t="s">
        <v>1629</v>
      </c>
      <c r="D574" s="177" t="s">
        <v>2119</v>
      </c>
      <c r="E574" s="550" t="str">
        <f>LEFT(G574,FIND("_",G574) - 1)</f>
        <v>Salog Barangay Hall</v>
      </c>
      <c r="F574" s="550" t="s">
        <v>1810</v>
      </c>
      <c r="G574" s="213" t="s">
        <v>605</v>
      </c>
      <c r="H574" s="23"/>
      <c r="I574" s="23"/>
      <c r="J574" s="23" t="s">
        <v>2179</v>
      </c>
      <c r="K574" s="176"/>
      <c r="L574" s="176" t="s">
        <v>155</v>
      </c>
      <c r="M574" s="180">
        <v>45545</v>
      </c>
      <c r="N574" s="181"/>
      <c r="O574" s="181">
        <v>9.6963308099999992</v>
      </c>
      <c r="P574" s="181">
        <v>125.94899150000001</v>
      </c>
      <c r="Q574" s="182" t="s">
        <v>1775</v>
      </c>
      <c r="R574" s="183" t="s">
        <v>1776</v>
      </c>
      <c r="S574" s="550" t="b">
        <v>0</v>
      </c>
      <c r="T574" s="550" t="b">
        <v>0</v>
      </c>
      <c r="U574" s="181" t="s">
        <v>513</v>
      </c>
      <c r="V574" s="184" t="s">
        <v>89</v>
      </c>
      <c r="W574" s="185" t="s">
        <v>1782</v>
      </c>
      <c r="X574" s="18"/>
      <c r="Y574" s="128" t="s">
        <v>1428</v>
      </c>
      <c r="Z574" s="128" t="s">
        <v>386</v>
      </c>
      <c r="AA574" s="18"/>
      <c r="AB574" s="96" t="s">
        <v>3855</v>
      </c>
      <c r="AC574" s="96" t="s">
        <v>2186</v>
      </c>
    </row>
    <row r="575" spans="1:29" ht="25.5">
      <c r="A575" s="32">
        <v>15</v>
      </c>
      <c r="B575" s="176" t="s">
        <v>196</v>
      </c>
      <c r="C575" s="176" t="s">
        <v>1629</v>
      </c>
      <c r="D575" s="177" t="s">
        <v>2119</v>
      </c>
      <c r="E575" s="551"/>
      <c r="F575" s="551"/>
      <c r="G575" s="213" t="s">
        <v>608</v>
      </c>
      <c r="H575" s="23"/>
      <c r="I575" s="23"/>
      <c r="J575" s="23" t="s">
        <v>2189</v>
      </c>
      <c r="K575" s="176"/>
      <c r="L575" s="176" t="s">
        <v>374</v>
      </c>
      <c r="M575" s="180">
        <v>45545</v>
      </c>
      <c r="N575" s="181"/>
      <c r="O575" s="181">
        <v>9.6958337799999992</v>
      </c>
      <c r="P575" s="181">
        <v>125.9489689</v>
      </c>
      <c r="Q575" s="182" t="s">
        <v>1775</v>
      </c>
      <c r="R575" s="183" t="s">
        <v>1776</v>
      </c>
      <c r="S575" s="551"/>
      <c r="T575" s="551"/>
      <c r="U575" s="181" t="s">
        <v>513</v>
      </c>
      <c r="V575" s="184" t="s">
        <v>89</v>
      </c>
      <c r="W575" s="185" t="s">
        <v>1782</v>
      </c>
      <c r="X575" s="18"/>
      <c r="Y575" s="128" t="s">
        <v>1428</v>
      </c>
      <c r="Z575" s="128" t="s">
        <v>386</v>
      </c>
      <c r="AA575" s="18"/>
      <c r="AB575" s="96" t="s">
        <v>2191</v>
      </c>
      <c r="AC575" s="96">
        <v>9463413924</v>
      </c>
    </row>
    <row r="576" spans="1:29" ht="51">
      <c r="A576" s="32">
        <v>16</v>
      </c>
      <c r="B576" s="176" t="s">
        <v>196</v>
      </c>
      <c r="C576" s="176" t="s">
        <v>1629</v>
      </c>
      <c r="D576" s="177" t="s">
        <v>2119</v>
      </c>
      <c r="E576" s="552"/>
      <c r="F576" s="552"/>
      <c r="G576" s="213" t="s">
        <v>607</v>
      </c>
      <c r="H576" s="23"/>
      <c r="I576" s="23"/>
      <c r="J576" s="23" t="s">
        <v>2195</v>
      </c>
      <c r="K576" s="176"/>
      <c r="L576" s="176" t="s">
        <v>155</v>
      </c>
      <c r="M576" s="180">
        <v>45545</v>
      </c>
      <c r="N576" s="181"/>
      <c r="O576" s="181">
        <v>9.6965032900000008</v>
      </c>
      <c r="P576" s="181">
        <v>125.9486388</v>
      </c>
      <c r="Q576" s="182" t="s">
        <v>1775</v>
      </c>
      <c r="R576" s="183" t="s">
        <v>1776</v>
      </c>
      <c r="S576" s="552"/>
      <c r="T576" s="552"/>
      <c r="U576" s="181" t="s">
        <v>513</v>
      </c>
      <c r="V576" s="184" t="s">
        <v>89</v>
      </c>
      <c r="W576" s="185" t="s">
        <v>1782</v>
      </c>
      <c r="X576" s="18"/>
      <c r="Y576" s="128" t="s">
        <v>1428</v>
      </c>
      <c r="Z576" s="128" t="s">
        <v>386</v>
      </c>
      <c r="AA576" s="18"/>
      <c r="AB576" s="96" t="s">
        <v>3855</v>
      </c>
      <c r="AC576" s="96" t="s">
        <v>2186</v>
      </c>
    </row>
    <row r="577" spans="1:29" ht="25.5">
      <c r="A577" s="32">
        <v>17</v>
      </c>
      <c r="B577" s="176" t="s">
        <v>196</v>
      </c>
      <c r="C577" s="176" t="s">
        <v>1638</v>
      </c>
      <c r="D577" s="177" t="s">
        <v>2119</v>
      </c>
      <c r="E577" s="550" t="str">
        <f>LEFT(G577,FIND("_",G577) - 1)</f>
        <v>Sohoton Cove Tourism</v>
      </c>
      <c r="F577" s="550" t="s">
        <v>1810</v>
      </c>
      <c r="G577" s="407" t="s">
        <v>610</v>
      </c>
      <c r="H577" s="23"/>
      <c r="I577" s="23"/>
      <c r="J577" s="23" t="s">
        <v>2198</v>
      </c>
      <c r="K577" s="176"/>
      <c r="L577" s="176" t="s">
        <v>128</v>
      </c>
      <c r="M577" s="180">
        <v>45546</v>
      </c>
      <c r="N577" s="181"/>
      <c r="O577" s="181">
        <v>9.5955293400000006</v>
      </c>
      <c r="P577" s="181">
        <v>125.9104476</v>
      </c>
      <c r="Q577" s="182" t="s">
        <v>1775</v>
      </c>
      <c r="R577" s="183" t="s">
        <v>1776</v>
      </c>
      <c r="S577" s="550" t="b">
        <v>0</v>
      </c>
      <c r="T577" s="550" t="b">
        <v>0</v>
      </c>
      <c r="U577" s="181" t="s">
        <v>513</v>
      </c>
      <c r="V577" s="184" t="s">
        <v>89</v>
      </c>
      <c r="W577" s="185" t="s">
        <v>1782</v>
      </c>
      <c r="X577" s="18"/>
      <c r="Y577" s="536"/>
      <c r="Z577" s="527" t="s">
        <v>386</v>
      </c>
      <c r="AA577" s="18"/>
      <c r="AB577" s="525" t="s">
        <v>3859</v>
      </c>
      <c r="AC577" s="525">
        <v>9104153633</v>
      </c>
    </row>
    <row r="578" spans="1:29" ht="25.5">
      <c r="A578" s="32">
        <v>18</v>
      </c>
      <c r="B578" s="176" t="s">
        <v>196</v>
      </c>
      <c r="C578" s="176" t="s">
        <v>1638</v>
      </c>
      <c r="D578" s="177" t="s">
        <v>2119</v>
      </c>
      <c r="E578" s="552"/>
      <c r="F578" s="552"/>
      <c r="G578" s="213" t="s">
        <v>612</v>
      </c>
      <c r="H578" s="23"/>
      <c r="I578" s="23"/>
      <c r="J578" s="23" t="s">
        <v>2203</v>
      </c>
      <c r="K578" s="176"/>
      <c r="L578" s="176" t="s">
        <v>128</v>
      </c>
      <c r="M578" s="180">
        <v>45546</v>
      </c>
      <c r="N578" s="181"/>
      <c r="O578" s="181">
        <v>9.5955284699999996</v>
      </c>
      <c r="P578" s="181">
        <v>125.9103702</v>
      </c>
      <c r="Q578" s="182" t="s">
        <v>1775</v>
      </c>
      <c r="R578" s="183" t="s">
        <v>1776</v>
      </c>
      <c r="S578" s="552"/>
      <c r="T578" s="552"/>
      <c r="U578" s="181" t="s">
        <v>513</v>
      </c>
      <c r="V578" s="185" t="s">
        <v>89</v>
      </c>
      <c r="W578" s="185" t="s">
        <v>1782</v>
      </c>
      <c r="X578" s="18"/>
      <c r="Y578" s="512"/>
      <c r="Z578" s="512"/>
      <c r="AA578" s="18"/>
      <c r="AB578" s="512"/>
      <c r="AC578" s="512"/>
    </row>
    <row r="579" spans="1:29" ht="25.5">
      <c r="A579" s="32">
        <v>19</v>
      </c>
      <c r="B579" s="181" t="s">
        <v>196</v>
      </c>
      <c r="C579" s="185" t="s">
        <v>2734</v>
      </c>
      <c r="D579" s="177" t="s">
        <v>2119</v>
      </c>
      <c r="E579" s="545" t="s">
        <v>2736</v>
      </c>
      <c r="F579" s="545" t="s">
        <v>1810</v>
      </c>
      <c r="G579" s="190" t="s">
        <v>2735</v>
      </c>
      <c r="H579" s="179"/>
      <c r="I579" s="179"/>
      <c r="J579" s="179" t="s">
        <v>3863</v>
      </c>
      <c r="K579" s="185"/>
      <c r="L579" s="185" t="s">
        <v>374</v>
      </c>
      <c r="M579" s="180">
        <v>46101</v>
      </c>
      <c r="N579" s="181"/>
      <c r="O579" s="181">
        <v>9.9053970000000007</v>
      </c>
      <c r="P579" s="181">
        <v>125.59242999999999</v>
      </c>
      <c r="Q579" s="182" t="s">
        <v>1813</v>
      </c>
      <c r="R579" s="183" t="s">
        <v>1814</v>
      </c>
      <c r="S579" s="545" t="b">
        <v>0</v>
      </c>
      <c r="T579" s="545" t="b">
        <v>0</v>
      </c>
      <c r="U579" s="181" t="s">
        <v>1815</v>
      </c>
      <c r="V579" s="185" t="s">
        <v>89</v>
      </c>
      <c r="W579" s="185" t="s">
        <v>1782</v>
      </c>
      <c r="X579" s="18"/>
      <c r="Y579" s="18"/>
      <c r="Z579" s="18"/>
      <c r="AA579" s="18"/>
      <c r="AB579" s="18"/>
      <c r="AC579" s="18"/>
    </row>
    <row r="580" spans="1:29" ht="25.5">
      <c r="A580" s="32">
        <v>20</v>
      </c>
      <c r="B580" s="181" t="s">
        <v>196</v>
      </c>
      <c r="C580" s="185" t="s">
        <v>2734</v>
      </c>
      <c r="D580" s="177" t="s">
        <v>2119</v>
      </c>
      <c r="E580" s="546"/>
      <c r="F580" s="546"/>
      <c r="G580" s="190" t="s">
        <v>2737</v>
      </c>
      <c r="H580" s="179"/>
      <c r="I580" s="179"/>
      <c r="J580" s="179" t="s">
        <v>3863</v>
      </c>
      <c r="K580" s="185"/>
      <c r="L580" s="185" t="s">
        <v>374</v>
      </c>
      <c r="M580" s="180">
        <v>46101</v>
      </c>
      <c r="N580" s="181"/>
      <c r="O580" s="181">
        <v>9.9053970000000007</v>
      </c>
      <c r="P580" s="181">
        <v>125.59242999999999</v>
      </c>
      <c r="Q580" s="182" t="s">
        <v>1813</v>
      </c>
      <c r="R580" s="183" t="s">
        <v>1814</v>
      </c>
      <c r="S580" s="546"/>
      <c r="T580" s="546"/>
      <c r="U580" s="181" t="s">
        <v>1815</v>
      </c>
      <c r="V580" s="185" t="s">
        <v>89</v>
      </c>
      <c r="W580" s="185" t="s">
        <v>1782</v>
      </c>
      <c r="X580" s="18"/>
      <c r="Y580" s="18"/>
      <c r="Z580" s="18"/>
      <c r="AA580" s="18"/>
      <c r="AB580" s="18"/>
      <c r="AC580" s="18"/>
    </row>
    <row r="581" spans="1:29" ht="25.5">
      <c r="A581" s="32">
        <v>21</v>
      </c>
      <c r="B581" s="181" t="s">
        <v>196</v>
      </c>
      <c r="C581" s="185" t="s">
        <v>2734</v>
      </c>
      <c r="D581" s="177" t="s">
        <v>2119</v>
      </c>
      <c r="E581" s="547"/>
      <c r="F581" s="547"/>
      <c r="G581" s="190" t="s">
        <v>2738</v>
      </c>
      <c r="H581" s="179"/>
      <c r="I581" s="179"/>
      <c r="J581" s="179" t="s">
        <v>3863</v>
      </c>
      <c r="K581" s="185"/>
      <c r="L581" s="185" t="s">
        <v>374</v>
      </c>
      <c r="M581" s="180">
        <v>46101</v>
      </c>
      <c r="N581" s="181"/>
      <c r="O581" s="181">
        <v>9.9053970000000007</v>
      </c>
      <c r="P581" s="181">
        <v>125.59242999999999</v>
      </c>
      <c r="Q581" s="182" t="s">
        <v>1813</v>
      </c>
      <c r="R581" s="183" t="s">
        <v>1814</v>
      </c>
      <c r="S581" s="547"/>
      <c r="T581" s="547"/>
      <c r="U581" s="181" t="s">
        <v>1815</v>
      </c>
      <c r="V581" s="185" t="s">
        <v>89</v>
      </c>
      <c r="W581" s="185" t="s">
        <v>1782</v>
      </c>
      <c r="X581" s="18"/>
      <c r="Y581" s="18"/>
      <c r="Z581" s="18"/>
      <c r="AA581" s="18"/>
      <c r="AB581" s="18"/>
      <c r="AC581" s="18"/>
    </row>
    <row r="582" spans="1:29" ht="25.5">
      <c r="A582" s="32">
        <v>22</v>
      </c>
      <c r="B582" s="181" t="s">
        <v>196</v>
      </c>
      <c r="C582" s="185" t="s">
        <v>2266</v>
      </c>
      <c r="D582" s="177" t="s">
        <v>2119</v>
      </c>
      <c r="E582" s="545" t="s">
        <v>2740</v>
      </c>
      <c r="F582" s="545" t="s">
        <v>1810</v>
      </c>
      <c r="G582" s="190" t="s">
        <v>2739</v>
      </c>
      <c r="H582" s="179"/>
      <c r="I582" s="179"/>
      <c r="J582" s="179" t="s">
        <v>3866</v>
      </c>
      <c r="K582" s="185"/>
      <c r="L582" s="185" t="s">
        <v>374</v>
      </c>
      <c r="M582" s="180">
        <v>46101</v>
      </c>
      <c r="N582" s="181"/>
      <c r="O582" s="181">
        <v>9.7612310000000004</v>
      </c>
      <c r="P582" s="181">
        <v>125.6365</v>
      </c>
      <c r="Q582" s="182" t="s">
        <v>1813</v>
      </c>
      <c r="R582" s="183" t="s">
        <v>1814</v>
      </c>
      <c r="S582" s="545" t="b">
        <v>0</v>
      </c>
      <c r="T582" s="545" t="b">
        <v>0</v>
      </c>
      <c r="U582" s="181" t="s">
        <v>1815</v>
      </c>
      <c r="V582" s="185" t="s">
        <v>89</v>
      </c>
      <c r="W582" s="185" t="s">
        <v>1782</v>
      </c>
      <c r="X582" s="18"/>
      <c r="Y582" s="18"/>
      <c r="Z582" s="18"/>
      <c r="AA582" s="18"/>
      <c r="AB582" s="18"/>
      <c r="AC582" s="18"/>
    </row>
    <row r="583" spans="1:29" ht="25.5">
      <c r="A583" s="32">
        <v>23</v>
      </c>
      <c r="B583" s="181" t="s">
        <v>196</v>
      </c>
      <c r="C583" s="185" t="s">
        <v>2266</v>
      </c>
      <c r="D583" s="177" t="s">
        <v>2119</v>
      </c>
      <c r="E583" s="546"/>
      <c r="F583" s="546"/>
      <c r="G583" s="190" t="s">
        <v>2741</v>
      </c>
      <c r="H583" s="179"/>
      <c r="I583" s="179"/>
      <c r="J583" s="179" t="s">
        <v>3866</v>
      </c>
      <c r="K583" s="185"/>
      <c r="L583" s="185" t="s">
        <v>374</v>
      </c>
      <c r="M583" s="180">
        <v>46101</v>
      </c>
      <c r="N583" s="181"/>
      <c r="O583" s="181">
        <v>9.7612310000000004</v>
      </c>
      <c r="P583" s="181">
        <v>125.6365</v>
      </c>
      <c r="Q583" s="182" t="s">
        <v>1813</v>
      </c>
      <c r="R583" s="183" t="s">
        <v>1814</v>
      </c>
      <c r="S583" s="546"/>
      <c r="T583" s="546"/>
      <c r="U583" s="181" t="s">
        <v>1815</v>
      </c>
      <c r="V583" s="185" t="s">
        <v>89</v>
      </c>
      <c r="W583" s="185" t="s">
        <v>1782</v>
      </c>
      <c r="X583" s="18"/>
      <c r="Y583" s="18"/>
      <c r="Z583" s="18"/>
      <c r="AA583" s="18"/>
      <c r="AB583" s="18"/>
      <c r="AC583" s="18"/>
    </row>
    <row r="584" spans="1:29" ht="25.5">
      <c r="A584" s="32">
        <v>24</v>
      </c>
      <c r="B584" s="181" t="s">
        <v>196</v>
      </c>
      <c r="C584" s="185" t="s">
        <v>2266</v>
      </c>
      <c r="D584" s="177" t="s">
        <v>2119</v>
      </c>
      <c r="E584" s="547"/>
      <c r="F584" s="547"/>
      <c r="G584" s="190" t="s">
        <v>2742</v>
      </c>
      <c r="H584" s="179"/>
      <c r="I584" s="179"/>
      <c r="J584" s="179" t="s">
        <v>3866</v>
      </c>
      <c r="K584" s="185"/>
      <c r="L584" s="185" t="s">
        <v>374</v>
      </c>
      <c r="M584" s="180">
        <v>46101</v>
      </c>
      <c r="N584" s="181"/>
      <c r="O584" s="181">
        <v>9.7612310000000004</v>
      </c>
      <c r="P584" s="181">
        <v>125.6365</v>
      </c>
      <c r="Q584" s="182" t="s">
        <v>1813</v>
      </c>
      <c r="R584" s="183" t="s">
        <v>1814</v>
      </c>
      <c r="S584" s="547"/>
      <c r="T584" s="547"/>
      <c r="U584" s="181" t="s">
        <v>1815</v>
      </c>
      <c r="V584" s="185" t="s">
        <v>89</v>
      </c>
      <c r="W584" s="185" t="s">
        <v>1782</v>
      </c>
      <c r="X584" s="18"/>
      <c r="Y584" s="18"/>
      <c r="Z584" s="18"/>
      <c r="AA584" s="18"/>
      <c r="AB584" s="18"/>
      <c r="AC584" s="18"/>
    </row>
    <row r="585" spans="1:29" ht="25.5">
      <c r="A585" s="32">
        <v>25</v>
      </c>
      <c r="B585" s="181" t="s">
        <v>196</v>
      </c>
      <c r="C585" s="185" t="s">
        <v>2743</v>
      </c>
      <c r="D585" s="177" t="s">
        <v>2119</v>
      </c>
      <c r="E585" s="545" t="s">
        <v>2745</v>
      </c>
      <c r="F585" s="545" t="s">
        <v>1810</v>
      </c>
      <c r="G585" s="190" t="s">
        <v>2744</v>
      </c>
      <c r="H585" s="179"/>
      <c r="I585" s="179"/>
      <c r="J585" s="179" t="s">
        <v>3868</v>
      </c>
      <c r="K585" s="185"/>
      <c r="L585" s="185" t="s">
        <v>374</v>
      </c>
      <c r="M585" s="180">
        <v>46101</v>
      </c>
      <c r="N585" s="181"/>
      <c r="O585" s="181">
        <v>9.6887419999999995</v>
      </c>
      <c r="P585" s="181">
        <v>125.479145</v>
      </c>
      <c r="Q585" s="182" t="s">
        <v>1813</v>
      </c>
      <c r="R585" s="183" t="s">
        <v>1814</v>
      </c>
      <c r="S585" s="545" t="b">
        <v>0</v>
      </c>
      <c r="T585" s="545" t="b">
        <v>0</v>
      </c>
      <c r="U585" s="181" t="s">
        <v>1815</v>
      </c>
      <c r="V585" s="185" t="s">
        <v>89</v>
      </c>
      <c r="W585" s="185" t="s">
        <v>1782</v>
      </c>
      <c r="X585" s="18"/>
      <c r="Y585" s="18"/>
      <c r="Z585" s="18"/>
      <c r="AA585" s="18"/>
      <c r="AB585" s="18"/>
      <c r="AC585" s="18"/>
    </row>
    <row r="586" spans="1:29" ht="25.5">
      <c r="A586" s="32">
        <v>26</v>
      </c>
      <c r="B586" s="181" t="s">
        <v>196</v>
      </c>
      <c r="C586" s="185" t="s">
        <v>2743</v>
      </c>
      <c r="D586" s="177" t="s">
        <v>2119</v>
      </c>
      <c r="E586" s="546"/>
      <c r="F586" s="546"/>
      <c r="G586" s="190" t="s">
        <v>2746</v>
      </c>
      <c r="H586" s="179"/>
      <c r="I586" s="179"/>
      <c r="J586" s="179" t="s">
        <v>3868</v>
      </c>
      <c r="K586" s="185"/>
      <c r="L586" s="185" t="s">
        <v>374</v>
      </c>
      <c r="M586" s="180">
        <v>46101</v>
      </c>
      <c r="N586" s="181"/>
      <c r="O586" s="181">
        <v>9.6887419999999995</v>
      </c>
      <c r="P586" s="181">
        <v>125.479145</v>
      </c>
      <c r="Q586" s="182" t="s">
        <v>1813</v>
      </c>
      <c r="R586" s="183" t="s">
        <v>1814</v>
      </c>
      <c r="S586" s="546"/>
      <c r="T586" s="546"/>
      <c r="U586" s="181" t="s">
        <v>1815</v>
      </c>
      <c r="V586" s="185" t="s">
        <v>89</v>
      </c>
      <c r="W586" s="185" t="s">
        <v>1782</v>
      </c>
      <c r="X586" s="18"/>
      <c r="Y586" s="18"/>
      <c r="Z586" s="18"/>
      <c r="AA586" s="18"/>
      <c r="AB586" s="18"/>
      <c r="AC586" s="18"/>
    </row>
    <row r="587" spans="1:29" ht="25.5">
      <c r="A587" s="32">
        <v>27</v>
      </c>
      <c r="B587" s="181" t="s">
        <v>196</v>
      </c>
      <c r="C587" s="185" t="s">
        <v>2743</v>
      </c>
      <c r="D587" s="177" t="s">
        <v>2119</v>
      </c>
      <c r="E587" s="547"/>
      <c r="F587" s="547"/>
      <c r="G587" s="190" t="s">
        <v>2747</v>
      </c>
      <c r="H587" s="179"/>
      <c r="I587" s="179"/>
      <c r="J587" s="179" t="s">
        <v>3868</v>
      </c>
      <c r="K587" s="185"/>
      <c r="L587" s="185" t="s">
        <v>374</v>
      </c>
      <c r="M587" s="180">
        <v>46101</v>
      </c>
      <c r="N587" s="181"/>
      <c r="O587" s="181">
        <v>9.6887419999999995</v>
      </c>
      <c r="P587" s="181">
        <v>125.479145</v>
      </c>
      <c r="Q587" s="182" t="s">
        <v>1813</v>
      </c>
      <c r="R587" s="183" t="s">
        <v>1814</v>
      </c>
      <c r="S587" s="547"/>
      <c r="T587" s="547"/>
      <c r="U587" s="181" t="s">
        <v>1815</v>
      </c>
      <c r="V587" s="185" t="s">
        <v>89</v>
      </c>
      <c r="W587" s="185" t="s">
        <v>1782</v>
      </c>
      <c r="X587" s="18"/>
      <c r="Y587" s="18"/>
      <c r="Z587" s="18"/>
      <c r="AA587" s="18"/>
      <c r="AB587" s="18"/>
      <c r="AC587" s="18"/>
    </row>
    <row r="588" spans="1:29" ht="25.5">
      <c r="A588" s="32">
        <v>28</v>
      </c>
      <c r="B588" s="181" t="s">
        <v>196</v>
      </c>
      <c r="C588" s="185" t="s">
        <v>2748</v>
      </c>
      <c r="D588" s="177" t="s">
        <v>2119</v>
      </c>
      <c r="E588" s="545" t="s">
        <v>2750</v>
      </c>
      <c r="F588" s="545" t="s">
        <v>1810</v>
      </c>
      <c r="G588" s="190" t="s">
        <v>2749</v>
      </c>
      <c r="H588" s="179"/>
      <c r="I588" s="179"/>
      <c r="J588" s="179" t="s">
        <v>3871</v>
      </c>
      <c r="K588" s="185"/>
      <c r="L588" s="185" t="s">
        <v>374</v>
      </c>
      <c r="M588" s="180">
        <v>46101</v>
      </c>
      <c r="N588" s="181"/>
      <c r="O588" s="181">
        <v>9.8504880000000004</v>
      </c>
      <c r="P588" s="181">
        <v>125.59005000000001</v>
      </c>
      <c r="Q588" s="182" t="s">
        <v>1813</v>
      </c>
      <c r="R588" s="183" t="s">
        <v>1814</v>
      </c>
      <c r="S588" s="545" t="b">
        <v>0</v>
      </c>
      <c r="T588" s="545" t="b">
        <v>0</v>
      </c>
      <c r="U588" s="181" t="s">
        <v>1815</v>
      </c>
      <c r="V588" s="184" t="s">
        <v>89</v>
      </c>
      <c r="W588" s="185" t="s">
        <v>1782</v>
      </c>
      <c r="X588" s="18"/>
      <c r="Y588" s="18"/>
      <c r="Z588" s="18"/>
      <c r="AA588" s="18"/>
      <c r="AB588" s="18"/>
      <c r="AC588" s="18"/>
    </row>
    <row r="589" spans="1:29" ht="25.5">
      <c r="A589" s="32">
        <v>29</v>
      </c>
      <c r="B589" s="181" t="s">
        <v>196</v>
      </c>
      <c r="C589" s="185" t="s">
        <v>2748</v>
      </c>
      <c r="D589" s="177" t="s">
        <v>2119</v>
      </c>
      <c r="E589" s="546"/>
      <c r="F589" s="546"/>
      <c r="G589" s="190" t="s">
        <v>2751</v>
      </c>
      <c r="H589" s="179"/>
      <c r="I589" s="179"/>
      <c r="J589" s="179" t="s">
        <v>3871</v>
      </c>
      <c r="K589" s="185"/>
      <c r="L589" s="185" t="s">
        <v>374</v>
      </c>
      <c r="M589" s="180">
        <v>46101</v>
      </c>
      <c r="N589" s="181"/>
      <c r="O589" s="181">
        <v>9.8504880000000004</v>
      </c>
      <c r="P589" s="181">
        <v>125.59005000000001</v>
      </c>
      <c r="Q589" s="182" t="s">
        <v>1813</v>
      </c>
      <c r="R589" s="183" t="s">
        <v>1814</v>
      </c>
      <c r="S589" s="546"/>
      <c r="T589" s="546"/>
      <c r="U589" s="181" t="s">
        <v>1815</v>
      </c>
      <c r="V589" s="184" t="s">
        <v>89</v>
      </c>
      <c r="W589" s="185" t="s">
        <v>1782</v>
      </c>
      <c r="X589" s="18"/>
      <c r="Y589" s="18"/>
      <c r="Z589" s="18"/>
      <c r="AA589" s="18"/>
      <c r="AB589" s="18"/>
      <c r="AC589" s="18"/>
    </row>
    <row r="590" spans="1:29" ht="25.5">
      <c r="A590" s="32">
        <v>30</v>
      </c>
      <c r="B590" s="181" t="s">
        <v>196</v>
      </c>
      <c r="C590" s="185" t="s">
        <v>2748</v>
      </c>
      <c r="D590" s="177" t="s">
        <v>2119</v>
      </c>
      <c r="E590" s="547"/>
      <c r="F590" s="547"/>
      <c r="G590" s="190" t="s">
        <v>2752</v>
      </c>
      <c r="H590" s="179"/>
      <c r="I590" s="179"/>
      <c r="J590" s="179" t="s">
        <v>3871</v>
      </c>
      <c r="K590" s="185"/>
      <c r="L590" s="185" t="s">
        <v>374</v>
      </c>
      <c r="M590" s="180">
        <v>46101</v>
      </c>
      <c r="N590" s="181"/>
      <c r="O590" s="181">
        <v>9.8504880000000004</v>
      </c>
      <c r="P590" s="181">
        <v>125.59005000000001</v>
      </c>
      <c r="Q590" s="182" t="s">
        <v>1813</v>
      </c>
      <c r="R590" s="183" t="s">
        <v>1814</v>
      </c>
      <c r="S590" s="547"/>
      <c r="T590" s="547"/>
      <c r="U590" s="181" t="s">
        <v>1815</v>
      </c>
      <c r="V590" s="184" t="s">
        <v>89</v>
      </c>
      <c r="W590" s="185" t="s">
        <v>1782</v>
      </c>
      <c r="X590" s="18"/>
      <c r="Y590" s="18"/>
      <c r="Z590" s="18"/>
      <c r="AA590" s="18"/>
      <c r="AB590" s="18"/>
      <c r="AC590" s="18"/>
    </row>
    <row r="591" spans="1:29" ht="25.5">
      <c r="A591" s="32">
        <v>31</v>
      </c>
      <c r="B591" s="181" t="s">
        <v>196</v>
      </c>
      <c r="C591" s="185" t="s">
        <v>2753</v>
      </c>
      <c r="D591" s="177" t="s">
        <v>2119</v>
      </c>
      <c r="E591" s="545" t="s">
        <v>2755</v>
      </c>
      <c r="F591" s="545" t="s">
        <v>1810</v>
      </c>
      <c r="G591" s="190" t="s">
        <v>2754</v>
      </c>
      <c r="H591" s="179"/>
      <c r="I591" s="179"/>
      <c r="J591" s="179" t="s">
        <v>3874</v>
      </c>
      <c r="K591" s="208"/>
      <c r="L591" s="185" t="s">
        <v>207</v>
      </c>
      <c r="M591" s="180">
        <v>46101</v>
      </c>
      <c r="N591" s="181"/>
      <c r="O591" s="181">
        <v>9.9185104000000006</v>
      </c>
      <c r="P591" s="181">
        <v>125.514689</v>
      </c>
      <c r="Q591" s="182" t="s">
        <v>1813</v>
      </c>
      <c r="R591" s="183" t="s">
        <v>1814</v>
      </c>
      <c r="S591" s="545" t="b">
        <v>0</v>
      </c>
      <c r="T591" s="545" t="b">
        <v>0</v>
      </c>
      <c r="U591" s="181" t="s">
        <v>1815</v>
      </c>
      <c r="V591" s="184" t="s">
        <v>89</v>
      </c>
      <c r="W591" s="185" t="s">
        <v>1782</v>
      </c>
      <c r="X591" s="18"/>
      <c r="Y591" s="18"/>
      <c r="Z591" s="18"/>
      <c r="AA591" s="18"/>
      <c r="AB591" s="18"/>
      <c r="AC591" s="18"/>
    </row>
    <row r="592" spans="1:29" ht="25.5">
      <c r="A592" s="32">
        <v>32</v>
      </c>
      <c r="B592" s="181" t="s">
        <v>196</v>
      </c>
      <c r="C592" s="185" t="s">
        <v>2753</v>
      </c>
      <c r="D592" s="177" t="s">
        <v>2119</v>
      </c>
      <c r="E592" s="546"/>
      <c r="F592" s="546"/>
      <c r="G592" s="190" t="s">
        <v>2756</v>
      </c>
      <c r="H592" s="179"/>
      <c r="I592" s="179"/>
      <c r="J592" s="179" t="s">
        <v>3874</v>
      </c>
      <c r="K592" s="208"/>
      <c r="L592" s="185" t="s">
        <v>207</v>
      </c>
      <c r="M592" s="180">
        <v>46101</v>
      </c>
      <c r="N592" s="181"/>
      <c r="O592" s="181">
        <v>9.9185104000000006</v>
      </c>
      <c r="P592" s="181">
        <v>125.514689</v>
      </c>
      <c r="Q592" s="182" t="s">
        <v>1813</v>
      </c>
      <c r="R592" s="183" t="s">
        <v>1814</v>
      </c>
      <c r="S592" s="546"/>
      <c r="T592" s="546"/>
      <c r="U592" s="181" t="s">
        <v>1815</v>
      </c>
      <c r="V592" s="184" t="s">
        <v>89</v>
      </c>
      <c r="W592" s="185" t="s">
        <v>1782</v>
      </c>
      <c r="X592" s="18"/>
      <c r="Y592" s="18"/>
      <c r="Z592" s="18"/>
      <c r="AA592" s="18"/>
      <c r="AB592" s="18"/>
      <c r="AC592" s="18"/>
    </row>
    <row r="593" spans="1:29" ht="25.5">
      <c r="A593" s="32">
        <v>33</v>
      </c>
      <c r="B593" s="181" t="s">
        <v>196</v>
      </c>
      <c r="C593" s="185" t="s">
        <v>2753</v>
      </c>
      <c r="D593" s="177" t="s">
        <v>2119</v>
      </c>
      <c r="E593" s="547"/>
      <c r="F593" s="547"/>
      <c r="G593" s="190" t="s">
        <v>2757</v>
      </c>
      <c r="H593" s="179"/>
      <c r="I593" s="179"/>
      <c r="J593" s="179" t="s">
        <v>3874</v>
      </c>
      <c r="K593" s="208"/>
      <c r="L593" s="185" t="s">
        <v>207</v>
      </c>
      <c r="M593" s="180">
        <v>46101</v>
      </c>
      <c r="N593" s="181"/>
      <c r="O593" s="181">
        <v>9.9185104000000006</v>
      </c>
      <c r="P593" s="181">
        <v>125.514689</v>
      </c>
      <c r="Q593" s="182" t="s">
        <v>1813</v>
      </c>
      <c r="R593" s="183" t="s">
        <v>1814</v>
      </c>
      <c r="S593" s="547"/>
      <c r="T593" s="547"/>
      <c r="U593" s="181" t="s">
        <v>1815</v>
      </c>
      <c r="V593" s="184" t="s">
        <v>89</v>
      </c>
      <c r="W593" s="185" t="s">
        <v>1782</v>
      </c>
      <c r="X593" s="18"/>
      <c r="Y593" s="18"/>
      <c r="Z593" s="18"/>
      <c r="AA593" s="18"/>
      <c r="AB593" s="18"/>
      <c r="AC593" s="18"/>
    </row>
    <row r="594" spans="1:29" ht="25.5">
      <c r="A594" s="32">
        <v>1</v>
      </c>
      <c r="B594" s="176" t="s">
        <v>176</v>
      </c>
      <c r="C594" s="176" t="s">
        <v>210</v>
      </c>
      <c r="D594" s="177" t="s">
        <v>2119</v>
      </c>
      <c r="E594" s="545" t="s">
        <v>2173</v>
      </c>
      <c r="F594" s="545" t="s">
        <v>1768</v>
      </c>
      <c r="G594" s="75" t="s">
        <v>3876</v>
      </c>
      <c r="H594" s="13"/>
      <c r="I594" s="13"/>
      <c r="J594" s="13" t="s">
        <v>1331</v>
      </c>
      <c r="K594" s="227"/>
      <c r="L594" s="176" t="s">
        <v>65</v>
      </c>
      <c r="M594" s="180">
        <v>45227</v>
      </c>
      <c r="N594" s="181"/>
      <c r="O594" s="181">
        <v>10.020443</v>
      </c>
      <c r="P594" s="181">
        <v>126.03608</v>
      </c>
      <c r="Q594" s="182" t="s">
        <v>1775</v>
      </c>
      <c r="R594" s="183" t="s">
        <v>1776</v>
      </c>
      <c r="S594" s="545" t="b">
        <v>0</v>
      </c>
      <c r="T594" s="545" t="b">
        <v>0</v>
      </c>
      <c r="U594" s="181" t="s">
        <v>22</v>
      </c>
      <c r="V594" s="184" t="s">
        <v>89</v>
      </c>
      <c r="W594" s="185" t="s">
        <v>1782</v>
      </c>
      <c r="X594" s="18"/>
      <c r="Y594" s="18"/>
      <c r="Z594" s="18"/>
      <c r="AA594" s="18"/>
      <c r="AB594" s="525" t="s">
        <v>3877</v>
      </c>
      <c r="AC594" s="522" t="s">
        <v>3878</v>
      </c>
    </row>
    <row r="595" spans="1:29" ht="25.5">
      <c r="A595" s="32">
        <v>2</v>
      </c>
      <c r="B595" s="176" t="s">
        <v>176</v>
      </c>
      <c r="C595" s="176" t="s">
        <v>210</v>
      </c>
      <c r="D595" s="177" t="s">
        <v>2119</v>
      </c>
      <c r="E595" s="547"/>
      <c r="F595" s="547"/>
      <c r="G595" s="190" t="s">
        <v>217</v>
      </c>
      <c r="H595" s="13"/>
      <c r="I595" s="13"/>
      <c r="J595" s="13" t="s">
        <v>1339</v>
      </c>
      <c r="K595" s="227"/>
      <c r="L595" s="176" t="s">
        <v>65</v>
      </c>
      <c r="M595" s="180">
        <v>45227</v>
      </c>
      <c r="N595" s="181"/>
      <c r="O595" s="181">
        <v>10.020443</v>
      </c>
      <c r="P595" s="181">
        <v>126.03608</v>
      </c>
      <c r="Q595" s="182" t="s">
        <v>1775</v>
      </c>
      <c r="R595" s="183" t="s">
        <v>1776</v>
      </c>
      <c r="S595" s="547"/>
      <c r="T595" s="547"/>
      <c r="U595" s="181" t="s">
        <v>22</v>
      </c>
      <c r="V595" s="184" t="s">
        <v>89</v>
      </c>
      <c r="W595" s="185" t="s">
        <v>1782</v>
      </c>
      <c r="X595" s="18"/>
      <c r="Y595" s="18"/>
      <c r="Z595" s="18"/>
      <c r="AA595" s="18"/>
      <c r="AB595" s="511"/>
      <c r="AC595" s="511"/>
    </row>
    <row r="596" spans="1:29" ht="25.5">
      <c r="A596" s="32">
        <v>3</v>
      </c>
      <c r="B596" s="176" t="s">
        <v>176</v>
      </c>
      <c r="C596" s="176" t="s">
        <v>210</v>
      </c>
      <c r="D596" s="177" t="s">
        <v>2119</v>
      </c>
      <c r="E596" s="545" t="s">
        <v>2173</v>
      </c>
      <c r="F596" s="545" t="s">
        <v>1768</v>
      </c>
      <c r="G596" s="190" t="s">
        <v>219</v>
      </c>
      <c r="H596" s="13"/>
      <c r="I596" s="13"/>
      <c r="J596" s="13" t="s">
        <v>1343</v>
      </c>
      <c r="K596" s="227"/>
      <c r="L596" s="176" t="s">
        <v>65</v>
      </c>
      <c r="M596" s="180">
        <v>45227</v>
      </c>
      <c r="N596" s="181"/>
      <c r="O596" s="181">
        <v>10.020443</v>
      </c>
      <c r="P596" s="181">
        <v>126.03608</v>
      </c>
      <c r="Q596" s="182" t="s">
        <v>1775</v>
      </c>
      <c r="R596" s="183" t="s">
        <v>1776</v>
      </c>
      <c r="S596" s="545" t="b">
        <v>0</v>
      </c>
      <c r="T596" s="545" t="b">
        <v>0</v>
      </c>
      <c r="U596" s="181" t="s">
        <v>22</v>
      </c>
      <c r="V596" s="184" t="s">
        <v>89</v>
      </c>
      <c r="W596" s="185" t="s">
        <v>1782</v>
      </c>
      <c r="X596" s="18"/>
      <c r="Y596" s="18"/>
      <c r="Z596" s="18"/>
      <c r="AA596" s="18"/>
      <c r="AB596" s="511"/>
      <c r="AC596" s="511"/>
    </row>
    <row r="597" spans="1:29" ht="25.5">
      <c r="A597" s="32">
        <v>4</v>
      </c>
      <c r="B597" s="248" t="s">
        <v>176</v>
      </c>
      <c r="C597" s="248" t="s">
        <v>210</v>
      </c>
      <c r="D597" s="177" t="s">
        <v>2119</v>
      </c>
      <c r="E597" s="547"/>
      <c r="F597" s="547"/>
      <c r="G597" s="213" t="s">
        <v>239</v>
      </c>
      <c r="H597" s="97"/>
      <c r="I597" s="97"/>
      <c r="J597" s="97" t="s">
        <v>1631</v>
      </c>
      <c r="K597" s="470"/>
      <c r="L597" s="248" t="s">
        <v>238</v>
      </c>
      <c r="M597" s="471">
        <v>45743</v>
      </c>
      <c r="N597" s="185"/>
      <c r="O597" s="185">
        <v>10.020719700000001</v>
      </c>
      <c r="P597" s="181">
        <v>126.03591118</v>
      </c>
      <c r="Q597" s="182" t="s">
        <v>1775</v>
      </c>
      <c r="R597" s="183" t="s">
        <v>1776</v>
      </c>
      <c r="S597" s="547"/>
      <c r="T597" s="547"/>
      <c r="U597" s="181" t="s">
        <v>22</v>
      </c>
      <c r="V597" s="184" t="s">
        <v>89</v>
      </c>
      <c r="W597" s="185" t="s">
        <v>1782</v>
      </c>
      <c r="X597" s="18"/>
      <c r="Y597" s="18"/>
      <c r="Z597" s="18"/>
      <c r="AA597" s="18"/>
      <c r="AB597" s="511"/>
      <c r="AC597" s="511"/>
    </row>
    <row r="598" spans="1:29" ht="51">
      <c r="A598" s="32">
        <v>5</v>
      </c>
      <c r="B598" s="176" t="s">
        <v>176</v>
      </c>
      <c r="C598" s="176" t="s">
        <v>210</v>
      </c>
      <c r="D598" s="177" t="s">
        <v>2119</v>
      </c>
      <c r="E598" s="181" t="s">
        <v>222</v>
      </c>
      <c r="F598" s="181" t="s">
        <v>1768</v>
      </c>
      <c r="G598" s="190" t="s">
        <v>222</v>
      </c>
      <c r="H598" s="13"/>
      <c r="I598" s="13"/>
      <c r="J598" s="13" t="s">
        <v>1348</v>
      </c>
      <c r="K598" s="176"/>
      <c r="L598" s="176" t="s">
        <v>238</v>
      </c>
      <c r="M598" s="180">
        <v>45227</v>
      </c>
      <c r="N598" s="181"/>
      <c r="O598" s="181">
        <v>10.020189</v>
      </c>
      <c r="P598" s="181">
        <v>126.03633499999999</v>
      </c>
      <c r="Q598" s="182" t="s">
        <v>1775</v>
      </c>
      <c r="R598" s="183" t="s">
        <v>1776</v>
      </c>
      <c r="S598" s="181" t="b">
        <v>0</v>
      </c>
      <c r="T598" s="181" t="b">
        <v>0</v>
      </c>
      <c r="U598" s="181" t="s">
        <v>22</v>
      </c>
      <c r="V598" s="184" t="s">
        <v>89</v>
      </c>
      <c r="W598" s="185" t="s">
        <v>1782</v>
      </c>
      <c r="X598" s="18"/>
      <c r="Y598" s="18"/>
      <c r="Z598" s="18"/>
      <c r="AA598" s="18"/>
      <c r="AB598" s="511"/>
      <c r="AC598" s="511"/>
    </row>
    <row r="599" spans="1:29" ht="51">
      <c r="A599" s="32">
        <v>6</v>
      </c>
      <c r="B599" s="176" t="s">
        <v>176</v>
      </c>
      <c r="C599" s="176" t="s">
        <v>210</v>
      </c>
      <c r="D599" s="177" t="s">
        <v>2119</v>
      </c>
      <c r="E599" s="181" t="s">
        <v>224</v>
      </c>
      <c r="F599" s="181" t="s">
        <v>1768</v>
      </c>
      <c r="G599" s="190" t="s">
        <v>224</v>
      </c>
      <c r="H599" s="13"/>
      <c r="I599" s="13"/>
      <c r="J599" s="13" t="s">
        <v>1353</v>
      </c>
      <c r="K599" s="176"/>
      <c r="L599" s="176" t="s">
        <v>103</v>
      </c>
      <c r="M599" s="180">
        <v>45227</v>
      </c>
      <c r="N599" s="181"/>
      <c r="O599" s="181">
        <v>10.018582</v>
      </c>
      <c r="P599" s="181">
        <v>126.037522</v>
      </c>
      <c r="Q599" s="182" t="s">
        <v>1775</v>
      </c>
      <c r="R599" s="183" t="s">
        <v>1776</v>
      </c>
      <c r="S599" s="181" t="b">
        <v>0</v>
      </c>
      <c r="T599" s="181" t="b">
        <v>0</v>
      </c>
      <c r="U599" s="181" t="s">
        <v>22</v>
      </c>
      <c r="V599" s="185" t="s">
        <v>199</v>
      </c>
      <c r="W599" s="185" t="s">
        <v>1782</v>
      </c>
      <c r="X599" s="18"/>
      <c r="Y599" s="18"/>
      <c r="Z599" s="18"/>
      <c r="AA599" s="18"/>
      <c r="AB599" s="511"/>
      <c r="AC599" s="511"/>
    </row>
    <row r="600" spans="1:29" ht="38.25">
      <c r="A600" s="32">
        <v>7</v>
      </c>
      <c r="B600" s="176" t="s">
        <v>176</v>
      </c>
      <c r="C600" s="176" t="s">
        <v>210</v>
      </c>
      <c r="D600" s="177" t="s">
        <v>2119</v>
      </c>
      <c r="E600" s="176" t="s">
        <v>227</v>
      </c>
      <c r="F600" s="176" t="s">
        <v>1768</v>
      </c>
      <c r="G600" s="178" t="s">
        <v>227</v>
      </c>
      <c r="H600" s="13"/>
      <c r="I600" s="13"/>
      <c r="J600" s="13" t="s">
        <v>1361</v>
      </c>
      <c r="K600" s="176"/>
      <c r="L600" s="176" t="s">
        <v>374</v>
      </c>
      <c r="M600" s="180">
        <v>45228</v>
      </c>
      <c r="N600" s="181"/>
      <c r="O600" s="181">
        <v>10.021095000000001</v>
      </c>
      <c r="P600" s="181">
        <v>126.03719599999999</v>
      </c>
      <c r="Q600" s="182" t="s">
        <v>1775</v>
      </c>
      <c r="R600" s="183" t="s">
        <v>1776</v>
      </c>
      <c r="S600" s="176" t="b">
        <v>0</v>
      </c>
      <c r="T600" s="176" t="b">
        <v>0</v>
      </c>
      <c r="U600" s="181" t="s">
        <v>22</v>
      </c>
      <c r="V600" s="184" t="s">
        <v>89</v>
      </c>
      <c r="W600" s="185" t="s">
        <v>1782</v>
      </c>
      <c r="X600" s="18"/>
      <c r="Y600" s="18"/>
      <c r="Z600" s="18"/>
      <c r="AA600" s="18"/>
      <c r="AB600" s="512"/>
      <c r="AC600" s="512"/>
    </row>
    <row r="601" spans="1:29" ht="38.25">
      <c r="A601" s="32">
        <v>8</v>
      </c>
      <c r="B601" s="176" t="s">
        <v>176</v>
      </c>
      <c r="C601" s="176" t="s">
        <v>82</v>
      </c>
      <c r="D601" s="177" t="s">
        <v>2119</v>
      </c>
      <c r="E601" s="185" t="s">
        <v>231</v>
      </c>
      <c r="F601" s="185" t="s">
        <v>1768</v>
      </c>
      <c r="G601" s="213" t="s">
        <v>231</v>
      </c>
      <c r="H601" s="97"/>
      <c r="I601" s="97"/>
      <c r="J601" s="97" t="s">
        <v>1624</v>
      </c>
      <c r="K601" s="176"/>
      <c r="L601" s="176" t="s">
        <v>155</v>
      </c>
      <c r="M601" s="180">
        <v>45405</v>
      </c>
      <c r="N601" s="181"/>
      <c r="O601" s="181">
        <v>9.8642450000000004</v>
      </c>
      <c r="P601" s="181">
        <v>125.012529</v>
      </c>
      <c r="Q601" s="182" t="s">
        <v>1775</v>
      </c>
      <c r="R601" s="183" t="s">
        <v>1776</v>
      </c>
      <c r="S601" s="185" t="b">
        <v>0</v>
      </c>
      <c r="T601" s="185" t="b">
        <v>0</v>
      </c>
      <c r="U601" s="181" t="s">
        <v>22</v>
      </c>
      <c r="V601" s="184" t="s">
        <v>89</v>
      </c>
      <c r="W601" s="185" t="s">
        <v>1782</v>
      </c>
      <c r="X601" s="18"/>
      <c r="Y601" s="161" t="s">
        <v>1625</v>
      </c>
      <c r="Z601" s="162" t="s">
        <v>1628</v>
      </c>
      <c r="AA601" s="18"/>
      <c r="AB601" s="23" t="s">
        <v>3882</v>
      </c>
      <c r="AC601" s="23">
        <v>9093774292</v>
      </c>
    </row>
    <row r="602" spans="1:29" ht="38.25">
      <c r="A602" s="32">
        <v>9</v>
      </c>
      <c r="B602" s="181" t="s">
        <v>176</v>
      </c>
      <c r="C602" s="176" t="s">
        <v>210</v>
      </c>
      <c r="D602" s="177" t="s">
        <v>2119</v>
      </c>
      <c r="E602" s="550" t="str">
        <f>LEFT(G602,FIND("_",G602) - 1)</f>
        <v>Sta. Monica Rural Health Unit</v>
      </c>
      <c r="F602" s="550" t="s">
        <v>1810</v>
      </c>
      <c r="G602" s="213" t="s">
        <v>179</v>
      </c>
      <c r="H602" s="23"/>
      <c r="I602" s="23"/>
      <c r="J602" s="23" t="s">
        <v>2126</v>
      </c>
      <c r="K602" s="176"/>
      <c r="L602" s="176" t="s">
        <v>31</v>
      </c>
      <c r="M602" s="180">
        <v>45569</v>
      </c>
      <c r="N602" s="181"/>
      <c r="O602" s="181">
        <v>10.020357000000001</v>
      </c>
      <c r="P602" s="181">
        <v>126.036468</v>
      </c>
      <c r="Q602" s="182" t="s">
        <v>1775</v>
      </c>
      <c r="R602" s="183" t="s">
        <v>1776</v>
      </c>
      <c r="S602" s="550" t="b">
        <v>0</v>
      </c>
      <c r="T602" s="550" t="b">
        <v>0</v>
      </c>
      <c r="U602" s="181" t="s">
        <v>513</v>
      </c>
      <c r="V602" s="184" t="s">
        <v>89</v>
      </c>
      <c r="W602" s="185" t="s">
        <v>1782</v>
      </c>
      <c r="X602" s="18"/>
      <c r="Y602" s="128" t="s">
        <v>1428</v>
      </c>
      <c r="Z602" s="128" t="s">
        <v>386</v>
      </c>
      <c r="AA602" s="128" t="s">
        <v>386</v>
      </c>
      <c r="AB602" s="96" t="s">
        <v>3886</v>
      </c>
      <c r="AC602" s="96">
        <v>9666083729</v>
      </c>
    </row>
    <row r="603" spans="1:29" ht="25.5">
      <c r="A603" s="32">
        <v>10</v>
      </c>
      <c r="B603" s="181" t="s">
        <v>176</v>
      </c>
      <c r="C603" s="176" t="s">
        <v>210</v>
      </c>
      <c r="D603" s="177" t="s">
        <v>2119</v>
      </c>
      <c r="E603" s="551"/>
      <c r="F603" s="551"/>
      <c r="G603" s="213" t="s">
        <v>597</v>
      </c>
      <c r="H603" s="23"/>
      <c r="I603" s="23"/>
      <c r="J603" s="23" t="s">
        <v>2132</v>
      </c>
      <c r="K603" s="176"/>
      <c r="L603" s="176" t="s">
        <v>598</v>
      </c>
      <c r="M603" s="180">
        <v>45569</v>
      </c>
      <c r="N603" s="181"/>
      <c r="O603" s="181">
        <v>10.020357000000001</v>
      </c>
      <c r="P603" s="181">
        <v>126.036468</v>
      </c>
      <c r="Q603" s="182" t="s">
        <v>1775</v>
      </c>
      <c r="R603" s="183" t="s">
        <v>1776</v>
      </c>
      <c r="S603" s="551"/>
      <c r="T603" s="551"/>
      <c r="U603" s="181" t="s">
        <v>513</v>
      </c>
      <c r="V603" s="185" t="s">
        <v>89</v>
      </c>
      <c r="W603" s="185" t="s">
        <v>1782</v>
      </c>
      <c r="X603" s="18"/>
      <c r="Y603" s="128" t="s">
        <v>1428</v>
      </c>
      <c r="Z603" s="128" t="s">
        <v>386</v>
      </c>
      <c r="AA603" s="119"/>
      <c r="AB603" s="96" t="s">
        <v>3889</v>
      </c>
      <c r="AC603" s="96">
        <v>9176344427</v>
      </c>
    </row>
    <row r="604" spans="1:29" ht="25.5">
      <c r="A604" s="32">
        <v>11</v>
      </c>
      <c r="B604" s="181" t="s">
        <v>176</v>
      </c>
      <c r="C604" s="176" t="s">
        <v>210</v>
      </c>
      <c r="D604" s="177" t="s">
        <v>2119</v>
      </c>
      <c r="E604" s="552"/>
      <c r="F604" s="552"/>
      <c r="G604" s="213" t="s">
        <v>193</v>
      </c>
      <c r="H604" s="23"/>
      <c r="I604" s="23"/>
      <c r="J604" s="23" t="s">
        <v>2136</v>
      </c>
      <c r="K604" s="176"/>
      <c r="L604" s="176" t="s">
        <v>491</v>
      </c>
      <c r="M604" s="180">
        <v>45569</v>
      </c>
      <c r="N604" s="181"/>
      <c r="O604" s="181">
        <v>10.020357000000001</v>
      </c>
      <c r="P604" s="181">
        <v>126.036468</v>
      </c>
      <c r="Q604" s="182" t="s">
        <v>1775</v>
      </c>
      <c r="R604" s="183" t="s">
        <v>1776</v>
      </c>
      <c r="S604" s="552"/>
      <c r="T604" s="552"/>
      <c r="U604" s="181" t="s">
        <v>513</v>
      </c>
      <c r="V604" s="184" t="s">
        <v>89</v>
      </c>
      <c r="W604" s="185" t="s">
        <v>1782</v>
      </c>
      <c r="X604" s="18"/>
      <c r="Y604" s="128" t="s">
        <v>1428</v>
      </c>
      <c r="Z604" s="128" t="s">
        <v>386</v>
      </c>
      <c r="AA604" s="119"/>
      <c r="AB604" s="96" t="s">
        <v>3889</v>
      </c>
      <c r="AC604" s="96">
        <v>9176344427</v>
      </c>
    </row>
    <row r="605" spans="1:29" ht="25.5">
      <c r="A605" s="32">
        <v>12</v>
      </c>
      <c r="B605" s="181" t="s">
        <v>176</v>
      </c>
      <c r="C605" s="185" t="s">
        <v>356</v>
      </c>
      <c r="D605" s="177" t="s">
        <v>2119</v>
      </c>
      <c r="E605" s="545" t="s">
        <v>2585</v>
      </c>
      <c r="F605" s="545" t="s">
        <v>1810</v>
      </c>
      <c r="G605" s="190" t="s">
        <v>2584</v>
      </c>
      <c r="H605" s="179"/>
      <c r="I605" s="179"/>
      <c r="J605" s="179" t="s">
        <v>3893</v>
      </c>
      <c r="K605" s="185"/>
      <c r="L605" s="185" t="s">
        <v>374</v>
      </c>
      <c r="M605" s="180">
        <v>46101</v>
      </c>
      <c r="N605" s="181"/>
      <c r="O605" s="181">
        <v>9.8963397000000004</v>
      </c>
      <c r="P605" s="181">
        <v>125.89482</v>
      </c>
      <c r="Q605" s="182" t="s">
        <v>1813</v>
      </c>
      <c r="R605" s="183" t="s">
        <v>1814</v>
      </c>
      <c r="S605" s="545" t="b">
        <v>0</v>
      </c>
      <c r="T605" s="545" t="b">
        <v>0</v>
      </c>
      <c r="U605" s="181" t="s">
        <v>1815</v>
      </c>
      <c r="V605" s="185" t="s">
        <v>89</v>
      </c>
      <c r="W605" s="185" t="s">
        <v>1782</v>
      </c>
      <c r="X605" s="18"/>
      <c r="Y605" s="18"/>
      <c r="Z605" s="18"/>
      <c r="AA605" s="18"/>
      <c r="AB605" s="18"/>
      <c r="AC605" s="18"/>
    </row>
    <row r="606" spans="1:29" ht="25.5">
      <c r="A606" s="32">
        <v>13</v>
      </c>
      <c r="B606" s="181" t="s">
        <v>176</v>
      </c>
      <c r="C606" s="185" t="s">
        <v>356</v>
      </c>
      <c r="D606" s="177" t="s">
        <v>2119</v>
      </c>
      <c r="E606" s="546"/>
      <c r="F606" s="546"/>
      <c r="G606" s="190" t="s">
        <v>2586</v>
      </c>
      <c r="H606" s="179"/>
      <c r="I606" s="179"/>
      <c r="J606" s="179" t="s">
        <v>3893</v>
      </c>
      <c r="K606" s="185"/>
      <c r="L606" s="185" t="s">
        <v>374</v>
      </c>
      <c r="M606" s="180">
        <v>46101</v>
      </c>
      <c r="N606" s="181"/>
      <c r="O606" s="181">
        <v>9.8963397000000004</v>
      </c>
      <c r="P606" s="181">
        <v>125.89482</v>
      </c>
      <c r="Q606" s="182" t="s">
        <v>1813</v>
      </c>
      <c r="R606" s="183" t="s">
        <v>1814</v>
      </c>
      <c r="S606" s="546"/>
      <c r="T606" s="546"/>
      <c r="U606" s="181" t="s">
        <v>1815</v>
      </c>
      <c r="V606" s="185" t="s">
        <v>89</v>
      </c>
      <c r="W606" s="185" t="s">
        <v>1782</v>
      </c>
      <c r="X606" s="18"/>
      <c r="Y606" s="18"/>
      <c r="Z606" s="18"/>
      <c r="AA606" s="18"/>
      <c r="AB606" s="18"/>
      <c r="AC606" s="18"/>
    </row>
    <row r="607" spans="1:29" ht="25.5">
      <c r="A607" s="32">
        <v>14</v>
      </c>
      <c r="B607" s="181" t="s">
        <v>176</v>
      </c>
      <c r="C607" s="185" t="s">
        <v>356</v>
      </c>
      <c r="D607" s="177" t="s">
        <v>2119</v>
      </c>
      <c r="E607" s="547"/>
      <c r="F607" s="547"/>
      <c r="G607" s="190" t="s">
        <v>2587</v>
      </c>
      <c r="H607" s="179"/>
      <c r="I607" s="179"/>
      <c r="J607" s="179" t="s">
        <v>3893</v>
      </c>
      <c r="K607" s="185"/>
      <c r="L607" s="185" t="s">
        <v>374</v>
      </c>
      <c r="M607" s="180">
        <v>46101</v>
      </c>
      <c r="N607" s="181"/>
      <c r="O607" s="181">
        <v>9.8963397000000004</v>
      </c>
      <c r="P607" s="181">
        <v>125.89482</v>
      </c>
      <c r="Q607" s="182" t="s">
        <v>1813</v>
      </c>
      <c r="R607" s="183" t="s">
        <v>1814</v>
      </c>
      <c r="S607" s="547"/>
      <c r="T607" s="547"/>
      <c r="U607" s="181" t="s">
        <v>1815</v>
      </c>
      <c r="V607" s="185" t="s">
        <v>89</v>
      </c>
      <c r="W607" s="185" t="s">
        <v>1782</v>
      </c>
      <c r="X607" s="18"/>
      <c r="Y607" s="18"/>
      <c r="Z607" s="18"/>
      <c r="AA607" s="18"/>
      <c r="AB607" s="18"/>
      <c r="AC607" s="18"/>
    </row>
    <row r="608" spans="1:29" ht="25.5">
      <c r="A608" s="32">
        <v>15</v>
      </c>
      <c r="B608" s="185" t="s">
        <v>176</v>
      </c>
      <c r="C608" s="185" t="s">
        <v>82</v>
      </c>
      <c r="D608" s="177" t="s">
        <v>2119</v>
      </c>
      <c r="E608" s="548" t="s">
        <v>1444</v>
      </c>
      <c r="F608" s="548" t="s">
        <v>1810</v>
      </c>
      <c r="G608" s="213" t="s">
        <v>1444</v>
      </c>
      <c r="H608" s="179"/>
      <c r="I608" s="179"/>
      <c r="J608" s="179" t="s">
        <v>3895</v>
      </c>
      <c r="K608" s="185"/>
      <c r="L608" s="185" t="s">
        <v>553</v>
      </c>
      <c r="M608" s="180">
        <v>46127</v>
      </c>
      <c r="N608" s="185"/>
      <c r="O608" s="185">
        <v>10.019209999999999</v>
      </c>
      <c r="P608" s="185">
        <v>126.03989</v>
      </c>
      <c r="Q608" s="182" t="s">
        <v>1775</v>
      </c>
      <c r="R608" s="183" t="s">
        <v>1814</v>
      </c>
      <c r="S608" s="548" t="b">
        <v>0</v>
      </c>
      <c r="T608" s="548" t="b">
        <v>0</v>
      </c>
      <c r="U608" s="181" t="s">
        <v>1695</v>
      </c>
      <c r="V608" s="185" t="s">
        <v>89</v>
      </c>
      <c r="W608" s="185" t="s">
        <v>1782</v>
      </c>
      <c r="X608" s="18"/>
      <c r="Y608" s="18"/>
      <c r="Z608" s="18"/>
      <c r="AA608" s="18"/>
      <c r="AB608" s="522" t="s">
        <v>3896</v>
      </c>
      <c r="AC608" s="522">
        <v>9958133875</v>
      </c>
    </row>
    <row r="609" spans="1:29" ht="25.5">
      <c r="A609" s="32">
        <v>16</v>
      </c>
      <c r="B609" s="185" t="s">
        <v>176</v>
      </c>
      <c r="C609" s="185" t="s">
        <v>82</v>
      </c>
      <c r="D609" s="177" t="s">
        <v>2119</v>
      </c>
      <c r="E609" s="553"/>
      <c r="F609" s="553"/>
      <c r="G609" s="213" t="s">
        <v>1444</v>
      </c>
      <c r="H609" s="179"/>
      <c r="I609" s="179"/>
      <c r="J609" s="179" t="s">
        <v>3895</v>
      </c>
      <c r="K609" s="185"/>
      <c r="L609" s="185" t="s">
        <v>553</v>
      </c>
      <c r="M609" s="180">
        <v>46127</v>
      </c>
      <c r="N609" s="185"/>
      <c r="O609" s="185">
        <v>10.019209999999999</v>
      </c>
      <c r="P609" s="185">
        <v>126.03989</v>
      </c>
      <c r="Q609" s="182" t="s">
        <v>1775</v>
      </c>
      <c r="R609" s="183" t="s">
        <v>1814</v>
      </c>
      <c r="S609" s="553"/>
      <c r="T609" s="553"/>
      <c r="U609" s="181" t="s">
        <v>1695</v>
      </c>
      <c r="V609" s="185" t="s">
        <v>89</v>
      </c>
      <c r="W609" s="185" t="s">
        <v>1782</v>
      </c>
      <c r="X609" s="18"/>
      <c r="Y609" s="18"/>
      <c r="Z609" s="18"/>
      <c r="AA609" s="18"/>
      <c r="AB609" s="511"/>
      <c r="AC609" s="511"/>
    </row>
    <row r="610" spans="1:29" ht="25.5">
      <c r="A610" s="32">
        <v>17</v>
      </c>
      <c r="B610" s="185" t="s">
        <v>176</v>
      </c>
      <c r="C610" s="185" t="s">
        <v>82</v>
      </c>
      <c r="D610" s="177" t="s">
        <v>2119</v>
      </c>
      <c r="E610" s="549"/>
      <c r="F610" s="549"/>
      <c r="G610" s="213" t="s">
        <v>1444</v>
      </c>
      <c r="H610" s="179"/>
      <c r="I610" s="179"/>
      <c r="J610" s="179" t="s">
        <v>3895</v>
      </c>
      <c r="K610" s="185"/>
      <c r="L610" s="185" t="s">
        <v>553</v>
      </c>
      <c r="M610" s="180">
        <v>46127</v>
      </c>
      <c r="N610" s="185"/>
      <c r="O610" s="185">
        <v>10.019209999999999</v>
      </c>
      <c r="P610" s="185">
        <v>126.03989</v>
      </c>
      <c r="Q610" s="182" t="s">
        <v>1775</v>
      </c>
      <c r="R610" s="183" t="s">
        <v>1814</v>
      </c>
      <c r="S610" s="549"/>
      <c r="T610" s="549"/>
      <c r="U610" s="181" t="s">
        <v>1695</v>
      </c>
      <c r="V610" s="208" t="s">
        <v>89</v>
      </c>
      <c r="W610" s="185" t="s">
        <v>1782</v>
      </c>
      <c r="X610" s="18"/>
      <c r="Y610" s="18"/>
      <c r="Z610" s="18"/>
      <c r="AA610" s="18"/>
      <c r="AB610" s="512"/>
      <c r="AC610" s="512"/>
    </row>
    <row r="611" spans="1:29" ht="12.75">
      <c r="A611" s="475"/>
      <c r="B611" s="476"/>
      <c r="C611" s="476"/>
      <c r="D611" s="476"/>
      <c r="E611" s="476"/>
      <c r="F611" s="477"/>
      <c r="G611" s="478"/>
      <c r="H611" s="497"/>
      <c r="I611" s="497"/>
      <c r="J611" s="497"/>
      <c r="K611" s="498"/>
      <c r="L611" s="498"/>
      <c r="M611" s="498"/>
      <c r="N611" s="498"/>
      <c r="O611" s="498"/>
      <c r="P611" s="498"/>
      <c r="Q611" s="498"/>
      <c r="R611" s="480"/>
      <c r="S611" s="477"/>
      <c r="T611" s="477"/>
      <c r="U611" s="480"/>
      <c r="V611" s="481"/>
      <c r="W611" s="476"/>
    </row>
    <row r="612" spans="1:29" ht="12.75">
      <c r="A612" s="475"/>
      <c r="B612" s="476"/>
      <c r="C612" s="476"/>
      <c r="D612" s="476"/>
      <c r="E612" s="476"/>
      <c r="F612" s="477"/>
      <c r="G612" s="478"/>
      <c r="H612" s="499"/>
      <c r="I612" s="500"/>
      <c r="J612" s="501"/>
      <c r="K612" s="501"/>
      <c r="L612" s="501"/>
      <c r="M612" s="501"/>
      <c r="N612" s="501"/>
      <c r="O612" s="501"/>
      <c r="P612" s="501"/>
      <c r="Q612" s="501"/>
      <c r="R612" s="482"/>
      <c r="S612" s="482"/>
      <c r="T612" s="477"/>
      <c r="U612" s="480"/>
      <c r="V612" s="481"/>
      <c r="W612" s="476"/>
    </row>
    <row r="613" spans="1:29" ht="12.75">
      <c r="A613" s="475"/>
      <c r="B613" s="476"/>
      <c r="C613" s="476"/>
      <c r="D613" s="476"/>
      <c r="E613" s="476"/>
      <c r="F613" s="477"/>
      <c r="G613" s="478"/>
      <c r="H613" s="502"/>
      <c r="I613" s="503"/>
      <c r="J613" s="504"/>
      <c r="K613" s="504"/>
      <c r="L613" s="504"/>
      <c r="M613" s="504"/>
      <c r="N613" s="504"/>
      <c r="O613" s="504"/>
      <c r="P613" s="505"/>
      <c r="Q613" s="505"/>
      <c r="R613" s="485"/>
      <c r="S613" s="485"/>
      <c r="T613" s="477"/>
      <c r="U613" s="480"/>
      <c r="V613" s="481"/>
      <c r="W613" s="476"/>
    </row>
    <row r="614" spans="1:29" ht="12.75">
      <c r="A614" s="475"/>
      <c r="B614" s="476"/>
      <c r="C614" s="476"/>
      <c r="D614" s="476"/>
      <c r="E614" s="476"/>
      <c r="F614" s="477"/>
      <c r="G614" s="478"/>
      <c r="H614" s="506"/>
      <c r="I614" s="507"/>
      <c r="J614" s="506"/>
      <c r="K614" s="506"/>
      <c r="L614" s="506"/>
      <c r="M614" s="506"/>
      <c r="N614" s="506"/>
      <c r="O614" s="506"/>
      <c r="P614" s="508"/>
      <c r="Q614" s="508"/>
      <c r="R614" s="487"/>
      <c r="S614" s="487"/>
      <c r="T614" s="477"/>
      <c r="U614" s="480"/>
      <c r="V614" s="481"/>
      <c r="W614" s="476"/>
    </row>
    <row r="615" spans="1:29" ht="12.75">
      <c r="A615" s="475"/>
      <c r="B615" s="476"/>
      <c r="C615" s="476"/>
      <c r="D615" s="476"/>
      <c r="E615" s="476"/>
      <c r="F615" s="477"/>
      <c r="G615" s="478"/>
      <c r="H615" s="502"/>
      <c r="I615" s="503"/>
      <c r="J615" s="506"/>
      <c r="K615" s="506"/>
      <c r="L615" s="506"/>
      <c r="M615" s="506"/>
      <c r="N615" s="506"/>
      <c r="O615" s="506"/>
      <c r="P615" s="508"/>
      <c r="Q615" s="509"/>
      <c r="R615" s="478"/>
      <c r="S615" s="478"/>
      <c r="T615" s="488"/>
      <c r="U615" s="488"/>
      <c r="V615" s="481"/>
      <c r="W615" s="64"/>
    </row>
    <row r="616" spans="1:29" ht="12.75">
      <c r="A616" s="475"/>
      <c r="B616" s="476"/>
      <c r="C616" s="476"/>
      <c r="D616" s="476"/>
      <c r="E616" s="476"/>
      <c r="F616" s="477"/>
      <c r="G616" s="478"/>
      <c r="H616" s="483"/>
      <c r="I616" s="484"/>
      <c r="J616" s="486"/>
      <c r="K616" s="486"/>
      <c r="L616" s="486"/>
      <c r="M616" s="486"/>
      <c r="N616" s="486"/>
      <c r="O616" s="486"/>
      <c r="P616" s="486"/>
      <c r="Q616" s="483"/>
      <c r="R616" s="478"/>
      <c r="S616" s="478"/>
      <c r="T616" s="488"/>
      <c r="U616" s="488"/>
      <c r="V616" s="481"/>
    </row>
    <row r="617" spans="1:29" ht="12.75">
      <c r="A617" s="475"/>
      <c r="B617" s="476"/>
      <c r="C617" s="476"/>
      <c r="D617" s="476"/>
      <c r="E617" s="476"/>
      <c r="F617" s="477"/>
      <c r="G617" s="478"/>
      <c r="H617" s="479"/>
      <c r="I617" s="479"/>
      <c r="J617" s="479"/>
      <c r="K617" s="480"/>
      <c r="L617" s="480"/>
      <c r="M617" s="480"/>
      <c r="N617" s="480"/>
      <c r="O617" s="480"/>
      <c r="P617" s="489"/>
      <c r="Q617" s="487"/>
      <c r="R617" s="487"/>
      <c r="S617" s="477"/>
      <c r="T617" s="488"/>
      <c r="U617" s="488"/>
      <c r="V617" s="481"/>
      <c r="W617" s="490"/>
    </row>
    <row r="618" spans="1:29" ht="12.75">
      <c r="A618" s="475"/>
      <c r="B618" s="476"/>
      <c r="C618" s="476"/>
      <c r="D618" s="476"/>
      <c r="E618" s="476"/>
      <c r="F618" s="477"/>
      <c r="G618" s="478"/>
      <c r="H618" s="479"/>
      <c r="I618" s="479"/>
      <c r="J618" s="479"/>
      <c r="K618" s="480"/>
      <c r="L618" s="480"/>
      <c r="M618" s="480"/>
      <c r="N618" s="480"/>
      <c r="O618" s="480"/>
      <c r="P618" s="480"/>
      <c r="Q618" s="478"/>
      <c r="R618" s="478"/>
      <c r="S618" s="477"/>
      <c r="T618" s="488"/>
      <c r="U618" s="488"/>
      <c r="V618" s="481"/>
      <c r="W618" s="476"/>
    </row>
    <row r="619" spans="1:29" ht="12.75">
      <c r="A619" s="475"/>
      <c r="B619" s="476"/>
      <c r="C619" s="476"/>
      <c r="D619" s="476"/>
      <c r="E619" s="476"/>
      <c r="F619" s="477"/>
      <c r="G619" s="478"/>
      <c r="H619" s="491"/>
      <c r="I619" s="491"/>
      <c r="J619" s="491"/>
      <c r="K619" s="480"/>
      <c r="L619" s="480"/>
      <c r="M619" s="480"/>
      <c r="N619" s="480"/>
      <c r="O619" s="480"/>
      <c r="P619" s="492"/>
      <c r="Q619" s="478"/>
      <c r="R619" s="478"/>
      <c r="S619" s="477"/>
      <c r="T619" s="488"/>
      <c r="U619" s="488"/>
      <c r="V619" s="481"/>
      <c r="W619" s="476"/>
    </row>
    <row r="620" spans="1:29" ht="12.75">
      <c r="A620" s="475"/>
      <c r="B620" s="476"/>
      <c r="C620" s="476"/>
      <c r="D620" s="476"/>
      <c r="E620" s="476"/>
      <c r="F620" s="477"/>
      <c r="G620" s="478"/>
      <c r="H620" s="479"/>
      <c r="I620" s="479"/>
      <c r="J620" s="479"/>
      <c r="K620" s="480"/>
      <c r="L620" s="480"/>
      <c r="M620" s="480"/>
      <c r="N620" s="480"/>
      <c r="O620" s="480"/>
      <c r="P620" s="492"/>
      <c r="Q620" s="478"/>
      <c r="R620" s="478"/>
      <c r="S620" s="477"/>
      <c r="T620" s="477"/>
      <c r="U620" s="478"/>
      <c r="V620" s="481"/>
      <c r="W620" s="476"/>
    </row>
    <row r="621" spans="1:29" ht="12.75">
      <c r="A621" s="475"/>
      <c r="B621" s="476"/>
      <c r="C621" s="476"/>
      <c r="D621" s="476"/>
      <c r="E621" s="476"/>
      <c r="F621" s="477"/>
      <c r="G621" s="478"/>
      <c r="H621" s="491"/>
      <c r="I621" s="491"/>
      <c r="J621" s="491"/>
      <c r="K621" s="480"/>
      <c r="L621" s="480"/>
      <c r="M621" s="480"/>
      <c r="N621" s="480"/>
      <c r="O621" s="480"/>
      <c r="P621" s="480"/>
      <c r="Q621" s="480"/>
      <c r="R621" s="480"/>
      <c r="S621" s="477"/>
      <c r="T621" s="477"/>
      <c r="U621" s="480"/>
      <c r="V621" s="481"/>
      <c r="W621" s="476"/>
    </row>
    <row r="622" spans="1:29" ht="12.75">
      <c r="A622" s="475"/>
      <c r="B622" s="476"/>
      <c r="C622" s="476"/>
      <c r="D622" s="476"/>
      <c r="E622" s="476"/>
      <c r="F622" s="477"/>
      <c r="G622" s="478"/>
      <c r="H622" s="479"/>
      <c r="I622" s="479"/>
      <c r="J622" s="479"/>
      <c r="K622" s="480"/>
      <c r="L622" s="480"/>
      <c r="M622" s="480"/>
      <c r="N622" s="480"/>
      <c r="O622" s="480"/>
      <c r="P622" s="480"/>
      <c r="Q622" s="480"/>
      <c r="R622" s="480"/>
      <c r="S622" s="477"/>
      <c r="T622" s="477"/>
      <c r="U622" s="480"/>
      <c r="V622" s="481"/>
      <c r="W622" s="476"/>
    </row>
    <row r="623" spans="1:29" ht="12.75">
      <c r="A623" s="475"/>
      <c r="B623" s="476"/>
      <c r="C623" s="476"/>
      <c r="D623" s="476"/>
      <c r="E623" s="476"/>
      <c r="F623" s="477"/>
      <c r="G623" s="478"/>
      <c r="H623" s="491"/>
      <c r="I623" s="491"/>
      <c r="J623" s="491"/>
      <c r="K623" s="480"/>
      <c r="L623" s="480"/>
      <c r="M623" s="480"/>
      <c r="N623" s="480"/>
      <c r="O623" s="480"/>
      <c r="P623" s="480"/>
      <c r="Q623" s="480"/>
      <c r="R623" s="480"/>
      <c r="S623" s="477"/>
      <c r="T623" s="480"/>
      <c r="U623" s="480"/>
      <c r="V623" s="481"/>
      <c r="W623" s="476"/>
    </row>
    <row r="624" spans="1:29" ht="12.75">
      <c r="A624" s="475"/>
      <c r="B624" s="476"/>
      <c r="C624" s="476"/>
      <c r="D624" s="476"/>
      <c r="E624" s="476"/>
      <c r="F624" s="477"/>
      <c r="G624" s="478"/>
      <c r="H624" s="491"/>
      <c r="I624" s="491"/>
      <c r="J624" s="491"/>
      <c r="K624" s="480"/>
      <c r="L624" s="480"/>
      <c r="M624" s="480"/>
      <c r="N624" s="480"/>
      <c r="O624" s="480"/>
      <c r="P624" s="480"/>
      <c r="Q624" s="480"/>
      <c r="R624" s="480"/>
      <c r="S624" s="477"/>
      <c r="T624" s="477"/>
      <c r="U624" s="480"/>
      <c r="V624" s="481"/>
      <c r="W624" s="476"/>
    </row>
    <row r="625" spans="1:23" ht="12.75">
      <c r="A625" s="475"/>
      <c r="B625" s="476"/>
      <c r="C625" s="476"/>
      <c r="D625" s="476"/>
      <c r="E625" s="476"/>
      <c r="F625" s="480"/>
      <c r="G625" s="485"/>
      <c r="H625" s="491"/>
      <c r="I625" s="491"/>
      <c r="J625" s="491"/>
      <c r="K625" s="480"/>
      <c r="L625" s="480"/>
      <c r="M625" s="480"/>
      <c r="N625" s="480"/>
      <c r="O625" s="480"/>
      <c r="P625" s="480"/>
      <c r="Q625" s="480"/>
      <c r="R625" s="480"/>
      <c r="S625" s="477"/>
      <c r="T625" s="477"/>
      <c r="U625" s="480"/>
      <c r="V625" s="481"/>
      <c r="W625" s="476"/>
    </row>
    <row r="626" spans="1:23" ht="12.75">
      <c r="A626" s="475"/>
      <c r="B626" s="476"/>
      <c r="C626" s="476"/>
      <c r="D626" s="476"/>
      <c r="E626" s="476"/>
      <c r="F626" s="477"/>
      <c r="G626" s="478"/>
      <c r="H626" s="491"/>
      <c r="I626" s="491"/>
      <c r="J626" s="491"/>
      <c r="K626" s="480"/>
      <c r="L626" s="480"/>
      <c r="M626" s="480"/>
      <c r="N626" s="480"/>
      <c r="O626" s="480"/>
      <c r="P626" s="480"/>
      <c r="Q626" s="480"/>
      <c r="R626" s="480"/>
      <c r="S626" s="477"/>
      <c r="T626" s="477"/>
      <c r="U626" s="480"/>
      <c r="V626" s="481"/>
      <c r="W626" s="476"/>
    </row>
    <row r="627" spans="1:23" ht="12.75">
      <c r="A627" s="475"/>
      <c r="B627" s="476"/>
      <c r="C627" s="476"/>
      <c r="D627" s="476"/>
      <c r="E627" s="476"/>
      <c r="F627" s="493"/>
      <c r="G627" s="494"/>
      <c r="H627" s="491"/>
      <c r="I627" s="491"/>
      <c r="J627" s="491"/>
      <c r="K627" s="480"/>
      <c r="L627" s="480"/>
      <c r="M627" s="480"/>
      <c r="N627" s="480"/>
      <c r="O627" s="480"/>
      <c r="P627" s="480"/>
      <c r="Q627" s="480"/>
      <c r="R627" s="480"/>
      <c r="S627" s="477"/>
      <c r="T627" s="477"/>
      <c r="U627" s="480"/>
      <c r="V627" s="481"/>
      <c r="W627" s="476"/>
    </row>
    <row r="628" spans="1:23" ht="12.75">
      <c r="A628" s="475"/>
      <c r="B628" s="476"/>
      <c r="C628" s="476"/>
      <c r="D628" s="476"/>
      <c r="E628" s="476"/>
      <c r="F628" s="493"/>
      <c r="G628" s="494"/>
      <c r="H628" s="491"/>
      <c r="I628" s="491"/>
      <c r="J628" s="491"/>
      <c r="K628" s="480"/>
      <c r="L628" s="480"/>
      <c r="M628" s="480"/>
      <c r="N628" s="480"/>
      <c r="O628" s="480"/>
      <c r="P628" s="480"/>
      <c r="Q628" s="480"/>
      <c r="R628" s="480"/>
      <c r="S628" s="477"/>
      <c r="T628" s="477"/>
      <c r="U628" s="480"/>
      <c r="V628" s="481"/>
      <c r="W628" s="476"/>
    </row>
    <row r="629" spans="1:23" ht="12.75">
      <c r="A629" s="475"/>
      <c r="B629" s="476"/>
      <c r="C629" s="476"/>
      <c r="D629" s="476"/>
      <c r="E629" s="476"/>
      <c r="F629" s="493"/>
      <c r="G629" s="494"/>
      <c r="H629" s="491"/>
      <c r="I629" s="491"/>
      <c r="J629" s="491"/>
      <c r="K629" s="480"/>
      <c r="L629" s="480"/>
      <c r="M629" s="480"/>
      <c r="N629" s="480"/>
      <c r="O629" s="480"/>
      <c r="P629" s="480"/>
      <c r="Q629" s="480"/>
      <c r="R629" s="480"/>
      <c r="S629" s="477"/>
      <c r="T629" s="477"/>
      <c r="U629" s="480"/>
      <c r="V629" s="481"/>
      <c r="W629" s="476"/>
    </row>
    <row r="630" spans="1:23" ht="12.75">
      <c r="A630" s="475"/>
      <c r="B630" s="476"/>
      <c r="C630" s="476"/>
      <c r="D630" s="476"/>
      <c r="E630" s="476"/>
      <c r="F630" s="493"/>
      <c r="G630" s="494"/>
      <c r="H630" s="491"/>
      <c r="I630" s="491"/>
      <c r="J630" s="491"/>
      <c r="K630" s="480"/>
      <c r="L630" s="480"/>
      <c r="M630" s="480"/>
      <c r="N630" s="480"/>
      <c r="O630" s="480"/>
      <c r="P630" s="480"/>
      <c r="Q630" s="480"/>
      <c r="R630" s="480"/>
      <c r="S630" s="477"/>
      <c r="T630" s="477"/>
      <c r="U630" s="480"/>
      <c r="V630" s="481"/>
      <c r="W630" s="476"/>
    </row>
    <row r="631" spans="1:23" ht="12.75">
      <c r="A631" s="475"/>
      <c r="B631" s="476"/>
      <c r="C631" s="476"/>
      <c r="D631" s="476"/>
      <c r="E631" s="476"/>
      <c r="F631" s="493"/>
      <c r="G631" s="494"/>
      <c r="H631" s="491"/>
      <c r="I631" s="491"/>
      <c r="J631" s="491"/>
      <c r="K631" s="480"/>
      <c r="L631" s="480"/>
      <c r="M631" s="480"/>
      <c r="N631" s="480"/>
      <c r="O631" s="480"/>
      <c r="P631" s="480"/>
      <c r="Q631" s="480"/>
      <c r="R631" s="480"/>
      <c r="S631" s="477"/>
      <c r="T631" s="477"/>
      <c r="U631" s="480"/>
      <c r="V631" s="481"/>
      <c r="W631" s="476"/>
    </row>
    <row r="632" spans="1:23" ht="12.75">
      <c r="A632" s="475"/>
      <c r="B632" s="476"/>
      <c r="C632" s="476"/>
      <c r="D632" s="476"/>
      <c r="E632" s="476"/>
      <c r="F632" s="493"/>
      <c r="G632" s="494"/>
      <c r="H632" s="491"/>
      <c r="I632" s="491"/>
      <c r="J632" s="491"/>
      <c r="K632" s="480"/>
      <c r="L632" s="480"/>
      <c r="M632" s="480"/>
      <c r="N632" s="480"/>
      <c r="O632" s="480"/>
      <c r="P632" s="480"/>
      <c r="Q632" s="480"/>
      <c r="R632" s="480"/>
      <c r="S632" s="477"/>
      <c r="T632" s="477"/>
      <c r="U632" s="480"/>
      <c r="V632" s="481"/>
      <c r="W632" s="476"/>
    </row>
    <row r="633" spans="1:23" ht="12.75">
      <c r="A633" s="475"/>
      <c r="B633" s="476"/>
      <c r="C633" s="476"/>
      <c r="D633" s="476"/>
      <c r="E633" s="476"/>
      <c r="F633" s="493"/>
      <c r="G633" s="476"/>
      <c r="H633" s="491"/>
      <c r="I633" s="491"/>
      <c r="J633" s="491"/>
      <c r="K633" s="480"/>
      <c r="L633" s="480"/>
      <c r="M633" s="480"/>
      <c r="N633" s="480"/>
      <c r="O633" s="480"/>
      <c r="P633" s="480"/>
      <c r="Q633" s="480"/>
      <c r="R633" s="480"/>
      <c r="S633" s="477"/>
      <c r="T633" s="477"/>
      <c r="U633" s="480"/>
      <c r="V633" s="481"/>
      <c r="W633" s="476"/>
    </row>
    <row r="634" spans="1:23" ht="12.75">
      <c r="A634" s="475"/>
      <c r="B634" s="476"/>
      <c r="C634" s="476"/>
      <c r="D634" s="476"/>
      <c r="E634" s="476"/>
      <c r="F634" s="493"/>
      <c r="G634" s="476"/>
      <c r="H634" s="491"/>
      <c r="I634" s="491"/>
      <c r="J634" s="491"/>
      <c r="K634" s="476"/>
      <c r="L634" s="476"/>
      <c r="M634" s="476"/>
      <c r="N634" s="476"/>
      <c r="O634" s="476"/>
      <c r="P634" s="476"/>
      <c r="Q634" s="476"/>
      <c r="R634" s="476"/>
      <c r="S634" s="493"/>
      <c r="T634" s="493"/>
      <c r="U634" s="476"/>
      <c r="V634" s="476"/>
      <c r="W634" s="476"/>
    </row>
    <row r="635" spans="1:23" ht="12.75">
      <c r="A635" s="475"/>
      <c r="B635" s="476"/>
      <c r="C635" s="476"/>
      <c r="D635" s="476"/>
      <c r="E635" s="476"/>
      <c r="F635" s="493"/>
      <c r="G635" s="476"/>
      <c r="H635" s="491"/>
      <c r="I635" s="491"/>
      <c r="J635" s="491"/>
      <c r="K635" s="476"/>
      <c r="L635" s="476"/>
      <c r="M635" s="476"/>
      <c r="N635" s="476"/>
      <c r="O635" s="476"/>
      <c r="P635" s="476"/>
      <c r="Q635" s="476"/>
      <c r="R635" s="476"/>
      <c r="S635" s="493"/>
      <c r="T635" s="493"/>
      <c r="U635" s="476"/>
      <c r="V635" s="476"/>
      <c r="W635" s="476"/>
    </row>
    <row r="636" spans="1:23" ht="12.75">
      <c r="A636" s="475"/>
      <c r="B636" s="476"/>
      <c r="C636" s="476"/>
      <c r="D636" s="476"/>
      <c r="E636" s="476"/>
      <c r="F636" s="493"/>
      <c r="G636" s="476"/>
      <c r="H636" s="491"/>
      <c r="I636" s="491"/>
      <c r="J636" s="491"/>
      <c r="K636" s="476"/>
      <c r="L636" s="476"/>
      <c r="M636" s="476"/>
      <c r="N636" s="476"/>
      <c r="O636" s="476"/>
      <c r="P636" s="476"/>
      <c r="Q636" s="476"/>
      <c r="R636" s="476"/>
      <c r="S636" s="493"/>
      <c r="T636" s="493"/>
      <c r="U636" s="476"/>
      <c r="V636" s="476"/>
      <c r="W636" s="476"/>
    </row>
    <row r="637" spans="1:23" ht="12.75">
      <c r="A637" s="475"/>
      <c r="B637" s="476"/>
      <c r="C637" s="476"/>
      <c r="D637" s="476"/>
      <c r="E637" s="476"/>
      <c r="F637" s="493"/>
      <c r="G637" s="476"/>
      <c r="T637" s="493"/>
      <c r="U637" s="476"/>
      <c r="V637" s="476"/>
      <c r="W637" s="476"/>
    </row>
    <row r="638" spans="1:23" ht="12.75">
      <c r="A638" s="475"/>
      <c r="B638" s="476"/>
      <c r="C638" s="476"/>
      <c r="D638" s="476"/>
      <c r="E638" s="476"/>
      <c r="F638" s="493"/>
      <c r="G638" s="476"/>
      <c r="T638" s="493"/>
      <c r="U638" s="476"/>
      <c r="V638" s="476"/>
      <c r="W638" s="476"/>
    </row>
    <row r="639" spans="1:23" ht="12.75">
      <c r="A639" s="475"/>
      <c r="B639" s="476"/>
      <c r="C639" s="476"/>
      <c r="D639" s="476"/>
      <c r="E639" s="476"/>
      <c r="F639" s="493"/>
      <c r="G639" s="476"/>
      <c r="T639" s="493"/>
      <c r="U639" s="476"/>
      <c r="V639" s="476"/>
      <c r="W639" s="476"/>
    </row>
    <row r="640" spans="1:23" ht="12.75">
      <c r="A640" s="475"/>
      <c r="B640" s="476"/>
      <c r="C640" s="476"/>
      <c r="D640" s="476"/>
      <c r="E640" s="476"/>
      <c r="F640" s="493"/>
      <c r="G640" s="476"/>
      <c r="T640" s="495"/>
      <c r="U640" s="476"/>
      <c r="V640" s="476"/>
      <c r="W640" s="476"/>
    </row>
    <row r="641" spans="1:23" ht="12.75">
      <c r="A641" s="475"/>
      <c r="B641" s="476"/>
      <c r="C641" s="476"/>
      <c r="D641" s="476"/>
      <c r="E641" s="476"/>
      <c r="F641" s="493"/>
      <c r="G641" s="476"/>
      <c r="T641" s="476"/>
      <c r="U641" s="476"/>
      <c r="V641" s="476"/>
      <c r="W641" s="476"/>
    </row>
    <row r="642" spans="1:23" ht="12.75">
      <c r="A642" s="475"/>
      <c r="B642" s="476"/>
      <c r="C642" s="476"/>
      <c r="D642" s="476"/>
      <c r="E642" s="476"/>
      <c r="F642" s="493"/>
      <c r="G642" s="476"/>
      <c r="H642" s="491"/>
      <c r="I642" s="491"/>
      <c r="J642" s="491"/>
      <c r="K642" s="476"/>
      <c r="L642" s="476"/>
      <c r="M642" s="476"/>
      <c r="N642" s="476"/>
      <c r="O642" s="476"/>
      <c r="P642" s="476"/>
      <c r="Q642" s="476"/>
      <c r="R642" s="476"/>
      <c r="S642" s="476"/>
      <c r="T642" s="476"/>
      <c r="U642" s="476"/>
      <c r="V642" s="476"/>
      <c r="W642" s="476"/>
    </row>
    <row r="643" spans="1:23" ht="12.75">
      <c r="A643" s="475"/>
      <c r="B643" s="476"/>
      <c r="C643" s="476"/>
      <c r="D643" s="476"/>
      <c r="E643" s="476"/>
      <c r="F643" s="493"/>
      <c r="G643" s="476"/>
      <c r="H643" s="491"/>
      <c r="I643" s="491"/>
      <c r="J643" s="491"/>
      <c r="K643" s="476"/>
      <c r="L643" s="476"/>
      <c r="M643" s="476"/>
      <c r="N643" s="476"/>
      <c r="O643" s="476"/>
      <c r="P643" s="476"/>
      <c r="Q643" s="476"/>
      <c r="R643" s="476"/>
      <c r="S643" s="476"/>
      <c r="T643" s="476"/>
      <c r="U643" s="476"/>
      <c r="V643" s="476"/>
      <c r="W643" s="476"/>
    </row>
    <row r="644" spans="1:23" ht="12.75">
      <c r="A644" s="475"/>
      <c r="B644" s="476"/>
      <c r="C644" s="476"/>
      <c r="D644" s="476"/>
      <c r="E644" s="476"/>
      <c r="F644" s="493"/>
      <c r="G644" s="476"/>
      <c r="H644" s="491"/>
      <c r="I644" s="491"/>
      <c r="J644" s="491"/>
      <c r="K644" s="476"/>
      <c r="L644" s="476"/>
      <c r="M644" s="476"/>
      <c r="N644" s="476"/>
      <c r="O644" s="476"/>
      <c r="P644" s="476"/>
      <c r="Q644" s="476"/>
      <c r="R644" s="476"/>
      <c r="S644" s="476"/>
      <c r="T644" s="476"/>
      <c r="U644" s="476"/>
      <c r="V644" s="476"/>
      <c r="W644" s="476"/>
    </row>
    <row r="645" spans="1:23" ht="12.75">
      <c r="A645" s="475"/>
      <c r="B645" s="476"/>
      <c r="C645" s="476"/>
      <c r="D645" s="476"/>
      <c r="E645" s="476"/>
      <c r="F645" s="493"/>
      <c r="G645" s="476"/>
      <c r="H645" s="491"/>
      <c r="I645" s="491"/>
      <c r="J645" s="491"/>
      <c r="K645" s="476"/>
      <c r="L645" s="476"/>
      <c r="M645" s="476"/>
      <c r="N645" s="476"/>
      <c r="O645" s="476"/>
      <c r="P645" s="476"/>
      <c r="Q645" s="476"/>
      <c r="R645" s="476"/>
      <c r="S645" s="476"/>
      <c r="T645" s="476"/>
      <c r="U645" s="476"/>
      <c r="V645" s="476"/>
      <c r="W645" s="476"/>
    </row>
    <row r="646" spans="1:23" ht="12.75">
      <c r="A646" s="475"/>
      <c r="B646" s="476"/>
      <c r="C646" s="476"/>
      <c r="D646" s="476"/>
      <c r="E646" s="476"/>
      <c r="F646" s="493"/>
      <c r="G646" s="476"/>
      <c r="H646" s="491"/>
      <c r="I646" s="491"/>
      <c r="J646" s="491"/>
      <c r="K646" s="476"/>
      <c r="L646" s="476"/>
      <c r="M646" s="476"/>
      <c r="N646" s="476"/>
      <c r="O646" s="476"/>
      <c r="P646" s="476"/>
      <c r="Q646" s="476"/>
      <c r="R646" s="476"/>
      <c r="S646" s="476"/>
      <c r="T646" s="476"/>
      <c r="U646" s="476"/>
      <c r="V646" s="476"/>
      <c r="W646" s="476"/>
    </row>
    <row r="647" spans="1:23" ht="12.75">
      <c r="A647" s="475"/>
      <c r="B647" s="476"/>
      <c r="C647" s="476"/>
      <c r="D647" s="476"/>
      <c r="E647" s="476"/>
      <c r="F647" s="493"/>
      <c r="G647" s="476"/>
      <c r="H647" s="491"/>
      <c r="I647" s="491"/>
      <c r="J647" s="491"/>
      <c r="K647" s="476"/>
      <c r="L647" s="476"/>
      <c r="M647" s="476"/>
      <c r="N647" s="476"/>
      <c r="O647" s="476"/>
      <c r="P647" s="476"/>
      <c r="Q647" s="476"/>
      <c r="R647" s="476"/>
      <c r="S647" s="476"/>
      <c r="T647" s="476"/>
      <c r="U647" s="476"/>
      <c r="V647" s="476"/>
      <c r="W647" s="476"/>
    </row>
    <row r="648" spans="1:23" ht="12.75">
      <c r="A648" s="475"/>
      <c r="B648" s="476"/>
      <c r="C648" s="476"/>
      <c r="D648" s="476"/>
      <c r="E648" s="476"/>
      <c r="F648" s="493"/>
      <c r="G648" s="476"/>
      <c r="H648" s="491"/>
      <c r="I648" s="491"/>
      <c r="J648" s="491"/>
      <c r="K648" s="476"/>
      <c r="L648" s="476"/>
      <c r="M648" s="476"/>
      <c r="N648" s="476"/>
      <c r="O648" s="476"/>
      <c r="P648" s="476"/>
      <c r="Q648" s="476"/>
      <c r="R648" s="476"/>
      <c r="S648" s="476"/>
      <c r="T648" s="476"/>
      <c r="U648" s="476"/>
      <c r="V648" s="476"/>
      <c r="W648" s="476"/>
    </row>
    <row r="649" spans="1:23" ht="12.75">
      <c r="A649" s="475"/>
      <c r="B649" s="476"/>
      <c r="C649" s="476"/>
      <c r="D649" s="476"/>
      <c r="E649" s="476"/>
      <c r="F649" s="493"/>
      <c r="G649" s="476"/>
      <c r="H649" s="491"/>
      <c r="I649" s="491"/>
      <c r="J649" s="491"/>
      <c r="K649" s="476"/>
      <c r="L649" s="476"/>
      <c r="M649" s="476"/>
      <c r="N649" s="476"/>
      <c r="O649" s="476"/>
      <c r="P649" s="476"/>
      <c r="Q649" s="476"/>
      <c r="R649" s="476"/>
      <c r="S649" s="476"/>
      <c r="T649" s="476"/>
      <c r="U649" s="476"/>
      <c r="V649" s="476"/>
      <c r="W649" s="476"/>
    </row>
    <row r="650" spans="1:23" ht="12.75">
      <c r="A650" s="475"/>
      <c r="B650" s="476"/>
      <c r="C650" s="476"/>
      <c r="D650" s="476"/>
      <c r="E650" s="476"/>
      <c r="F650" s="493"/>
      <c r="G650" s="476"/>
      <c r="H650" s="491"/>
      <c r="I650" s="491"/>
      <c r="J650" s="491"/>
      <c r="K650" s="476"/>
      <c r="L650" s="476"/>
      <c r="M650" s="476"/>
      <c r="N650" s="476"/>
      <c r="O650" s="476"/>
      <c r="P650" s="476"/>
      <c r="Q650" s="476"/>
      <c r="R650" s="476"/>
      <c r="S650" s="476"/>
      <c r="T650" s="476"/>
      <c r="U650" s="476"/>
      <c r="V650" s="476"/>
      <c r="W650" s="476"/>
    </row>
    <row r="651" spans="1:23" ht="12.75">
      <c r="A651" s="475"/>
      <c r="B651" s="476"/>
      <c r="C651" s="476"/>
      <c r="D651" s="476"/>
      <c r="E651" s="476"/>
      <c r="F651" s="493"/>
      <c r="G651" s="476"/>
      <c r="H651" s="491"/>
      <c r="I651" s="491"/>
      <c r="J651" s="491"/>
      <c r="K651" s="476"/>
      <c r="L651" s="476"/>
      <c r="M651" s="476"/>
      <c r="N651" s="476"/>
      <c r="O651" s="476"/>
      <c r="P651" s="476"/>
      <c r="Q651" s="476"/>
      <c r="R651" s="476"/>
      <c r="S651" s="476"/>
      <c r="T651" s="476"/>
      <c r="U651" s="476"/>
      <c r="V651" s="476"/>
      <c r="W651" s="476"/>
    </row>
    <row r="652" spans="1:23" ht="12.75">
      <c r="A652" s="475"/>
      <c r="B652" s="476"/>
      <c r="C652" s="476"/>
      <c r="D652" s="476"/>
      <c r="E652" s="476"/>
      <c r="F652" s="493"/>
      <c r="G652" s="476"/>
      <c r="H652" s="491"/>
      <c r="I652" s="491"/>
      <c r="J652" s="491"/>
      <c r="K652" s="476"/>
      <c r="L652" s="476"/>
      <c r="M652" s="476"/>
      <c r="N652" s="476"/>
      <c r="O652" s="476"/>
      <c r="P652" s="476"/>
      <c r="Q652" s="476"/>
      <c r="R652" s="476"/>
      <c r="S652" s="476"/>
      <c r="T652" s="476"/>
      <c r="U652" s="476"/>
      <c r="V652" s="476"/>
      <c r="W652" s="476"/>
    </row>
    <row r="653" spans="1:23" ht="12.75">
      <c r="A653" s="475"/>
      <c r="B653" s="476"/>
      <c r="C653" s="476"/>
      <c r="D653" s="476"/>
      <c r="E653" s="476"/>
      <c r="F653" s="493"/>
      <c r="G653" s="476"/>
      <c r="H653" s="491"/>
      <c r="I653" s="491"/>
      <c r="J653" s="491"/>
      <c r="K653" s="476"/>
      <c r="L653" s="476"/>
      <c r="M653" s="476"/>
      <c r="N653" s="476"/>
      <c r="O653" s="476"/>
      <c r="P653" s="476"/>
      <c r="Q653" s="476"/>
      <c r="R653" s="476"/>
      <c r="S653" s="476"/>
      <c r="T653" s="476"/>
      <c r="U653" s="476"/>
      <c r="V653" s="476"/>
      <c r="W653" s="476"/>
    </row>
    <row r="654" spans="1:23" ht="12.75">
      <c r="A654" s="475"/>
      <c r="B654" s="476"/>
      <c r="C654" s="476"/>
      <c r="D654" s="476"/>
      <c r="E654" s="476"/>
      <c r="F654" s="493"/>
      <c r="G654" s="476"/>
      <c r="H654" s="491"/>
      <c r="I654" s="491"/>
      <c r="J654" s="491"/>
      <c r="K654" s="476"/>
      <c r="L654" s="476"/>
      <c r="M654" s="476"/>
      <c r="N654" s="476"/>
      <c r="O654" s="476"/>
      <c r="P654" s="476"/>
      <c r="Q654" s="476"/>
      <c r="R654" s="476"/>
      <c r="S654" s="476"/>
      <c r="T654" s="476"/>
      <c r="U654" s="476"/>
      <c r="V654" s="476"/>
      <c r="W654" s="476"/>
    </row>
    <row r="655" spans="1:23" ht="12.75">
      <c r="A655" s="475"/>
      <c r="B655" s="476"/>
      <c r="C655" s="476"/>
      <c r="D655" s="476"/>
      <c r="E655" s="476"/>
      <c r="F655" s="493"/>
      <c r="G655" s="476"/>
      <c r="H655" s="491"/>
      <c r="I655" s="491"/>
      <c r="J655" s="491"/>
      <c r="K655" s="476"/>
      <c r="L655" s="476"/>
      <c r="M655" s="476"/>
      <c r="N655" s="476"/>
      <c r="O655" s="476"/>
      <c r="P655" s="476"/>
      <c r="Q655" s="476"/>
      <c r="R655" s="476"/>
      <c r="S655" s="476"/>
      <c r="T655" s="476"/>
      <c r="U655" s="476"/>
      <c r="V655" s="476"/>
      <c r="W655" s="476"/>
    </row>
    <row r="656" spans="1:23" ht="12.75">
      <c r="A656" s="475"/>
      <c r="B656" s="476"/>
      <c r="C656" s="476"/>
      <c r="D656" s="476"/>
      <c r="E656" s="476"/>
      <c r="F656" s="493"/>
      <c r="G656" s="476"/>
      <c r="H656" s="491"/>
      <c r="I656" s="491"/>
      <c r="J656" s="491"/>
      <c r="K656" s="476"/>
      <c r="L656" s="476"/>
      <c r="M656" s="476"/>
      <c r="N656" s="476"/>
      <c r="O656" s="476"/>
      <c r="P656" s="476"/>
      <c r="Q656" s="476"/>
      <c r="R656" s="476"/>
      <c r="S656" s="476"/>
      <c r="T656" s="476"/>
      <c r="U656" s="476"/>
      <c r="V656" s="476"/>
      <c r="W656" s="476"/>
    </row>
    <row r="657" spans="1:23" ht="12.75">
      <c r="A657" s="475"/>
      <c r="B657" s="476"/>
      <c r="C657" s="476"/>
      <c r="D657" s="476"/>
      <c r="E657" s="476"/>
      <c r="F657" s="493"/>
      <c r="G657" s="476"/>
      <c r="H657" s="491"/>
      <c r="I657" s="491"/>
      <c r="J657" s="491"/>
      <c r="K657" s="476"/>
      <c r="L657" s="476"/>
      <c r="M657" s="476"/>
      <c r="N657" s="476"/>
      <c r="O657" s="476"/>
      <c r="P657" s="476"/>
      <c r="Q657" s="476"/>
      <c r="R657" s="476"/>
      <c r="S657" s="476"/>
      <c r="T657" s="476"/>
      <c r="U657" s="476"/>
      <c r="V657" s="476"/>
      <c r="W657" s="476"/>
    </row>
    <row r="658" spans="1:23" ht="12.75">
      <c r="A658" s="475"/>
      <c r="B658" s="476"/>
      <c r="C658" s="476"/>
      <c r="D658" s="476"/>
      <c r="E658" s="476"/>
      <c r="F658" s="493"/>
      <c r="G658" s="476"/>
      <c r="H658" s="491"/>
      <c r="I658" s="491"/>
      <c r="J658" s="491"/>
      <c r="K658" s="476"/>
      <c r="L658" s="476"/>
      <c r="M658" s="476"/>
      <c r="N658" s="476"/>
      <c r="O658" s="476"/>
      <c r="P658" s="476"/>
      <c r="Q658" s="476"/>
      <c r="R658" s="476"/>
      <c r="S658" s="476"/>
      <c r="T658" s="476"/>
      <c r="U658" s="476"/>
      <c r="V658" s="476"/>
      <c r="W658" s="476"/>
    </row>
    <row r="659" spans="1:23">
      <c r="A659" s="475"/>
      <c r="B659" s="476"/>
      <c r="C659" s="476"/>
      <c r="D659" s="476"/>
      <c r="E659" s="476"/>
      <c r="F659" s="493"/>
      <c r="G659" s="476"/>
      <c r="H659" s="491"/>
      <c r="I659" s="491"/>
      <c r="J659" s="491"/>
      <c r="K659" s="476"/>
      <c r="L659" s="476"/>
      <c r="M659" s="476"/>
      <c r="N659" s="476"/>
      <c r="O659" s="476"/>
      <c r="P659" s="476"/>
      <c r="Q659" s="476"/>
      <c r="R659" s="476"/>
      <c r="S659" s="476"/>
      <c r="T659" s="496"/>
      <c r="W659" s="476"/>
    </row>
    <row r="660" spans="1:23" ht="12.75">
      <c r="A660" s="475"/>
      <c r="B660" s="476"/>
      <c r="C660" s="476"/>
      <c r="D660" s="476"/>
      <c r="E660" s="476"/>
      <c r="F660" s="493"/>
      <c r="G660" s="476"/>
      <c r="H660" s="491"/>
      <c r="I660" s="491"/>
      <c r="J660" s="491"/>
      <c r="K660" s="476"/>
      <c r="L660" s="476"/>
      <c r="M660" s="476"/>
      <c r="N660" s="476"/>
      <c r="O660" s="476"/>
      <c r="P660" s="476"/>
      <c r="Q660" s="476"/>
      <c r="R660" s="476"/>
      <c r="S660" s="476"/>
      <c r="T660" s="493"/>
      <c r="W660" s="476"/>
    </row>
    <row r="661" spans="1:23" ht="12.75">
      <c r="A661" s="475"/>
      <c r="B661" s="476"/>
      <c r="C661" s="476"/>
      <c r="D661" s="476"/>
      <c r="E661" s="476"/>
      <c r="F661" s="493"/>
      <c r="G661" s="476"/>
      <c r="H661" s="491"/>
      <c r="I661" s="491"/>
      <c r="J661" s="491"/>
      <c r="K661" s="476"/>
      <c r="L661" s="476"/>
      <c r="M661" s="476"/>
      <c r="N661" s="476"/>
      <c r="O661" s="476"/>
      <c r="P661" s="476"/>
      <c r="Q661" s="476"/>
      <c r="R661" s="476"/>
      <c r="S661" s="476"/>
      <c r="T661" s="493"/>
      <c r="W661" s="476"/>
    </row>
    <row r="662" spans="1:23" ht="12.75">
      <c r="A662" s="475"/>
      <c r="B662" s="476"/>
      <c r="C662" s="476"/>
      <c r="D662" s="476"/>
      <c r="E662" s="476"/>
      <c r="F662" s="493"/>
      <c r="G662" s="476"/>
      <c r="H662" s="491"/>
      <c r="I662" s="491"/>
      <c r="J662" s="491"/>
      <c r="K662" s="476"/>
      <c r="L662" s="476"/>
      <c r="M662" s="476"/>
      <c r="N662" s="476"/>
      <c r="O662" s="476"/>
      <c r="P662" s="476"/>
      <c r="Q662" s="476"/>
      <c r="R662" s="476"/>
      <c r="S662" s="476"/>
      <c r="T662" s="493"/>
      <c r="W662" s="476"/>
    </row>
    <row r="663" spans="1:23" ht="12.75">
      <c r="A663" s="475"/>
      <c r="B663" s="476"/>
      <c r="C663" s="476"/>
      <c r="D663" s="476"/>
      <c r="E663" s="476"/>
      <c r="F663" s="493"/>
      <c r="G663" s="476"/>
      <c r="H663" s="491"/>
      <c r="I663" s="491"/>
      <c r="J663" s="491"/>
      <c r="K663" s="476"/>
      <c r="L663" s="476"/>
      <c r="M663" s="476"/>
      <c r="N663" s="476"/>
      <c r="O663" s="476"/>
      <c r="P663" s="476"/>
      <c r="Q663" s="476"/>
      <c r="R663" s="476"/>
      <c r="S663" s="476"/>
      <c r="T663" s="493"/>
      <c r="W663" s="476"/>
    </row>
    <row r="664" spans="1:23" ht="12.75">
      <c r="A664" s="475"/>
      <c r="B664" s="476"/>
      <c r="C664" s="476"/>
      <c r="D664" s="476"/>
      <c r="E664" s="476"/>
      <c r="F664" s="493"/>
      <c r="G664" s="476"/>
      <c r="H664" s="491"/>
      <c r="I664" s="491"/>
      <c r="J664" s="491"/>
      <c r="K664" s="476"/>
      <c r="L664" s="476"/>
      <c r="M664" s="476"/>
      <c r="N664" s="476"/>
      <c r="O664" s="476"/>
      <c r="P664" s="476"/>
      <c r="Q664" s="476"/>
      <c r="R664" s="476"/>
      <c r="S664" s="476"/>
      <c r="T664" s="476"/>
      <c r="U664" s="476"/>
      <c r="V664" s="476"/>
      <c r="W664" s="476"/>
    </row>
    <row r="665" spans="1:23" ht="12.75">
      <c r="A665" s="475"/>
      <c r="B665" s="476"/>
      <c r="C665" s="476"/>
      <c r="D665" s="476"/>
      <c r="E665" s="476"/>
      <c r="F665" s="493"/>
      <c r="G665" s="476"/>
      <c r="H665" s="491"/>
      <c r="I665" s="491"/>
      <c r="J665" s="491"/>
      <c r="K665" s="476"/>
      <c r="L665" s="476"/>
      <c r="M665" s="476"/>
      <c r="N665" s="476"/>
      <c r="O665" s="476"/>
      <c r="P665" s="476"/>
      <c r="Q665" s="476"/>
      <c r="R665" s="476"/>
      <c r="S665" s="476"/>
      <c r="T665" s="476"/>
      <c r="U665" s="476"/>
      <c r="V665" s="476"/>
      <c r="W665" s="476"/>
    </row>
    <row r="666" spans="1:23" ht="12.75">
      <c r="A666" s="475"/>
      <c r="B666" s="476"/>
      <c r="C666" s="476"/>
      <c r="D666" s="476"/>
      <c r="E666" s="476"/>
      <c r="F666" s="493"/>
      <c r="G666" s="476"/>
      <c r="H666" s="491"/>
      <c r="I666" s="491"/>
      <c r="J666" s="491"/>
      <c r="K666" s="476"/>
      <c r="L666" s="476"/>
      <c r="M666" s="476"/>
      <c r="N666" s="476"/>
      <c r="O666" s="476"/>
      <c r="P666" s="476"/>
      <c r="Q666" s="476"/>
      <c r="R666" s="476"/>
      <c r="S666" s="476"/>
      <c r="T666" s="476"/>
      <c r="U666" s="476"/>
      <c r="V666" s="476"/>
      <c r="W666" s="476"/>
    </row>
    <row r="667" spans="1:23" ht="12.75">
      <c r="A667" s="475"/>
      <c r="B667" s="476"/>
      <c r="C667" s="476"/>
      <c r="D667" s="476"/>
      <c r="E667" s="476"/>
      <c r="F667" s="493"/>
      <c r="G667" s="476"/>
      <c r="H667" s="491"/>
      <c r="I667" s="491"/>
      <c r="J667" s="491"/>
      <c r="K667" s="476"/>
      <c r="L667" s="476"/>
      <c r="M667" s="476"/>
      <c r="N667" s="476"/>
      <c r="O667" s="476"/>
      <c r="P667" s="476"/>
      <c r="Q667" s="476"/>
      <c r="R667" s="476"/>
      <c r="S667" s="476"/>
      <c r="T667" s="476"/>
      <c r="U667" s="476"/>
      <c r="V667" s="476"/>
      <c r="W667" s="476"/>
    </row>
    <row r="668" spans="1:23" ht="12.75">
      <c r="A668" s="475"/>
      <c r="B668" s="476"/>
      <c r="C668" s="476"/>
      <c r="D668" s="476"/>
      <c r="E668" s="476"/>
      <c r="F668" s="493"/>
      <c r="G668" s="476"/>
      <c r="H668" s="491"/>
      <c r="I668" s="491"/>
      <c r="J668" s="491"/>
      <c r="K668" s="476"/>
      <c r="L668" s="476"/>
      <c r="M668" s="476"/>
      <c r="N668" s="476"/>
      <c r="O668" s="476"/>
      <c r="P668" s="476"/>
      <c r="Q668" s="476"/>
      <c r="R668" s="476"/>
      <c r="S668" s="476"/>
      <c r="T668" s="476"/>
      <c r="U668" s="476"/>
      <c r="V668" s="476"/>
      <c r="W668" s="476"/>
    </row>
    <row r="669" spans="1:23" ht="12.75">
      <c r="A669" s="475"/>
      <c r="B669" s="476"/>
      <c r="C669" s="476"/>
      <c r="D669" s="476"/>
      <c r="E669" s="476"/>
      <c r="F669" s="493"/>
      <c r="G669" s="476"/>
      <c r="H669" s="491"/>
      <c r="I669" s="491"/>
      <c r="J669" s="491"/>
      <c r="K669" s="476"/>
      <c r="L669" s="476"/>
      <c r="M669" s="476"/>
      <c r="N669" s="476"/>
      <c r="O669" s="476"/>
      <c r="P669" s="476"/>
      <c r="Q669" s="476"/>
      <c r="R669" s="476"/>
      <c r="S669" s="476"/>
      <c r="T669" s="476"/>
      <c r="U669" s="476"/>
      <c r="V669" s="476"/>
      <c r="W669" s="476"/>
    </row>
    <row r="670" spans="1:23" ht="12.75">
      <c r="A670" s="475"/>
      <c r="B670" s="476"/>
      <c r="C670" s="476"/>
      <c r="D670" s="476"/>
      <c r="E670" s="476"/>
      <c r="F670" s="493"/>
      <c r="G670" s="476"/>
      <c r="H670" s="491"/>
      <c r="I670" s="491"/>
      <c r="J670" s="491"/>
      <c r="K670" s="476"/>
      <c r="L670" s="476"/>
      <c r="M670" s="476"/>
      <c r="N670" s="476"/>
      <c r="O670" s="476"/>
      <c r="P670" s="476"/>
      <c r="Q670" s="476"/>
      <c r="R670" s="476"/>
      <c r="S670" s="476"/>
      <c r="T670" s="476"/>
      <c r="U670" s="476"/>
      <c r="V670" s="476"/>
      <c r="W670" s="476"/>
    </row>
    <row r="671" spans="1:23" ht="12.75">
      <c r="A671" s="475"/>
      <c r="B671" s="476"/>
      <c r="C671" s="476"/>
      <c r="D671" s="476"/>
      <c r="E671" s="476"/>
      <c r="F671" s="493"/>
      <c r="G671" s="476"/>
      <c r="H671" s="491"/>
      <c r="I671" s="491"/>
      <c r="J671" s="491"/>
      <c r="K671" s="476"/>
      <c r="L671" s="476"/>
      <c r="M671" s="476"/>
      <c r="N671" s="476"/>
      <c r="O671" s="476"/>
      <c r="P671" s="476"/>
      <c r="Q671" s="476"/>
      <c r="R671" s="476"/>
      <c r="S671" s="476"/>
      <c r="T671" s="476"/>
      <c r="U671" s="476"/>
      <c r="V671" s="476"/>
      <c r="W671" s="476"/>
    </row>
    <row r="672" spans="1:23" ht="12.75">
      <c r="A672" s="475"/>
      <c r="B672" s="476"/>
      <c r="C672" s="476"/>
      <c r="D672" s="476"/>
      <c r="E672" s="476"/>
      <c r="F672" s="493"/>
      <c r="G672" s="476"/>
      <c r="H672" s="491"/>
      <c r="I672" s="491"/>
      <c r="J672" s="491"/>
      <c r="K672" s="476"/>
      <c r="L672" s="476"/>
      <c r="M672" s="476"/>
      <c r="N672" s="476"/>
      <c r="O672" s="476"/>
      <c r="P672" s="476"/>
      <c r="Q672" s="476"/>
      <c r="R672" s="476"/>
      <c r="S672" s="476"/>
      <c r="T672" s="476"/>
      <c r="U672" s="476"/>
      <c r="V672" s="476"/>
      <c r="W672" s="476"/>
    </row>
    <row r="673" spans="1:23" ht="12.75">
      <c r="A673" s="475"/>
      <c r="B673" s="476"/>
      <c r="C673" s="476"/>
      <c r="D673" s="476"/>
      <c r="E673" s="476"/>
      <c r="F673" s="493"/>
      <c r="G673" s="476"/>
      <c r="H673" s="491"/>
      <c r="I673" s="491"/>
      <c r="J673" s="491"/>
      <c r="K673" s="476"/>
      <c r="L673" s="476"/>
      <c r="M673" s="476"/>
      <c r="N673" s="476"/>
      <c r="O673" s="476"/>
      <c r="P673" s="476"/>
      <c r="Q673" s="476"/>
      <c r="R673" s="476"/>
      <c r="S673" s="476"/>
      <c r="T673" s="476"/>
      <c r="U673" s="476"/>
      <c r="V673" s="476"/>
      <c r="W673" s="476"/>
    </row>
    <row r="674" spans="1:23" ht="12.75">
      <c r="A674" s="475"/>
      <c r="B674" s="476"/>
      <c r="C674" s="476"/>
      <c r="D674" s="476"/>
      <c r="E674" s="476"/>
      <c r="F674" s="493"/>
      <c r="G674" s="476"/>
      <c r="H674" s="491"/>
      <c r="I674" s="491"/>
      <c r="J674" s="491"/>
      <c r="K674" s="476"/>
      <c r="L674" s="476"/>
      <c r="M674" s="476"/>
      <c r="N674" s="476"/>
      <c r="O674" s="476"/>
      <c r="P674" s="476"/>
      <c r="Q674" s="476"/>
      <c r="R674" s="476"/>
      <c r="S674" s="476"/>
      <c r="T674" s="476"/>
      <c r="U674" s="476"/>
      <c r="V674" s="476"/>
      <c r="W674" s="476"/>
    </row>
    <row r="675" spans="1:23" ht="12.75">
      <c r="A675" s="475"/>
      <c r="B675" s="476"/>
      <c r="C675" s="476"/>
      <c r="D675" s="476"/>
      <c r="E675" s="476"/>
      <c r="F675" s="493"/>
      <c r="G675" s="476"/>
      <c r="H675" s="491"/>
      <c r="I675" s="491"/>
      <c r="J675" s="491"/>
      <c r="K675" s="476"/>
      <c r="L675" s="476"/>
      <c r="M675" s="476"/>
      <c r="N675" s="476"/>
      <c r="O675" s="476"/>
      <c r="P675" s="476"/>
      <c r="Q675" s="476"/>
      <c r="R675" s="476"/>
      <c r="S675" s="476"/>
      <c r="T675" s="476"/>
      <c r="U675" s="476"/>
      <c r="V675" s="476"/>
      <c r="W675" s="476"/>
    </row>
    <row r="676" spans="1:23" ht="12.75">
      <c r="A676" s="475"/>
      <c r="B676" s="476"/>
      <c r="C676" s="476"/>
      <c r="D676" s="476"/>
      <c r="E676" s="476"/>
      <c r="F676" s="493"/>
      <c r="G676" s="476"/>
      <c r="H676" s="491"/>
      <c r="I676" s="491"/>
      <c r="J676" s="491"/>
      <c r="K676" s="476"/>
      <c r="L676" s="476"/>
      <c r="M676" s="476"/>
      <c r="N676" s="476"/>
      <c r="O676" s="476"/>
      <c r="P676" s="476"/>
      <c r="Q676" s="476"/>
      <c r="R676" s="476"/>
      <c r="S676" s="476"/>
      <c r="T676" s="476"/>
      <c r="U676" s="476"/>
      <c r="V676" s="476"/>
      <c r="W676" s="476"/>
    </row>
    <row r="677" spans="1:23" ht="12.75">
      <c r="A677" s="475"/>
      <c r="B677" s="476"/>
      <c r="C677" s="476"/>
      <c r="D677" s="476"/>
      <c r="E677" s="476"/>
      <c r="F677" s="493"/>
      <c r="G677" s="476"/>
      <c r="H677" s="491"/>
      <c r="I677" s="491"/>
      <c r="J677" s="491"/>
      <c r="K677" s="476"/>
      <c r="L677" s="476"/>
      <c r="M677" s="476"/>
      <c r="N677" s="476"/>
      <c r="O677" s="476"/>
      <c r="P677" s="476"/>
      <c r="Q677" s="476"/>
      <c r="R677" s="476"/>
      <c r="S677" s="476"/>
      <c r="T677" s="476"/>
      <c r="U677" s="476"/>
      <c r="V677" s="476"/>
      <c r="W677" s="476"/>
    </row>
    <row r="678" spans="1:23" ht="12.75">
      <c r="A678" s="475"/>
      <c r="B678" s="476"/>
      <c r="C678" s="476"/>
      <c r="D678" s="476"/>
      <c r="E678" s="476"/>
      <c r="F678" s="493"/>
      <c r="G678" s="476"/>
      <c r="H678" s="491"/>
      <c r="I678" s="491"/>
      <c r="J678" s="491"/>
      <c r="K678" s="476"/>
      <c r="L678" s="476"/>
      <c r="M678" s="476"/>
      <c r="N678" s="476"/>
      <c r="O678" s="476"/>
      <c r="P678" s="476"/>
      <c r="Q678" s="476"/>
      <c r="R678" s="476"/>
      <c r="S678" s="476"/>
      <c r="T678" s="476"/>
      <c r="U678" s="476"/>
      <c r="V678" s="476"/>
      <c r="W678" s="476"/>
    </row>
    <row r="679" spans="1:23" ht="12.75">
      <c r="A679" s="475"/>
      <c r="B679" s="476"/>
      <c r="C679" s="476"/>
      <c r="D679" s="476"/>
      <c r="E679" s="476"/>
      <c r="F679" s="493"/>
      <c r="G679" s="476"/>
      <c r="H679" s="491"/>
      <c r="I679" s="491"/>
      <c r="J679" s="491"/>
      <c r="K679" s="476"/>
      <c r="L679" s="476"/>
      <c r="M679" s="476"/>
      <c r="N679" s="476"/>
      <c r="O679" s="476"/>
      <c r="P679" s="476"/>
      <c r="Q679" s="476"/>
      <c r="R679" s="476"/>
      <c r="S679" s="476"/>
      <c r="T679" s="476"/>
      <c r="U679" s="476"/>
      <c r="V679" s="476"/>
      <c r="W679" s="476"/>
    </row>
    <row r="680" spans="1:23" ht="12.75">
      <c r="A680" s="475"/>
      <c r="B680" s="476"/>
      <c r="C680" s="476"/>
      <c r="D680" s="476"/>
      <c r="E680" s="476"/>
      <c r="F680" s="493"/>
      <c r="G680" s="476"/>
      <c r="H680" s="491"/>
      <c r="I680" s="491"/>
      <c r="J680" s="491"/>
      <c r="K680" s="476"/>
      <c r="L680" s="476"/>
      <c r="M680" s="476"/>
      <c r="N680" s="476"/>
      <c r="O680" s="476"/>
      <c r="P680" s="476"/>
      <c r="Q680" s="476"/>
      <c r="R680" s="476"/>
      <c r="S680" s="476"/>
      <c r="T680" s="476"/>
      <c r="U680" s="476"/>
      <c r="V680" s="476"/>
      <c r="W680" s="476"/>
    </row>
    <row r="681" spans="1:23" ht="12.75">
      <c r="A681" s="475"/>
      <c r="B681" s="476"/>
      <c r="C681" s="476"/>
      <c r="D681" s="476"/>
      <c r="E681" s="476"/>
      <c r="F681" s="493"/>
      <c r="G681" s="476"/>
      <c r="H681" s="491"/>
      <c r="I681" s="491"/>
      <c r="J681" s="491"/>
      <c r="K681" s="476"/>
      <c r="L681" s="476"/>
      <c r="M681" s="476"/>
      <c r="N681" s="476"/>
      <c r="O681" s="476"/>
      <c r="P681" s="476"/>
      <c r="Q681" s="476"/>
      <c r="R681" s="476"/>
      <c r="S681" s="476"/>
      <c r="T681" s="476"/>
      <c r="U681" s="476"/>
      <c r="V681" s="476"/>
      <c r="W681" s="476"/>
    </row>
    <row r="682" spans="1:23" ht="12.75">
      <c r="A682" s="475"/>
      <c r="B682" s="476"/>
      <c r="C682" s="476"/>
      <c r="D682" s="476"/>
      <c r="E682" s="476"/>
      <c r="F682" s="493"/>
      <c r="G682" s="476"/>
      <c r="H682" s="491"/>
      <c r="I682" s="491"/>
      <c r="J682" s="491"/>
      <c r="K682" s="476"/>
      <c r="L682" s="476"/>
      <c r="M682" s="476"/>
      <c r="N682" s="476"/>
      <c r="O682" s="476"/>
      <c r="P682" s="476"/>
      <c r="Q682" s="476"/>
      <c r="R682" s="476"/>
      <c r="S682" s="476"/>
      <c r="T682" s="476"/>
      <c r="U682" s="476"/>
      <c r="V682" s="476"/>
      <c r="W682" s="476"/>
    </row>
    <row r="683" spans="1:23" ht="12.75">
      <c r="A683" s="475"/>
      <c r="B683" s="476"/>
      <c r="C683" s="476"/>
      <c r="D683" s="476"/>
      <c r="E683" s="476"/>
      <c r="F683" s="493"/>
      <c r="G683" s="476"/>
      <c r="H683" s="491"/>
      <c r="I683" s="491"/>
      <c r="J683" s="491"/>
      <c r="K683" s="476"/>
      <c r="L683" s="476"/>
      <c r="M683" s="476"/>
      <c r="N683" s="476"/>
      <c r="O683" s="476"/>
      <c r="P683" s="476"/>
      <c r="Q683" s="476"/>
      <c r="R683" s="476"/>
      <c r="S683" s="476"/>
      <c r="T683" s="476"/>
      <c r="U683" s="476"/>
      <c r="V683" s="476"/>
      <c r="W683" s="476"/>
    </row>
    <row r="684" spans="1:23" ht="12.75">
      <c r="A684" s="475"/>
      <c r="B684" s="476"/>
      <c r="C684" s="476"/>
      <c r="D684" s="476"/>
      <c r="E684" s="476"/>
      <c r="F684" s="493"/>
      <c r="G684" s="476"/>
      <c r="H684" s="491"/>
      <c r="I684" s="491"/>
      <c r="J684" s="491"/>
      <c r="K684" s="476"/>
      <c r="L684" s="476"/>
      <c r="M684" s="476"/>
      <c r="N684" s="476"/>
      <c r="O684" s="476"/>
      <c r="P684" s="476"/>
      <c r="Q684" s="476"/>
      <c r="R684" s="476"/>
      <c r="S684" s="476"/>
      <c r="T684" s="476"/>
      <c r="U684" s="476"/>
      <c r="V684" s="476"/>
      <c r="W684" s="476"/>
    </row>
    <row r="685" spans="1:23" ht="12.75">
      <c r="A685" s="475"/>
      <c r="B685" s="476"/>
      <c r="C685" s="476"/>
      <c r="D685" s="476"/>
      <c r="E685" s="476"/>
      <c r="F685" s="493"/>
      <c r="G685" s="476"/>
      <c r="H685" s="491"/>
      <c r="I685" s="491"/>
      <c r="J685" s="491"/>
      <c r="K685" s="476"/>
      <c r="L685" s="476"/>
      <c r="M685" s="476"/>
      <c r="N685" s="476"/>
      <c r="O685" s="476"/>
      <c r="P685" s="476"/>
      <c r="Q685" s="476"/>
      <c r="R685" s="476"/>
      <c r="S685" s="476"/>
      <c r="T685" s="476"/>
      <c r="U685" s="476"/>
      <c r="V685" s="476"/>
      <c r="W685" s="476"/>
    </row>
    <row r="686" spans="1:23" ht="12.75">
      <c r="A686" s="475"/>
      <c r="B686" s="476"/>
      <c r="C686" s="476"/>
      <c r="D686" s="476"/>
      <c r="E686" s="476"/>
      <c r="F686" s="493"/>
      <c r="G686" s="476"/>
      <c r="H686" s="491"/>
      <c r="I686" s="491"/>
      <c r="J686" s="491"/>
      <c r="K686" s="476"/>
      <c r="L686" s="476"/>
      <c r="M686" s="476"/>
      <c r="N686" s="476"/>
      <c r="O686" s="476"/>
      <c r="P686" s="476"/>
      <c r="Q686" s="476"/>
      <c r="R686" s="476"/>
      <c r="S686" s="476"/>
      <c r="T686" s="476"/>
      <c r="U686" s="476"/>
      <c r="V686" s="476"/>
      <c r="W686" s="476"/>
    </row>
    <row r="687" spans="1:23" ht="12.75">
      <c r="A687" s="475"/>
      <c r="B687" s="476"/>
      <c r="C687" s="476"/>
      <c r="D687" s="476"/>
      <c r="E687" s="476"/>
      <c r="F687" s="493"/>
      <c r="G687" s="476"/>
      <c r="H687" s="491"/>
      <c r="I687" s="491"/>
      <c r="J687" s="491"/>
      <c r="K687" s="476"/>
      <c r="L687" s="476"/>
      <c r="M687" s="476"/>
      <c r="N687" s="476"/>
      <c r="O687" s="476"/>
      <c r="P687" s="476"/>
      <c r="Q687" s="476"/>
      <c r="R687" s="476"/>
      <c r="S687" s="476"/>
      <c r="T687" s="476"/>
      <c r="U687" s="476"/>
      <c r="V687" s="476"/>
      <c r="W687" s="476"/>
    </row>
    <row r="688" spans="1:23" ht="12.75">
      <c r="A688" s="475"/>
      <c r="B688" s="476"/>
      <c r="C688" s="476"/>
      <c r="D688" s="476"/>
      <c r="E688" s="476"/>
      <c r="F688" s="493"/>
      <c r="G688" s="476"/>
      <c r="H688" s="491"/>
      <c r="I688" s="491"/>
      <c r="J688" s="491"/>
      <c r="K688" s="476"/>
      <c r="L688" s="476"/>
      <c r="M688" s="476"/>
      <c r="N688" s="476"/>
      <c r="O688" s="476"/>
      <c r="P688" s="476"/>
      <c r="Q688" s="476"/>
      <c r="R688" s="476"/>
      <c r="S688" s="476"/>
      <c r="T688" s="476"/>
      <c r="U688" s="476"/>
      <c r="V688" s="476"/>
      <c r="W688" s="476"/>
    </row>
    <row r="689" spans="1:23" ht="12.75">
      <c r="A689" s="475"/>
      <c r="B689" s="476"/>
      <c r="C689" s="476"/>
      <c r="D689" s="476"/>
      <c r="E689" s="476"/>
      <c r="F689" s="493"/>
      <c r="G689" s="476"/>
      <c r="H689" s="491"/>
      <c r="I689" s="491"/>
      <c r="J689" s="491"/>
      <c r="K689" s="476"/>
      <c r="L689" s="476"/>
      <c r="M689" s="476"/>
      <c r="N689" s="476"/>
      <c r="O689" s="476"/>
      <c r="P689" s="476"/>
      <c r="Q689" s="476"/>
      <c r="R689" s="476"/>
      <c r="S689" s="476"/>
      <c r="T689" s="476"/>
      <c r="U689" s="476"/>
      <c r="V689" s="476"/>
      <c r="W689" s="476"/>
    </row>
    <row r="690" spans="1:23" ht="12.75">
      <c r="A690" s="475"/>
      <c r="B690" s="476"/>
      <c r="C690" s="476"/>
      <c r="D690" s="476"/>
      <c r="E690" s="476"/>
      <c r="F690" s="493"/>
      <c r="G690" s="476"/>
      <c r="H690" s="491"/>
      <c r="I690" s="491"/>
      <c r="J690" s="491"/>
      <c r="K690" s="476"/>
      <c r="L690" s="476"/>
      <c r="M690" s="476"/>
      <c r="N690" s="476"/>
      <c r="O690" s="476"/>
      <c r="P690" s="476"/>
      <c r="Q690" s="476"/>
      <c r="R690" s="476"/>
      <c r="S690" s="476"/>
      <c r="T690" s="476"/>
      <c r="U690" s="476"/>
      <c r="V690" s="476"/>
      <c r="W690" s="476"/>
    </row>
    <row r="691" spans="1:23" ht="12.75">
      <c r="A691" s="475"/>
      <c r="B691" s="476"/>
      <c r="C691" s="476"/>
      <c r="D691" s="476"/>
      <c r="E691" s="476"/>
      <c r="F691" s="493"/>
      <c r="G691" s="476"/>
      <c r="H691" s="491"/>
      <c r="I691" s="491"/>
      <c r="J691" s="491"/>
      <c r="K691" s="476"/>
      <c r="L691" s="476"/>
      <c r="M691" s="476"/>
      <c r="N691" s="476"/>
      <c r="O691" s="476"/>
      <c r="P691" s="476"/>
      <c r="Q691" s="476"/>
      <c r="R691" s="476"/>
      <c r="S691" s="476"/>
      <c r="T691" s="476"/>
      <c r="U691" s="476"/>
      <c r="V691" s="476"/>
      <c r="W691" s="476"/>
    </row>
    <row r="692" spans="1:23" ht="12.75">
      <c r="A692" s="475"/>
      <c r="B692" s="476"/>
      <c r="C692" s="476"/>
      <c r="D692" s="476"/>
      <c r="E692" s="476"/>
      <c r="F692" s="493"/>
      <c r="G692" s="476"/>
      <c r="H692" s="491"/>
      <c r="I692" s="491"/>
      <c r="J692" s="491"/>
      <c r="K692" s="476"/>
      <c r="L692" s="476"/>
      <c r="M692" s="476"/>
      <c r="N692" s="476"/>
      <c r="O692" s="476"/>
      <c r="P692" s="476"/>
      <c r="Q692" s="476"/>
      <c r="R692" s="476"/>
      <c r="S692" s="476"/>
      <c r="T692" s="476"/>
      <c r="U692" s="476"/>
      <c r="V692" s="476"/>
      <c r="W692" s="476"/>
    </row>
    <row r="693" spans="1:23" ht="12.75">
      <c r="A693" s="475"/>
      <c r="B693" s="476"/>
      <c r="C693" s="476"/>
      <c r="D693" s="476"/>
      <c r="E693" s="476"/>
      <c r="F693" s="493"/>
      <c r="G693" s="476"/>
      <c r="H693" s="491"/>
      <c r="I693" s="491"/>
      <c r="J693" s="491"/>
      <c r="K693" s="476"/>
      <c r="L693" s="476"/>
      <c r="M693" s="476"/>
      <c r="N693" s="476"/>
      <c r="O693" s="476"/>
      <c r="P693" s="476"/>
      <c r="Q693" s="476"/>
      <c r="R693" s="476"/>
      <c r="S693" s="476"/>
      <c r="T693" s="476"/>
      <c r="U693" s="476"/>
      <c r="V693" s="476"/>
      <c r="W693" s="476"/>
    </row>
    <row r="694" spans="1:23" ht="12.75">
      <c r="A694" s="475"/>
      <c r="B694" s="476"/>
      <c r="C694" s="476"/>
      <c r="D694" s="476"/>
      <c r="E694" s="476"/>
      <c r="F694" s="493"/>
      <c r="G694" s="476"/>
      <c r="H694" s="491"/>
      <c r="I694" s="491"/>
      <c r="J694" s="491"/>
      <c r="K694" s="476"/>
      <c r="L694" s="476"/>
      <c r="M694" s="476"/>
      <c r="N694" s="476"/>
      <c r="O694" s="476"/>
      <c r="P694" s="476"/>
      <c r="Q694" s="476"/>
      <c r="R694" s="476"/>
      <c r="S694" s="476"/>
      <c r="T694" s="476"/>
      <c r="U694" s="476"/>
      <c r="V694" s="476"/>
      <c r="W694" s="476"/>
    </row>
    <row r="695" spans="1:23" ht="12.75">
      <c r="A695" s="475"/>
      <c r="B695" s="476"/>
      <c r="C695" s="476"/>
      <c r="D695" s="476"/>
      <c r="E695" s="476"/>
      <c r="F695" s="493"/>
      <c r="G695" s="476"/>
      <c r="H695" s="491"/>
      <c r="I695" s="491"/>
      <c r="J695" s="491"/>
      <c r="K695" s="476"/>
      <c r="L695" s="476"/>
      <c r="M695" s="476"/>
      <c r="N695" s="476"/>
      <c r="O695" s="476"/>
      <c r="P695" s="476"/>
      <c r="Q695" s="476"/>
      <c r="R695" s="476"/>
      <c r="S695" s="476"/>
      <c r="T695" s="476"/>
      <c r="U695" s="476"/>
      <c r="V695" s="476"/>
      <c r="W695" s="476"/>
    </row>
    <row r="696" spans="1:23" ht="12.75">
      <c r="A696" s="475"/>
      <c r="B696" s="476"/>
      <c r="C696" s="476"/>
      <c r="D696" s="476"/>
      <c r="E696" s="476"/>
      <c r="F696" s="493"/>
      <c r="G696" s="476"/>
      <c r="H696" s="491"/>
      <c r="I696" s="491"/>
      <c r="J696" s="491"/>
      <c r="K696" s="476"/>
      <c r="L696" s="476"/>
      <c r="M696" s="476"/>
      <c r="N696" s="476"/>
      <c r="O696" s="476"/>
      <c r="P696" s="476"/>
      <c r="Q696" s="476"/>
      <c r="R696" s="476"/>
      <c r="S696" s="476"/>
      <c r="T696" s="476"/>
      <c r="U696" s="476"/>
      <c r="V696" s="476"/>
      <c r="W696" s="476"/>
    </row>
    <row r="697" spans="1:23" ht="12.75">
      <c r="A697" s="475"/>
      <c r="B697" s="476"/>
      <c r="C697" s="476"/>
      <c r="D697" s="476"/>
      <c r="E697" s="476"/>
      <c r="F697" s="493"/>
      <c r="G697" s="476"/>
      <c r="H697" s="491"/>
      <c r="I697" s="491"/>
      <c r="J697" s="491"/>
      <c r="K697" s="476"/>
      <c r="L697" s="476"/>
      <c r="M697" s="476"/>
      <c r="N697" s="476"/>
      <c r="O697" s="476"/>
      <c r="P697" s="476"/>
      <c r="Q697" s="476"/>
      <c r="R697" s="476"/>
      <c r="S697" s="476"/>
      <c r="T697" s="476"/>
      <c r="U697" s="476"/>
      <c r="V697" s="476"/>
      <c r="W697" s="476"/>
    </row>
    <row r="698" spans="1:23" ht="12.75">
      <c r="A698" s="475"/>
      <c r="B698" s="476"/>
      <c r="C698" s="476"/>
      <c r="D698" s="476"/>
      <c r="E698" s="476"/>
      <c r="F698" s="493"/>
      <c r="G698" s="476"/>
      <c r="H698" s="491"/>
      <c r="I698" s="491"/>
      <c r="J698" s="491"/>
      <c r="K698" s="476"/>
      <c r="L698" s="476"/>
      <c r="M698" s="476"/>
      <c r="N698" s="476"/>
      <c r="O698" s="476"/>
      <c r="P698" s="476"/>
      <c r="Q698" s="476"/>
      <c r="R698" s="476"/>
      <c r="S698" s="476"/>
      <c r="T698" s="476"/>
      <c r="U698" s="476"/>
      <c r="V698" s="476"/>
      <c r="W698" s="476"/>
    </row>
    <row r="699" spans="1:23" ht="12.75">
      <c r="A699" s="475"/>
      <c r="B699" s="476"/>
      <c r="C699" s="476"/>
      <c r="D699" s="476"/>
      <c r="E699" s="476"/>
      <c r="F699" s="493"/>
      <c r="G699" s="476"/>
      <c r="H699" s="491"/>
      <c r="I699" s="491"/>
      <c r="J699" s="491"/>
      <c r="K699" s="476"/>
      <c r="L699" s="476"/>
      <c r="M699" s="476"/>
      <c r="N699" s="476"/>
      <c r="O699" s="476"/>
      <c r="P699" s="476"/>
      <c r="Q699" s="476"/>
      <c r="R699" s="476"/>
      <c r="S699" s="476"/>
      <c r="T699" s="476"/>
      <c r="U699" s="476"/>
      <c r="V699" s="476"/>
      <c r="W699" s="476"/>
    </row>
    <row r="700" spans="1:23" ht="12.75">
      <c r="A700" s="475"/>
      <c r="B700" s="476"/>
      <c r="C700" s="476"/>
      <c r="D700" s="476"/>
      <c r="E700" s="476"/>
      <c r="F700" s="493"/>
      <c r="G700" s="476"/>
      <c r="H700" s="491"/>
      <c r="I700" s="491"/>
      <c r="J700" s="491"/>
      <c r="K700" s="476"/>
      <c r="L700" s="476"/>
      <c r="M700" s="476"/>
      <c r="N700" s="476"/>
      <c r="O700" s="476"/>
      <c r="P700" s="476"/>
      <c r="Q700" s="476"/>
      <c r="R700" s="476"/>
      <c r="S700" s="476"/>
      <c r="T700" s="476"/>
      <c r="U700" s="476"/>
      <c r="V700" s="476"/>
      <c r="W700" s="476"/>
    </row>
    <row r="701" spans="1:23" ht="12.75">
      <c r="A701" s="475"/>
      <c r="B701" s="476"/>
      <c r="C701" s="476"/>
      <c r="D701" s="476"/>
      <c r="E701" s="476"/>
      <c r="F701" s="493"/>
      <c r="G701" s="476"/>
      <c r="H701" s="491"/>
      <c r="I701" s="491"/>
      <c r="J701" s="491"/>
      <c r="K701" s="476"/>
      <c r="L701" s="476"/>
      <c r="M701" s="476"/>
      <c r="N701" s="476"/>
      <c r="O701" s="476"/>
      <c r="P701" s="476"/>
      <c r="Q701" s="476"/>
      <c r="R701" s="476"/>
      <c r="S701" s="476"/>
      <c r="T701" s="476"/>
      <c r="U701" s="476"/>
      <c r="V701" s="476"/>
      <c r="W701" s="476"/>
    </row>
    <row r="702" spans="1:23" ht="12.75">
      <c r="A702" s="475"/>
      <c r="B702" s="476"/>
      <c r="C702" s="476"/>
      <c r="D702" s="476"/>
      <c r="E702" s="476"/>
      <c r="F702" s="493"/>
      <c r="G702" s="476"/>
      <c r="H702" s="491"/>
      <c r="I702" s="491"/>
      <c r="J702" s="491"/>
      <c r="K702" s="476"/>
      <c r="L702" s="476"/>
      <c r="M702" s="476"/>
      <c r="N702" s="476"/>
      <c r="O702" s="476"/>
      <c r="P702" s="476"/>
      <c r="Q702" s="476"/>
      <c r="R702" s="476"/>
      <c r="S702" s="476"/>
      <c r="T702" s="476"/>
      <c r="U702" s="476"/>
      <c r="V702" s="476"/>
      <c r="W702" s="476"/>
    </row>
    <row r="703" spans="1:23" ht="12.75">
      <c r="A703" s="475"/>
      <c r="B703" s="476"/>
      <c r="C703" s="476"/>
      <c r="D703" s="476"/>
      <c r="E703" s="476"/>
      <c r="F703" s="493"/>
      <c r="G703" s="476"/>
      <c r="H703" s="491"/>
      <c r="I703" s="491"/>
      <c r="J703" s="491"/>
      <c r="K703" s="476"/>
      <c r="L703" s="476"/>
      <c r="M703" s="476"/>
      <c r="N703" s="476"/>
      <c r="O703" s="476"/>
      <c r="P703" s="476"/>
      <c r="Q703" s="476"/>
      <c r="R703" s="476"/>
      <c r="S703" s="476"/>
      <c r="T703" s="476"/>
      <c r="U703" s="476"/>
      <c r="V703" s="476"/>
      <c r="W703" s="476"/>
    </row>
    <row r="704" spans="1:23" ht="12.75">
      <c r="A704" s="475"/>
      <c r="B704" s="476"/>
      <c r="C704" s="476"/>
      <c r="D704" s="476"/>
      <c r="E704" s="476"/>
      <c r="F704" s="493"/>
      <c r="G704" s="476"/>
      <c r="H704" s="491"/>
      <c r="I704" s="491"/>
      <c r="J704" s="491"/>
      <c r="K704" s="476"/>
      <c r="L704" s="476"/>
      <c r="M704" s="476"/>
      <c r="N704" s="476"/>
      <c r="O704" s="476"/>
      <c r="P704" s="476"/>
      <c r="Q704" s="476"/>
      <c r="R704" s="476"/>
      <c r="S704" s="476"/>
      <c r="T704" s="476"/>
      <c r="U704" s="476"/>
      <c r="V704" s="476"/>
      <c r="W704" s="476"/>
    </row>
    <row r="705" spans="1:23" ht="12.75">
      <c r="A705" s="475"/>
      <c r="B705" s="476"/>
      <c r="C705" s="476"/>
      <c r="D705" s="476"/>
      <c r="E705" s="476"/>
      <c r="F705" s="493"/>
      <c r="G705" s="476"/>
      <c r="H705" s="491"/>
      <c r="I705" s="491"/>
      <c r="J705" s="491"/>
      <c r="K705" s="476"/>
      <c r="L705" s="476"/>
      <c r="M705" s="476"/>
      <c r="N705" s="476"/>
      <c r="O705" s="476"/>
      <c r="P705" s="476"/>
      <c r="Q705" s="476"/>
      <c r="R705" s="476"/>
      <c r="S705" s="476"/>
      <c r="T705" s="476"/>
      <c r="U705" s="476"/>
      <c r="V705" s="476"/>
      <c r="W705" s="476"/>
    </row>
    <row r="706" spans="1:23" ht="12.75">
      <c r="A706" s="475"/>
      <c r="B706" s="476"/>
      <c r="C706" s="476"/>
      <c r="D706" s="476"/>
      <c r="E706" s="476"/>
      <c r="F706" s="493"/>
      <c r="G706" s="476"/>
      <c r="H706" s="491"/>
      <c r="I706" s="491"/>
      <c r="J706" s="491"/>
      <c r="K706" s="476"/>
      <c r="L706" s="476"/>
      <c r="M706" s="476"/>
      <c r="N706" s="476"/>
      <c r="O706" s="476"/>
      <c r="P706" s="476"/>
      <c r="Q706" s="476"/>
      <c r="R706" s="476"/>
      <c r="S706" s="476"/>
      <c r="T706" s="476"/>
      <c r="U706" s="476"/>
      <c r="V706" s="476"/>
      <c r="W706" s="476"/>
    </row>
    <row r="707" spans="1:23" ht="12.75">
      <c r="A707" s="475"/>
      <c r="B707" s="476"/>
      <c r="C707" s="476"/>
      <c r="D707" s="476"/>
      <c r="E707" s="476"/>
      <c r="F707" s="493"/>
      <c r="G707" s="476"/>
      <c r="H707" s="491"/>
      <c r="I707" s="491"/>
      <c r="J707" s="491"/>
      <c r="K707" s="476"/>
      <c r="L707" s="476"/>
      <c r="M707" s="476"/>
      <c r="N707" s="476"/>
      <c r="O707" s="476"/>
      <c r="P707" s="476"/>
      <c r="Q707" s="476"/>
      <c r="R707" s="476"/>
      <c r="S707" s="476"/>
      <c r="T707" s="476"/>
      <c r="U707" s="476"/>
      <c r="V707" s="476"/>
      <c r="W707" s="476"/>
    </row>
    <row r="708" spans="1:23" ht="12.75">
      <c r="A708" s="475"/>
      <c r="B708" s="476"/>
      <c r="C708" s="476"/>
      <c r="D708" s="476"/>
      <c r="E708" s="476"/>
      <c r="F708" s="493"/>
      <c r="G708" s="476"/>
      <c r="H708" s="491"/>
      <c r="I708" s="491"/>
      <c r="J708" s="491"/>
      <c r="K708" s="476"/>
      <c r="L708" s="476"/>
      <c r="M708" s="476"/>
      <c r="N708" s="476"/>
      <c r="O708" s="476"/>
      <c r="P708" s="476"/>
      <c r="Q708" s="476"/>
      <c r="R708" s="476"/>
      <c r="S708" s="476"/>
      <c r="T708" s="476"/>
      <c r="U708" s="476"/>
      <c r="V708" s="476"/>
      <c r="W708" s="476"/>
    </row>
    <row r="709" spans="1:23" ht="12.75">
      <c r="A709" s="475"/>
      <c r="B709" s="476"/>
      <c r="C709" s="476"/>
      <c r="D709" s="476"/>
      <c r="E709" s="476"/>
      <c r="F709" s="493"/>
      <c r="G709" s="476"/>
      <c r="H709" s="491"/>
      <c r="I709" s="491"/>
      <c r="J709" s="491"/>
      <c r="K709" s="476"/>
      <c r="L709" s="476"/>
      <c r="M709" s="476"/>
      <c r="N709" s="476"/>
      <c r="O709" s="476"/>
      <c r="P709" s="476"/>
      <c r="Q709" s="476"/>
      <c r="R709" s="476"/>
      <c r="S709" s="476"/>
      <c r="T709" s="476"/>
      <c r="U709" s="476"/>
      <c r="V709" s="476"/>
      <c r="W709" s="476"/>
    </row>
    <row r="710" spans="1:23" ht="12.75">
      <c r="A710" s="475"/>
      <c r="B710" s="476"/>
      <c r="C710" s="476"/>
      <c r="D710" s="476"/>
      <c r="E710" s="476"/>
      <c r="F710" s="493"/>
      <c r="G710" s="476"/>
      <c r="H710" s="491"/>
      <c r="I710" s="491"/>
      <c r="J710" s="491"/>
      <c r="K710" s="476"/>
      <c r="L710" s="476"/>
      <c r="M710" s="476"/>
      <c r="N710" s="476"/>
      <c r="O710" s="476"/>
      <c r="P710" s="476"/>
      <c r="Q710" s="476"/>
      <c r="R710" s="476"/>
      <c r="S710" s="476"/>
      <c r="T710" s="476"/>
      <c r="U710" s="476"/>
      <c r="V710" s="476"/>
      <c r="W710" s="476"/>
    </row>
    <row r="711" spans="1:23" ht="12.75">
      <c r="A711" s="475"/>
      <c r="B711" s="476"/>
      <c r="C711" s="476"/>
      <c r="D711" s="476"/>
      <c r="E711" s="476"/>
      <c r="F711" s="493"/>
      <c r="G711" s="476"/>
      <c r="H711" s="491"/>
      <c r="I711" s="491"/>
      <c r="J711" s="491"/>
      <c r="K711" s="476"/>
      <c r="L711" s="476"/>
      <c r="M711" s="476"/>
      <c r="N711" s="476"/>
      <c r="O711" s="476"/>
      <c r="P711" s="476"/>
      <c r="Q711" s="476"/>
      <c r="R711" s="476"/>
      <c r="S711" s="476"/>
      <c r="T711" s="476"/>
      <c r="U711" s="476"/>
      <c r="V711" s="476"/>
      <c r="W711" s="476"/>
    </row>
    <row r="712" spans="1:23" ht="12.75">
      <c r="A712" s="475"/>
      <c r="B712" s="476"/>
      <c r="C712" s="476"/>
      <c r="D712" s="476"/>
      <c r="E712" s="476"/>
      <c r="F712" s="493"/>
      <c r="G712" s="476"/>
      <c r="H712" s="491"/>
      <c r="I712" s="491"/>
      <c r="J712" s="491"/>
      <c r="K712" s="476"/>
      <c r="L712" s="476"/>
      <c r="M712" s="476"/>
      <c r="N712" s="476"/>
      <c r="O712" s="476"/>
      <c r="P712" s="476"/>
      <c r="Q712" s="476"/>
      <c r="R712" s="476"/>
      <c r="S712" s="476"/>
      <c r="T712" s="476"/>
      <c r="U712" s="476"/>
      <c r="V712" s="476"/>
      <c r="W712" s="476"/>
    </row>
    <row r="713" spans="1:23" ht="12.75">
      <c r="A713" s="475"/>
      <c r="B713" s="476"/>
      <c r="C713" s="476"/>
      <c r="D713" s="476"/>
      <c r="E713" s="476"/>
      <c r="F713" s="493"/>
      <c r="G713" s="476"/>
      <c r="H713" s="491"/>
      <c r="I713" s="491"/>
      <c r="J713" s="491"/>
      <c r="K713" s="476"/>
      <c r="L713" s="476"/>
      <c r="M713" s="476"/>
      <c r="N713" s="476"/>
      <c r="O713" s="476"/>
      <c r="P713" s="476"/>
      <c r="Q713" s="476"/>
      <c r="R713" s="476"/>
      <c r="S713" s="476"/>
      <c r="T713" s="476"/>
      <c r="U713" s="476"/>
      <c r="V713" s="476"/>
      <c r="W713" s="476"/>
    </row>
    <row r="714" spans="1:23" ht="12.75">
      <c r="A714" s="475"/>
      <c r="B714" s="476"/>
      <c r="C714" s="476"/>
      <c r="D714" s="476"/>
      <c r="E714" s="476"/>
      <c r="F714" s="493"/>
      <c r="G714" s="476"/>
      <c r="H714" s="491"/>
      <c r="I714" s="491"/>
      <c r="J714" s="491"/>
      <c r="K714" s="476"/>
      <c r="L714" s="476"/>
      <c r="M714" s="476"/>
      <c r="N714" s="476"/>
      <c r="O714" s="476"/>
      <c r="P714" s="476"/>
      <c r="Q714" s="476"/>
      <c r="R714" s="476"/>
      <c r="S714" s="476"/>
      <c r="T714" s="476"/>
      <c r="U714" s="476"/>
      <c r="V714" s="476"/>
      <c r="W714" s="476"/>
    </row>
    <row r="715" spans="1:23" ht="12.75">
      <c r="A715" s="475"/>
      <c r="B715" s="476"/>
      <c r="C715" s="476"/>
      <c r="D715" s="476"/>
      <c r="E715" s="476"/>
      <c r="F715" s="493"/>
      <c r="G715" s="476"/>
      <c r="H715" s="491"/>
      <c r="I715" s="491"/>
      <c r="J715" s="491"/>
      <c r="K715" s="476"/>
      <c r="L715" s="476"/>
      <c r="M715" s="476"/>
      <c r="N715" s="476"/>
      <c r="O715" s="476"/>
      <c r="P715" s="476"/>
      <c r="Q715" s="476"/>
      <c r="R715" s="476"/>
      <c r="S715" s="476"/>
      <c r="T715" s="476"/>
      <c r="U715" s="476"/>
      <c r="V715" s="476"/>
      <c r="W715" s="476"/>
    </row>
    <row r="716" spans="1:23" ht="12.75">
      <c r="A716" s="475"/>
      <c r="B716" s="476"/>
      <c r="C716" s="476"/>
      <c r="D716" s="476"/>
      <c r="E716" s="476"/>
      <c r="F716" s="493"/>
      <c r="G716" s="476"/>
      <c r="H716" s="491"/>
      <c r="I716" s="491"/>
      <c r="J716" s="491"/>
      <c r="K716" s="476"/>
      <c r="L716" s="476"/>
      <c r="M716" s="476"/>
      <c r="N716" s="476"/>
      <c r="O716" s="476"/>
      <c r="P716" s="476"/>
      <c r="Q716" s="476"/>
      <c r="R716" s="476"/>
      <c r="S716" s="476"/>
      <c r="T716" s="476"/>
      <c r="U716" s="476"/>
      <c r="V716" s="476"/>
      <c r="W716" s="476"/>
    </row>
    <row r="717" spans="1:23" ht="12.75">
      <c r="A717" s="475"/>
      <c r="B717" s="476"/>
      <c r="C717" s="476"/>
      <c r="D717" s="476"/>
      <c r="E717" s="476"/>
      <c r="F717" s="493"/>
      <c r="G717" s="476"/>
      <c r="H717" s="491"/>
      <c r="I717" s="491"/>
      <c r="J717" s="491"/>
      <c r="K717" s="476"/>
      <c r="L717" s="476"/>
      <c r="M717" s="476"/>
      <c r="N717" s="476"/>
      <c r="O717" s="476"/>
      <c r="P717" s="476"/>
      <c r="Q717" s="476"/>
      <c r="R717" s="476"/>
      <c r="S717" s="476"/>
      <c r="T717" s="476"/>
      <c r="U717" s="476"/>
      <c r="V717" s="476"/>
      <c r="W717" s="476"/>
    </row>
    <row r="718" spans="1:23" ht="12.75">
      <c r="A718" s="475"/>
      <c r="B718" s="476"/>
      <c r="C718" s="476"/>
      <c r="D718" s="476"/>
      <c r="E718" s="476"/>
      <c r="F718" s="493"/>
      <c r="G718" s="476"/>
      <c r="H718" s="491"/>
      <c r="I718" s="491"/>
      <c r="J718" s="491"/>
      <c r="K718" s="476"/>
      <c r="L718" s="476"/>
      <c r="M718" s="476"/>
      <c r="N718" s="476"/>
      <c r="O718" s="476"/>
      <c r="P718" s="476"/>
      <c r="Q718" s="476"/>
      <c r="R718" s="476"/>
      <c r="S718" s="476"/>
      <c r="T718" s="476"/>
      <c r="U718" s="476"/>
      <c r="V718" s="476"/>
      <c r="W718" s="476"/>
    </row>
    <row r="719" spans="1:23" ht="12.75">
      <c r="A719" s="475"/>
      <c r="B719" s="476"/>
      <c r="C719" s="476"/>
      <c r="D719" s="476"/>
      <c r="E719" s="476"/>
      <c r="F719" s="493"/>
      <c r="G719" s="476"/>
      <c r="H719" s="491"/>
      <c r="I719" s="491"/>
      <c r="J719" s="491"/>
      <c r="K719" s="476"/>
      <c r="L719" s="476"/>
      <c r="M719" s="476"/>
      <c r="N719" s="476"/>
      <c r="O719" s="476"/>
      <c r="P719" s="476"/>
      <c r="Q719" s="476"/>
      <c r="R719" s="476"/>
      <c r="S719" s="476"/>
      <c r="T719" s="476"/>
      <c r="U719" s="476"/>
      <c r="V719" s="476"/>
      <c r="W719" s="476"/>
    </row>
    <row r="720" spans="1:23" ht="12.75">
      <c r="A720" s="475"/>
      <c r="B720" s="476"/>
      <c r="C720" s="476"/>
      <c r="D720" s="476"/>
      <c r="E720" s="476"/>
      <c r="F720" s="493"/>
      <c r="G720" s="476"/>
      <c r="H720" s="491"/>
      <c r="I720" s="491"/>
      <c r="J720" s="491"/>
      <c r="K720" s="476"/>
      <c r="L720" s="476"/>
      <c r="M720" s="476"/>
      <c r="N720" s="476"/>
      <c r="O720" s="476"/>
      <c r="P720" s="476"/>
      <c r="Q720" s="476"/>
      <c r="R720" s="476"/>
      <c r="S720" s="476"/>
      <c r="T720" s="476"/>
      <c r="U720" s="476"/>
      <c r="V720" s="476"/>
      <c r="W720" s="476"/>
    </row>
    <row r="721" spans="1:23" ht="12.75">
      <c r="A721" s="475"/>
      <c r="B721" s="476"/>
      <c r="C721" s="476"/>
      <c r="D721" s="476"/>
      <c r="E721" s="476"/>
      <c r="F721" s="493"/>
      <c r="G721" s="476"/>
      <c r="H721" s="491"/>
      <c r="I721" s="491"/>
      <c r="J721" s="491"/>
      <c r="K721" s="476"/>
      <c r="L721" s="476"/>
      <c r="M721" s="476"/>
      <c r="N721" s="476"/>
      <c r="O721" s="476"/>
      <c r="P721" s="476"/>
      <c r="Q721" s="476"/>
      <c r="R721" s="476"/>
      <c r="S721" s="476"/>
      <c r="T721" s="476"/>
      <c r="U721" s="476"/>
      <c r="V721" s="476"/>
      <c r="W721" s="476"/>
    </row>
    <row r="722" spans="1:23" ht="12.75">
      <c r="A722" s="475"/>
      <c r="B722" s="476"/>
      <c r="C722" s="476"/>
      <c r="D722" s="476"/>
      <c r="E722" s="476"/>
      <c r="F722" s="493"/>
      <c r="G722" s="476"/>
      <c r="H722" s="491"/>
      <c r="I722" s="491"/>
      <c r="J722" s="491"/>
      <c r="K722" s="476"/>
      <c r="L722" s="476"/>
      <c r="M722" s="476"/>
      <c r="N722" s="476"/>
      <c r="O722" s="476"/>
      <c r="P722" s="476"/>
      <c r="Q722" s="476"/>
      <c r="R722" s="476"/>
      <c r="S722" s="476"/>
      <c r="T722" s="476"/>
      <c r="U722" s="476"/>
      <c r="V722" s="476"/>
      <c r="W722" s="476"/>
    </row>
    <row r="723" spans="1:23" ht="12.75">
      <c r="A723" s="475"/>
      <c r="B723" s="476"/>
      <c r="C723" s="476"/>
      <c r="D723" s="476"/>
      <c r="E723" s="476"/>
      <c r="F723" s="493"/>
      <c r="G723" s="476"/>
      <c r="H723" s="491"/>
      <c r="I723" s="491"/>
      <c r="J723" s="491"/>
      <c r="K723" s="476"/>
      <c r="L723" s="476"/>
      <c r="M723" s="476"/>
      <c r="N723" s="476"/>
      <c r="O723" s="476"/>
      <c r="P723" s="476"/>
      <c r="Q723" s="476"/>
      <c r="R723" s="476"/>
      <c r="S723" s="476"/>
      <c r="T723" s="476"/>
      <c r="U723" s="476"/>
      <c r="V723" s="476"/>
      <c r="W723" s="476"/>
    </row>
    <row r="724" spans="1:23" ht="12.75">
      <c r="A724" s="475"/>
      <c r="B724" s="476"/>
      <c r="C724" s="476"/>
      <c r="D724" s="476"/>
      <c r="E724" s="476"/>
      <c r="F724" s="493"/>
      <c r="G724" s="476"/>
      <c r="H724" s="491"/>
      <c r="I724" s="491"/>
      <c r="J724" s="491"/>
      <c r="K724" s="476"/>
      <c r="L724" s="476"/>
      <c r="M724" s="476"/>
      <c r="N724" s="476"/>
      <c r="O724" s="476"/>
      <c r="P724" s="476"/>
      <c r="Q724" s="476"/>
      <c r="R724" s="476"/>
      <c r="S724" s="476"/>
      <c r="T724" s="476"/>
      <c r="U724" s="476"/>
      <c r="V724" s="476"/>
      <c r="W724" s="476"/>
    </row>
    <row r="725" spans="1:23" ht="12.75">
      <c r="A725" s="475"/>
      <c r="B725" s="476"/>
      <c r="C725" s="476"/>
      <c r="D725" s="476"/>
      <c r="E725" s="476"/>
      <c r="F725" s="493"/>
      <c r="G725" s="476"/>
      <c r="H725" s="491"/>
      <c r="I725" s="491"/>
      <c r="J725" s="491"/>
      <c r="K725" s="476"/>
      <c r="L725" s="476"/>
      <c r="M725" s="476"/>
      <c r="N725" s="476"/>
      <c r="O725" s="476"/>
      <c r="P725" s="476"/>
      <c r="Q725" s="476"/>
      <c r="R725" s="476"/>
      <c r="S725" s="476"/>
      <c r="T725" s="476"/>
      <c r="U725" s="476"/>
      <c r="V725" s="476"/>
      <c r="W725" s="476"/>
    </row>
    <row r="726" spans="1:23" ht="12.75">
      <c r="A726" s="475"/>
      <c r="B726" s="476"/>
      <c r="C726" s="476"/>
      <c r="D726" s="476"/>
      <c r="E726" s="476"/>
      <c r="F726" s="493"/>
      <c r="G726" s="476"/>
      <c r="H726" s="491"/>
      <c r="I726" s="491"/>
      <c r="J726" s="491"/>
      <c r="K726" s="476"/>
      <c r="L726" s="476"/>
      <c r="M726" s="476"/>
      <c r="N726" s="476"/>
      <c r="O726" s="476"/>
      <c r="P726" s="476"/>
      <c r="Q726" s="476"/>
      <c r="R726" s="476"/>
      <c r="S726" s="476"/>
      <c r="T726" s="476"/>
      <c r="U726" s="476"/>
      <c r="V726" s="476"/>
      <c r="W726" s="476"/>
    </row>
    <row r="727" spans="1:23" ht="12.75">
      <c r="A727" s="475"/>
      <c r="B727" s="476"/>
      <c r="C727" s="476"/>
      <c r="D727" s="476"/>
      <c r="E727" s="476"/>
      <c r="F727" s="493"/>
      <c r="G727" s="476"/>
      <c r="H727" s="491"/>
      <c r="I727" s="491"/>
      <c r="J727" s="491"/>
      <c r="K727" s="476"/>
      <c r="L727" s="476"/>
      <c r="M727" s="476"/>
      <c r="N727" s="476"/>
      <c r="O727" s="476"/>
      <c r="P727" s="476"/>
      <c r="Q727" s="476"/>
      <c r="R727" s="476"/>
      <c r="S727" s="476"/>
      <c r="T727" s="476"/>
      <c r="U727" s="476"/>
      <c r="V727" s="476"/>
      <c r="W727" s="476"/>
    </row>
    <row r="728" spans="1:23" ht="12.75">
      <c r="A728" s="475"/>
      <c r="B728" s="476"/>
      <c r="C728" s="476"/>
      <c r="D728" s="476"/>
      <c r="E728" s="476"/>
      <c r="F728" s="493"/>
      <c r="G728" s="476"/>
      <c r="H728" s="491"/>
      <c r="I728" s="491"/>
      <c r="J728" s="491"/>
      <c r="K728" s="476"/>
      <c r="L728" s="476"/>
      <c r="M728" s="476"/>
      <c r="N728" s="476"/>
      <c r="O728" s="476"/>
      <c r="P728" s="476"/>
      <c r="Q728" s="476"/>
      <c r="R728" s="476"/>
      <c r="S728" s="476"/>
      <c r="T728" s="476"/>
      <c r="U728" s="476"/>
      <c r="V728" s="476"/>
      <c r="W728" s="476"/>
    </row>
    <row r="729" spans="1:23" ht="12.75">
      <c r="A729" s="475"/>
      <c r="B729" s="476"/>
      <c r="C729" s="476"/>
      <c r="D729" s="476"/>
      <c r="E729" s="476"/>
      <c r="F729" s="493"/>
      <c r="G729" s="476"/>
      <c r="H729" s="491"/>
      <c r="I729" s="491"/>
      <c r="J729" s="491"/>
      <c r="K729" s="476"/>
      <c r="L729" s="476"/>
      <c r="M729" s="476"/>
      <c r="N729" s="476"/>
      <c r="O729" s="476"/>
      <c r="P729" s="476"/>
      <c r="Q729" s="476"/>
      <c r="R729" s="476"/>
      <c r="S729" s="476"/>
      <c r="T729" s="476"/>
      <c r="U729" s="476"/>
      <c r="V729" s="476"/>
      <c r="W729" s="476"/>
    </row>
    <row r="730" spans="1:23" ht="12.75">
      <c r="A730" s="475"/>
      <c r="B730" s="476"/>
      <c r="C730" s="476"/>
      <c r="D730" s="476"/>
      <c r="E730" s="476"/>
      <c r="F730" s="493"/>
      <c r="G730" s="476"/>
      <c r="H730" s="491"/>
      <c r="I730" s="491"/>
      <c r="J730" s="491"/>
      <c r="K730" s="476"/>
      <c r="L730" s="476"/>
      <c r="M730" s="476"/>
      <c r="N730" s="476"/>
      <c r="O730" s="476"/>
      <c r="P730" s="476"/>
      <c r="Q730" s="476"/>
      <c r="R730" s="476"/>
      <c r="S730" s="476"/>
      <c r="T730" s="476"/>
      <c r="U730" s="476"/>
      <c r="V730" s="476"/>
      <c r="W730" s="476"/>
    </row>
    <row r="731" spans="1:23" ht="12.75">
      <c r="A731" s="475"/>
      <c r="B731" s="476"/>
      <c r="C731" s="476"/>
      <c r="D731" s="476"/>
      <c r="E731" s="476"/>
      <c r="F731" s="493"/>
      <c r="G731" s="476"/>
      <c r="H731" s="491"/>
      <c r="I731" s="491"/>
      <c r="J731" s="491"/>
      <c r="K731" s="476"/>
      <c r="L731" s="476"/>
      <c r="M731" s="476"/>
      <c r="N731" s="476"/>
      <c r="O731" s="476"/>
      <c r="P731" s="476"/>
      <c r="Q731" s="476"/>
      <c r="R731" s="476"/>
      <c r="S731" s="476"/>
      <c r="T731" s="476"/>
      <c r="U731" s="476"/>
      <c r="V731" s="476"/>
      <c r="W731" s="476"/>
    </row>
    <row r="732" spans="1:23" ht="12.75">
      <c r="A732" s="475"/>
      <c r="B732" s="476"/>
      <c r="C732" s="476"/>
      <c r="D732" s="476"/>
      <c r="E732" s="476"/>
      <c r="F732" s="493"/>
      <c r="G732" s="476"/>
      <c r="H732" s="491"/>
      <c r="I732" s="491"/>
      <c r="J732" s="491"/>
      <c r="K732" s="476"/>
      <c r="L732" s="476"/>
      <c r="M732" s="476"/>
      <c r="N732" s="476"/>
      <c r="O732" s="476"/>
      <c r="P732" s="476"/>
      <c r="Q732" s="476"/>
      <c r="R732" s="476"/>
      <c r="S732" s="476"/>
      <c r="T732" s="476"/>
      <c r="U732" s="476"/>
      <c r="V732" s="476"/>
      <c r="W732" s="476"/>
    </row>
    <row r="733" spans="1:23" ht="12.75">
      <c r="A733" s="475"/>
      <c r="B733" s="476"/>
      <c r="C733" s="476"/>
      <c r="D733" s="476"/>
      <c r="E733" s="476"/>
      <c r="F733" s="493"/>
      <c r="G733" s="476"/>
      <c r="H733" s="491"/>
      <c r="I733" s="491"/>
      <c r="J733" s="491"/>
      <c r="K733" s="476"/>
      <c r="L733" s="476"/>
      <c r="M733" s="476"/>
      <c r="N733" s="476"/>
      <c r="O733" s="476"/>
      <c r="P733" s="476"/>
      <c r="Q733" s="476"/>
      <c r="R733" s="476"/>
      <c r="S733" s="476"/>
      <c r="T733" s="476"/>
      <c r="U733" s="476"/>
      <c r="V733" s="476"/>
      <c r="W733" s="476"/>
    </row>
    <row r="734" spans="1:23" ht="12.75">
      <c r="A734" s="475"/>
      <c r="B734" s="476"/>
      <c r="C734" s="476"/>
      <c r="D734" s="476"/>
      <c r="E734" s="476"/>
      <c r="F734" s="493"/>
      <c r="G734" s="476"/>
      <c r="H734" s="491"/>
      <c r="I734" s="491"/>
      <c r="J734" s="491"/>
      <c r="K734" s="476"/>
      <c r="L734" s="476"/>
      <c r="M734" s="476"/>
      <c r="N734" s="476"/>
      <c r="O734" s="476"/>
      <c r="P734" s="476"/>
      <c r="Q734" s="476"/>
      <c r="R734" s="476"/>
      <c r="S734" s="476"/>
      <c r="T734" s="476"/>
      <c r="U734" s="476"/>
      <c r="V734" s="476"/>
      <c r="W734" s="476"/>
    </row>
    <row r="735" spans="1:23" ht="12.75">
      <c r="A735" s="475"/>
      <c r="B735" s="476"/>
      <c r="C735" s="476"/>
      <c r="D735" s="476"/>
      <c r="E735" s="476"/>
      <c r="F735" s="493"/>
      <c r="G735" s="476"/>
      <c r="H735" s="491"/>
      <c r="I735" s="491"/>
      <c r="J735" s="491"/>
      <c r="K735" s="476"/>
      <c r="L735" s="476"/>
      <c r="M735" s="476"/>
      <c r="N735" s="476"/>
      <c r="O735" s="476"/>
      <c r="P735" s="476"/>
      <c r="Q735" s="476"/>
      <c r="R735" s="476"/>
      <c r="S735" s="476"/>
      <c r="T735" s="476"/>
      <c r="U735" s="476"/>
      <c r="V735" s="476"/>
      <c r="W735" s="476"/>
    </row>
    <row r="736" spans="1:23" ht="12.75">
      <c r="A736" s="475"/>
      <c r="B736" s="476"/>
      <c r="C736" s="476"/>
      <c r="D736" s="476"/>
      <c r="E736" s="476"/>
      <c r="F736" s="493"/>
      <c r="G736" s="476"/>
      <c r="H736" s="491"/>
      <c r="I736" s="491"/>
      <c r="J736" s="491"/>
      <c r="K736" s="476"/>
      <c r="L736" s="476"/>
      <c r="M736" s="476"/>
      <c r="N736" s="476"/>
      <c r="O736" s="476"/>
      <c r="P736" s="476"/>
      <c r="Q736" s="476"/>
      <c r="R736" s="476"/>
      <c r="S736" s="476"/>
      <c r="T736" s="476"/>
      <c r="U736" s="476"/>
      <c r="V736" s="476"/>
      <c r="W736" s="476"/>
    </row>
    <row r="737" spans="1:23" ht="12.75">
      <c r="A737" s="475"/>
      <c r="B737" s="476"/>
      <c r="C737" s="476"/>
      <c r="D737" s="476"/>
      <c r="E737" s="476"/>
      <c r="F737" s="493"/>
      <c r="G737" s="476"/>
      <c r="H737" s="491"/>
      <c r="I737" s="491"/>
      <c r="J737" s="491"/>
      <c r="K737" s="476"/>
      <c r="L737" s="476"/>
      <c r="M737" s="476"/>
      <c r="N737" s="476"/>
      <c r="O737" s="476"/>
      <c r="P737" s="476"/>
      <c r="Q737" s="476"/>
      <c r="R737" s="476"/>
      <c r="S737" s="476"/>
      <c r="T737" s="476"/>
      <c r="U737" s="476"/>
      <c r="V737" s="476"/>
      <c r="W737" s="476"/>
    </row>
    <row r="738" spans="1:23" ht="12.75">
      <c r="A738" s="475"/>
      <c r="B738" s="476"/>
      <c r="C738" s="476"/>
      <c r="D738" s="476"/>
      <c r="E738" s="476"/>
      <c r="F738" s="493"/>
      <c r="G738" s="476"/>
      <c r="H738" s="491"/>
      <c r="I738" s="491"/>
      <c r="J738" s="491"/>
      <c r="K738" s="476"/>
      <c r="L738" s="476"/>
      <c r="M738" s="476"/>
      <c r="N738" s="476"/>
      <c r="O738" s="476"/>
      <c r="P738" s="476"/>
      <c r="Q738" s="476"/>
      <c r="R738" s="476"/>
      <c r="S738" s="476"/>
      <c r="T738" s="476"/>
      <c r="U738" s="476"/>
      <c r="V738" s="476"/>
      <c r="W738" s="476"/>
    </row>
    <row r="739" spans="1:23" ht="12.75">
      <c r="A739" s="475"/>
      <c r="B739" s="476"/>
      <c r="C739" s="476"/>
      <c r="D739" s="476"/>
      <c r="E739" s="476"/>
      <c r="F739" s="493"/>
      <c r="G739" s="476"/>
      <c r="H739" s="491"/>
      <c r="I739" s="491"/>
      <c r="J739" s="491"/>
      <c r="K739" s="476"/>
      <c r="L739" s="476"/>
      <c r="M739" s="476"/>
      <c r="N739" s="476"/>
      <c r="O739" s="476"/>
      <c r="P739" s="476"/>
      <c r="Q739" s="476"/>
      <c r="R739" s="476"/>
      <c r="S739" s="476"/>
      <c r="T739" s="476"/>
      <c r="U739" s="476"/>
      <c r="V739" s="476"/>
      <c r="W739" s="476"/>
    </row>
    <row r="740" spans="1:23" ht="12.75">
      <c r="A740" s="475"/>
      <c r="B740" s="476"/>
      <c r="C740" s="476"/>
      <c r="D740" s="476"/>
      <c r="E740" s="476"/>
      <c r="F740" s="493"/>
      <c r="G740" s="476"/>
      <c r="H740" s="491"/>
      <c r="I740" s="491"/>
      <c r="J740" s="491"/>
      <c r="K740" s="476"/>
      <c r="L740" s="476"/>
      <c r="M740" s="476"/>
      <c r="N740" s="476"/>
      <c r="O740" s="476"/>
      <c r="P740" s="476"/>
      <c r="Q740" s="476"/>
      <c r="R740" s="476"/>
      <c r="S740" s="476"/>
      <c r="T740" s="476"/>
      <c r="U740" s="476"/>
      <c r="V740" s="476"/>
      <c r="W740" s="476"/>
    </row>
    <row r="741" spans="1:23" ht="12.75">
      <c r="A741" s="475"/>
      <c r="B741" s="476"/>
      <c r="C741" s="476"/>
      <c r="D741" s="476"/>
      <c r="E741" s="476"/>
      <c r="F741" s="493"/>
      <c r="G741" s="476"/>
      <c r="H741" s="491"/>
      <c r="I741" s="491"/>
      <c r="J741" s="491"/>
      <c r="K741" s="476"/>
      <c r="L741" s="476"/>
      <c r="M741" s="476"/>
      <c r="N741" s="476"/>
      <c r="O741" s="476"/>
      <c r="P741" s="476"/>
      <c r="Q741" s="476"/>
      <c r="R741" s="476"/>
      <c r="S741" s="476"/>
      <c r="T741" s="476"/>
      <c r="U741" s="476"/>
      <c r="V741" s="476"/>
      <c r="W741" s="476"/>
    </row>
    <row r="742" spans="1:23" ht="12.75">
      <c r="A742" s="475"/>
      <c r="B742" s="476"/>
      <c r="C742" s="476"/>
      <c r="D742" s="476"/>
      <c r="E742" s="476"/>
      <c r="F742" s="493"/>
      <c r="G742" s="476"/>
      <c r="H742" s="491"/>
      <c r="I742" s="491"/>
      <c r="J742" s="491"/>
      <c r="K742" s="476"/>
      <c r="L742" s="476"/>
      <c r="M742" s="476"/>
      <c r="N742" s="476"/>
      <c r="O742" s="476"/>
      <c r="P742" s="476"/>
      <c r="Q742" s="476"/>
      <c r="R742" s="476"/>
      <c r="S742" s="476"/>
      <c r="T742" s="476"/>
      <c r="U742" s="476"/>
      <c r="V742" s="476"/>
      <c r="W742" s="476"/>
    </row>
    <row r="743" spans="1:23" ht="12.75">
      <c r="A743" s="475"/>
      <c r="B743" s="476"/>
      <c r="C743" s="476"/>
      <c r="D743" s="476"/>
      <c r="E743" s="476"/>
      <c r="F743" s="493"/>
      <c r="G743" s="476"/>
      <c r="H743" s="491"/>
      <c r="I743" s="491"/>
      <c r="J743" s="491"/>
      <c r="K743" s="476"/>
      <c r="L743" s="476"/>
      <c r="M743" s="476"/>
      <c r="N743" s="476"/>
      <c r="O743" s="476"/>
      <c r="P743" s="476"/>
      <c r="Q743" s="476"/>
      <c r="R743" s="476"/>
      <c r="S743" s="476"/>
      <c r="T743" s="476"/>
      <c r="U743" s="476"/>
      <c r="V743" s="476"/>
      <c r="W743" s="476"/>
    </row>
    <row r="744" spans="1:23" ht="12.75">
      <c r="A744" s="475"/>
      <c r="B744" s="476"/>
      <c r="C744" s="476"/>
      <c r="D744" s="476"/>
      <c r="E744" s="476"/>
      <c r="F744" s="493"/>
      <c r="G744" s="476"/>
      <c r="H744" s="491"/>
      <c r="I744" s="491"/>
      <c r="J744" s="491"/>
      <c r="K744" s="476"/>
      <c r="L744" s="476"/>
      <c r="M744" s="476"/>
      <c r="N744" s="476"/>
      <c r="O744" s="476"/>
      <c r="P744" s="476"/>
      <c r="Q744" s="476"/>
      <c r="R744" s="476"/>
      <c r="S744" s="476"/>
      <c r="T744" s="476"/>
      <c r="U744" s="476"/>
      <c r="V744" s="476"/>
      <c r="W744" s="476"/>
    </row>
    <row r="745" spans="1:23" ht="12.75">
      <c r="A745" s="475"/>
      <c r="B745" s="476"/>
      <c r="C745" s="476"/>
      <c r="D745" s="476"/>
      <c r="E745" s="476"/>
      <c r="F745" s="493"/>
      <c r="G745" s="476"/>
      <c r="H745" s="491"/>
      <c r="I745" s="491"/>
      <c r="J745" s="491"/>
      <c r="K745" s="476"/>
      <c r="L745" s="476"/>
      <c r="M745" s="476"/>
      <c r="N745" s="476"/>
      <c r="O745" s="476"/>
      <c r="P745" s="476"/>
      <c r="Q745" s="476"/>
      <c r="R745" s="476"/>
      <c r="S745" s="476"/>
      <c r="T745" s="476"/>
      <c r="U745" s="476"/>
      <c r="V745" s="476"/>
      <c r="W745" s="476"/>
    </row>
    <row r="746" spans="1:23" ht="12.75">
      <c r="A746" s="475"/>
      <c r="B746" s="476"/>
      <c r="C746" s="476"/>
      <c r="D746" s="476"/>
      <c r="E746" s="476"/>
      <c r="F746" s="493"/>
      <c r="G746" s="476"/>
      <c r="H746" s="491"/>
      <c r="I746" s="491"/>
      <c r="J746" s="491"/>
      <c r="K746" s="476"/>
      <c r="L746" s="476"/>
      <c r="M746" s="476"/>
      <c r="N746" s="476"/>
      <c r="O746" s="476"/>
      <c r="P746" s="476"/>
      <c r="Q746" s="476"/>
      <c r="R746" s="476"/>
      <c r="S746" s="476"/>
      <c r="T746" s="476"/>
      <c r="U746" s="476"/>
      <c r="V746" s="476"/>
      <c r="W746" s="476"/>
    </row>
    <row r="747" spans="1:23" ht="12.75">
      <c r="A747" s="475"/>
      <c r="B747" s="476"/>
      <c r="C747" s="476"/>
      <c r="D747" s="476"/>
      <c r="E747" s="476"/>
      <c r="F747" s="493"/>
      <c r="G747" s="476"/>
      <c r="H747" s="491"/>
      <c r="I747" s="491"/>
      <c r="J747" s="491"/>
      <c r="K747" s="476"/>
      <c r="L747" s="476"/>
      <c r="M747" s="476"/>
      <c r="N747" s="476"/>
      <c r="O747" s="476"/>
      <c r="P747" s="476"/>
      <c r="Q747" s="476"/>
      <c r="R747" s="476"/>
      <c r="S747" s="476"/>
      <c r="T747" s="476"/>
      <c r="U747" s="476"/>
      <c r="V747" s="476"/>
      <c r="W747" s="476"/>
    </row>
    <row r="748" spans="1:23" ht="12.75">
      <c r="A748" s="475"/>
      <c r="B748" s="476"/>
      <c r="C748" s="476"/>
      <c r="D748" s="476"/>
      <c r="E748" s="476"/>
      <c r="F748" s="493"/>
      <c r="G748" s="476"/>
      <c r="H748" s="491"/>
      <c r="I748" s="491"/>
      <c r="J748" s="491"/>
      <c r="K748" s="476"/>
      <c r="L748" s="476"/>
      <c r="M748" s="476"/>
      <c r="N748" s="476"/>
      <c r="O748" s="476"/>
      <c r="P748" s="476"/>
      <c r="Q748" s="476"/>
      <c r="R748" s="476"/>
      <c r="S748" s="476"/>
      <c r="T748" s="476"/>
      <c r="U748" s="476"/>
      <c r="V748" s="476"/>
      <c r="W748" s="476"/>
    </row>
    <row r="749" spans="1:23" ht="12.75">
      <c r="A749" s="475"/>
      <c r="B749" s="476"/>
      <c r="C749" s="476"/>
      <c r="D749" s="476"/>
      <c r="E749" s="476"/>
      <c r="F749" s="493"/>
      <c r="G749" s="476"/>
      <c r="H749" s="491"/>
      <c r="I749" s="491"/>
      <c r="J749" s="491"/>
      <c r="K749" s="476"/>
      <c r="L749" s="476"/>
      <c r="M749" s="476"/>
      <c r="N749" s="476"/>
      <c r="O749" s="476"/>
      <c r="P749" s="476"/>
      <c r="Q749" s="476"/>
      <c r="R749" s="476"/>
      <c r="S749" s="476"/>
      <c r="T749" s="476"/>
      <c r="U749" s="476"/>
      <c r="V749" s="476"/>
      <c r="W749" s="476"/>
    </row>
    <row r="750" spans="1:23" ht="12.75">
      <c r="A750" s="475"/>
      <c r="B750" s="476"/>
      <c r="C750" s="476"/>
      <c r="D750" s="476"/>
      <c r="E750" s="476"/>
      <c r="F750" s="493"/>
      <c r="G750" s="476"/>
      <c r="H750" s="491"/>
      <c r="I750" s="491"/>
      <c r="J750" s="491"/>
      <c r="K750" s="476"/>
      <c r="L750" s="476"/>
      <c r="M750" s="476"/>
      <c r="N750" s="476"/>
      <c r="O750" s="476"/>
      <c r="P750" s="476"/>
      <c r="Q750" s="476"/>
      <c r="R750" s="476"/>
      <c r="S750" s="476"/>
      <c r="T750" s="476"/>
      <c r="U750" s="476"/>
      <c r="V750" s="476"/>
      <c r="W750" s="476"/>
    </row>
    <row r="751" spans="1:23" ht="12.75">
      <c r="A751" s="475"/>
      <c r="B751" s="476"/>
      <c r="C751" s="476"/>
      <c r="D751" s="476"/>
      <c r="E751" s="476"/>
      <c r="F751" s="493"/>
      <c r="G751" s="476"/>
      <c r="H751" s="491"/>
      <c r="I751" s="491"/>
      <c r="J751" s="491"/>
      <c r="K751" s="476"/>
      <c r="L751" s="476"/>
      <c r="M751" s="476"/>
      <c r="N751" s="476"/>
      <c r="O751" s="476"/>
      <c r="P751" s="476"/>
      <c r="Q751" s="476"/>
      <c r="R751" s="476"/>
      <c r="S751" s="476"/>
      <c r="T751" s="476"/>
      <c r="U751" s="476"/>
      <c r="V751" s="476"/>
      <c r="W751" s="476"/>
    </row>
    <row r="752" spans="1:23" ht="12.75">
      <c r="A752" s="475"/>
      <c r="B752" s="476"/>
      <c r="C752" s="476"/>
      <c r="D752" s="476"/>
      <c r="E752" s="476"/>
      <c r="F752" s="493"/>
      <c r="G752" s="476"/>
      <c r="H752" s="491"/>
      <c r="I752" s="491"/>
      <c r="J752" s="491"/>
      <c r="K752" s="476"/>
      <c r="L752" s="476"/>
      <c r="M752" s="476"/>
      <c r="N752" s="476"/>
      <c r="O752" s="476"/>
      <c r="P752" s="476"/>
      <c r="Q752" s="476"/>
      <c r="R752" s="476"/>
      <c r="S752" s="476"/>
      <c r="T752" s="476"/>
      <c r="U752" s="476"/>
      <c r="V752" s="476"/>
      <c r="W752" s="476"/>
    </row>
    <row r="753" spans="1:23" ht="12.75">
      <c r="A753" s="475"/>
      <c r="B753" s="476"/>
      <c r="C753" s="476"/>
      <c r="D753" s="476"/>
      <c r="E753" s="476"/>
      <c r="F753" s="493"/>
      <c r="G753" s="476"/>
      <c r="H753" s="491"/>
      <c r="I753" s="491"/>
      <c r="J753" s="491"/>
      <c r="K753" s="476"/>
      <c r="L753" s="476"/>
      <c r="M753" s="476"/>
      <c r="N753" s="476"/>
      <c r="O753" s="476"/>
      <c r="P753" s="476"/>
      <c r="Q753" s="476"/>
      <c r="R753" s="476"/>
      <c r="S753" s="476"/>
      <c r="T753" s="476"/>
      <c r="U753" s="476"/>
      <c r="V753" s="476"/>
      <c r="W753" s="476"/>
    </row>
    <row r="754" spans="1:23" ht="12.75">
      <c r="A754" s="475"/>
      <c r="B754" s="476"/>
      <c r="C754" s="476"/>
      <c r="D754" s="476"/>
      <c r="E754" s="476"/>
      <c r="F754" s="493"/>
      <c r="G754" s="476"/>
      <c r="H754" s="491"/>
      <c r="I754" s="491"/>
      <c r="J754" s="491"/>
      <c r="K754" s="476"/>
      <c r="L754" s="476"/>
      <c r="M754" s="476"/>
      <c r="N754" s="476"/>
      <c r="O754" s="476"/>
      <c r="P754" s="476"/>
      <c r="Q754" s="476"/>
      <c r="R754" s="476"/>
      <c r="S754" s="476"/>
      <c r="T754" s="476"/>
      <c r="U754" s="476"/>
      <c r="V754" s="476"/>
      <c r="W754" s="476"/>
    </row>
    <row r="755" spans="1:23" ht="12.75">
      <c r="A755" s="475"/>
      <c r="B755" s="476"/>
      <c r="C755" s="476"/>
      <c r="D755" s="476"/>
      <c r="E755" s="476"/>
      <c r="F755" s="493"/>
      <c r="G755" s="476"/>
      <c r="H755" s="491"/>
      <c r="I755" s="491"/>
      <c r="J755" s="491"/>
      <c r="K755" s="476"/>
      <c r="L755" s="476"/>
      <c r="M755" s="476"/>
      <c r="N755" s="476"/>
      <c r="O755" s="476"/>
      <c r="P755" s="476"/>
      <c r="Q755" s="476"/>
      <c r="R755" s="476"/>
      <c r="S755" s="476"/>
      <c r="T755" s="476"/>
      <c r="U755" s="476"/>
      <c r="V755" s="476"/>
      <c r="W755" s="476"/>
    </row>
    <row r="756" spans="1:23" ht="12.75">
      <c r="A756" s="475"/>
      <c r="B756" s="476"/>
      <c r="C756" s="476"/>
      <c r="D756" s="476"/>
      <c r="E756" s="476"/>
      <c r="F756" s="493"/>
      <c r="G756" s="476"/>
      <c r="H756" s="491"/>
      <c r="I756" s="491"/>
      <c r="J756" s="491"/>
      <c r="K756" s="476"/>
      <c r="L756" s="476"/>
      <c r="M756" s="476"/>
      <c r="N756" s="476"/>
      <c r="O756" s="476"/>
      <c r="P756" s="476"/>
      <c r="Q756" s="476"/>
      <c r="R756" s="476"/>
      <c r="S756" s="476"/>
      <c r="T756" s="476"/>
      <c r="U756" s="476"/>
      <c r="V756" s="476"/>
      <c r="W756" s="476"/>
    </row>
    <row r="757" spans="1:23" ht="12.75">
      <c r="A757" s="475"/>
      <c r="B757" s="476"/>
      <c r="C757" s="476"/>
      <c r="D757" s="476"/>
      <c r="E757" s="476"/>
      <c r="F757" s="493"/>
      <c r="G757" s="476"/>
      <c r="H757" s="491"/>
      <c r="I757" s="491"/>
      <c r="J757" s="491"/>
      <c r="K757" s="476"/>
      <c r="L757" s="476"/>
      <c r="M757" s="476"/>
      <c r="N757" s="476"/>
      <c r="O757" s="476"/>
      <c r="P757" s="476"/>
      <c r="Q757" s="476"/>
      <c r="R757" s="476"/>
      <c r="S757" s="476"/>
      <c r="T757" s="476"/>
      <c r="U757" s="476"/>
      <c r="V757" s="476"/>
      <c r="W757" s="476"/>
    </row>
    <row r="758" spans="1:23" ht="12.75">
      <c r="A758" s="475"/>
      <c r="B758" s="476"/>
      <c r="C758" s="476"/>
      <c r="D758" s="476"/>
      <c r="E758" s="476"/>
      <c r="F758" s="493"/>
      <c r="G758" s="476"/>
      <c r="H758" s="491"/>
      <c r="I758" s="491"/>
      <c r="J758" s="491"/>
      <c r="K758" s="476"/>
      <c r="L758" s="476"/>
      <c r="M758" s="476"/>
      <c r="N758" s="476"/>
      <c r="O758" s="476"/>
      <c r="P758" s="476"/>
      <c r="Q758" s="476"/>
      <c r="R758" s="476"/>
      <c r="S758" s="476"/>
      <c r="T758" s="476"/>
      <c r="U758" s="476"/>
      <c r="V758" s="476"/>
      <c r="W758" s="476"/>
    </row>
    <row r="759" spans="1:23" ht="12.75">
      <c r="A759" s="475"/>
      <c r="B759" s="476"/>
      <c r="C759" s="476"/>
      <c r="D759" s="476"/>
      <c r="E759" s="476"/>
      <c r="F759" s="493"/>
      <c r="G759" s="476"/>
      <c r="H759" s="491"/>
      <c r="I759" s="491"/>
      <c r="J759" s="491"/>
      <c r="K759" s="476"/>
      <c r="L759" s="476"/>
      <c r="M759" s="476"/>
      <c r="N759" s="476"/>
      <c r="O759" s="476"/>
      <c r="P759" s="476"/>
      <c r="Q759" s="476"/>
      <c r="R759" s="476"/>
      <c r="S759" s="476"/>
      <c r="T759" s="476"/>
      <c r="U759" s="476"/>
      <c r="V759" s="476"/>
      <c r="W759" s="476"/>
    </row>
    <row r="760" spans="1:23" ht="12.75">
      <c r="A760" s="475"/>
      <c r="B760" s="476"/>
      <c r="C760" s="476"/>
      <c r="D760" s="476"/>
      <c r="E760" s="476"/>
      <c r="F760" s="493"/>
      <c r="G760" s="476"/>
      <c r="H760" s="491"/>
      <c r="I760" s="491"/>
      <c r="J760" s="491"/>
      <c r="K760" s="476"/>
      <c r="L760" s="476"/>
      <c r="M760" s="476"/>
      <c r="N760" s="476"/>
      <c r="O760" s="476"/>
      <c r="P760" s="476"/>
      <c r="Q760" s="476"/>
      <c r="R760" s="476"/>
      <c r="S760" s="476"/>
      <c r="T760" s="476"/>
      <c r="U760" s="476"/>
      <c r="V760" s="476"/>
      <c r="W760" s="476"/>
    </row>
    <row r="761" spans="1:23" ht="12.75">
      <c r="A761" s="475"/>
      <c r="B761" s="476"/>
      <c r="C761" s="476"/>
      <c r="D761" s="476"/>
      <c r="E761" s="476"/>
      <c r="F761" s="493"/>
      <c r="G761" s="476"/>
      <c r="H761" s="491"/>
      <c r="I761" s="491"/>
      <c r="J761" s="491"/>
      <c r="K761" s="476"/>
      <c r="L761" s="476"/>
      <c r="M761" s="476"/>
      <c r="N761" s="476"/>
      <c r="O761" s="476"/>
      <c r="P761" s="476"/>
      <c r="Q761" s="476"/>
      <c r="R761" s="476"/>
      <c r="S761" s="476"/>
      <c r="T761" s="476"/>
      <c r="U761" s="476"/>
      <c r="V761" s="476"/>
      <c r="W761" s="476"/>
    </row>
    <row r="762" spans="1:23" ht="12.75">
      <c r="A762" s="475"/>
      <c r="B762" s="476"/>
      <c r="C762" s="476"/>
      <c r="D762" s="476"/>
      <c r="E762" s="476"/>
      <c r="F762" s="493"/>
      <c r="G762" s="476"/>
      <c r="H762" s="491"/>
      <c r="I762" s="491"/>
      <c r="J762" s="491"/>
      <c r="K762" s="476"/>
      <c r="L762" s="476"/>
      <c r="M762" s="476"/>
      <c r="N762" s="476"/>
      <c r="O762" s="476"/>
      <c r="P762" s="476"/>
      <c r="Q762" s="476"/>
      <c r="R762" s="476"/>
      <c r="S762" s="476"/>
      <c r="T762" s="476"/>
      <c r="U762" s="476"/>
      <c r="V762" s="476"/>
      <c r="W762" s="476"/>
    </row>
    <row r="763" spans="1:23" ht="12.75">
      <c r="A763" s="475"/>
      <c r="B763" s="476"/>
      <c r="C763" s="476"/>
      <c r="D763" s="476"/>
      <c r="E763" s="476"/>
      <c r="F763" s="493"/>
      <c r="G763" s="476"/>
      <c r="H763" s="491"/>
      <c r="I763" s="491"/>
      <c r="J763" s="491"/>
      <c r="K763" s="476"/>
      <c r="L763" s="476"/>
      <c r="M763" s="476"/>
      <c r="N763" s="476"/>
      <c r="O763" s="476"/>
      <c r="P763" s="476"/>
      <c r="Q763" s="476"/>
      <c r="R763" s="476"/>
      <c r="S763" s="476"/>
      <c r="T763" s="476"/>
      <c r="U763" s="476"/>
      <c r="V763" s="476"/>
      <c r="W763" s="476"/>
    </row>
    <row r="764" spans="1:23" ht="12.75">
      <c r="A764" s="475"/>
      <c r="B764" s="476"/>
      <c r="C764" s="476"/>
      <c r="D764" s="476"/>
      <c r="E764" s="476"/>
      <c r="F764" s="493"/>
      <c r="G764" s="476"/>
      <c r="H764" s="491"/>
      <c r="I764" s="491"/>
      <c r="J764" s="491"/>
      <c r="K764" s="476"/>
      <c r="L764" s="476"/>
      <c r="M764" s="476"/>
      <c r="N764" s="476"/>
      <c r="O764" s="476"/>
      <c r="P764" s="476"/>
      <c r="Q764" s="476"/>
      <c r="R764" s="476"/>
      <c r="S764" s="476"/>
      <c r="T764" s="476"/>
      <c r="U764" s="476"/>
      <c r="V764" s="476"/>
      <c r="W764" s="476"/>
    </row>
    <row r="765" spans="1:23" ht="12.75">
      <c r="A765" s="475"/>
      <c r="B765" s="476"/>
      <c r="C765" s="476"/>
      <c r="D765" s="476"/>
      <c r="E765" s="476"/>
      <c r="F765" s="493"/>
      <c r="G765" s="476"/>
      <c r="H765" s="491"/>
      <c r="I765" s="491"/>
      <c r="J765" s="491"/>
      <c r="K765" s="476"/>
      <c r="L765" s="476"/>
      <c r="M765" s="476"/>
      <c r="N765" s="476"/>
      <c r="O765" s="476"/>
      <c r="P765" s="476"/>
      <c r="Q765" s="476"/>
      <c r="R765" s="476"/>
      <c r="S765" s="476"/>
      <c r="T765" s="476"/>
      <c r="U765" s="476"/>
      <c r="V765" s="476"/>
      <c r="W765" s="476"/>
    </row>
    <row r="766" spans="1:23" ht="12.75">
      <c r="A766" s="475"/>
      <c r="B766" s="476"/>
      <c r="C766" s="476"/>
      <c r="D766" s="476"/>
      <c r="E766" s="476"/>
      <c r="F766" s="493"/>
      <c r="G766" s="476"/>
      <c r="H766" s="491"/>
      <c r="I766" s="491"/>
      <c r="J766" s="491"/>
      <c r="K766" s="476"/>
      <c r="L766" s="476"/>
      <c r="M766" s="476"/>
      <c r="N766" s="476"/>
      <c r="O766" s="476"/>
      <c r="P766" s="476"/>
      <c r="Q766" s="476"/>
      <c r="R766" s="476"/>
      <c r="S766" s="476"/>
      <c r="T766" s="476"/>
      <c r="U766" s="476"/>
      <c r="V766" s="476"/>
      <c r="W766" s="476"/>
    </row>
    <row r="767" spans="1:23" ht="12.75">
      <c r="A767" s="475"/>
      <c r="B767" s="476"/>
      <c r="C767" s="476"/>
      <c r="D767" s="476"/>
      <c r="E767" s="476"/>
      <c r="F767" s="493"/>
      <c r="G767" s="476"/>
      <c r="H767" s="491"/>
      <c r="I767" s="491"/>
      <c r="J767" s="491"/>
      <c r="K767" s="476"/>
      <c r="L767" s="476"/>
      <c r="M767" s="476"/>
      <c r="N767" s="476"/>
      <c r="O767" s="476"/>
      <c r="P767" s="476"/>
      <c r="Q767" s="476"/>
      <c r="R767" s="476"/>
      <c r="S767" s="476"/>
      <c r="T767" s="476"/>
      <c r="U767" s="476"/>
      <c r="V767" s="476"/>
      <c r="W767" s="476"/>
    </row>
    <row r="768" spans="1:23" ht="12.75">
      <c r="A768" s="475"/>
      <c r="B768" s="476"/>
      <c r="C768" s="476"/>
      <c r="D768" s="476"/>
      <c r="E768" s="476"/>
      <c r="F768" s="493"/>
      <c r="G768" s="476"/>
      <c r="H768" s="491"/>
      <c r="I768" s="491"/>
      <c r="J768" s="491"/>
      <c r="K768" s="476"/>
      <c r="L768" s="476"/>
      <c r="M768" s="476"/>
      <c r="N768" s="476"/>
      <c r="O768" s="476"/>
      <c r="P768" s="476"/>
      <c r="Q768" s="476"/>
      <c r="R768" s="476"/>
      <c r="S768" s="476"/>
      <c r="T768" s="476"/>
      <c r="U768" s="476"/>
      <c r="V768" s="476"/>
      <c r="W768" s="476"/>
    </row>
    <row r="769" spans="1:23" ht="12.75">
      <c r="A769" s="475"/>
      <c r="B769" s="476"/>
      <c r="C769" s="476"/>
      <c r="D769" s="476"/>
      <c r="E769" s="476"/>
      <c r="F769" s="493"/>
      <c r="G769" s="476"/>
      <c r="H769" s="491"/>
      <c r="I769" s="491"/>
      <c r="J769" s="491"/>
      <c r="K769" s="476"/>
      <c r="L769" s="476"/>
      <c r="M769" s="476"/>
      <c r="N769" s="476"/>
      <c r="O769" s="476"/>
      <c r="P769" s="476"/>
      <c r="Q769" s="476"/>
      <c r="R769" s="476"/>
      <c r="S769" s="476"/>
      <c r="T769" s="476"/>
      <c r="U769" s="476"/>
      <c r="V769" s="476"/>
      <c r="W769" s="476"/>
    </row>
    <row r="770" spans="1:23" ht="12.75">
      <c r="A770" s="475"/>
      <c r="B770" s="476"/>
      <c r="C770" s="476"/>
      <c r="D770" s="476"/>
      <c r="E770" s="476"/>
      <c r="F770" s="493"/>
      <c r="G770" s="476"/>
      <c r="H770" s="491"/>
      <c r="I770" s="491"/>
      <c r="J770" s="491"/>
      <c r="K770" s="476"/>
      <c r="L770" s="476"/>
      <c r="M770" s="476"/>
      <c r="N770" s="476"/>
      <c r="O770" s="476"/>
      <c r="P770" s="476"/>
      <c r="Q770" s="476"/>
      <c r="R770" s="476"/>
      <c r="S770" s="476"/>
      <c r="T770" s="476"/>
      <c r="U770" s="476"/>
      <c r="V770" s="476"/>
      <c r="W770" s="476"/>
    </row>
    <row r="771" spans="1:23" ht="12.75">
      <c r="A771" s="475"/>
      <c r="B771" s="476"/>
      <c r="C771" s="476"/>
      <c r="D771" s="476"/>
      <c r="E771" s="476"/>
      <c r="F771" s="493"/>
      <c r="G771" s="476"/>
      <c r="H771" s="491"/>
      <c r="I771" s="491"/>
      <c r="J771" s="491"/>
      <c r="K771" s="476"/>
      <c r="L771" s="476"/>
      <c r="M771" s="476"/>
      <c r="N771" s="476"/>
      <c r="O771" s="476"/>
      <c r="P771" s="476"/>
      <c r="Q771" s="476"/>
      <c r="R771" s="476"/>
      <c r="S771" s="476"/>
      <c r="T771" s="476"/>
      <c r="U771" s="476"/>
      <c r="V771" s="476"/>
      <c r="W771" s="476"/>
    </row>
    <row r="772" spans="1:23" ht="12.75">
      <c r="A772" s="475"/>
      <c r="B772" s="476"/>
      <c r="C772" s="476"/>
      <c r="D772" s="476"/>
      <c r="E772" s="476"/>
      <c r="F772" s="493"/>
      <c r="G772" s="476"/>
      <c r="H772" s="491"/>
      <c r="I772" s="491"/>
      <c r="J772" s="491"/>
      <c r="K772" s="476"/>
      <c r="L772" s="476"/>
      <c r="M772" s="476"/>
      <c r="N772" s="476"/>
      <c r="O772" s="476"/>
      <c r="P772" s="476"/>
      <c r="Q772" s="476"/>
      <c r="R772" s="476"/>
      <c r="S772" s="476"/>
      <c r="T772" s="476"/>
      <c r="U772" s="476"/>
      <c r="V772" s="476"/>
      <c r="W772" s="476"/>
    </row>
    <row r="773" spans="1:23" ht="12.75">
      <c r="A773" s="475"/>
      <c r="B773" s="476"/>
      <c r="C773" s="476"/>
      <c r="D773" s="476"/>
      <c r="E773" s="476"/>
      <c r="F773" s="493"/>
      <c r="G773" s="476"/>
      <c r="H773" s="491"/>
      <c r="I773" s="491"/>
      <c r="J773" s="491"/>
      <c r="K773" s="476"/>
      <c r="L773" s="476"/>
      <c r="M773" s="476"/>
      <c r="N773" s="476"/>
      <c r="O773" s="476"/>
      <c r="P773" s="476"/>
      <c r="Q773" s="476"/>
      <c r="R773" s="476"/>
      <c r="S773" s="476"/>
      <c r="T773" s="476"/>
      <c r="U773" s="476"/>
      <c r="V773" s="476"/>
      <c r="W773" s="476"/>
    </row>
    <row r="774" spans="1:23" ht="12.75">
      <c r="A774" s="475"/>
      <c r="B774" s="476"/>
      <c r="C774" s="476"/>
      <c r="D774" s="476"/>
      <c r="E774" s="476"/>
      <c r="F774" s="493"/>
      <c r="G774" s="476"/>
      <c r="H774" s="491"/>
      <c r="I774" s="491"/>
      <c r="J774" s="491"/>
      <c r="K774" s="476"/>
      <c r="L774" s="476"/>
      <c r="M774" s="476"/>
      <c r="N774" s="476"/>
      <c r="O774" s="476"/>
      <c r="P774" s="476"/>
      <c r="Q774" s="476"/>
      <c r="R774" s="476"/>
      <c r="S774" s="476"/>
      <c r="T774" s="476"/>
      <c r="U774" s="476"/>
      <c r="V774" s="476"/>
      <c r="W774" s="476"/>
    </row>
    <row r="775" spans="1:23" ht="12.75">
      <c r="A775" s="475"/>
      <c r="B775" s="476"/>
      <c r="C775" s="476"/>
      <c r="D775" s="476"/>
      <c r="E775" s="476"/>
      <c r="F775" s="493"/>
      <c r="G775" s="476"/>
      <c r="H775" s="491"/>
      <c r="I775" s="491"/>
      <c r="J775" s="491"/>
      <c r="K775" s="476"/>
      <c r="L775" s="476"/>
      <c r="M775" s="476"/>
      <c r="N775" s="476"/>
      <c r="O775" s="476"/>
      <c r="P775" s="476"/>
      <c r="Q775" s="476"/>
      <c r="R775" s="476"/>
      <c r="S775" s="476"/>
      <c r="T775" s="476"/>
      <c r="U775" s="476"/>
      <c r="V775" s="476"/>
      <c r="W775" s="476"/>
    </row>
    <row r="776" spans="1:23" ht="12.75">
      <c r="A776" s="475"/>
      <c r="B776" s="476"/>
      <c r="C776" s="476"/>
      <c r="D776" s="476"/>
      <c r="E776" s="476"/>
      <c r="F776" s="493"/>
      <c r="G776" s="476"/>
      <c r="H776" s="491"/>
      <c r="I776" s="491"/>
      <c r="J776" s="491"/>
      <c r="K776" s="476"/>
      <c r="L776" s="476"/>
      <c r="M776" s="476"/>
      <c r="N776" s="476"/>
      <c r="O776" s="476"/>
      <c r="P776" s="476"/>
      <c r="Q776" s="476"/>
      <c r="R776" s="476"/>
      <c r="S776" s="476"/>
      <c r="T776" s="476"/>
      <c r="U776" s="476"/>
      <c r="V776" s="476"/>
      <c r="W776" s="476"/>
    </row>
    <row r="777" spans="1:23" ht="12.75">
      <c r="A777" s="475"/>
      <c r="B777" s="476"/>
      <c r="C777" s="476"/>
      <c r="D777" s="476"/>
      <c r="E777" s="476"/>
      <c r="F777" s="493"/>
      <c r="G777" s="476"/>
      <c r="H777" s="491"/>
      <c r="I777" s="491"/>
      <c r="J777" s="491"/>
      <c r="K777" s="476"/>
      <c r="L777" s="476"/>
      <c r="M777" s="476"/>
      <c r="N777" s="476"/>
      <c r="O777" s="476"/>
      <c r="P777" s="476"/>
      <c r="Q777" s="476"/>
      <c r="R777" s="476"/>
      <c r="S777" s="476"/>
      <c r="T777" s="476"/>
      <c r="U777" s="476"/>
      <c r="V777" s="476"/>
      <c r="W777" s="476"/>
    </row>
    <row r="778" spans="1:23" ht="12.75">
      <c r="A778" s="475"/>
      <c r="B778" s="476"/>
      <c r="C778" s="476"/>
      <c r="D778" s="476"/>
      <c r="E778" s="476"/>
      <c r="F778" s="493"/>
      <c r="G778" s="476"/>
      <c r="H778" s="491"/>
      <c r="I778" s="491"/>
      <c r="J778" s="491"/>
      <c r="K778" s="476"/>
      <c r="L778" s="476"/>
      <c r="M778" s="476"/>
      <c r="N778" s="476"/>
      <c r="O778" s="476"/>
      <c r="P778" s="476"/>
      <c r="Q778" s="476"/>
      <c r="R778" s="476"/>
      <c r="S778" s="476"/>
      <c r="T778" s="476"/>
      <c r="U778" s="476"/>
      <c r="V778" s="476"/>
      <c r="W778" s="476"/>
    </row>
    <row r="779" spans="1:23" ht="12.75">
      <c r="A779" s="475"/>
      <c r="B779" s="476"/>
      <c r="C779" s="476"/>
      <c r="D779" s="476"/>
      <c r="E779" s="476"/>
      <c r="F779" s="493"/>
      <c r="G779" s="476"/>
      <c r="H779" s="491"/>
      <c r="I779" s="491"/>
      <c r="J779" s="491"/>
      <c r="K779" s="476"/>
      <c r="L779" s="476"/>
      <c r="M779" s="476"/>
      <c r="N779" s="476"/>
      <c r="O779" s="476"/>
      <c r="P779" s="476"/>
      <c r="Q779" s="476"/>
      <c r="R779" s="476"/>
      <c r="S779" s="476"/>
      <c r="T779" s="476"/>
      <c r="U779" s="476"/>
      <c r="V779" s="476"/>
      <c r="W779" s="476"/>
    </row>
    <row r="780" spans="1:23" ht="12.75">
      <c r="A780" s="475"/>
      <c r="B780" s="476"/>
      <c r="C780" s="476"/>
      <c r="D780" s="476"/>
      <c r="E780" s="476"/>
      <c r="F780" s="493"/>
      <c r="G780" s="476"/>
      <c r="H780" s="491"/>
      <c r="I780" s="491"/>
      <c r="J780" s="491"/>
      <c r="K780" s="476"/>
      <c r="L780" s="476"/>
      <c r="M780" s="476"/>
      <c r="N780" s="476"/>
      <c r="O780" s="476"/>
      <c r="P780" s="476"/>
      <c r="Q780" s="476"/>
      <c r="R780" s="476"/>
      <c r="S780" s="476"/>
      <c r="T780" s="476"/>
      <c r="U780" s="476"/>
      <c r="V780" s="476"/>
      <c r="W780" s="476"/>
    </row>
    <row r="781" spans="1:23" ht="12.75">
      <c r="A781" s="475"/>
      <c r="B781" s="476"/>
      <c r="C781" s="476"/>
      <c r="D781" s="476"/>
      <c r="E781" s="476"/>
      <c r="F781" s="493"/>
      <c r="G781" s="476"/>
      <c r="H781" s="491"/>
      <c r="I781" s="491"/>
      <c r="J781" s="491"/>
      <c r="K781" s="476"/>
      <c r="L781" s="476"/>
      <c r="M781" s="476"/>
      <c r="N781" s="476"/>
      <c r="O781" s="476"/>
      <c r="P781" s="476"/>
      <c r="Q781" s="476"/>
      <c r="R781" s="476"/>
      <c r="S781" s="476"/>
      <c r="T781" s="476"/>
      <c r="U781" s="476"/>
      <c r="V781" s="476"/>
      <c r="W781" s="476"/>
    </row>
    <row r="782" spans="1:23" ht="12.75">
      <c r="A782" s="475"/>
      <c r="B782" s="476"/>
      <c r="C782" s="476"/>
      <c r="D782" s="476"/>
      <c r="E782" s="476"/>
      <c r="F782" s="493"/>
      <c r="G782" s="476"/>
      <c r="H782" s="491"/>
      <c r="I782" s="491"/>
      <c r="J782" s="491"/>
      <c r="K782" s="476"/>
      <c r="L782" s="476"/>
      <c r="M782" s="476"/>
      <c r="N782" s="476"/>
      <c r="O782" s="476"/>
      <c r="P782" s="476"/>
      <c r="Q782" s="476"/>
      <c r="R782" s="476"/>
      <c r="S782" s="476"/>
      <c r="T782" s="476"/>
      <c r="U782" s="476"/>
      <c r="V782" s="476"/>
      <c r="W782" s="476"/>
    </row>
    <row r="783" spans="1:23" ht="12.75">
      <c r="A783" s="475"/>
      <c r="B783" s="476"/>
      <c r="C783" s="476"/>
      <c r="D783" s="476"/>
      <c r="E783" s="476"/>
      <c r="F783" s="493"/>
      <c r="G783" s="476"/>
      <c r="H783" s="491"/>
      <c r="I783" s="491"/>
      <c r="J783" s="491"/>
      <c r="K783" s="476"/>
      <c r="L783" s="476"/>
      <c r="M783" s="476"/>
      <c r="N783" s="476"/>
      <c r="O783" s="476"/>
      <c r="P783" s="476"/>
      <c r="Q783" s="476"/>
      <c r="R783" s="476"/>
      <c r="S783" s="476"/>
      <c r="T783" s="476"/>
      <c r="U783" s="476"/>
      <c r="V783" s="476"/>
      <c r="W783" s="476"/>
    </row>
    <row r="784" spans="1:23" ht="12.75">
      <c r="A784" s="475"/>
      <c r="B784" s="476"/>
      <c r="C784" s="476"/>
      <c r="D784" s="476"/>
      <c r="E784" s="476"/>
      <c r="F784" s="493"/>
      <c r="G784" s="476"/>
      <c r="H784" s="491"/>
      <c r="I784" s="491"/>
      <c r="J784" s="491"/>
      <c r="K784" s="476"/>
      <c r="L784" s="476"/>
      <c r="M784" s="476"/>
      <c r="N784" s="476"/>
      <c r="O784" s="476"/>
      <c r="P784" s="476"/>
      <c r="Q784" s="476"/>
      <c r="R784" s="476"/>
      <c r="S784" s="476"/>
      <c r="T784" s="476"/>
      <c r="U784" s="476"/>
      <c r="V784" s="476"/>
      <c r="W784" s="476"/>
    </row>
    <row r="785" spans="1:23" ht="12.75">
      <c r="A785" s="475"/>
      <c r="B785" s="476"/>
      <c r="C785" s="476"/>
      <c r="D785" s="476"/>
      <c r="E785" s="476"/>
      <c r="F785" s="493"/>
      <c r="G785" s="476"/>
      <c r="H785" s="491"/>
      <c r="I785" s="491"/>
      <c r="J785" s="491"/>
      <c r="K785" s="476"/>
      <c r="L785" s="476"/>
      <c r="M785" s="476"/>
      <c r="N785" s="476"/>
      <c r="O785" s="476"/>
      <c r="P785" s="476"/>
      <c r="Q785" s="476"/>
      <c r="R785" s="476"/>
      <c r="S785" s="476"/>
      <c r="T785" s="476"/>
      <c r="U785" s="476"/>
      <c r="V785" s="476"/>
      <c r="W785" s="476"/>
    </row>
    <row r="786" spans="1:23" ht="12.75">
      <c r="A786" s="475"/>
      <c r="B786" s="476"/>
      <c r="C786" s="476"/>
      <c r="D786" s="476"/>
      <c r="E786" s="476"/>
      <c r="F786" s="493"/>
      <c r="G786" s="476"/>
      <c r="H786" s="491"/>
      <c r="I786" s="491"/>
      <c r="J786" s="491"/>
      <c r="K786" s="476"/>
      <c r="L786" s="476"/>
      <c r="M786" s="476"/>
      <c r="N786" s="476"/>
      <c r="O786" s="476"/>
      <c r="P786" s="476"/>
      <c r="Q786" s="476"/>
      <c r="R786" s="476"/>
      <c r="S786" s="476"/>
      <c r="T786" s="476"/>
      <c r="U786" s="476"/>
      <c r="V786" s="476"/>
      <c r="W786" s="476"/>
    </row>
    <row r="787" spans="1:23" ht="12.75">
      <c r="A787" s="475"/>
      <c r="B787" s="476"/>
      <c r="C787" s="476"/>
      <c r="D787" s="476"/>
      <c r="E787" s="476"/>
      <c r="F787" s="493"/>
      <c r="G787" s="476"/>
      <c r="H787" s="491"/>
      <c r="I787" s="491"/>
      <c r="J787" s="491"/>
      <c r="K787" s="476"/>
      <c r="L787" s="476"/>
      <c r="M787" s="476"/>
      <c r="N787" s="476"/>
      <c r="O787" s="476"/>
      <c r="P787" s="476"/>
      <c r="Q787" s="476"/>
      <c r="R787" s="476"/>
      <c r="S787" s="476"/>
      <c r="T787" s="476"/>
      <c r="U787" s="476"/>
      <c r="V787" s="476"/>
      <c r="W787" s="476"/>
    </row>
    <row r="788" spans="1:23" ht="12.75">
      <c r="A788" s="475"/>
      <c r="B788" s="476"/>
      <c r="C788" s="476"/>
      <c r="D788" s="476"/>
      <c r="E788" s="476"/>
      <c r="F788" s="493"/>
      <c r="G788" s="476"/>
      <c r="H788" s="491"/>
      <c r="I788" s="491"/>
      <c r="J788" s="491"/>
      <c r="K788" s="476"/>
      <c r="L788" s="476"/>
      <c r="M788" s="476"/>
      <c r="N788" s="476"/>
      <c r="O788" s="476"/>
      <c r="P788" s="476"/>
      <c r="Q788" s="476"/>
      <c r="R788" s="476"/>
      <c r="S788" s="476"/>
      <c r="T788" s="476"/>
      <c r="U788" s="476"/>
      <c r="V788" s="476"/>
      <c r="W788" s="476"/>
    </row>
    <row r="789" spans="1:23" ht="12.75">
      <c r="A789" s="475"/>
      <c r="B789" s="476"/>
      <c r="C789" s="476"/>
      <c r="D789" s="476"/>
      <c r="E789" s="476"/>
      <c r="F789" s="493"/>
      <c r="G789" s="476"/>
      <c r="H789" s="491"/>
      <c r="I789" s="491"/>
      <c r="J789" s="491"/>
      <c r="K789" s="476"/>
      <c r="L789" s="476"/>
      <c r="M789" s="476"/>
      <c r="N789" s="476"/>
      <c r="O789" s="476"/>
      <c r="P789" s="476"/>
      <c r="Q789" s="476"/>
      <c r="R789" s="476"/>
      <c r="S789" s="476"/>
      <c r="T789" s="476"/>
      <c r="U789" s="476"/>
      <c r="V789" s="476"/>
      <c r="W789" s="476"/>
    </row>
    <row r="790" spans="1:23" ht="12.75">
      <c r="A790" s="475"/>
      <c r="B790" s="476"/>
      <c r="C790" s="476"/>
      <c r="D790" s="476"/>
      <c r="E790" s="476"/>
      <c r="F790" s="493"/>
      <c r="G790" s="476"/>
      <c r="H790" s="491"/>
      <c r="I790" s="491"/>
      <c r="J790" s="491"/>
      <c r="K790" s="476"/>
      <c r="L790" s="476"/>
      <c r="M790" s="476"/>
      <c r="N790" s="476"/>
      <c r="O790" s="476"/>
      <c r="P790" s="476"/>
      <c r="Q790" s="476"/>
      <c r="R790" s="476"/>
      <c r="S790" s="476"/>
      <c r="T790" s="476"/>
      <c r="U790" s="476"/>
      <c r="V790" s="476"/>
      <c r="W790" s="476"/>
    </row>
    <row r="791" spans="1:23" ht="12.75">
      <c r="A791" s="475"/>
      <c r="B791" s="476"/>
      <c r="C791" s="476"/>
      <c r="D791" s="476"/>
      <c r="E791" s="476"/>
      <c r="F791" s="493"/>
      <c r="G791" s="476"/>
      <c r="H791" s="491"/>
      <c r="I791" s="491"/>
      <c r="J791" s="491"/>
      <c r="K791" s="476"/>
      <c r="L791" s="476"/>
      <c r="M791" s="476"/>
      <c r="N791" s="476"/>
      <c r="O791" s="476"/>
      <c r="P791" s="476"/>
      <c r="Q791" s="476"/>
      <c r="R791" s="476"/>
      <c r="S791" s="476"/>
      <c r="T791" s="476"/>
      <c r="U791" s="476"/>
      <c r="V791" s="476"/>
      <c r="W791" s="476"/>
    </row>
    <row r="792" spans="1:23" ht="12.75">
      <c r="A792" s="475"/>
      <c r="B792" s="476"/>
      <c r="C792" s="476"/>
      <c r="D792" s="476"/>
      <c r="E792" s="476"/>
      <c r="F792" s="493"/>
      <c r="G792" s="476"/>
      <c r="H792" s="491"/>
      <c r="I792" s="491"/>
      <c r="J792" s="491"/>
      <c r="K792" s="476"/>
      <c r="L792" s="476"/>
      <c r="M792" s="476"/>
      <c r="N792" s="476"/>
      <c r="O792" s="476"/>
      <c r="P792" s="476"/>
      <c r="Q792" s="476"/>
      <c r="R792" s="476"/>
      <c r="S792" s="476"/>
      <c r="T792" s="476"/>
      <c r="U792" s="476"/>
      <c r="V792" s="476"/>
      <c r="W792" s="476"/>
    </row>
    <row r="793" spans="1:23" ht="12.75">
      <c r="A793" s="475"/>
      <c r="B793" s="476"/>
      <c r="C793" s="476"/>
      <c r="D793" s="476"/>
      <c r="E793" s="476"/>
      <c r="F793" s="493"/>
      <c r="G793" s="476"/>
      <c r="H793" s="491"/>
      <c r="I793" s="491"/>
      <c r="J793" s="491"/>
      <c r="K793" s="476"/>
      <c r="L793" s="476"/>
      <c r="M793" s="476"/>
      <c r="N793" s="476"/>
      <c r="O793" s="476"/>
      <c r="P793" s="476"/>
      <c r="Q793" s="476"/>
      <c r="R793" s="476"/>
      <c r="S793" s="476"/>
      <c r="T793" s="476"/>
      <c r="U793" s="476"/>
      <c r="V793" s="476"/>
      <c r="W793" s="476"/>
    </row>
    <row r="794" spans="1:23" ht="12.75">
      <c r="A794" s="475"/>
      <c r="B794" s="476"/>
      <c r="C794" s="476"/>
      <c r="D794" s="476"/>
      <c r="E794" s="476"/>
      <c r="F794" s="493"/>
      <c r="G794" s="476"/>
      <c r="H794" s="491"/>
      <c r="I794" s="491"/>
      <c r="J794" s="491"/>
      <c r="K794" s="476"/>
      <c r="L794" s="476"/>
      <c r="M794" s="476"/>
      <c r="N794" s="476"/>
      <c r="O794" s="476"/>
      <c r="P794" s="476"/>
      <c r="Q794" s="476"/>
      <c r="R794" s="476"/>
      <c r="S794" s="476"/>
      <c r="T794" s="476"/>
      <c r="U794" s="476"/>
      <c r="V794" s="476"/>
      <c r="W794" s="476"/>
    </row>
    <row r="795" spans="1:23" ht="12.75">
      <c r="A795" s="475"/>
      <c r="B795" s="476"/>
      <c r="C795" s="476"/>
      <c r="D795" s="476"/>
      <c r="E795" s="476"/>
      <c r="F795" s="493"/>
      <c r="G795" s="476"/>
      <c r="H795" s="491"/>
      <c r="I795" s="491"/>
      <c r="J795" s="491"/>
      <c r="K795" s="476"/>
      <c r="L795" s="476"/>
      <c r="M795" s="476"/>
      <c r="N795" s="476"/>
      <c r="O795" s="476"/>
      <c r="P795" s="476"/>
      <c r="Q795" s="476"/>
      <c r="R795" s="476"/>
      <c r="S795" s="476"/>
      <c r="T795" s="476"/>
      <c r="U795" s="476"/>
      <c r="V795" s="476"/>
      <c r="W795" s="476"/>
    </row>
    <row r="796" spans="1:23" ht="12.75">
      <c r="A796" s="475"/>
      <c r="B796" s="476"/>
      <c r="C796" s="476"/>
      <c r="D796" s="476"/>
      <c r="E796" s="476"/>
      <c r="F796" s="493"/>
      <c r="G796" s="476"/>
      <c r="H796" s="491"/>
      <c r="I796" s="491"/>
      <c r="J796" s="491"/>
      <c r="K796" s="476"/>
      <c r="L796" s="476"/>
      <c r="M796" s="476"/>
      <c r="N796" s="476"/>
      <c r="O796" s="476"/>
      <c r="P796" s="476"/>
      <c r="Q796" s="476"/>
      <c r="R796" s="476"/>
      <c r="S796" s="476"/>
      <c r="T796" s="476"/>
      <c r="U796" s="476"/>
      <c r="V796" s="476"/>
      <c r="W796" s="476"/>
    </row>
    <row r="797" spans="1:23" ht="12.75">
      <c r="A797" s="475"/>
      <c r="B797" s="476"/>
      <c r="C797" s="476"/>
      <c r="D797" s="476"/>
      <c r="E797" s="476"/>
      <c r="F797" s="493"/>
      <c r="G797" s="476"/>
      <c r="H797" s="491"/>
      <c r="I797" s="491"/>
      <c r="J797" s="491"/>
      <c r="K797" s="476"/>
      <c r="L797" s="476"/>
      <c r="M797" s="476"/>
      <c r="N797" s="476"/>
      <c r="O797" s="476"/>
      <c r="P797" s="476"/>
      <c r="Q797" s="476"/>
      <c r="R797" s="476"/>
      <c r="S797" s="476"/>
      <c r="T797" s="476"/>
      <c r="U797" s="476"/>
      <c r="V797" s="476"/>
      <c r="W797" s="476"/>
    </row>
    <row r="798" spans="1:23" ht="12.75">
      <c r="A798" s="475"/>
      <c r="B798" s="476"/>
      <c r="C798" s="476"/>
      <c r="D798" s="476"/>
      <c r="E798" s="476"/>
      <c r="F798" s="493"/>
      <c r="G798" s="476"/>
      <c r="H798" s="491"/>
      <c r="I798" s="491"/>
      <c r="J798" s="491"/>
      <c r="K798" s="476"/>
      <c r="L798" s="476"/>
      <c r="M798" s="476"/>
      <c r="N798" s="476"/>
      <c r="O798" s="476"/>
      <c r="P798" s="476"/>
      <c r="Q798" s="476"/>
      <c r="R798" s="476"/>
      <c r="S798" s="476"/>
      <c r="T798" s="476"/>
      <c r="U798" s="476"/>
      <c r="V798" s="476"/>
      <c r="W798" s="476"/>
    </row>
    <row r="799" spans="1:23" ht="12.75">
      <c r="A799" s="475"/>
      <c r="B799" s="476"/>
      <c r="C799" s="476"/>
      <c r="D799" s="476"/>
      <c r="E799" s="476"/>
      <c r="F799" s="493"/>
      <c r="G799" s="476"/>
      <c r="H799" s="491"/>
      <c r="I799" s="491"/>
      <c r="J799" s="491"/>
      <c r="K799" s="476"/>
      <c r="L799" s="476"/>
      <c r="M799" s="476"/>
      <c r="N799" s="476"/>
      <c r="O799" s="476"/>
      <c r="P799" s="476"/>
      <c r="Q799" s="476"/>
      <c r="R799" s="476"/>
      <c r="S799" s="476"/>
      <c r="T799" s="476"/>
      <c r="U799" s="476"/>
      <c r="V799" s="476"/>
      <c r="W799" s="476"/>
    </row>
    <row r="800" spans="1:23" ht="12.75">
      <c r="A800" s="475"/>
      <c r="B800" s="476"/>
      <c r="C800" s="476"/>
      <c r="D800" s="476"/>
      <c r="E800" s="476"/>
      <c r="F800" s="493"/>
      <c r="G800" s="476"/>
      <c r="H800" s="491"/>
      <c r="I800" s="491"/>
      <c r="J800" s="491"/>
      <c r="K800" s="476"/>
      <c r="L800" s="476"/>
      <c r="M800" s="476"/>
      <c r="N800" s="476"/>
      <c r="O800" s="476"/>
      <c r="P800" s="476"/>
      <c r="Q800" s="476"/>
      <c r="R800" s="476"/>
      <c r="S800" s="476"/>
      <c r="T800" s="476"/>
      <c r="U800" s="476"/>
      <c r="V800" s="476"/>
      <c r="W800" s="476"/>
    </row>
    <row r="801" spans="1:23" ht="12.75">
      <c r="A801" s="475"/>
      <c r="B801" s="476"/>
      <c r="C801" s="476"/>
      <c r="D801" s="476"/>
      <c r="E801" s="476"/>
      <c r="F801" s="493"/>
      <c r="G801" s="476"/>
      <c r="H801" s="491"/>
      <c r="I801" s="491"/>
      <c r="J801" s="491"/>
      <c r="K801" s="476"/>
      <c r="L801" s="476"/>
      <c r="M801" s="476"/>
      <c r="N801" s="476"/>
      <c r="O801" s="476"/>
      <c r="P801" s="476"/>
      <c r="Q801" s="476"/>
      <c r="R801" s="476"/>
      <c r="S801" s="476"/>
      <c r="T801" s="476"/>
      <c r="U801" s="476"/>
      <c r="V801" s="476"/>
      <c r="W801" s="476"/>
    </row>
    <row r="802" spans="1:23" ht="12.75">
      <c r="A802" s="475"/>
      <c r="B802" s="476"/>
      <c r="C802" s="476"/>
      <c r="D802" s="476"/>
      <c r="E802" s="476"/>
      <c r="F802" s="493"/>
      <c r="G802" s="476"/>
      <c r="H802" s="491"/>
      <c r="I802" s="491"/>
      <c r="J802" s="491"/>
      <c r="K802" s="476"/>
      <c r="L802" s="476"/>
      <c r="M802" s="476"/>
      <c r="N802" s="476"/>
      <c r="O802" s="476"/>
      <c r="P802" s="476"/>
      <c r="Q802" s="476"/>
      <c r="R802" s="476"/>
      <c r="S802" s="476"/>
      <c r="T802" s="476"/>
      <c r="U802" s="476"/>
      <c r="V802" s="476"/>
      <c r="W802" s="476"/>
    </row>
    <row r="803" spans="1:23" ht="12.75">
      <c r="A803" s="475"/>
      <c r="B803" s="476"/>
      <c r="C803" s="476"/>
      <c r="D803" s="476"/>
      <c r="E803" s="476"/>
      <c r="F803" s="493"/>
      <c r="G803" s="476"/>
      <c r="H803" s="491"/>
      <c r="I803" s="491"/>
      <c r="J803" s="491"/>
      <c r="K803" s="476"/>
      <c r="L803" s="476"/>
      <c r="M803" s="476"/>
      <c r="N803" s="476"/>
      <c r="O803" s="476"/>
      <c r="P803" s="476"/>
      <c r="Q803" s="476"/>
      <c r="R803" s="476"/>
      <c r="S803" s="476"/>
      <c r="T803" s="476"/>
      <c r="U803" s="476"/>
      <c r="V803" s="476"/>
      <c r="W803" s="476"/>
    </row>
    <row r="804" spans="1:23" ht="12.75">
      <c r="A804" s="475"/>
      <c r="B804" s="476"/>
      <c r="C804" s="476"/>
      <c r="D804" s="476"/>
      <c r="E804" s="476"/>
      <c r="F804" s="493"/>
      <c r="G804" s="476"/>
      <c r="H804" s="491"/>
      <c r="I804" s="491"/>
      <c r="J804" s="491"/>
      <c r="K804" s="476"/>
      <c r="L804" s="476"/>
      <c r="M804" s="476"/>
      <c r="N804" s="476"/>
      <c r="O804" s="476"/>
      <c r="P804" s="476"/>
      <c r="Q804" s="476"/>
      <c r="R804" s="476"/>
      <c r="S804" s="476"/>
      <c r="T804" s="476"/>
      <c r="U804" s="476"/>
      <c r="V804" s="476"/>
      <c r="W804" s="476"/>
    </row>
    <row r="805" spans="1:23" ht="12.75">
      <c r="A805" s="475"/>
      <c r="B805" s="476"/>
      <c r="C805" s="476"/>
      <c r="D805" s="476"/>
      <c r="E805" s="476"/>
      <c r="F805" s="493"/>
      <c r="G805" s="476"/>
      <c r="H805" s="491"/>
      <c r="I805" s="491"/>
      <c r="J805" s="491"/>
      <c r="K805" s="476"/>
      <c r="L805" s="476"/>
      <c r="M805" s="476"/>
      <c r="N805" s="476"/>
      <c r="O805" s="476"/>
      <c r="P805" s="476"/>
      <c r="Q805" s="476"/>
      <c r="R805" s="476"/>
      <c r="S805" s="476"/>
      <c r="T805" s="476"/>
      <c r="U805" s="476"/>
      <c r="V805" s="476"/>
      <c r="W805" s="476"/>
    </row>
    <row r="806" spans="1:23" ht="12.75">
      <c r="A806" s="475"/>
      <c r="B806" s="476"/>
      <c r="C806" s="476"/>
      <c r="D806" s="476"/>
      <c r="E806" s="476"/>
      <c r="F806" s="493"/>
      <c r="G806" s="476"/>
      <c r="H806" s="491"/>
      <c r="I806" s="491"/>
      <c r="J806" s="491"/>
      <c r="K806" s="476"/>
      <c r="L806" s="476"/>
      <c r="M806" s="476"/>
      <c r="N806" s="476"/>
      <c r="O806" s="476"/>
      <c r="P806" s="476"/>
      <c r="Q806" s="476"/>
      <c r="R806" s="476"/>
      <c r="S806" s="476"/>
      <c r="T806" s="476"/>
      <c r="U806" s="476"/>
      <c r="V806" s="476"/>
      <c r="W806" s="476"/>
    </row>
    <row r="807" spans="1:23" ht="12.75">
      <c r="A807" s="475"/>
      <c r="B807" s="476"/>
      <c r="C807" s="476"/>
      <c r="D807" s="476"/>
      <c r="E807" s="476"/>
      <c r="F807" s="493"/>
      <c r="G807" s="476"/>
      <c r="H807" s="491"/>
      <c r="I807" s="491"/>
      <c r="J807" s="491"/>
      <c r="K807" s="476"/>
      <c r="L807" s="476"/>
      <c r="M807" s="476"/>
      <c r="N807" s="476"/>
      <c r="O807" s="476"/>
      <c r="P807" s="476"/>
      <c r="Q807" s="476"/>
      <c r="R807" s="476"/>
      <c r="S807" s="476"/>
      <c r="T807" s="476"/>
      <c r="U807" s="476"/>
      <c r="V807" s="476"/>
      <c r="W807" s="476"/>
    </row>
    <row r="808" spans="1:23" ht="12.75">
      <c r="A808" s="475"/>
      <c r="B808" s="476"/>
      <c r="C808" s="476"/>
      <c r="D808" s="476"/>
      <c r="E808" s="476"/>
      <c r="F808" s="493"/>
      <c r="G808" s="476"/>
      <c r="H808" s="491"/>
      <c r="I808" s="491"/>
      <c r="J808" s="491"/>
      <c r="K808" s="476"/>
      <c r="L808" s="476"/>
      <c r="M808" s="476"/>
      <c r="N808" s="476"/>
      <c r="O808" s="476"/>
      <c r="P808" s="476"/>
      <c r="Q808" s="476"/>
      <c r="R808" s="476"/>
      <c r="S808" s="476"/>
      <c r="T808" s="476"/>
      <c r="U808" s="476"/>
      <c r="V808" s="476"/>
      <c r="W808" s="476"/>
    </row>
    <row r="809" spans="1:23" ht="12.75">
      <c r="A809" s="475"/>
      <c r="B809" s="476"/>
      <c r="C809" s="476"/>
      <c r="D809" s="476"/>
      <c r="E809" s="476"/>
      <c r="F809" s="493"/>
      <c r="G809" s="476"/>
      <c r="H809" s="491"/>
      <c r="I809" s="491"/>
      <c r="J809" s="491"/>
      <c r="K809" s="476"/>
      <c r="L809" s="476"/>
      <c r="M809" s="476"/>
      <c r="N809" s="476"/>
      <c r="O809" s="476"/>
      <c r="P809" s="476"/>
      <c r="Q809" s="476"/>
      <c r="R809" s="476"/>
      <c r="S809" s="476"/>
      <c r="T809" s="476"/>
      <c r="U809" s="476"/>
      <c r="V809" s="476"/>
      <c r="W809" s="476"/>
    </row>
    <row r="810" spans="1:23" ht="12.75">
      <c r="A810" s="475"/>
      <c r="B810" s="476"/>
      <c r="C810" s="476"/>
      <c r="D810" s="476"/>
      <c r="E810" s="476"/>
      <c r="F810" s="493"/>
      <c r="G810" s="476"/>
      <c r="H810" s="491"/>
      <c r="I810" s="491"/>
      <c r="J810" s="491"/>
      <c r="K810" s="476"/>
      <c r="L810" s="476"/>
      <c r="M810" s="476"/>
      <c r="N810" s="476"/>
      <c r="O810" s="476"/>
      <c r="P810" s="476"/>
      <c r="Q810" s="476"/>
      <c r="R810" s="476"/>
      <c r="S810" s="476"/>
      <c r="T810" s="476"/>
      <c r="U810" s="476"/>
      <c r="V810" s="476"/>
      <c r="W810" s="476"/>
    </row>
    <row r="811" spans="1:23" ht="12.75">
      <c r="A811" s="475"/>
      <c r="B811" s="476"/>
      <c r="C811" s="476"/>
      <c r="D811" s="476"/>
      <c r="E811" s="476"/>
      <c r="F811" s="493"/>
      <c r="G811" s="476"/>
      <c r="H811" s="491"/>
      <c r="I811" s="491"/>
      <c r="J811" s="491"/>
      <c r="K811" s="476"/>
      <c r="L811" s="476"/>
      <c r="M811" s="476"/>
      <c r="N811" s="476"/>
      <c r="O811" s="476"/>
      <c r="P811" s="476"/>
      <c r="Q811" s="476"/>
      <c r="R811" s="476"/>
      <c r="S811" s="476"/>
      <c r="T811" s="476"/>
      <c r="U811" s="476"/>
      <c r="V811" s="476"/>
      <c r="W811" s="476"/>
    </row>
    <row r="812" spans="1:23" ht="12.75">
      <c r="A812" s="475"/>
      <c r="B812" s="476"/>
      <c r="C812" s="476"/>
      <c r="D812" s="476"/>
      <c r="E812" s="476"/>
      <c r="F812" s="493"/>
      <c r="G812" s="476"/>
      <c r="H812" s="491"/>
      <c r="I812" s="491"/>
      <c r="J812" s="491"/>
      <c r="K812" s="476"/>
      <c r="L812" s="476"/>
      <c r="M812" s="476"/>
      <c r="N812" s="476"/>
      <c r="O812" s="476"/>
      <c r="P812" s="476"/>
      <c r="Q812" s="476"/>
      <c r="R812" s="476"/>
      <c r="S812" s="476"/>
      <c r="T812" s="476"/>
      <c r="U812" s="476"/>
      <c r="V812" s="476"/>
      <c r="W812" s="476"/>
    </row>
    <row r="813" spans="1:23" ht="12.75">
      <c r="A813" s="475"/>
      <c r="B813" s="476"/>
      <c r="C813" s="476"/>
      <c r="D813" s="476"/>
      <c r="E813" s="476"/>
      <c r="F813" s="493"/>
      <c r="G813" s="476"/>
      <c r="H813" s="491"/>
      <c r="I813" s="491"/>
      <c r="J813" s="491"/>
      <c r="K813" s="476"/>
      <c r="L813" s="476"/>
      <c r="M813" s="476"/>
      <c r="N813" s="476"/>
      <c r="O813" s="476"/>
      <c r="P813" s="476"/>
      <c r="Q813" s="476"/>
      <c r="R813" s="476"/>
      <c r="S813" s="476"/>
      <c r="T813" s="476"/>
      <c r="U813" s="476"/>
      <c r="V813" s="476"/>
      <c r="W813" s="476"/>
    </row>
    <row r="814" spans="1:23" ht="12.75">
      <c r="A814" s="475"/>
      <c r="B814" s="476"/>
      <c r="C814" s="476"/>
      <c r="D814" s="476"/>
      <c r="E814" s="476"/>
      <c r="F814" s="493"/>
      <c r="G814" s="476"/>
      <c r="H814" s="491"/>
      <c r="I814" s="491"/>
      <c r="J814" s="491"/>
      <c r="K814" s="476"/>
      <c r="L814" s="476"/>
      <c r="M814" s="476"/>
      <c r="N814" s="476"/>
      <c r="O814" s="476"/>
      <c r="P814" s="476"/>
      <c r="Q814" s="476"/>
      <c r="R814" s="476"/>
      <c r="S814" s="476"/>
      <c r="T814" s="476"/>
      <c r="U814" s="476"/>
      <c r="V814" s="476"/>
      <c r="W814" s="476"/>
    </row>
    <row r="815" spans="1:23" ht="12.75">
      <c r="A815" s="475"/>
      <c r="B815" s="476"/>
      <c r="C815" s="476"/>
      <c r="D815" s="476"/>
      <c r="E815" s="476"/>
      <c r="F815" s="493"/>
      <c r="G815" s="476"/>
      <c r="H815" s="491"/>
      <c r="I815" s="491"/>
      <c r="J815" s="491"/>
      <c r="K815" s="476"/>
      <c r="L815" s="476"/>
      <c r="M815" s="476"/>
      <c r="N815" s="476"/>
      <c r="O815" s="476"/>
      <c r="P815" s="476"/>
      <c r="Q815" s="476"/>
      <c r="R815" s="476"/>
      <c r="S815" s="476"/>
      <c r="T815" s="476"/>
      <c r="U815" s="476"/>
      <c r="V815" s="476"/>
      <c r="W815" s="476"/>
    </row>
    <row r="816" spans="1:23" ht="12.75">
      <c r="A816" s="475"/>
      <c r="B816" s="476"/>
      <c r="C816" s="476"/>
      <c r="D816" s="476"/>
      <c r="E816" s="476"/>
      <c r="F816" s="493"/>
      <c r="G816" s="476"/>
      <c r="H816" s="491"/>
      <c r="I816" s="491"/>
      <c r="J816" s="491"/>
      <c r="K816" s="476"/>
      <c r="L816" s="476"/>
      <c r="M816" s="476"/>
      <c r="N816" s="476"/>
      <c r="O816" s="476"/>
      <c r="P816" s="476"/>
      <c r="Q816" s="476"/>
      <c r="R816" s="476"/>
      <c r="S816" s="476"/>
      <c r="T816" s="476"/>
      <c r="U816" s="476"/>
      <c r="V816" s="476"/>
      <c r="W816" s="476"/>
    </row>
    <row r="817" spans="1:23" ht="12.75">
      <c r="A817" s="475"/>
      <c r="B817" s="476"/>
      <c r="C817" s="476"/>
      <c r="D817" s="476"/>
      <c r="E817" s="476"/>
      <c r="F817" s="493"/>
      <c r="G817" s="476"/>
      <c r="H817" s="491"/>
      <c r="I817" s="491"/>
      <c r="J817" s="491"/>
      <c r="K817" s="476"/>
      <c r="L817" s="476"/>
      <c r="M817" s="476"/>
      <c r="N817" s="476"/>
      <c r="O817" s="476"/>
      <c r="P817" s="476"/>
      <c r="Q817" s="476"/>
      <c r="R817" s="476"/>
      <c r="S817" s="476"/>
      <c r="T817" s="476"/>
      <c r="U817" s="476"/>
      <c r="V817" s="476"/>
      <c r="W817" s="476"/>
    </row>
    <row r="818" spans="1:23" ht="12.75">
      <c r="A818" s="475"/>
      <c r="B818" s="476"/>
      <c r="C818" s="476"/>
      <c r="D818" s="476"/>
      <c r="E818" s="476"/>
      <c r="F818" s="493"/>
      <c r="G818" s="476"/>
      <c r="H818" s="491"/>
      <c r="I818" s="491"/>
      <c r="J818" s="491"/>
      <c r="K818" s="476"/>
      <c r="L818" s="476"/>
      <c r="M818" s="476"/>
      <c r="N818" s="476"/>
      <c r="O818" s="476"/>
      <c r="P818" s="476"/>
      <c r="Q818" s="476"/>
      <c r="R818" s="476"/>
      <c r="S818" s="476"/>
      <c r="T818" s="476"/>
      <c r="U818" s="476"/>
      <c r="V818" s="476"/>
      <c r="W818" s="476"/>
    </row>
    <row r="819" spans="1:23" ht="12.75">
      <c r="A819" s="475"/>
      <c r="B819" s="476"/>
      <c r="C819" s="476"/>
      <c r="D819" s="476"/>
      <c r="E819" s="476"/>
      <c r="F819" s="493"/>
      <c r="G819" s="476"/>
      <c r="H819" s="491"/>
      <c r="I819" s="491"/>
      <c r="J819" s="491"/>
      <c r="K819" s="476"/>
      <c r="L819" s="476"/>
      <c r="M819" s="476"/>
      <c r="N819" s="476"/>
      <c r="O819" s="476"/>
      <c r="P819" s="476"/>
      <c r="Q819" s="476"/>
      <c r="R819" s="476"/>
      <c r="S819" s="476"/>
      <c r="T819" s="476"/>
      <c r="U819" s="476"/>
      <c r="V819" s="476"/>
      <c r="W819" s="476"/>
    </row>
    <row r="820" spans="1:23" ht="12.75">
      <c r="A820" s="475"/>
      <c r="B820" s="476"/>
      <c r="C820" s="476"/>
      <c r="D820" s="476"/>
      <c r="E820" s="476"/>
      <c r="F820" s="493"/>
      <c r="G820" s="476"/>
      <c r="H820" s="491"/>
      <c r="I820" s="491"/>
      <c r="J820" s="491"/>
      <c r="K820" s="476"/>
      <c r="L820" s="476"/>
      <c r="M820" s="476"/>
      <c r="N820" s="476"/>
      <c r="O820" s="476"/>
      <c r="P820" s="476"/>
      <c r="Q820" s="476"/>
      <c r="R820" s="476"/>
      <c r="S820" s="476"/>
      <c r="T820" s="476"/>
      <c r="U820" s="476"/>
      <c r="V820" s="476"/>
      <c r="W820" s="476"/>
    </row>
    <row r="821" spans="1:23" ht="12.75">
      <c r="A821" s="475"/>
      <c r="B821" s="476"/>
      <c r="C821" s="476"/>
      <c r="D821" s="476"/>
      <c r="E821" s="476"/>
      <c r="F821" s="493"/>
      <c r="G821" s="476"/>
      <c r="H821" s="491"/>
      <c r="I821" s="491"/>
      <c r="J821" s="491"/>
      <c r="K821" s="476"/>
      <c r="L821" s="476"/>
      <c r="M821" s="476"/>
      <c r="N821" s="476"/>
      <c r="O821" s="476"/>
      <c r="P821" s="476"/>
      <c r="Q821" s="476"/>
      <c r="R821" s="476"/>
      <c r="S821" s="476"/>
      <c r="T821" s="476"/>
      <c r="U821" s="476"/>
      <c r="V821" s="476"/>
      <c r="W821" s="476"/>
    </row>
    <row r="822" spans="1:23" ht="12.75">
      <c r="A822" s="475"/>
      <c r="B822" s="476"/>
      <c r="C822" s="476"/>
      <c r="D822" s="476"/>
      <c r="E822" s="476"/>
      <c r="F822" s="493"/>
      <c r="G822" s="476"/>
      <c r="H822" s="491"/>
      <c r="I822" s="491"/>
      <c r="J822" s="491"/>
      <c r="K822" s="476"/>
      <c r="L822" s="476"/>
      <c r="M822" s="476"/>
      <c r="N822" s="476"/>
      <c r="O822" s="476"/>
      <c r="P822" s="476"/>
      <c r="Q822" s="476"/>
      <c r="R822" s="476"/>
      <c r="S822" s="476"/>
      <c r="T822" s="476"/>
      <c r="U822" s="476"/>
      <c r="V822" s="476"/>
      <c r="W822" s="476"/>
    </row>
    <row r="823" spans="1:23" ht="12.75">
      <c r="A823" s="475"/>
      <c r="B823" s="476"/>
      <c r="C823" s="476"/>
      <c r="D823" s="476"/>
      <c r="E823" s="476"/>
      <c r="F823" s="493"/>
      <c r="G823" s="476"/>
      <c r="H823" s="491"/>
      <c r="I823" s="491"/>
      <c r="J823" s="491"/>
      <c r="K823" s="476"/>
      <c r="L823" s="476"/>
      <c r="M823" s="476"/>
      <c r="N823" s="476"/>
      <c r="O823" s="476"/>
      <c r="P823" s="476"/>
      <c r="Q823" s="476"/>
      <c r="R823" s="476"/>
      <c r="S823" s="476"/>
      <c r="T823" s="476"/>
      <c r="U823" s="476"/>
      <c r="V823" s="476"/>
      <c r="W823" s="476"/>
    </row>
    <row r="824" spans="1:23" ht="12.75">
      <c r="A824" s="475"/>
      <c r="B824" s="476"/>
      <c r="C824" s="476"/>
      <c r="D824" s="476"/>
      <c r="E824" s="476"/>
      <c r="F824" s="493"/>
      <c r="G824" s="476"/>
      <c r="H824" s="491"/>
      <c r="I824" s="491"/>
      <c r="J824" s="491"/>
      <c r="K824" s="476"/>
      <c r="L824" s="476"/>
      <c r="M824" s="476"/>
      <c r="N824" s="476"/>
      <c r="O824" s="476"/>
      <c r="P824" s="476"/>
      <c r="Q824" s="476"/>
      <c r="R824" s="476"/>
      <c r="S824" s="476"/>
      <c r="T824" s="476"/>
      <c r="U824" s="476"/>
      <c r="V824" s="476"/>
      <c r="W824" s="476"/>
    </row>
    <row r="825" spans="1:23" ht="12.75">
      <c r="A825" s="475"/>
      <c r="B825" s="476"/>
      <c r="C825" s="476"/>
      <c r="D825" s="476"/>
      <c r="E825" s="476"/>
      <c r="F825" s="493"/>
      <c r="G825" s="476"/>
      <c r="H825" s="491"/>
      <c r="I825" s="491"/>
      <c r="J825" s="491"/>
      <c r="K825" s="476"/>
      <c r="L825" s="476"/>
      <c r="M825" s="476"/>
      <c r="N825" s="476"/>
      <c r="O825" s="476"/>
      <c r="P825" s="476"/>
      <c r="Q825" s="476"/>
      <c r="R825" s="476"/>
      <c r="S825" s="476"/>
      <c r="T825" s="476"/>
      <c r="U825" s="476"/>
      <c r="V825" s="476"/>
      <c r="W825" s="476"/>
    </row>
    <row r="826" spans="1:23" ht="12.75">
      <c r="A826" s="475"/>
      <c r="B826" s="476"/>
      <c r="C826" s="476"/>
      <c r="D826" s="476"/>
      <c r="E826" s="476"/>
      <c r="F826" s="493"/>
      <c r="G826" s="476"/>
      <c r="H826" s="491"/>
      <c r="I826" s="491"/>
      <c r="J826" s="491"/>
      <c r="K826" s="476"/>
      <c r="L826" s="476"/>
      <c r="M826" s="476"/>
      <c r="N826" s="476"/>
      <c r="O826" s="476"/>
      <c r="P826" s="476"/>
      <c r="Q826" s="476"/>
      <c r="R826" s="476"/>
      <c r="S826" s="476"/>
      <c r="T826" s="476"/>
      <c r="U826" s="476"/>
      <c r="V826" s="476"/>
      <c r="W826" s="476"/>
    </row>
    <row r="827" spans="1:23" ht="12.75">
      <c r="A827" s="475"/>
      <c r="B827" s="476"/>
      <c r="C827" s="476"/>
      <c r="D827" s="476"/>
      <c r="E827" s="476"/>
      <c r="F827" s="493"/>
      <c r="G827" s="476"/>
      <c r="H827" s="491"/>
      <c r="I827" s="491"/>
      <c r="J827" s="491"/>
      <c r="K827" s="476"/>
      <c r="L827" s="476"/>
      <c r="M827" s="476"/>
      <c r="N827" s="476"/>
      <c r="O827" s="476"/>
      <c r="P827" s="476"/>
      <c r="Q827" s="476"/>
      <c r="R827" s="476"/>
      <c r="S827" s="476"/>
      <c r="T827" s="476"/>
      <c r="U827" s="476"/>
      <c r="V827" s="476"/>
      <c r="W827" s="476"/>
    </row>
    <row r="828" spans="1:23" ht="12.75">
      <c r="A828" s="475"/>
      <c r="B828" s="476"/>
      <c r="C828" s="476"/>
      <c r="D828" s="476"/>
      <c r="E828" s="476"/>
      <c r="F828" s="493"/>
      <c r="G828" s="476"/>
      <c r="H828" s="491"/>
      <c r="I828" s="491"/>
      <c r="J828" s="491"/>
      <c r="K828" s="476"/>
      <c r="L828" s="476"/>
      <c r="M828" s="476"/>
      <c r="N828" s="476"/>
      <c r="O828" s="476"/>
      <c r="P828" s="476"/>
      <c r="Q828" s="476"/>
      <c r="R828" s="476"/>
      <c r="S828" s="476"/>
      <c r="T828" s="476"/>
      <c r="U828" s="476"/>
      <c r="V828" s="476"/>
      <c r="W828" s="476"/>
    </row>
    <row r="829" spans="1:23" ht="12.75">
      <c r="A829" s="475"/>
      <c r="B829" s="476"/>
      <c r="C829" s="476"/>
      <c r="D829" s="476"/>
      <c r="E829" s="476"/>
      <c r="F829" s="493"/>
      <c r="G829" s="476"/>
      <c r="H829" s="491"/>
      <c r="I829" s="491"/>
      <c r="J829" s="491"/>
      <c r="K829" s="476"/>
      <c r="L829" s="476"/>
      <c r="M829" s="476"/>
      <c r="N829" s="476"/>
      <c r="O829" s="476"/>
      <c r="P829" s="476"/>
      <c r="Q829" s="476"/>
      <c r="R829" s="476"/>
      <c r="S829" s="476"/>
      <c r="T829" s="476"/>
      <c r="U829" s="476"/>
      <c r="V829" s="476"/>
      <c r="W829" s="476"/>
    </row>
    <row r="830" spans="1:23" ht="12.75">
      <c r="A830" s="475"/>
      <c r="B830" s="476"/>
      <c r="C830" s="476"/>
      <c r="D830" s="476"/>
      <c r="E830" s="476"/>
      <c r="F830" s="493"/>
      <c r="G830" s="476"/>
      <c r="H830" s="491"/>
      <c r="I830" s="491"/>
      <c r="J830" s="491"/>
      <c r="K830" s="476"/>
      <c r="L830" s="476"/>
      <c r="M830" s="476"/>
      <c r="N830" s="476"/>
      <c r="O830" s="476"/>
      <c r="P830" s="476"/>
      <c r="Q830" s="476"/>
      <c r="R830" s="476"/>
      <c r="S830" s="476"/>
      <c r="T830" s="476"/>
      <c r="U830" s="476"/>
      <c r="V830" s="476"/>
      <c r="W830" s="476"/>
    </row>
    <row r="831" spans="1:23" ht="12.75">
      <c r="A831" s="475"/>
      <c r="B831" s="476"/>
      <c r="C831" s="476"/>
      <c r="D831" s="476"/>
      <c r="E831" s="476"/>
      <c r="F831" s="493"/>
      <c r="G831" s="476"/>
      <c r="H831" s="491"/>
      <c r="I831" s="491"/>
      <c r="J831" s="491"/>
      <c r="K831" s="476"/>
      <c r="L831" s="476"/>
      <c r="M831" s="476"/>
      <c r="N831" s="476"/>
      <c r="O831" s="476"/>
      <c r="P831" s="476"/>
      <c r="Q831" s="476"/>
      <c r="R831" s="476"/>
      <c r="S831" s="476"/>
      <c r="T831" s="476"/>
      <c r="U831" s="476"/>
      <c r="V831" s="476"/>
      <c r="W831" s="476"/>
    </row>
    <row r="832" spans="1:23" ht="12.75">
      <c r="A832" s="475"/>
      <c r="B832" s="476"/>
      <c r="C832" s="476"/>
      <c r="D832" s="476"/>
      <c r="E832" s="476"/>
      <c r="F832" s="493"/>
      <c r="G832" s="476"/>
      <c r="H832" s="491"/>
      <c r="I832" s="491"/>
      <c r="J832" s="491"/>
      <c r="K832" s="476"/>
      <c r="L832" s="476"/>
      <c r="M832" s="476"/>
      <c r="N832" s="476"/>
      <c r="O832" s="476"/>
      <c r="P832" s="476"/>
      <c r="Q832" s="476"/>
      <c r="R832" s="476"/>
      <c r="S832" s="476"/>
      <c r="T832" s="476"/>
      <c r="U832" s="476"/>
      <c r="V832" s="476"/>
      <c r="W832" s="476"/>
    </row>
    <row r="833" spans="1:23" ht="12.75">
      <c r="A833" s="475"/>
      <c r="B833" s="476"/>
      <c r="C833" s="476"/>
      <c r="D833" s="476"/>
      <c r="E833" s="476"/>
      <c r="F833" s="493"/>
      <c r="G833" s="476"/>
      <c r="H833" s="491"/>
      <c r="I833" s="491"/>
      <c r="J833" s="491"/>
      <c r="K833" s="476"/>
      <c r="L833" s="476"/>
      <c r="M833" s="476"/>
      <c r="N833" s="476"/>
      <c r="O833" s="476"/>
      <c r="P833" s="476"/>
      <c r="Q833" s="476"/>
      <c r="R833" s="476"/>
      <c r="S833" s="476"/>
      <c r="T833" s="476"/>
      <c r="U833" s="476"/>
      <c r="V833" s="476"/>
      <c r="W833" s="476"/>
    </row>
    <row r="834" spans="1:23" ht="12.75">
      <c r="A834" s="475"/>
      <c r="B834" s="476"/>
      <c r="C834" s="476"/>
      <c r="D834" s="476"/>
      <c r="E834" s="476"/>
      <c r="F834" s="493"/>
      <c r="G834" s="476"/>
      <c r="H834" s="491"/>
      <c r="I834" s="491"/>
      <c r="J834" s="491"/>
      <c r="K834" s="476"/>
      <c r="L834" s="476"/>
      <c r="M834" s="476"/>
      <c r="N834" s="476"/>
      <c r="O834" s="476"/>
      <c r="P834" s="476"/>
      <c r="Q834" s="476"/>
      <c r="R834" s="476"/>
      <c r="S834" s="476"/>
      <c r="T834" s="476"/>
      <c r="U834" s="476"/>
      <c r="V834" s="476"/>
      <c r="W834" s="476"/>
    </row>
    <row r="835" spans="1:23" ht="12.75">
      <c r="A835" s="475"/>
      <c r="B835" s="476"/>
      <c r="C835" s="476"/>
      <c r="D835" s="476"/>
      <c r="E835" s="476"/>
      <c r="F835" s="493"/>
      <c r="G835" s="476"/>
      <c r="H835" s="491"/>
      <c r="I835" s="491"/>
      <c r="J835" s="491"/>
      <c r="K835" s="476"/>
      <c r="L835" s="476"/>
      <c r="M835" s="476"/>
      <c r="N835" s="476"/>
      <c r="O835" s="476"/>
      <c r="P835" s="476"/>
      <c r="Q835" s="476"/>
      <c r="R835" s="476"/>
      <c r="S835" s="476"/>
      <c r="T835" s="476"/>
      <c r="U835" s="476"/>
      <c r="V835" s="476"/>
      <c r="W835" s="476"/>
    </row>
    <row r="836" spans="1:23" ht="12.75">
      <c r="A836" s="475"/>
      <c r="B836" s="476"/>
      <c r="C836" s="476"/>
      <c r="D836" s="476"/>
      <c r="E836" s="476"/>
      <c r="F836" s="493"/>
      <c r="G836" s="476"/>
      <c r="H836" s="491"/>
      <c r="I836" s="491"/>
      <c r="J836" s="491"/>
      <c r="K836" s="476"/>
      <c r="L836" s="476"/>
      <c r="M836" s="476"/>
      <c r="N836" s="476"/>
      <c r="O836" s="476"/>
      <c r="P836" s="476"/>
      <c r="Q836" s="476"/>
      <c r="R836" s="476"/>
      <c r="S836" s="476"/>
      <c r="T836" s="476"/>
      <c r="U836" s="476"/>
      <c r="V836" s="476"/>
      <c r="W836" s="476"/>
    </row>
    <row r="837" spans="1:23" ht="12.75">
      <c r="A837" s="475"/>
      <c r="B837" s="476"/>
      <c r="C837" s="476"/>
      <c r="D837" s="476"/>
      <c r="E837" s="476"/>
      <c r="F837" s="493"/>
      <c r="G837" s="476"/>
      <c r="H837" s="491"/>
      <c r="I837" s="491"/>
      <c r="J837" s="491"/>
      <c r="K837" s="476"/>
      <c r="L837" s="476"/>
      <c r="M837" s="476"/>
      <c r="N837" s="476"/>
      <c r="O837" s="476"/>
      <c r="P837" s="476"/>
      <c r="Q837" s="476"/>
      <c r="R837" s="476"/>
      <c r="S837" s="476"/>
      <c r="T837" s="476"/>
      <c r="U837" s="476"/>
      <c r="V837" s="476"/>
      <c r="W837" s="476"/>
    </row>
    <row r="838" spans="1:23" ht="12.75">
      <c r="A838" s="475"/>
      <c r="B838" s="476"/>
      <c r="C838" s="476"/>
      <c r="D838" s="476"/>
      <c r="E838" s="476"/>
      <c r="F838" s="493"/>
      <c r="G838" s="476"/>
      <c r="H838" s="491"/>
      <c r="I838" s="491"/>
      <c r="J838" s="491"/>
      <c r="K838" s="476"/>
      <c r="L838" s="476"/>
      <c r="M838" s="476"/>
      <c r="N838" s="476"/>
      <c r="O838" s="476"/>
      <c r="P838" s="476"/>
      <c r="Q838" s="476"/>
      <c r="R838" s="476"/>
      <c r="S838" s="476"/>
      <c r="T838" s="476"/>
      <c r="U838" s="476"/>
      <c r="V838" s="476"/>
      <c r="W838" s="476"/>
    </row>
    <row r="839" spans="1:23" ht="12.75">
      <c r="A839" s="475"/>
      <c r="B839" s="476"/>
      <c r="C839" s="476"/>
      <c r="D839" s="476"/>
      <c r="E839" s="476"/>
      <c r="F839" s="493"/>
      <c r="G839" s="476"/>
      <c r="H839" s="491"/>
      <c r="I839" s="491"/>
      <c r="J839" s="491"/>
      <c r="K839" s="476"/>
      <c r="L839" s="476"/>
      <c r="M839" s="476"/>
      <c r="N839" s="476"/>
      <c r="O839" s="476"/>
      <c r="P839" s="476"/>
      <c r="Q839" s="476"/>
      <c r="R839" s="476"/>
      <c r="S839" s="476"/>
      <c r="T839" s="476"/>
      <c r="U839" s="476"/>
      <c r="V839" s="476"/>
      <c r="W839" s="476"/>
    </row>
    <row r="840" spans="1:23" ht="12.75">
      <c r="A840" s="475"/>
      <c r="B840" s="476"/>
      <c r="C840" s="476"/>
      <c r="D840" s="476"/>
      <c r="E840" s="476"/>
      <c r="F840" s="493"/>
      <c r="G840" s="476"/>
      <c r="H840" s="491"/>
      <c r="I840" s="491"/>
      <c r="J840" s="491"/>
      <c r="K840" s="476"/>
      <c r="L840" s="476"/>
      <c r="M840" s="476"/>
      <c r="N840" s="476"/>
      <c r="O840" s="476"/>
      <c r="P840" s="476"/>
      <c r="Q840" s="476"/>
      <c r="R840" s="476"/>
      <c r="S840" s="476"/>
      <c r="T840" s="476"/>
      <c r="U840" s="476"/>
      <c r="V840" s="476"/>
      <c r="W840" s="476"/>
    </row>
    <row r="841" spans="1:23" ht="12.75">
      <c r="A841" s="475"/>
      <c r="B841" s="476"/>
      <c r="C841" s="476"/>
      <c r="D841" s="476"/>
      <c r="E841" s="476"/>
      <c r="F841" s="493"/>
      <c r="G841" s="476"/>
      <c r="H841" s="491"/>
      <c r="I841" s="491"/>
      <c r="J841" s="491"/>
      <c r="K841" s="476"/>
      <c r="L841" s="476"/>
      <c r="M841" s="476"/>
      <c r="N841" s="476"/>
      <c r="O841" s="476"/>
      <c r="P841" s="476"/>
      <c r="Q841" s="476"/>
      <c r="R841" s="476"/>
      <c r="S841" s="476"/>
      <c r="T841" s="476"/>
      <c r="U841" s="476"/>
      <c r="V841" s="476"/>
      <c r="W841" s="476"/>
    </row>
    <row r="842" spans="1:23" ht="12.75">
      <c r="A842" s="475"/>
      <c r="B842" s="476"/>
      <c r="C842" s="476"/>
      <c r="D842" s="476"/>
      <c r="E842" s="476"/>
      <c r="F842" s="493"/>
      <c r="G842" s="476"/>
      <c r="H842" s="491"/>
      <c r="I842" s="491"/>
      <c r="J842" s="491"/>
      <c r="K842" s="476"/>
      <c r="L842" s="476"/>
      <c r="M842" s="476"/>
      <c r="N842" s="476"/>
      <c r="O842" s="476"/>
      <c r="P842" s="476"/>
      <c r="Q842" s="476"/>
      <c r="R842" s="476"/>
      <c r="S842" s="476"/>
      <c r="T842" s="476"/>
      <c r="U842" s="476"/>
      <c r="V842" s="476"/>
      <c r="W842" s="476"/>
    </row>
    <row r="843" spans="1:23" ht="12.75">
      <c r="A843" s="475"/>
      <c r="B843" s="476"/>
      <c r="C843" s="476"/>
      <c r="D843" s="476"/>
      <c r="E843" s="476"/>
      <c r="F843" s="493"/>
      <c r="G843" s="476"/>
      <c r="H843" s="491"/>
      <c r="I843" s="491"/>
      <c r="J843" s="491"/>
      <c r="K843" s="476"/>
      <c r="L843" s="476"/>
      <c r="M843" s="476"/>
      <c r="N843" s="476"/>
      <c r="O843" s="476"/>
      <c r="P843" s="476"/>
      <c r="Q843" s="476"/>
      <c r="R843" s="476"/>
      <c r="S843" s="476"/>
      <c r="T843" s="476"/>
      <c r="U843" s="476"/>
      <c r="V843" s="476"/>
      <c r="W843" s="476"/>
    </row>
    <row r="844" spans="1:23" ht="12.75">
      <c r="A844" s="475"/>
      <c r="B844" s="476"/>
      <c r="C844" s="476"/>
      <c r="D844" s="476"/>
      <c r="E844" s="476"/>
      <c r="F844" s="493"/>
      <c r="G844" s="476"/>
      <c r="H844" s="491"/>
      <c r="I844" s="491"/>
      <c r="J844" s="491"/>
      <c r="K844" s="476"/>
      <c r="L844" s="476"/>
      <c r="M844" s="476"/>
      <c r="N844" s="476"/>
      <c r="O844" s="476"/>
      <c r="P844" s="476"/>
      <c r="Q844" s="476"/>
      <c r="R844" s="476"/>
      <c r="S844" s="476"/>
      <c r="T844" s="476"/>
      <c r="U844" s="476"/>
      <c r="V844" s="476"/>
      <c r="W844" s="476"/>
    </row>
    <row r="845" spans="1:23" ht="12.75">
      <c r="A845" s="475"/>
      <c r="B845" s="476"/>
      <c r="C845" s="476"/>
      <c r="D845" s="476"/>
      <c r="E845" s="476"/>
      <c r="F845" s="493"/>
      <c r="G845" s="476"/>
      <c r="H845" s="491"/>
      <c r="I845" s="491"/>
      <c r="J845" s="491"/>
      <c r="K845" s="476"/>
      <c r="L845" s="476"/>
      <c r="M845" s="476"/>
      <c r="N845" s="476"/>
      <c r="O845" s="476"/>
      <c r="P845" s="476"/>
      <c r="Q845" s="476"/>
      <c r="R845" s="476"/>
      <c r="S845" s="476"/>
      <c r="T845" s="476"/>
      <c r="U845" s="476"/>
      <c r="V845" s="476"/>
      <c r="W845" s="476"/>
    </row>
    <row r="846" spans="1:23" ht="12.75">
      <c r="A846" s="475"/>
      <c r="B846" s="476"/>
      <c r="C846" s="476"/>
      <c r="D846" s="476"/>
      <c r="E846" s="476"/>
      <c r="F846" s="493"/>
      <c r="G846" s="476"/>
      <c r="H846" s="491"/>
      <c r="I846" s="491"/>
      <c r="J846" s="491"/>
      <c r="K846" s="476"/>
      <c r="L846" s="476"/>
      <c r="M846" s="476"/>
      <c r="N846" s="476"/>
      <c r="O846" s="476"/>
      <c r="P846" s="476"/>
      <c r="Q846" s="476"/>
      <c r="R846" s="476"/>
      <c r="S846" s="476"/>
      <c r="T846" s="476"/>
      <c r="U846" s="476"/>
      <c r="V846" s="476"/>
      <c r="W846" s="476"/>
    </row>
    <row r="847" spans="1:23" ht="12.75">
      <c r="A847" s="475"/>
      <c r="B847" s="476"/>
      <c r="C847" s="476"/>
      <c r="D847" s="476"/>
      <c r="E847" s="476"/>
      <c r="F847" s="493"/>
      <c r="G847" s="476"/>
      <c r="H847" s="491"/>
      <c r="I847" s="491"/>
      <c r="J847" s="491"/>
      <c r="K847" s="476"/>
      <c r="L847" s="476"/>
      <c r="M847" s="476"/>
      <c r="N847" s="476"/>
      <c r="O847" s="476"/>
      <c r="P847" s="476"/>
      <c r="Q847" s="476"/>
      <c r="R847" s="476"/>
      <c r="S847" s="476"/>
      <c r="T847" s="476"/>
      <c r="U847" s="476"/>
      <c r="V847" s="476"/>
      <c r="W847" s="476"/>
    </row>
    <row r="848" spans="1:23" ht="12.75">
      <c r="A848" s="475"/>
      <c r="B848" s="476"/>
      <c r="C848" s="476"/>
      <c r="D848" s="476"/>
      <c r="E848" s="476"/>
      <c r="F848" s="493"/>
      <c r="G848" s="476"/>
      <c r="H848" s="491"/>
      <c r="I848" s="491"/>
      <c r="J848" s="491"/>
      <c r="K848" s="476"/>
      <c r="L848" s="476"/>
      <c r="M848" s="476"/>
      <c r="N848" s="476"/>
      <c r="O848" s="476"/>
      <c r="P848" s="476"/>
      <c r="Q848" s="476"/>
      <c r="R848" s="476"/>
      <c r="S848" s="476"/>
      <c r="T848" s="476"/>
      <c r="U848" s="476"/>
      <c r="V848" s="476"/>
      <c r="W848" s="476"/>
    </row>
    <row r="849" spans="1:23" ht="12.75">
      <c r="A849" s="475"/>
      <c r="B849" s="476"/>
      <c r="C849" s="476"/>
      <c r="D849" s="476"/>
      <c r="E849" s="476"/>
      <c r="F849" s="493"/>
      <c r="G849" s="476"/>
      <c r="H849" s="491"/>
      <c r="I849" s="491"/>
      <c r="J849" s="491"/>
      <c r="K849" s="476"/>
      <c r="L849" s="476"/>
      <c r="M849" s="476"/>
      <c r="N849" s="476"/>
      <c r="O849" s="476"/>
      <c r="P849" s="476"/>
      <c r="Q849" s="476"/>
      <c r="R849" s="476"/>
      <c r="S849" s="476"/>
      <c r="T849" s="476"/>
      <c r="U849" s="476"/>
      <c r="V849" s="476"/>
      <c r="W849" s="476"/>
    </row>
    <row r="850" spans="1:23" ht="12.75">
      <c r="A850" s="475"/>
      <c r="B850" s="476"/>
      <c r="C850" s="476"/>
      <c r="D850" s="476"/>
      <c r="E850" s="476"/>
      <c r="F850" s="493"/>
      <c r="G850" s="476"/>
      <c r="H850" s="491"/>
      <c r="I850" s="491"/>
      <c r="J850" s="491"/>
      <c r="K850" s="476"/>
      <c r="L850" s="476"/>
      <c r="M850" s="476"/>
      <c r="N850" s="476"/>
      <c r="O850" s="476"/>
      <c r="P850" s="476"/>
      <c r="Q850" s="476"/>
      <c r="R850" s="476"/>
      <c r="S850" s="476"/>
      <c r="T850" s="476"/>
      <c r="U850" s="476"/>
      <c r="V850" s="476"/>
      <c r="W850" s="476"/>
    </row>
    <row r="851" spans="1:23" ht="12.75">
      <c r="A851" s="475"/>
      <c r="B851" s="476"/>
      <c r="C851" s="476"/>
      <c r="D851" s="476"/>
      <c r="E851" s="476"/>
      <c r="F851" s="493"/>
      <c r="G851" s="476"/>
      <c r="H851" s="491"/>
      <c r="I851" s="491"/>
      <c r="J851" s="491"/>
      <c r="K851" s="476"/>
      <c r="L851" s="476"/>
      <c r="M851" s="476"/>
      <c r="N851" s="476"/>
      <c r="O851" s="476"/>
      <c r="P851" s="476"/>
      <c r="Q851" s="476"/>
      <c r="R851" s="476"/>
      <c r="S851" s="476"/>
      <c r="T851" s="476"/>
      <c r="U851" s="476"/>
      <c r="V851" s="476"/>
      <c r="W851" s="476"/>
    </row>
    <row r="852" spans="1:23" ht="12.75">
      <c r="A852" s="475"/>
      <c r="B852" s="476"/>
      <c r="C852" s="476"/>
      <c r="D852" s="476"/>
      <c r="E852" s="476"/>
      <c r="F852" s="493"/>
      <c r="G852" s="476"/>
      <c r="H852" s="491"/>
      <c r="I852" s="491"/>
      <c r="J852" s="491"/>
      <c r="K852" s="476"/>
      <c r="L852" s="476"/>
      <c r="M852" s="476"/>
      <c r="N852" s="476"/>
      <c r="O852" s="476"/>
      <c r="P852" s="476"/>
      <c r="Q852" s="476"/>
      <c r="R852" s="476"/>
      <c r="S852" s="476"/>
      <c r="T852" s="476"/>
      <c r="U852" s="476"/>
      <c r="V852" s="476"/>
      <c r="W852" s="476"/>
    </row>
    <row r="853" spans="1:23" ht="12.75">
      <c r="A853" s="475"/>
      <c r="B853" s="476"/>
      <c r="C853" s="476"/>
      <c r="D853" s="476"/>
      <c r="E853" s="476"/>
      <c r="F853" s="493"/>
      <c r="G853" s="476"/>
      <c r="H853" s="491"/>
      <c r="I853" s="491"/>
      <c r="J853" s="491"/>
      <c r="K853" s="476"/>
      <c r="L853" s="476"/>
      <c r="M853" s="476"/>
      <c r="N853" s="476"/>
      <c r="O853" s="476"/>
      <c r="P853" s="476"/>
      <c r="Q853" s="476"/>
      <c r="R853" s="476"/>
      <c r="S853" s="476"/>
      <c r="T853" s="476"/>
      <c r="U853" s="476"/>
      <c r="V853" s="476"/>
      <c r="W853" s="476"/>
    </row>
    <row r="854" spans="1:23" ht="12.75">
      <c r="A854" s="475"/>
      <c r="B854" s="476"/>
      <c r="C854" s="476"/>
      <c r="D854" s="476"/>
      <c r="E854" s="476"/>
      <c r="F854" s="493"/>
      <c r="G854" s="476"/>
      <c r="H854" s="491"/>
      <c r="I854" s="491"/>
      <c r="J854" s="491"/>
      <c r="K854" s="476"/>
      <c r="L854" s="476"/>
      <c r="M854" s="476"/>
      <c r="N854" s="476"/>
      <c r="O854" s="476"/>
      <c r="P854" s="476"/>
      <c r="Q854" s="476"/>
      <c r="R854" s="476"/>
      <c r="S854" s="476"/>
      <c r="T854" s="476"/>
      <c r="U854" s="476"/>
      <c r="V854" s="476"/>
      <c r="W854" s="476"/>
    </row>
    <row r="855" spans="1:23" ht="12.75">
      <c r="A855" s="475"/>
      <c r="B855" s="476"/>
      <c r="C855" s="476"/>
      <c r="D855" s="476"/>
      <c r="E855" s="476"/>
      <c r="F855" s="493"/>
      <c r="G855" s="476"/>
      <c r="H855" s="491"/>
      <c r="I855" s="491"/>
      <c r="J855" s="491"/>
      <c r="K855" s="476"/>
      <c r="L855" s="476"/>
      <c r="M855" s="476"/>
      <c r="N855" s="476"/>
      <c r="O855" s="476"/>
      <c r="P855" s="476"/>
      <c r="Q855" s="476"/>
      <c r="R855" s="476"/>
      <c r="S855" s="476"/>
      <c r="T855" s="476"/>
      <c r="U855" s="476"/>
      <c r="V855" s="476"/>
      <c r="W855" s="476"/>
    </row>
    <row r="856" spans="1:23" ht="12.75">
      <c r="A856" s="475"/>
      <c r="B856" s="476"/>
      <c r="C856" s="476"/>
      <c r="D856" s="476"/>
      <c r="E856" s="476"/>
      <c r="F856" s="493"/>
      <c r="G856" s="476"/>
      <c r="H856" s="491"/>
      <c r="I856" s="491"/>
      <c r="J856" s="491"/>
      <c r="K856" s="476"/>
      <c r="L856" s="476"/>
      <c r="M856" s="476"/>
      <c r="N856" s="476"/>
      <c r="O856" s="476"/>
      <c r="P856" s="476"/>
      <c r="Q856" s="476"/>
      <c r="R856" s="476"/>
      <c r="S856" s="476"/>
      <c r="T856" s="476"/>
      <c r="U856" s="476"/>
      <c r="V856" s="476"/>
      <c r="W856" s="476"/>
    </row>
    <row r="857" spans="1:23" ht="12.75">
      <c r="A857" s="475"/>
      <c r="B857" s="476"/>
      <c r="C857" s="476"/>
      <c r="D857" s="476"/>
      <c r="E857" s="476"/>
      <c r="F857" s="493"/>
      <c r="G857" s="476"/>
      <c r="H857" s="491"/>
      <c r="I857" s="491"/>
      <c r="J857" s="491"/>
      <c r="K857" s="476"/>
      <c r="L857" s="476"/>
      <c r="M857" s="476"/>
      <c r="N857" s="476"/>
      <c r="O857" s="476"/>
      <c r="P857" s="476"/>
      <c r="Q857" s="476"/>
      <c r="R857" s="476"/>
      <c r="S857" s="476"/>
      <c r="T857" s="476"/>
      <c r="U857" s="476"/>
      <c r="V857" s="476"/>
      <c r="W857" s="476"/>
    </row>
    <row r="858" spans="1:23" ht="12.75">
      <c r="A858" s="475"/>
      <c r="B858" s="476"/>
      <c r="C858" s="476"/>
      <c r="D858" s="476"/>
      <c r="E858" s="476"/>
      <c r="F858" s="493"/>
      <c r="G858" s="476"/>
      <c r="H858" s="491"/>
      <c r="I858" s="491"/>
      <c r="J858" s="491"/>
      <c r="K858" s="476"/>
      <c r="L858" s="476"/>
      <c r="M858" s="476"/>
      <c r="N858" s="476"/>
      <c r="O858" s="476"/>
      <c r="P858" s="476"/>
      <c r="Q858" s="476"/>
      <c r="R858" s="476"/>
      <c r="S858" s="476"/>
      <c r="T858" s="476"/>
      <c r="U858" s="476"/>
      <c r="V858" s="476"/>
      <c r="W858" s="476"/>
    </row>
    <row r="859" spans="1:23" ht="12.75">
      <c r="A859" s="475"/>
      <c r="B859" s="476"/>
      <c r="C859" s="476"/>
      <c r="D859" s="476"/>
      <c r="E859" s="476"/>
      <c r="F859" s="493"/>
      <c r="G859" s="476"/>
      <c r="H859" s="491"/>
      <c r="I859" s="491"/>
      <c r="J859" s="491"/>
      <c r="K859" s="476"/>
      <c r="L859" s="476"/>
      <c r="M859" s="476"/>
      <c r="N859" s="476"/>
      <c r="O859" s="476"/>
      <c r="P859" s="476"/>
      <c r="Q859" s="476"/>
      <c r="R859" s="476"/>
      <c r="S859" s="476"/>
      <c r="T859" s="476"/>
      <c r="U859" s="476"/>
      <c r="V859" s="476"/>
      <c r="W859" s="476"/>
    </row>
    <row r="860" spans="1:23" ht="12.75">
      <c r="A860" s="475"/>
      <c r="B860" s="476"/>
      <c r="C860" s="476"/>
      <c r="D860" s="476"/>
      <c r="E860" s="476"/>
      <c r="F860" s="493"/>
      <c r="G860" s="476"/>
      <c r="H860" s="491"/>
      <c r="I860" s="491"/>
      <c r="J860" s="491"/>
      <c r="K860" s="476"/>
      <c r="L860" s="476"/>
      <c r="M860" s="476"/>
      <c r="N860" s="476"/>
      <c r="O860" s="476"/>
      <c r="P860" s="476"/>
      <c r="Q860" s="476"/>
      <c r="R860" s="476"/>
      <c r="S860" s="476"/>
      <c r="T860" s="476"/>
      <c r="U860" s="476"/>
      <c r="V860" s="476"/>
      <c r="W860" s="476"/>
    </row>
    <row r="861" spans="1:23" ht="12.75">
      <c r="A861" s="475"/>
      <c r="B861" s="476"/>
      <c r="C861" s="476"/>
      <c r="D861" s="476"/>
      <c r="E861" s="476"/>
      <c r="F861" s="493"/>
      <c r="G861" s="476"/>
      <c r="H861" s="491"/>
      <c r="I861" s="491"/>
      <c r="J861" s="491"/>
      <c r="K861" s="476"/>
      <c r="L861" s="476"/>
      <c r="M861" s="476"/>
      <c r="N861" s="476"/>
      <c r="O861" s="476"/>
      <c r="P861" s="476"/>
      <c r="Q861" s="476"/>
      <c r="R861" s="476"/>
      <c r="S861" s="476"/>
      <c r="T861" s="476"/>
      <c r="U861" s="476"/>
      <c r="V861" s="476"/>
      <c r="W861" s="476"/>
    </row>
    <row r="862" spans="1:23" ht="12.75">
      <c r="A862" s="475"/>
      <c r="B862" s="476"/>
      <c r="C862" s="476"/>
      <c r="D862" s="476"/>
      <c r="E862" s="476"/>
      <c r="F862" s="493"/>
      <c r="G862" s="476"/>
      <c r="H862" s="491"/>
      <c r="I862" s="491"/>
      <c r="J862" s="491"/>
      <c r="K862" s="476"/>
      <c r="L862" s="476"/>
      <c r="M862" s="476"/>
      <c r="N862" s="476"/>
      <c r="O862" s="476"/>
      <c r="P862" s="476"/>
      <c r="Q862" s="476"/>
      <c r="R862" s="476"/>
      <c r="S862" s="476"/>
      <c r="T862" s="476"/>
      <c r="U862" s="476"/>
      <c r="V862" s="476"/>
      <c r="W862" s="476"/>
    </row>
    <row r="863" spans="1:23" ht="12.75">
      <c r="A863" s="475"/>
      <c r="B863" s="476"/>
      <c r="C863" s="476"/>
      <c r="D863" s="476"/>
      <c r="E863" s="476"/>
      <c r="F863" s="493"/>
      <c r="G863" s="476"/>
      <c r="H863" s="491"/>
      <c r="I863" s="491"/>
      <c r="J863" s="491"/>
      <c r="K863" s="476"/>
      <c r="L863" s="476"/>
      <c r="M863" s="476"/>
      <c r="N863" s="476"/>
      <c r="O863" s="476"/>
      <c r="P863" s="476"/>
      <c r="Q863" s="476"/>
      <c r="R863" s="476"/>
      <c r="S863" s="476"/>
      <c r="T863" s="476"/>
      <c r="U863" s="476"/>
      <c r="V863" s="476"/>
      <c r="W863" s="476"/>
    </row>
    <row r="864" spans="1:23" ht="12.75">
      <c r="A864" s="475"/>
      <c r="B864" s="476"/>
      <c r="C864" s="476"/>
      <c r="D864" s="476"/>
      <c r="E864" s="476"/>
      <c r="F864" s="493"/>
      <c r="G864" s="476"/>
      <c r="H864" s="491"/>
      <c r="I864" s="491"/>
      <c r="J864" s="491"/>
      <c r="K864" s="476"/>
      <c r="L864" s="476"/>
      <c r="M864" s="476"/>
      <c r="N864" s="476"/>
      <c r="O864" s="476"/>
      <c r="P864" s="476"/>
      <c r="Q864" s="476"/>
      <c r="R864" s="476"/>
      <c r="S864" s="476"/>
      <c r="T864" s="476"/>
      <c r="U864" s="476"/>
      <c r="V864" s="476"/>
      <c r="W864" s="476"/>
    </row>
    <row r="865" spans="1:23" ht="12.75">
      <c r="A865" s="475"/>
      <c r="B865" s="476"/>
      <c r="C865" s="476"/>
      <c r="D865" s="476"/>
      <c r="E865" s="476"/>
      <c r="F865" s="493"/>
      <c r="G865" s="476"/>
      <c r="H865" s="491"/>
      <c r="I865" s="491"/>
      <c r="J865" s="491"/>
      <c r="K865" s="476"/>
      <c r="L865" s="476"/>
      <c r="M865" s="476"/>
      <c r="N865" s="476"/>
      <c r="O865" s="476"/>
      <c r="P865" s="476"/>
      <c r="Q865" s="476"/>
      <c r="R865" s="476"/>
      <c r="S865" s="476"/>
      <c r="T865" s="476"/>
      <c r="U865" s="476"/>
      <c r="V865" s="476"/>
      <c r="W865" s="476"/>
    </row>
    <row r="866" spans="1:23" ht="12.75">
      <c r="A866" s="475"/>
      <c r="B866" s="476"/>
      <c r="C866" s="476"/>
      <c r="D866" s="476"/>
      <c r="E866" s="476"/>
      <c r="F866" s="493"/>
      <c r="G866" s="476"/>
      <c r="H866" s="491"/>
      <c r="I866" s="491"/>
      <c r="J866" s="491"/>
      <c r="K866" s="476"/>
      <c r="L866" s="476"/>
      <c r="M866" s="476"/>
      <c r="N866" s="476"/>
      <c r="O866" s="476"/>
      <c r="P866" s="476"/>
      <c r="Q866" s="476"/>
      <c r="R866" s="476"/>
      <c r="S866" s="476"/>
      <c r="T866" s="476"/>
      <c r="U866" s="476"/>
      <c r="V866" s="476"/>
      <c r="W866" s="476"/>
    </row>
    <row r="867" spans="1:23" ht="12.75">
      <c r="A867" s="475"/>
      <c r="B867" s="476"/>
      <c r="C867" s="476"/>
      <c r="D867" s="476"/>
      <c r="E867" s="476"/>
      <c r="F867" s="493"/>
      <c r="G867" s="476"/>
      <c r="H867" s="491"/>
      <c r="I867" s="491"/>
      <c r="J867" s="491"/>
      <c r="K867" s="476"/>
      <c r="L867" s="476"/>
      <c r="M867" s="476"/>
      <c r="N867" s="476"/>
      <c r="O867" s="476"/>
      <c r="P867" s="476"/>
      <c r="Q867" s="476"/>
      <c r="R867" s="476"/>
      <c r="S867" s="476"/>
      <c r="T867" s="476"/>
      <c r="U867" s="476"/>
      <c r="V867" s="476"/>
      <c r="W867" s="476"/>
    </row>
    <row r="868" spans="1:23" ht="12.75">
      <c r="A868" s="475"/>
      <c r="B868" s="476"/>
      <c r="C868" s="476"/>
      <c r="D868" s="476"/>
      <c r="E868" s="476"/>
      <c r="F868" s="493"/>
      <c r="G868" s="476"/>
      <c r="H868" s="491"/>
      <c r="I868" s="491"/>
      <c r="J868" s="491"/>
      <c r="K868" s="476"/>
      <c r="L868" s="476"/>
      <c r="M868" s="476"/>
      <c r="N868" s="476"/>
      <c r="O868" s="476"/>
      <c r="P868" s="476"/>
      <c r="Q868" s="476"/>
      <c r="R868" s="476"/>
      <c r="S868" s="476"/>
      <c r="T868" s="476"/>
      <c r="U868" s="476"/>
      <c r="V868" s="476"/>
      <c r="W868" s="476"/>
    </row>
    <row r="869" spans="1:23" ht="12.75">
      <c r="A869" s="475"/>
      <c r="B869" s="476"/>
      <c r="C869" s="476"/>
      <c r="D869" s="476"/>
      <c r="E869" s="476"/>
      <c r="F869" s="493"/>
      <c r="G869" s="476"/>
      <c r="H869" s="491"/>
      <c r="I869" s="491"/>
      <c r="J869" s="491"/>
      <c r="K869" s="476"/>
      <c r="L869" s="476"/>
      <c r="M869" s="476"/>
      <c r="N869" s="476"/>
      <c r="O869" s="476"/>
      <c r="P869" s="476"/>
      <c r="Q869" s="476"/>
      <c r="R869" s="476"/>
      <c r="S869" s="476"/>
      <c r="T869" s="476"/>
      <c r="U869" s="476"/>
      <c r="V869" s="476"/>
      <c r="W869" s="476"/>
    </row>
    <row r="870" spans="1:23" ht="12.75">
      <c r="A870" s="475"/>
      <c r="B870" s="476"/>
      <c r="C870" s="476"/>
      <c r="D870" s="476"/>
      <c r="E870" s="476"/>
      <c r="F870" s="493"/>
      <c r="G870" s="476"/>
      <c r="H870" s="491"/>
      <c r="I870" s="491"/>
      <c r="J870" s="491"/>
      <c r="K870" s="476"/>
      <c r="L870" s="476"/>
      <c r="M870" s="476"/>
      <c r="N870" s="476"/>
      <c r="O870" s="476"/>
      <c r="P870" s="476"/>
      <c r="Q870" s="476"/>
      <c r="R870" s="476"/>
      <c r="S870" s="476"/>
      <c r="T870" s="476"/>
      <c r="U870" s="476"/>
      <c r="V870" s="476"/>
      <c r="W870" s="476"/>
    </row>
    <row r="871" spans="1:23" ht="12.75">
      <c r="A871" s="475"/>
      <c r="B871" s="476"/>
      <c r="C871" s="476"/>
      <c r="D871" s="476"/>
      <c r="E871" s="476"/>
      <c r="F871" s="493"/>
      <c r="G871" s="476"/>
      <c r="H871" s="491"/>
      <c r="I871" s="491"/>
      <c r="J871" s="491"/>
      <c r="K871" s="476"/>
      <c r="L871" s="476"/>
      <c r="M871" s="476"/>
      <c r="N871" s="476"/>
      <c r="O871" s="476"/>
      <c r="P871" s="476"/>
      <c r="Q871" s="476"/>
      <c r="R871" s="476"/>
      <c r="S871" s="476"/>
      <c r="T871" s="476"/>
      <c r="U871" s="476"/>
      <c r="V871" s="476"/>
      <c r="W871" s="476"/>
    </row>
    <row r="872" spans="1:23" ht="12.75">
      <c r="A872" s="475"/>
      <c r="B872" s="476"/>
      <c r="C872" s="476"/>
      <c r="D872" s="476"/>
      <c r="E872" s="476"/>
      <c r="F872" s="493"/>
      <c r="G872" s="476"/>
      <c r="H872" s="491"/>
      <c r="I872" s="491"/>
      <c r="J872" s="491"/>
      <c r="K872" s="476"/>
      <c r="L872" s="476"/>
      <c r="M872" s="476"/>
      <c r="N872" s="476"/>
      <c r="O872" s="476"/>
      <c r="P872" s="476"/>
      <c r="Q872" s="476"/>
      <c r="R872" s="476"/>
      <c r="S872" s="476"/>
      <c r="T872" s="476"/>
      <c r="U872" s="476"/>
      <c r="V872" s="476"/>
      <c r="W872" s="476"/>
    </row>
    <row r="873" spans="1:23" ht="12.75">
      <c r="A873" s="475"/>
      <c r="B873" s="476"/>
      <c r="C873" s="476"/>
      <c r="D873" s="476"/>
      <c r="E873" s="476"/>
      <c r="F873" s="493"/>
      <c r="G873" s="476"/>
      <c r="H873" s="491"/>
      <c r="I873" s="491"/>
      <c r="J873" s="491"/>
      <c r="K873" s="476"/>
      <c r="L873" s="476"/>
      <c r="M873" s="476"/>
      <c r="N873" s="476"/>
      <c r="O873" s="476"/>
      <c r="P873" s="476"/>
      <c r="Q873" s="476"/>
      <c r="R873" s="476"/>
      <c r="S873" s="476"/>
      <c r="T873" s="476"/>
      <c r="U873" s="476"/>
      <c r="V873" s="476"/>
      <c r="W873" s="476"/>
    </row>
    <row r="874" spans="1:23" ht="12.75">
      <c r="A874" s="475"/>
      <c r="B874" s="476"/>
      <c r="C874" s="476"/>
      <c r="D874" s="476"/>
      <c r="E874" s="476"/>
      <c r="F874" s="493"/>
      <c r="G874" s="476"/>
      <c r="H874" s="491"/>
      <c r="I874" s="491"/>
      <c r="J874" s="491"/>
      <c r="K874" s="476"/>
      <c r="L874" s="476"/>
      <c r="M874" s="476"/>
      <c r="N874" s="476"/>
      <c r="O874" s="476"/>
      <c r="P874" s="476"/>
      <c r="Q874" s="476"/>
      <c r="R874" s="476"/>
      <c r="S874" s="476"/>
      <c r="T874" s="476"/>
      <c r="U874" s="476"/>
      <c r="V874" s="476"/>
      <c r="W874" s="476"/>
    </row>
    <row r="875" spans="1:23" ht="12.75">
      <c r="A875" s="475"/>
      <c r="B875" s="476"/>
      <c r="C875" s="476"/>
      <c r="D875" s="476"/>
      <c r="E875" s="476"/>
      <c r="F875" s="493"/>
      <c r="G875" s="476"/>
      <c r="H875" s="491"/>
      <c r="I875" s="491"/>
      <c r="J875" s="491"/>
      <c r="K875" s="476"/>
      <c r="L875" s="476"/>
      <c r="M875" s="476"/>
      <c r="N875" s="476"/>
      <c r="O875" s="476"/>
      <c r="P875" s="476"/>
      <c r="Q875" s="476"/>
      <c r="R875" s="476"/>
      <c r="S875" s="476"/>
      <c r="T875" s="476"/>
      <c r="U875" s="476"/>
      <c r="V875" s="476"/>
      <c r="W875" s="476"/>
    </row>
    <row r="876" spans="1:23" ht="12.75">
      <c r="A876" s="475"/>
      <c r="B876" s="476"/>
      <c r="C876" s="476"/>
      <c r="D876" s="476"/>
      <c r="E876" s="476"/>
      <c r="F876" s="493"/>
      <c r="G876" s="476"/>
      <c r="H876" s="491"/>
      <c r="I876" s="491"/>
      <c r="J876" s="491"/>
      <c r="K876" s="476"/>
      <c r="L876" s="476"/>
      <c r="M876" s="476"/>
      <c r="N876" s="476"/>
      <c r="O876" s="476"/>
      <c r="P876" s="476"/>
      <c r="Q876" s="476"/>
      <c r="R876" s="476"/>
      <c r="S876" s="476"/>
      <c r="T876" s="476"/>
      <c r="U876" s="476"/>
      <c r="V876" s="476"/>
      <c r="W876" s="476"/>
    </row>
    <row r="877" spans="1:23" ht="12.75">
      <c r="A877" s="475"/>
      <c r="B877" s="476"/>
      <c r="C877" s="476"/>
      <c r="D877" s="476"/>
      <c r="E877" s="476"/>
      <c r="F877" s="493"/>
      <c r="G877" s="476"/>
      <c r="H877" s="491"/>
      <c r="I877" s="491"/>
      <c r="J877" s="491"/>
      <c r="K877" s="476"/>
      <c r="L877" s="476"/>
      <c r="M877" s="476"/>
      <c r="N877" s="476"/>
      <c r="O877" s="476"/>
      <c r="P877" s="476"/>
      <c r="Q877" s="476"/>
      <c r="R877" s="476"/>
      <c r="S877" s="476"/>
      <c r="T877" s="476"/>
      <c r="U877" s="476"/>
      <c r="V877" s="476"/>
      <c r="W877" s="476"/>
    </row>
    <row r="878" spans="1:23" ht="12.75">
      <c r="A878" s="475"/>
      <c r="B878" s="476"/>
      <c r="C878" s="476"/>
      <c r="D878" s="476"/>
      <c r="E878" s="476"/>
      <c r="F878" s="493"/>
      <c r="G878" s="476"/>
      <c r="H878" s="491"/>
      <c r="I878" s="491"/>
      <c r="J878" s="491"/>
      <c r="K878" s="476"/>
      <c r="L878" s="476"/>
      <c r="M878" s="476"/>
      <c r="N878" s="476"/>
      <c r="O878" s="476"/>
      <c r="P878" s="476"/>
      <c r="Q878" s="476"/>
      <c r="R878" s="476"/>
      <c r="S878" s="476"/>
      <c r="T878" s="476"/>
      <c r="U878" s="476"/>
      <c r="V878" s="476"/>
      <c r="W878" s="476"/>
    </row>
    <row r="879" spans="1:23" ht="12.75">
      <c r="A879" s="475"/>
      <c r="B879" s="476"/>
      <c r="C879" s="476"/>
      <c r="D879" s="476"/>
      <c r="E879" s="476"/>
      <c r="F879" s="493"/>
      <c r="G879" s="476"/>
      <c r="H879" s="491"/>
      <c r="I879" s="491"/>
      <c r="J879" s="491"/>
      <c r="K879" s="476"/>
      <c r="L879" s="476"/>
      <c r="M879" s="476"/>
      <c r="N879" s="476"/>
      <c r="O879" s="476"/>
      <c r="P879" s="476"/>
      <c r="Q879" s="476"/>
      <c r="R879" s="476"/>
      <c r="S879" s="476"/>
      <c r="T879" s="476"/>
      <c r="U879" s="476"/>
      <c r="V879" s="476"/>
      <c r="W879" s="476"/>
    </row>
    <row r="880" spans="1:23" ht="12.75">
      <c r="A880" s="475"/>
      <c r="B880" s="476"/>
      <c r="C880" s="476"/>
      <c r="D880" s="476"/>
      <c r="E880" s="476"/>
      <c r="F880" s="493"/>
      <c r="G880" s="476"/>
      <c r="H880" s="491"/>
      <c r="I880" s="491"/>
      <c r="J880" s="491"/>
      <c r="K880" s="476"/>
      <c r="L880" s="476"/>
      <c r="M880" s="476"/>
      <c r="N880" s="476"/>
      <c r="O880" s="476"/>
      <c r="P880" s="476"/>
      <c r="Q880" s="476"/>
      <c r="R880" s="476"/>
      <c r="S880" s="476"/>
      <c r="T880" s="476"/>
      <c r="U880" s="476"/>
      <c r="V880" s="476"/>
      <c r="W880" s="476"/>
    </row>
    <row r="881" spans="1:23" ht="12.75">
      <c r="A881" s="475"/>
      <c r="B881" s="476"/>
      <c r="C881" s="476"/>
      <c r="D881" s="476"/>
      <c r="E881" s="476"/>
      <c r="F881" s="493"/>
      <c r="G881" s="476"/>
      <c r="H881" s="491"/>
      <c r="I881" s="491"/>
      <c r="J881" s="491"/>
      <c r="K881" s="476"/>
      <c r="L881" s="476"/>
      <c r="M881" s="476"/>
      <c r="N881" s="476"/>
      <c r="O881" s="476"/>
      <c r="P881" s="476"/>
      <c r="Q881" s="476"/>
      <c r="R881" s="476"/>
      <c r="S881" s="476"/>
      <c r="T881" s="476"/>
      <c r="U881" s="476"/>
      <c r="V881" s="476"/>
      <c r="W881" s="476"/>
    </row>
    <row r="882" spans="1:23" ht="12.75">
      <c r="A882" s="475"/>
      <c r="B882" s="476"/>
      <c r="C882" s="476"/>
      <c r="D882" s="476"/>
      <c r="E882" s="476"/>
      <c r="F882" s="493"/>
      <c r="G882" s="476"/>
      <c r="H882" s="491"/>
      <c r="I882" s="491"/>
      <c r="J882" s="491"/>
      <c r="K882" s="476"/>
      <c r="L882" s="476"/>
      <c r="M882" s="476"/>
      <c r="N882" s="476"/>
      <c r="O882" s="476"/>
      <c r="P882" s="476"/>
      <c r="Q882" s="476"/>
      <c r="R882" s="476"/>
      <c r="S882" s="476"/>
      <c r="T882" s="476"/>
      <c r="U882" s="476"/>
      <c r="V882" s="476"/>
      <c r="W882" s="476"/>
    </row>
    <row r="883" spans="1:23" ht="12.75">
      <c r="A883" s="475"/>
      <c r="B883" s="476"/>
      <c r="C883" s="476"/>
      <c r="D883" s="476"/>
      <c r="E883" s="476"/>
      <c r="F883" s="493"/>
      <c r="G883" s="476"/>
      <c r="H883" s="491"/>
      <c r="I883" s="491"/>
      <c r="J883" s="491"/>
      <c r="K883" s="476"/>
      <c r="L883" s="476"/>
      <c r="M883" s="476"/>
      <c r="N883" s="476"/>
      <c r="O883" s="476"/>
      <c r="P883" s="476"/>
      <c r="Q883" s="476"/>
      <c r="R883" s="476"/>
      <c r="S883" s="476"/>
      <c r="T883" s="476"/>
      <c r="U883" s="476"/>
      <c r="V883" s="476"/>
      <c r="W883" s="476"/>
    </row>
    <row r="884" spans="1:23" ht="12.75">
      <c r="A884" s="475"/>
      <c r="B884" s="476"/>
      <c r="C884" s="476"/>
      <c r="D884" s="476"/>
      <c r="E884" s="476"/>
      <c r="F884" s="493"/>
      <c r="G884" s="476"/>
      <c r="H884" s="491"/>
      <c r="I884" s="491"/>
      <c r="J884" s="491"/>
      <c r="K884" s="476"/>
      <c r="L884" s="476"/>
      <c r="M884" s="476"/>
      <c r="N884" s="476"/>
      <c r="O884" s="476"/>
      <c r="P884" s="476"/>
      <c r="Q884" s="476"/>
      <c r="R884" s="476"/>
      <c r="S884" s="476"/>
      <c r="T884" s="476"/>
      <c r="U884" s="476"/>
      <c r="V884" s="476"/>
      <c r="W884" s="476"/>
    </row>
    <row r="885" spans="1:23" ht="12.75">
      <c r="A885" s="475"/>
      <c r="B885" s="476"/>
      <c r="C885" s="476"/>
      <c r="D885" s="476"/>
      <c r="E885" s="476"/>
      <c r="F885" s="493"/>
      <c r="G885" s="476"/>
      <c r="H885" s="491"/>
      <c r="I885" s="491"/>
      <c r="J885" s="491"/>
      <c r="K885" s="476"/>
      <c r="L885" s="476"/>
      <c r="M885" s="476"/>
      <c r="N885" s="476"/>
      <c r="O885" s="476"/>
      <c r="P885" s="476"/>
      <c r="Q885" s="476"/>
      <c r="R885" s="476"/>
      <c r="S885" s="476"/>
      <c r="T885" s="476"/>
      <c r="U885" s="476"/>
      <c r="V885" s="476"/>
      <c r="W885" s="476"/>
    </row>
    <row r="886" spans="1:23" ht="12.75">
      <c r="A886" s="475"/>
      <c r="B886" s="476"/>
      <c r="C886" s="476"/>
      <c r="D886" s="476"/>
      <c r="E886" s="476"/>
      <c r="F886" s="493"/>
      <c r="G886" s="476"/>
      <c r="H886" s="491"/>
      <c r="I886" s="491"/>
      <c r="J886" s="491"/>
      <c r="K886" s="476"/>
      <c r="L886" s="476"/>
      <c r="M886" s="476"/>
      <c r="N886" s="476"/>
      <c r="O886" s="476"/>
      <c r="P886" s="476"/>
      <c r="Q886" s="476"/>
      <c r="R886" s="476"/>
      <c r="S886" s="476"/>
      <c r="T886" s="476"/>
      <c r="U886" s="476"/>
      <c r="V886" s="476"/>
      <c r="W886" s="476"/>
    </row>
    <row r="887" spans="1:23" ht="12.75">
      <c r="A887" s="475"/>
      <c r="B887" s="476"/>
      <c r="C887" s="476"/>
      <c r="D887" s="476"/>
      <c r="E887" s="476"/>
      <c r="F887" s="493"/>
      <c r="G887" s="476"/>
      <c r="H887" s="491"/>
      <c r="I887" s="491"/>
      <c r="J887" s="491"/>
      <c r="K887" s="476"/>
      <c r="L887" s="476"/>
      <c r="M887" s="476"/>
      <c r="N887" s="476"/>
      <c r="O887" s="476"/>
      <c r="P887" s="476"/>
      <c r="Q887" s="476"/>
      <c r="R887" s="476"/>
      <c r="S887" s="476"/>
      <c r="T887" s="476"/>
      <c r="U887" s="476"/>
      <c r="V887" s="476"/>
      <c r="W887" s="476"/>
    </row>
    <row r="888" spans="1:23" ht="12.75">
      <c r="A888" s="475"/>
      <c r="B888" s="476"/>
      <c r="C888" s="476"/>
      <c r="D888" s="476"/>
      <c r="E888" s="476"/>
      <c r="F888" s="493"/>
      <c r="G888" s="476"/>
      <c r="H888" s="491"/>
      <c r="I888" s="491"/>
      <c r="J888" s="491"/>
      <c r="K888" s="476"/>
      <c r="L888" s="476"/>
      <c r="M888" s="476"/>
      <c r="N888" s="476"/>
      <c r="O888" s="476"/>
      <c r="P888" s="476"/>
      <c r="Q888" s="476"/>
      <c r="R888" s="476"/>
      <c r="S888" s="476"/>
      <c r="T888" s="476"/>
      <c r="U888" s="476"/>
      <c r="V888" s="476"/>
      <c r="W888" s="476"/>
    </row>
    <row r="889" spans="1:23" ht="12.75">
      <c r="A889" s="475"/>
      <c r="B889" s="476"/>
      <c r="C889" s="476"/>
      <c r="D889" s="476"/>
      <c r="E889" s="476"/>
      <c r="F889" s="493"/>
      <c r="G889" s="476"/>
      <c r="H889" s="491"/>
      <c r="I889" s="491"/>
      <c r="J889" s="491"/>
      <c r="K889" s="476"/>
      <c r="L889" s="476"/>
      <c r="M889" s="476"/>
      <c r="N889" s="476"/>
      <c r="O889" s="476"/>
      <c r="P889" s="476"/>
      <c r="Q889" s="476"/>
      <c r="R889" s="476"/>
      <c r="S889" s="476"/>
      <c r="T889" s="476"/>
      <c r="U889" s="476"/>
      <c r="V889" s="476"/>
      <c r="W889" s="476"/>
    </row>
    <row r="890" spans="1:23" ht="12.75">
      <c r="A890" s="475"/>
      <c r="B890" s="476"/>
      <c r="C890" s="476"/>
      <c r="D890" s="476"/>
      <c r="E890" s="476"/>
      <c r="F890" s="493"/>
      <c r="G890" s="476"/>
      <c r="H890" s="491"/>
      <c r="I890" s="491"/>
      <c r="J890" s="491"/>
      <c r="K890" s="476"/>
      <c r="L890" s="476"/>
      <c r="M890" s="476"/>
      <c r="N890" s="476"/>
      <c r="O890" s="476"/>
      <c r="P890" s="476"/>
      <c r="Q890" s="476"/>
      <c r="R890" s="476"/>
      <c r="S890" s="476"/>
      <c r="T890" s="476"/>
      <c r="U890" s="476"/>
      <c r="V890" s="476"/>
      <c r="W890" s="476"/>
    </row>
    <row r="891" spans="1:23" ht="12.75">
      <c r="A891" s="475"/>
      <c r="B891" s="476"/>
      <c r="C891" s="476"/>
      <c r="D891" s="476"/>
      <c r="E891" s="476"/>
      <c r="F891" s="493"/>
      <c r="G891" s="476"/>
      <c r="H891" s="491"/>
      <c r="I891" s="491"/>
      <c r="J891" s="491"/>
      <c r="K891" s="476"/>
      <c r="L891" s="476"/>
      <c r="M891" s="476"/>
      <c r="N891" s="476"/>
      <c r="O891" s="476"/>
      <c r="P891" s="476"/>
      <c r="Q891" s="476"/>
      <c r="R891" s="476"/>
      <c r="S891" s="476"/>
      <c r="T891" s="476"/>
      <c r="U891" s="476"/>
      <c r="V891" s="476"/>
      <c r="W891" s="476"/>
    </row>
    <row r="892" spans="1:23" ht="12.75">
      <c r="A892" s="475"/>
      <c r="B892" s="476"/>
      <c r="C892" s="476"/>
      <c r="D892" s="476"/>
      <c r="E892" s="476"/>
      <c r="F892" s="493"/>
      <c r="G892" s="476"/>
      <c r="H892" s="491"/>
      <c r="I892" s="491"/>
      <c r="J892" s="491"/>
      <c r="K892" s="476"/>
      <c r="L892" s="476"/>
      <c r="M892" s="476"/>
      <c r="N892" s="476"/>
      <c r="O892" s="476"/>
      <c r="P892" s="476"/>
      <c r="Q892" s="476"/>
      <c r="R892" s="476"/>
      <c r="S892" s="476"/>
      <c r="T892" s="476"/>
      <c r="U892" s="476"/>
      <c r="V892" s="476"/>
      <c r="W892" s="476"/>
    </row>
    <row r="893" spans="1:23" ht="12.75">
      <c r="A893" s="475"/>
      <c r="B893" s="476"/>
      <c r="C893" s="476"/>
      <c r="D893" s="476"/>
      <c r="E893" s="476"/>
      <c r="F893" s="493"/>
      <c r="G893" s="476"/>
      <c r="H893" s="491"/>
      <c r="I893" s="491"/>
      <c r="J893" s="491"/>
      <c r="K893" s="476"/>
      <c r="L893" s="476"/>
      <c r="M893" s="476"/>
      <c r="N893" s="476"/>
      <c r="O893" s="476"/>
      <c r="P893" s="476"/>
      <c r="Q893" s="476"/>
      <c r="R893" s="476"/>
      <c r="S893" s="476"/>
      <c r="T893" s="476"/>
      <c r="U893" s="476"/>
      <c r="V893" s="476"/>
      <c r="W893" s="476"/>
    </row>
    <row r="894" spans="1:23" ht="12.75">
      <c r="A894" s="475"/>
      <c r="B894" s="476"/>
      <c r="C894" s="476"/>
      <c r="D894" s="476"/>
      <c r="E894" s="476"/>
      <c r="F894" s="493"/>
      <c r="G894" s="476"/>
      <c r="H894" s="491"/>
      <c r="I894" s="491"/>
      <c r="J894" s="491"/>
      <c r="K894" s="476"/>
      <c r="L894" s="476"/>
      <c r="M894" s="476"/>
      <c r="N894" s="476"/>
      <c r="O894" s="476"/>
      <c r="P894" s="476"/>
      <c r="Q894" s="476"/>
      <c r="R894" s="476"/>
      <c r="S894" s="476"/>
      <c r="T894" s="476"/>
      <c r="U894" s="476"/>
      <c r="V894" s="476"/>
      <c r="W894" s="476"/>
    </row>
    <row r="895" spans="1:23" ht="12.75">
      <c r="A895" s="475"/>
      <c r="B895" s="476"/>
      <c r="C895" s="476"/>
      <c r="D895" s="476"/>
      <c r="E895" s="476"/>
      <c r="F895" s="493"/>
      <c r="G895" s="476"/>
      <c r="H895" s="491"/>
      <c r="I895" s="491"/>
      <c r="J895" s="491"/>
      <c r="K895" s="476"/>
      <c r="L895" s="476"/>
      <c r="M895" s="476"/>
      <c r="N895" s="476"/>
      <c r="O895" s="476"/>
      <c r="P895" s="476"/>
      <c r="Q895" s="476"/>
      <c r="R895" s="476"/>
      <c r="S895" s="476"/>
      <c r="T895" s="476"/>
      <c r="U895" s="476"/>
      <c r="V895" s="476"/>
      <c r="W895" s="476"/>
    </row>
    <row r="896" spans="1:23" ht="12.75">
      <c r="A896" s="475"/>
      <c r="B896" s="476"/>
      <c r="C896" s="476"/>
      <c r="D896" s="476"/>
      <c r="E896" s="476"/>
      <c r="F896" s="493"/>
      <c r="G896" s="476"/>
      <c r="H896" s="491"/>
      <c r="I896" s="491"/>
      <c r="J896" s="491"/>
      <c r="K896" s="476"/>
      <c r="L896" s="476"/>
      <c r="M896" s="476"/>
      <c r="N896" s="476"/>
      <c r="O896" s="476"/>
      <c r="P896" s="476"/>
      <c r="Q896" s="476"/>
      <c r="R896" s="476"/>
      <c r="S896" s="476"/>
      <c r="T896" s="476"/>
      <c r="U896" s="476"/>
      <c r="V896" s="476"/>
      <c r="W896" s="476"/>
    </row>
    <row r="897" spans="1:23" ht="12.75">
      <c r="A897" s="475"/>
      <c r="B897" s="476"/>
      <c r="C897" s="476"/>
      <c r="D897" s="476"/>
      <c r="E897" s="476"/>
      <c r="F897" s="493"/>
      <c r="G897" s="476"/>
      <c r="H897" s="491"/>
      <c r="I897" s="491"/>
      <c r="J897" s="491"/>
      <c r="K897" s="476"/>
      <c r="L897" s="476"/>
      <c r="M897" s="476"/>
      <c r="N897" s="476"/>
      <c r="O897" s="476"/>
      <c r="P897" s="476"/>
      <c r="Q897" s="476"/>
      <c r="R897" s="476"/>
      <c r="S897" s="476"/>
      <c r="T897" s="476"/>
      <c r="U897" s="476"/>
      <c r="V897" s="476"/>
      <c r="W897" s="476"/>
    </row>
    <row r="898" spans="1:23" ht="12.75">
      <c r="A898" s="475"/>
      <c r="B898" s="476"/>
      <c r="C898" s="476"/>
      <c r="D898" s="476"/>
      <c r="E898" s="476"/>
      <c r="F898" s="493"/>
      <c r="G898" s="476"/>
      <c r="H898" s="491"/>
      <c r="I898" s="491"/>
      <c r="J898" s="491"/>
      <c r="K898" s="476"/>
      <c r="L898" s="476"/>
      <c r="M898" s="476"/>
      <c r="N898" s="476"/>
      <c r="O898" s="476"/>
      <c r="P898" s="476"/>
      <c r="Q898" s="476"/>
      <c r="R898" s="476"/>
      <c r="S898" s="476"/>
      <c r="T898" s="476"/>
      <c r="U898" s="476"/>
      <c r="V898" s="476"/>
      <c r="W898" s="476"/>
    </row>
    <row r="899" spans="1:23" ht="12.75">
      <c r="A899" s="475"/>
      <c r="B899" s="476"/>
      <c r="C899" s="476"/>
      <c r="D899" s="476"/>
      <c r="E899" s="476"/>
      <c r="F899" s="493"/>
      <c r="G899" s="476"/>
      <c r="H899" s="491"/>
      <c r="I899" s="491"/>
      <c r="J899" s="491"/>
      <c r="K899" s="476"/>
      <c r="L899" s="476"/>
      <c r="M899" s="476"/>
      <c r="N899" s="476"/>
      <c r="O899" s="476"/>
      <c r="P899" s="476"/>
      <c r="Q899" s="476"/>
      <c r="R899" s="476"/>
      <c r="S899" s="476"/>
      <c r="T899" s="476"/>
      <c r="U899" s="476"/>
      <c r="V899" s="476"/>
      <c r="W899" s="476"/>
    </row>
    <row r="900" spans="1:23" ht="12.75">
      <c r="A900" s="475"/>
      <c r="B900" s="476"/>
      <c r="C900" s="476"/>
      <c r="D900" s="476"/>
      <c r="E900" s="476"/>
      <c r="F900" s="493"/>
      <c r="G900" s="476"/>
      <c r="H900" s="491"/>
      <c r="I900" s="491"/>
      <c r="J900" s="491"/>
      <c r="K900" s="476"/>
      <c r="L900" s="476"/>
      <c r="M900" s="476"/>
      <c r="N900" s="476"/>
      <c r="O900" s="476"/>
      <c r="P900" s="476"/>
      <c r="Q900" s="476"/>
      <c r="R900" s="476"/>
      <c r="S900" s="476"/>
      <c r="T900" s="476"/>
      <c r="U900" s="476"/>
      <c r="V900" s="476"/>
      <c r="W900" s="476"/>
    </row>
    <row r="901" spans="1:23" ht="12.75">
      <c r="A901" s="475"/>
      <c r="B901" s="476"/>
      <c r="C901" s="476"/>
      <c r="D901" s="476"/>
      <c r="E901" s="476"/>
      <c r="F901" s="493"/>
      <c r="G901" s="476"/>
      <c r="H901" s="491"/>
      <c r="I901" s="491"/>
      <c r="J901" s="491"/>
      <c r="K901" s="476"/>
      <c r="L901" s="476"/>
      <c r="M901" s="476"/>
      <c r="N901" s="476"/>
      <c r="O901" s="476"/>
      <c r="P901" s="476"/>
      <c r="Q901" s="476"/>
      <c r="R901" s="476"/>
      <c r="S901" s="476"/>
      <c r="T901" s="476"/>
      <c r="U901" s="476"/>
      <c r="V901" s="476"/>
      <c r="W901" s="476"/>
    </row>
    <row r="902" spans="1:23" ht="12.75">
      <c r="A902" s="475"/>
      <c r="B902" s="476"/>
      <c r="C902" s="476"/>
      <c r="D902" s="476"/>
      <c r="E902" s="476"/>
      <c r="F902" s="493"/>
      <c r="G902" s="476"/>
      <c r="H902" s="491"/>
      <c r="I902" s="491"/>
      <c r="J902" s="491"/>
      <c r="K902" s="476"/>
      <c r="L902" s="476"/>
      <c r="M902" s="476"/>
      <c r="N902" s="476"/>
      <c r="O902" s="476"/>
      <c r="P902" s="476"/>
      <c r="Q902" s="476"/>
      <c r="R902" s="476"/>
      <c r="S902" s="476"/>
      <c r="T902" s="476"/>
      <c r="U902" s="476"/>
      <c r="V902" s="476"/>
      <c r="W902" s="476"/>
    </row>
    <row r="903" spans="1:23" ht="12.75">
      <c r="A903" s="475"/>
      <c r="B903" s="476"/>
      <c r="C903" s="476"/>
      <c r="D903" s="476"/>
      <c r="E903" s="476"/>
      <c r="F903" s="493"/>
      <c r="G903" s="476"/>
      <c r="H903" s="491"/>
      <c r="I903" s="491"/>
      <c r="J903" s="491"/>
      <c r="K903" s="476"/>
      <c r="L903" s="476"/>
      <c r="M903" s="476"/>
      <c r="N903" s="476"/>
      <c r="O903" s="476"/>
      <c r="P903" s="476"/>
      <c r="Q903" s="476"/>
      <c r="R903" s="476"/>
      <c r="S903" s="476"/>
      <c r="T903" s="476"/>
      <c r="U903" s="476"/>
      <c r="V903" s="476"/>
      <c r="W903" s="476"/>
    </row>
    <row r="904" spans="1:23" ht="12.75">
      <c r="A904" s="475"/>
      <c r="B904" s="476"/>
      <c r="C904" s="476"/>
      <c r="D904" s="476"/>
      <c r="E904" s="476"/>
      <c r="F904" s="493"/>
      <c r="G904" s="476"/>
      <c r="H904" s="491"/>
      <c r="I904" s="491"/>
      <c r="J904" s="491"/>
      <c r="K904" s="476"/>
      <c r="L904" s="476"/>
      <c r="M904" s="476"/>
      <c r="N904" s="476"/>
      <c r="O904" s="476"/>
      <c r="P904" s="476"/>
      <c r="Q904" s="476"/>
      <c r="R904" s="476"/>
      <c r="S904" s="476"/>
      <c r="T904" s="476"/>
      <c r="U904" s="476"/>
      <c r="V904" s="476"/>
      <c r="W904" s="476"/>
    </row>
    <row r="905" spans="1:23" ht="12.75">
      <c r="A905" s="475"/>
      <c r="B905" s="476"/>
      <c r="C905" s="476"/>
      <c r="D905" s="476"/>
      <c r="E905" s="476"/>
      <c r="F905" s="493"/>
      <c r="G905" s="476"/>
      <c r="H905" s="491"/>
      <c r="I905" s="491"/>
      <c r="J905" s="491"/>
      <c r="K905" s="476"/>
      <c r="L905" s="476"/>
      <c r="M905" s="476"/>
      <c r="N905" s="476"/>
      <c r="O905" s="476"/>
      <c r="P905" s="476"/>
      <c r="Q905" s="476"/>
      <c r="R905" s="476"/>
      <c r="S905" s="476"/>
      <c r="T905" s="476"/>
      <c r="U905" s="476"/>
      <c r="V905" s="476"/>
      <c r="W905" s="476"/>
    </row>
    <row r="906" spans="1:23" ht="12.75">
      <c r="A906" s="475"/>
      <c r="B906" s="476"/>
      <c r="C906" s="476"/>
      <c r="D906" s="476"/>
      <c r="E906" s="476"/>
      <c r="F906" s="493"/>
      <c r="G906" s="476"/>
      <c r="H906" s="491"/>
      <c r="I906" s="491"/>
      <c r="J906" s="491"/>
      <c r="K906" s="476"/>
      <c r="L906" s="476"/>
      <c r="M906" s="476"/>
      <c r="N906" s="476"/>
      <c r="O906" s="476"/>
      <c r="P906" s="476"/>
      <c r="Q906" s="476"/>
      <c r="R906" s="476"/>
      <c r="S906" s="476"/>
      <c r="T906" s="476"/>
      <c r="U906" s="476"/>
      <c r="V906" s="476"/>
      <c r="W906" s="476"/>
    </row>
    <row r="907" spans="1:23" ht="12.75">
      <c r="A907" s="475"/>
      <c r="B907" s="476"/>
      <c r="C907" s="476"/>
      <c r="D907" s="476"/>
      <c r="E907" s="476"/>
      <c r="F907" s="493"/>
      <c r="G907" s="476"/>
      <c r="H907" s="491"/>
      <c r="I907" s="491"/>
      <c r="J907" s="491"/>
      <c r="K907" s="476"/>
      <c r="L907" s="476"/>
      <c r="M907" s="476"/>
      <c r="N907" s="476"/>
      <c r="O907" s="476"/>
      <c r="P907" s="476"/>
      <c r="Q907" s="476"/>
      <c r="R907" s="476"/>
      <c r="S907" s="476"/>
      <c r="T907" s="476"/>
      <c r="U907" s="476"/>
      <c r="V907" s="476"/>
      <c r="W907" s="476"/>
    </row>
    <row r="908" spans="1:23" ht="12.75">
      <c r="A908" s="475"/>
      <c r="B908" s="476"/>
      <c r="C908" s="476"/>
      <c r="D908" s="476"/>
      <c r="E908" s="476"/>
      <c r="F908" s="493"/>
      <c r="G908" s="476"/>
      <c r="H908" s="491"/>
      <c r="I908" s="491"/>
      <c r="J908" s="491"/>
      <c r="K908" s="476"/>
      <c r="L908" s="476"/>
      <c r="M908" s="476"/>
      <c r="N908" s="476"/>
      <c r="O908" s="476"/>
      <c r="P908" s="476"/>
      <c r="Q908" s="476"/>
      <c r="R908" s="476"/>
      <c r="S908" s="476"/>
      <c r="T908" s="476"/>
      <c r="U908" s="476"/>
      <c r="V908" s="476"/>
      <c r="W908" s="476"/>
    </row>
    <row r="909" spans="1:23" ht="12.75">
      <c r="A909" s="475"/>
      <c r="B909" s="476"/>
      <c r="C909" s="476"/>
      <c r="D909" s="476"/>
      <c r="E909" s="476"/>
      <c r="F909" s="493"/>
      <c r="G909" s="476"/>
      <c r="H909" s="491"/>
      <c r="I909" s="491"/>
      <c r="J909" s="491"/>
      <c r="K909" s="476"/>
      <c r="L909" s="476"/>
      <c r="M909" s="476"/>
      <c r="N909" s="476"/>
      <c r="O909" s="476"/>
      <c r="P909" s="476"/>
      <c r="Q909" s="476"/>
      <c r="R909" s="476"/>
      <c r="S909" s="476"/>
      <c r="T909" s="476"/>
      <c r="U909" s="476"/>
      <c r="V909" s="476"/>
      <c r="W909" s="476"/>
    </row>
    <row r="910" spans="1:23" ht="12.75">
      <c r="A910" s="475"/>
      <c r="B910" s="476"/>
      <c r="C910" s="476"/>
      <c r="D910" s="476"/>
      <c r="E910" s="476"/>
      <c r="F910" s="493"/>
      <c r="G910" s="476"/>
      <c r="H910" s="491"/>
      <c r="I910" s="491"/>
      <c r="J910" s="491"/>
      <c r="K910" s="476"/>
      <c r="L910" s="476"/>
      <c r="M910" s="476"/>
      <c r="N910" s="476"/>
      <c r="O910" s="476"/>
      <c r="P910" s="476"/>
      <c r="Q910" s="476"/>
      <c r="R910" s="476"/>
      <c r="S910" s="476"/>
      <c r="T910" s="476"/>
      <c r="U910" s="476"/>
      <c r="V910" s="476"/>
      <c r="W910" s="476"/>
    </row>
    <row r="911" spans="1:23" ht="12.75">
      <c r="A911" s="475"/>
      <c r="B911" s="476"/>
      <c r="C911" s="476"/>
      <c r="D911" s="476"/>
      <c r="E911" s="476"/>
      <c r="F911" s="493"/>
      <c r="G911" s="476"/>
      <c r="H911" s="491"/>
      <c r="I911" s="491"/>
      <c r="J911" s="491"/>
      <c r="K911" s="476"/>
      <c r="L911" s="476"/>
      <c r="M911" s="476"/>
      <c r="N911" s="476"/>
      <c r="O911" s="476"/>
      <c r="P911" s="476"/>
      <c r="Q911" s="476"/>
      <c r="R911" s="476"/>
      <c r="S911" s="476"/>
      <c r="T911" s="476"/>
      <c r="U911" s="476"/>
      <c r="V911" s="476"/>
      <c r="W911" s="476"/>
    </row>
    <row r="912" spans="1:23" ht="12.75">
      <c r="A912" s="475"/>
      <c r="B912" s="476"/>
      <c r="C912" s="476"/>
      <c r="D912" s="476"/>
      <c r="E912" s="476"/>
      <c r="F912" s="493"/>
      <c r="G912" s="476"/>
      <c r="H912" s="491"/>
      <c r="I912" s="491"/>
      <c r="J912" s="491"/>
      <c r="K912" s="476"/>
      <c r="L912" s="476"/>
      <c r="M912" s="476"/>
      <c r="N912" s="476"/>
      <c r="O912" s="476"/>
      <c r="P912" s="476"/>
      <c r="Q912" s="476"/>
      <c r="R912" s="476"/>
      <c r="S912" s="476"/>
      <c r="T912" s="476"/>
      <c r="U912" s="476"/>
      <c r="V912" s="476"/>
      <c r="W912" s="476"/>
    </row>
    <row r="913" spans="1:23" ht="12.75">
      <c r="A913" s="475"/>
      <c r="B913" s="476"/>
      <c r="C913" s="476"/>
      <c r="D913" s="476"/>
      <c r="E913" s="476"/>
      <c r="F913" s="493"/>
      <c r="G913" s="476"/>
      <c r="H913" s="491"/>
      <c r="I913" s="491"/>
      <c r="J913" s="491"/>
      <c r="K913" s="476"/>
      <c r="L913" s="476"/>
      <c r="M913" s="476"/>
      <c r="N913" s="476"/>
      <c r="O913" s="476"/>
      <c r="P913" s="476"/>
      <c r="Q913" s="476"/>
      <c r="R913" s="476"/>
      <c r="S913" s="476"/>
      <c r="T913" s="476"/>
      <c r="U913" s="476"/>
      <c r="V913" s="476"/>
      <c r="W913" s="476"/>
    </row>
    <row r="914" spans="1:23" ht="12.75">
      <c r="A914" s="475"/>
      <c r="B914" s="476"/>
      <c r="C914" s="476"/>
      <c r="D914" s="476"/>
      <c r="E914" s="476"/>
      <c r="F914" s="493"/>
      <c r="G914" s="476"/>
      <c r="H914" s="491"/>
      <c r="I914" s="491"/>
      <c r="J914" s="491"/>
      <c r="K914" s="476"/>
      <c r="L914" s="476"/>
      <c r="M914" s="476"/>
      <c r="N914" s="476"/>
      <c r="O914" s="476"/>
      <c r="P914" s="476"/>
      <c r="Q914" s="476"/>
      <c r="R914" s="476"/>
      <c r="S914" s="476"/>
      <c r="T914" s="476"/>
      <c r="U914" s="476"/>
      <c r="V914" s="476"/>
      <c r="W914" s="476"/>
    </row>
    <row r="915" spans="1:23" ht="12.75">
      <c r="A915" s="475"/>
      <c r="B915" s="476"/>
      <c r="C915" s="476"/>
      <c r="D915" s="476"/>
      <c r="E915" s="476"/>
      <c r="F915" s="493"/>
      <c r="G915" s="476"/>
      <c r="H915" s="491"/>
      <c r="I915" s="491"/>
      <c r="J915" s="491"/>
      <c r="K915" s="476"/>
      <c r="L915" s="476"/>
      <c r="M915" s="476"/>
      <c r="N915" s="476"/>
      <c r="O915" s="476"/>
      <c r="P915" s="476"/>
      <c r="Q915" s="476"/>
      <c r="R915" s="476"/>
      <c r="S915" s="476"/>
      <c r="T915" s="476"/>
      <c r="U915" s="476"/>
      <c r="V915" s="476"/>
      <c r="W915" s="476"/>
    </row>
    <row r="916" spans="1:23" ht="12.75">
      <c r="A916" s="475"/>
      <c r="B916" s="476"/>
      <c r="C916" s="476"/>
      <c r="D916" s="476"/>
      <c r="E916" s="476"/>
      <c r="F916" s="493"/>
      <c r="G916" s="476"/>
      <c r="H916" s="491"/>
      <c r="I916" s="491"/>
      <c r="J916" s="491"/>
      <c r="K916" s="476"/>
      <c r="L916" s="476"/>
      <c r="M916" s="476"/>
      <c r="N916" s="476"/>
      <c r="O916" s="476"/>
      <c r="P916" s="476"/>
      <c r="Q916" s="476"/>
      <c r="R916" s="476"/>
      <c r="S916" s="476"/>
      <c r="T916" s="476"/>
      <c r="U916" s="476"/>
      <c r="V916" s="476"/>
      <c r="W916" s="476"/>
    </row>
    <row r="917" spans="1:23" ht="12.75">
      <c r="A917" s="475"/>
      <c r="B917" s="476"/>
      <c r="C917" s="476"/>
      <c r="D917" s="476"/>
      <c r="E917" s="476"/>
      <c r="F917" s="493"/>
      <c r="G917" s="476"/>
      <c r="H917" s="491"/>
      <c r="I917" s="491"/>
      <c r="J917" s="491"/>
      <c r="K917" s="476"/>
      <c r="L917" s="476"/>
      <c r="M917" s="476"/>
      <c r="N917" s="476"/>
      <c r="O917" s="476"/>
      <c r="P917" s="476"/>
      <c r="Q917" s="476"/>
      <c r="R917" s="476"/>
      <c r="S917" s="476"/>
      <c r="T917" s="476"/>
      <c r="U917" s="476"/>
      <c r="V917" s="476"/>
      <c r="W917" s="476"/>
    </row>
    <row r="918" spans="1:23" ht="12.75">
      <c r="A918" s="475"/>
      <c r="B918" s="476"/>
      <c r="C918" s="476"/>
      <c r="D918" s="476"/>
      <c r="E918" s="476"/>
      <c r="F918" s="493"/>
      <c r="G918" s="476"/>
      <c r="H918" s="491"/>
      <c r="I918" s="491"/>
      <c r="J918" s="491"/>
      <c r="K918" s="476"/>
      <c r="L918" s="476"/>
      <c r="M918" s="476"/>
      <c r="N918" s="476"/>
      <c r="O918" s="476"/>
      <c r="P918" s="476"/>
      <c r="Q918" s="476"/>
      <c r="R918" s="476"/>
      <c r="S918" s="476"/>
      <c r="T918" s="476"/>
      <c r="U918" s="476"/>
      <c r="V918" s="476"/>
      <c r="W918" s="476"/>
    </row>
    <row r="919" spans="1:23" ht="12.75">
      <c r="A919" s="475"/>
      <c r="B919" s="476"/>
      <c r="C919" s="476"/>
      <c r="D919" s="476"/>
      <c r="E919" s="476"/>
      <c r="F919" s="493"/>
      <c r="G919" s="476"/>
      <c r="H919" s="491"/>
      <c r="I919" s="491"/>
      <c r="J919" s="491"/>
      <c r="K919" s="476"/>
      <c r="L919" s="476"/>
      <c r="M919" s="476"/>
      <c r="N919" s="476"/>
      <c r="O919" s="476"/>
      <c r="P919" s="476"/>
      <c r="Q919" s="476"/>
      <c r="R919" s="476"/>
      <c r="S919" s="476"/>
      <c r="T919" s="476"/>
      <c r="U919" s="476"/>
      <c r="V919" s="476"/>
      <c r="W919" s="476"/>
    </row>
    <row r="920" spans="1:23" ht="12.75">
      <c r="A920" s="475"/>
      <c r="B920" s="476"/>
      <c r="C920" s="476"/>
      <c r="D920" s="476"/>
      <c r="E920" s="476"/>
      <c r="F920" s="493"/>
      <c r="G920" s="476"/>
      <c r="H920" s="491"/>
      <c r="I920" s="491"/>
      <c r="J920" s="491"/>
      <c r="K920" s="476"/>
      <c r="L920" s="476"/>
      <c r="M920" s="476"/>
      <c r="N920" s="476"/>
      <c r="O920" s="476"/>
      <c r="P920" s="476"/>
      <c r="Q920" s="476"/>
      <c r="R920" s="476"/>
      <c r="S920" s="476"/>
      <c r="T920" s="476"/>
      <c r="U920" s="476"/>
      <c r="V920" s="476"/>
      <c r="W920" s="476"/>
    </row>
    <row r="921" spans="1:23" ht="12.75">
      <c r="A921" s="475"/>
      <c r="B921" s="476"/>
      <c r="C921" s="476"/>
      <c r="D921" s="476"/>
      <c r="E921" s="476"/>
      <c r="F921" s="493"/>
      <c r="G921" s="476"/>
      <c r="H921" s="491"/>
      <c r="I921" s="491"/>
      <c r="J921" s="491"/>
      <c r="K921" s="476"/>
      <c r="L921" s="476"/>
      <c r="M921" s="476"/>
      <c r="N921" s="476"/>
      <c r="O921" s="476"/>
      <c r="P921" s="476"/>
      <c r="Q921" s="476"/>
      <c r="R921" s="476"/>
      <c r="S921" s="476"/>
      <c r="T921" s="476"/>
      <c r="U921" s="476"/>
      <c r="V921" s="476"/>
      <c r="W921" s="476"/>
    </row>
    <row r="922" spans="1:23" ht="12.75">
      <c r="A922" s="475"/>
      <c r="B922" s="476"/>
      <c r="C922" s="476"/>
      <c r="D922" s="476"/>
      <c r="E922" s="476"/>
      <c r="F922" s="493"/>
      <c r="G922" s="476"/>
      <c r="H922" s="491"/>
      <c r="I922" s="491"/>
      <c r="J922" s="491"/>
      <c r="K922" s="476"/>
      <c r="L922" s="476"/>
      <c r="M922" s="476"/>
      <c r="N922" s="476"/>
      <c r="O922" s="476"/>
      <c r="P922" s="476"/>
      <c r="Q922" s="476"/>
      <c r="R922" s="476"/>
      <c r="S922" s="476"/>
      <c r="T922" s="476"/>
      <c r="U922" s="476"/>
      <c r="V922" s="476"/>
      <c r="W922" s="476"/>
    </row>
    <row r="923" spans="1:23" ht="12.75">
      <c r="A923" s="475"/>
      <c r="B923" s="476"/>
      <c r="C923" s="476"/>
      <c r="D923" s="476"/>
      <c r="E923" s="476"/>
      <c r="F923" s="493"/>
      <c r="G923" s="476"/>
      <c r="H923" s="491"/>
      <c r="I923" s="491"/>
      <c r="J923" s="491"/>
      <c r="K923" s="476"/>
      <c r="L923" s="476"/>
      <c r="M923" s="476"/>
      <c r="N923" s="476"/>
      <c r="O923" s="476"/>
      <c r="P923" s="476"/>
      <c r="Q923" s="476"/>
      <c r="R923" s="476"/>
      <c r="S923" s="476"/>
      <c r="T923" s="476"/>
      <c r="U923" s="476"/>
      <c r="V923" s="476"/>
      <c r="W923" s="476"/>
    </row>
    <row r="924" spans="1:23" ht="12.75">
      <c r="A924" s="475"/>
      <c r="B924" s="476"/>
      <c r="C924" s="476"/>
      <c r="D924" s="476"/>
      <c r="E924" s="476"/>
      <c r="F924" s="493"/>
      <c r="G924" s="476"/>
      <c r="H924" s="491"/>
      <c r="I924" s="491"/>
      <c r="J924" s="491"/>
      <c r="K924" s="476"/>
      <c r="L924" s="476"/>
      <c r="M924" s="476"/>
      <c r="N924" s="476"/>
      <c r="O924" s="476"/>
      <c r="P924" s="476"/>
      <c r="Q924" s="476"/>
      <c r="R924" s="476"/>
      <c r="S924" s="476"/>
      <c r="T924" s="476"/>
      <c r="U924" s="476"/>
      <c r="V924" s="476"/>
      <c r="W924" s="476"/>
    </row>
    <row r="925" spans="1:23" ht="12.75">
      <c r="A925" s="475"/>
      <c r="B925" s="476"/>
      <c r="C925" s="476"/>
      <c r="D925" s="476"/>
      <c r="E925" s="476"/>
      <c r="F925" s="493"/>
      <c r="G925" s="476"/>
      <c r="H925" s="491"/>
      <c r="I925" s="491"/>
      <c r="J925" s="491"/>
      <c r="K925" s="476"/>
      <c r="L925" s="476"/>
      <c r="M925" s="476"/>
      <c r="N925" s="476"/>
      <c r="O925" s="476"/>
      <c r="P925" s="476"/>
      <c r="Q925" s="476"/>
      <c r="R925" s="476"/>
      <c r="S925" s="476"/>
      <c r="T925" s="476"/>
      <c r="U925" s="476"/>
      <c r="V925" s="476"/>
      <c r="W925" s="476"/>
    </row>
    <row r="926" spans="1:23" ht="12.75">
      <c r="A926" s="475"/>
      <c r="B926" s="476"/>
      <c r="C926" s="476"/>
      <c r="D926" s="476"/>
      <c r="E926" s="476"/>
      <c r="F926" s="493"/>
      <c r="G926" s="476"/>
      <c r="H926" s="491"/>
      <c r="I926" s="491"/>
      <c r="J926" s="491"/>
      <c r="K926" s="476"/>
      <c r="L926" s="476"/>
      <c r="M926" s="476"/>
      <c r="N926" s="476"/>
      <c r="O926" s="476"/>
      <c r="P926" s="476"/>
      <c r="Q926" s="476"/>
      <c r="R926" s="476"/>
      <c r="S926" s="476"/>
      <c r="T926" s="476"/>
      <c r="U926" s="476"/>
      <c r="V926" s="476"/>
      <c r="W926" s="476"/>
    </row>
    <row r="927" spans="1:23" ht="12.75">
      <c r="A927" s="475"/>
      <c r="B927" s="476"/>
      <c r="C927" s="476"/>
      <c r="D927" s="476"/>
      <c r="E927" s="476"/>
      <c r="F927" s="493"/>
      <c r="G927" s="476"/>
      <c r="H927" s="491"/>
      <c r="I927" s="491"/>
      <c r="J927" s="491"/>
      <c r="K927" s="476"/>
      <c r="L927" s="476"/>
      <c r="M927" s="476"/>
      <c r="N927" s="476"/>
      <c r="O927" s="476"/>
      <c r="P927" s="476"/>
      <c r="Q927" s="476"/>
      <c r="R927" s="476"/>
      <c r="S927" s="476"/>
      <c r="T927" s="476"/>
      <c r="U927" s="476"/>
      <c r="V927" s="476"/>
      <c r="W927" s="476"/>
    </row>
    <row r="928" spans="1:23" ht="12.75">
      <c r="A928" s="475"/>
      <c r="B928" s="476"/>
      <c r="C928" s="476"/>
      <c r="D928" s="476"/>
      <c r="E928" s="476"/>
      <c r="F928" s="493"/>
      <c r="G928" s="476"/>
      <c r="H928" s="491"/>
      <c r="I928" s="491"/>
      <c r="J928" s="491"/>
      <c r="K928" s="476"/>
      <c r="L928" s="476"/>
      <c r="M928" s="476"/>
      <c r="N928" s="476"/>
      <c r="O928" s="476"/>
      <c r="P928" s="476"/>
      <c r="Q928" s="476"/>
      <c r="R928" s="476"/>
      <c r="S928" s="476"/>
      <c r="T928" s="476"/>
      <c r="U928" s="476"/>
      <c r="V928" s="476"/>
      <c r="W928" s="476"/>
    </row>
    <row r="929" spans="1:23" ht="12.75">
      <c r="A929" s="475"/>
      <c r="B929" s="476"/>
      <c r="C929" s="476"/>
      <c r="D929" s="476"/>
      <c r="E929" s="476"/>
      <c r="F929" s="493"/>
      <c r="G929" s="476"/>
      <c r="H929" s="491"/>
      <c r="I929" s="491"/>
      <c r="J929" s="491"/>
      <c r="K929" s="476"/>
      <c r="L929" s="476"/>
      <c r="M929" s="476"/>
      <c r="N929" s="476"/>
      <c r="O929" s="476"/>
      <c r="P929" s="476"/>
      <c r="Q929" s="476"/>
      <c r="R929" s="476"/>
      <c r="S929" s="476"/>
      <c r="T929" s="476"/>
      <c r="U929" s="476"/>
      <c r="V929" s="476"/>
      <c r="W929" s="476"/>
    </row>
    <row r="930" spans="1:23" ht="12.75">
      <c r="A930" s="475"/>
      <c r="B930" s="476"/>
      <c r="C930" s="476"/>
      <c r="D930" s="476"/>
      <c r="E930" s="476"/>
      <c r="F930" s="493"/>
      <c r="G930" s="476"/>
      <c r="H930" s="491"/>
      <c r="I930" s="491"/>
      <c r="J930" s="491"/>
      <c r="K930" s="476"/>
      <c r="L930" s="476"/>
      <c r="M930" s="476"/>
      <c r="N930" s="476"/>
      <c r="O930" s="476"/>
      <c r="P930" s="476"/>
      <c r="Q930" s="476"/>
      <c r="R930" s="476"/>
      <c r="S930" s="476"/>
      <c r="T930" s="476"/>
      <c r="U930" s="476"/>
      <c r="V930" s="476"/>
      <c r="W930" s="476"/>
    </row>
    <row r="931" spans="1:23" ht="12.75">
      <c r="A931" s="475"/>
      <c r="B931" s="476"/>
      <c r="C931" s="476"/>
      <c r="D931" s="476"/>
      <c r="E931" s="476"/>
      <c r="F931" s="493"/>
      <c r="G931" s="476"/>
      <c r="H931" s="491"/>
      <c r="I931" s="491"/>
      <c r="J931" s="491"/>
      <c r="K931" s="476"/>
      <c r="L931" s="476"/>
      <c r="M931" s="476"/>
      <c r="N931" s="476"/>
      <c r="O931" s="476"/>
      <c r="P931" s="476"/>
      <c r="Q931" s="476"/>
      <c r="R931" s="476"/>
      <c r="S931" s="476"/>
      <c r="T931" s="476"/>
      <c r="U931" s="476"/>
      <c r="V931" s="476"/>
      <c r="W931" s="476"/>
    </row>
    <row r="932" spans="1:23" ht="12.75">
      <c r="A932" s="475"/>
      <c r="B932" s="476"/>
      <c r="C932" s="476"/>
      <c r="D932" s="476"/>
      <c r="E932" s="476"/>
      <c r="F932" s="493"/>
      <c r="G932" s="476"/>
      <c r="H932" s="491"/>
      <c r="I932" s="491"/>
      <c r="J932" s="491"/>
      <c r="K932" s="476"/>
      <c r="L932" s="476"/>
      <c r="M932" s="476"/>
      <c r="N932" s="476"/>
      <c r="O932" s="476"/>
      <c r="P932" s="476"/>
      <c r="Q932" s="476"/>
      <c r="R932" s="476"/>
      <c r="S932" s="476"/>
      <c r="T932" s="476"/>
      <c r="U932" s="476"/>
      <c r="V932" s="476"/>
      <c r="W932" s="476"/>
    </row>
    <row r="933" spans="1:23" ht="12.75">
      <c r="A933" s="475"/>
      <c r="B933" s="476"/>
      <c r="C933" s="476"/>
      <c r="D933" s="476"/>
      <c r="E933" s="476"/>
      <c r="F933" s="493"/>
      <c r="G933" s="476"/>
      <c r="H933" s="491"/>
      <c r="I933" s="491"/>
      <c r="J933" s="491"/>
      <c r="K933" s="476"/>
      <c r="L933" s="476"/>
      <c r="M933" s="476"/>
      <c r="N933" s="476"/>
      <c r="O933" s="476"/>
      <c r="P933" s="476"/>
      <c r="Q933" s="476"/>
      <c r="R933" s="476"/>
      <c r="S933" s="476"/>
      <c r="T933" s="476"/>
      <c r="U933" s="476"/>
      <c r="V933" s="476"/>
      <c r="W933" s="476"/>
    </row>
    <row r="934" spans="1:23" ht="12.75">
      <c r="A934" s="475"/>
      <c r="B934" s="476"/>
      <c r="C934" s="476"/>
      <c r="D934" s="476"/>
      <c r="E934" s="476"/>
      <c r="F934" s="493"/>
      <c r="G934" s="476"/>
      <c r="H934" s="491"/>
      <c r="I934" s="491"/>
      <c r="J934" s="491"/>
      <c r="K934" s="476"/>
      <c r="L934" s="476"/>
      <c r="M934" s="476"/>
      <c r="N934" s="476"/>
      <c r="O934" s="476"/>
      <c r="P934" s="476"/>
      <c r="Q934" s="476"/>
      <c r="R934" s="476"/>
      <c r="S934" s="476"/>
      <c r="T934" s="476"/>
      <c r="U934" s="476"/>
      <c r="V934" s="476"/>
      <c r="W934" s="476"/>
    </row>
    <row r="935" spans="1:23" ht="12.75">
      <c r="A935" s="475"/>
      <c r="B935" s="476"/>
      <c r="C935" s="476"/>
      <c r="D935" s="476"/>
      <c r="E935" s="476"/>
      <c r="F935" s="493"/>
      <c r="G935" s="476"/>
      <c r="H935" s="491"/>
      <c r="I935" s="491"/>
      <c r="J935" s="491"/>
      <c r="K935" s="476"/>
      <c r="L935" s="476"/>
      <c r="M935" s="476"/>
      <c r="N935" s="476"/>
      <c r="O935" s="476"/>
      <c r="P935" s="476"/>
      <c r="Q935" s="476"/>
      <c r="R935" s="476"/>
      <c r="S935" s="476"/>
      <c r="T935" s="476"/>
      <c r="U935" s="476"/>
      <c r="V935" s="476"/>
      <c r="W935" s="476"/>
    </row>
    <row r="936" spans="1:23" ht="12.75">
      <c r="A936" s="475"/>
      <c r="B936" s="476"/>
      <c r="C936" s="476"/>
      <c r="D936" s="476"/>
      <c r="E936" s="476"/>
      <c r="F936" s="493"/>
      <c r="G936" s="476"/>
      <c r="H936" s="491"/>
      <c r="I936" s="491"/>
      <c r="J936" s="491"/>
      <c r="K936" s="476"/>
      <c r="L936" s="476"/>
      <c r="M936" s="476"/>
      <c r="N936" s="476"/>
      <c r="O936" s="476"/>
      <c r="P936" s="476"/>
      <c r="Q936" s="476"/>
      <c r="R936" s="476"/>
      <c r="S936" s="476"/>
      <c r="T936" s="476"/>
      <c r="U936" s="476"/>
      <c r="V936" s="476"/>
      <c r="W936" s="476"/>
    </row>
    <row r="937" spans="1:23" ht="12.75">
      <c r="A937" s="475"/>
      <c r="B937" s="476"/>
      <c r="C937" s="476"/>
      <c r="D937" s="476"/>
      <c r="E937" s="476"/>
      <c r="F937" s="493"/>
      <c r="G937" s="476"/>
      <c r="H937" s="491"/>
      <c r="I937" s="491"/>
      <c r="J937" s="491"/>
      <c r="K937" s="476"/>
      <c r="L937" s="476"/>
      <c r="M937" s="476"/>
      <c r="N937" s="476"/>
      <c r="O937" s="476"/>
      <c r="P937" s="476"/>
      <c r="Q937" s="476"/>
      <c r="R937" s="476"/>
      <c r="S937" s="476"/>
      <c r="T937" s="476"/>
      <c r="U937" s="476"/>
      <c r="V937" s="476"/>
      <c r="W937" s="476"/>
    </row>
    <row r="938" spans="1:23" ht="12.75">
      <c r="A938" s="475"/>
      <c r="B938" s="476"/>
      <c r="C938" s="476"/>
      <c r="D938" s="476"/>
      <c r="E938" s="476"/>
      <c r="F938" s="493"/>
      <c r="G938" s="476"/>
      <c r="H938" s="491"/>
      <c r="I938" s="491"/>
      <c r="J938" s="491"/>
      <c r="K938" s="476"/>
      <c r="L938" s="476"/>
      <c r="M938" s="476"/>
      <c r="N938" s="476"/>
      <c r="O938" s="476"/>
      <c r="P938" s="476"/>
      <c r="Q938" s="476"/>
      <c r="R938" s="476"/>
      <c r="S938" s="476"/>
      <c r="T938" s="476"/>
      <c r="U938" s="476"/>
      <c r="V938" s="476"/>
      <c r="W938" s="476"/>
    </row>
    <row r="939" spans="1:23" ht="12.75">
      <c r="A939" s="475"/>
      <c r="B939" s="476"/>
      <c r="C939" s="476"/>
      <c r="D939" s="476"/>
      <c r="E939" s="476"/>
      <c r="F939" s="493"/>
      <c r="G939" s="476"/>
      <c r="H939" s="491"/>
      <c r="I939" s="491"/>
      <c r="J939" s="491"/>
      <c r="K939" s="476"/>
      <c r="L939" s="476"/>
      <c r="M939" s="476"/>
      <c r="N939" s="476"/>
      <c r="O939" s="476"/>
      <c r="P939" s="476"/>
      <c r="Q939" s="476"/>
      <c r="R939" s="476"/>
      <c r="S939" s="476"/>
      <c r="T939" s="476"/>
      <c r="U939" s="476"/>
      <c r="V939" s="476"/>
      <c r="W939" s="476"/>
    </row>
    <row r="940" spans="1:23" ht="12.75">
      <c r="A940" s="475"/>
      <c r="B940" s="476"/>
      <c r="C940" s="476"/>
      <c r="D940" s="476"/>
      <c r="E940" s="476"/>
      <c r="F940" s="493"/>
      <c r="G940" s="476"/>
      <c r="H940" s="491"/>
      <c r="I940" s="491"/>
      <c r="J940" s="491"/>
      <c r="K940" s="476"/>
      <c r="L940" s="476"/>
      <c r="M940" s="476"/>
      <c r="N940" s="476"/>
      <c r="O940" s="476"/>
      <c r="P940" s="476"/>
      <c r="Q940" s="476"/>
      <c r="R940" s="476"/>
      <c r="S940" s="476"/>
      <c r="T940" s="476"/>
      <c r="U940" s="476"/>
      <c r="V940" s="476"/>
      <c r="W940" s="476"/>
    </row>
    <row r="941" spans="1:23" ht="12.75">
      <c r="A941" s="475"/>
      <c r="B941" s="476"/>
      <c r="C941" s="476"/>
      <c r="D941" s="476"/>
      <c r="E941" s="476"/>
      <c r="F941" s="493"/>
      <c r="G941" s="476"/>
      <c r="H941" s="491"/>
      <c r="I941" s="491"/>
      <c r="J941" s="491"/>
      <c r="K941" s="476"/>
      <c r="L941" s="476"/>
      <c r="M941" s="476"/>
      <c r="N941" s="476"/>
      <c r="O941" s="476"/>
      <c r="P941" s="476"/>
      <c r="Q941" s="476"/>
      <c r="R941" s="476"/>
      <c r="S941" s="476"/>
      <c r="T941" s="476"/>
      <c r="U941" s="476"/>
      <c r="V941" s="476"/>
      <c r="W941" s="476"/>
    </row>
    <row r="942" spans="1:23" ht="12.75">
      <c r="A942" s="475"/>
      <c r="B942" s="476"/>
      <c r="C942" s="476"/>
      <c r="D942" s="476"/>
      <c r="E942" s="476"/>
      <c r="F942" s="493"/>
      <c r="G942" s="476"/>
      <c r="H942" s="491"/>
      <c r="I942" s="491"/>
      <c r="J942" s="491"/>
      <c r="K942" s="476"/>
      <c r="L942" s="476"/>
      <c r="M942" s="476"/>
      <c r="N942" s="476"/>
      <c r="O942" s="476"/>
      <c r="P942" s="476"/>
      <c r="Q942" s="476"/>
      <c r="R942" s="476"/>
      <c r="S942" s="476"/>
      <c r="T942" s="476"/>
      <c r="U942" s="476"/>
      <c r="V942" s="476"/>
      <c r="W942" s="476"/>
    </row>
    <row r="943" spans="1:23" ht="12.75">
      <c r="A943" s="475"/>
      <c r="B943" s="476"/>
      <c r="C943" s="476"/>
      <c r="D943" s="476"/>
      <c r="E943" s="476"/>
      <c r="F943" s="493"/>
      <c r="G943" s="476"/>
      <c r="H943" s="491"/>
      <c r="I943" s="491"/>
      <c r="J943" s="491"/>
      <c r="K943" s="476"/>
      <c r="L943" s="476"/>
      <c r="M943" s="476"/>
      <c r="N943" s="476"/>
      <c r="O943" s="476"/>
      <c r="P943" s="476"/>
      <c r="Q943" s="476"/>
      <c r="R943" s="476"/>
      <c r="S943" s="476"/>
      <c r="T943" s="476"/>
      <c r="U943" s="476"/>
      <c r="V943" s="476"/>
      <c r="W943" s="476"/>
    </row>
    <row r="944" spans="1:23" ht="12.75">
      <c r="A944" s="475"/>
      <c r="B944" s="476"/>
      <c r="C944" s="476"/>
      <c r="D944" s="476"/>
      <c r="E944" s="476"/>
      <c r="F944" s="493"/>
      <c r="G944" s="476"/>
      <c r="H944" s="491"/>
      <c r="I944" s="491"/>
      <c r="J944" s="491"/>
      <c r="K944" s="476"/>
      <c r="L944" s="476"/>
      <c r="M944" s="476"/>
      <c r="N944" s="476"/>
      <c r="O944" s="476"/>
      <c r="P944" s="476"/>
      <c r="Q944" s="476"/>
      <c r="R944" s="476"/>
      <c r="S944" s="476"/>
      <c r="T944" s="476"/>
      <c r="U944" s="476"/>
      <c r="V944" s="476"/>
      <c r="W944" s="476"/>
    </row>
    <row r="945" spans="1:23" ht="12.75">
      <c r="A945" s="475"/>
      <c r="B945" s="476"/>
      <c r="C945" s="476"/>
      <c r="D945" s="476"/>
      <c r="E945" s="476"/>
      <c r="F945" s="493"/>
      <c r="G945" s="476"/>
      <c r="H945" s="491"/>
      <c r="I945" s="491"/>
      <c r="J945" s="491"/>
      <c r="K945" s="476"/>
      <c r="L945" s="476"/>
      <c r="M945" s="476"/>
      <c r="N945" s="476"/>
      <c r="O945" s="476"/>
      <c r="P945" s="476"/>
      <c r="Q945" s="476"/>
      <c r="R945" s="476"/>
      <c r="S945" s="476"/>
      <c r="T945" s="476"/>
      <c r="U945" s="476"/>
      <c r="V945" s="476"/>
      <c r="W945" s="476"/>
    </row>
    <row r="946" spans="1:23" ht="12.75">
      <c r="A946" s="475"/>
      <c r="B946" s="476"/>
      <c r="C946" s="476"/>
      <c r="D946" s="476"/>
      <c r="E946" s="476"/>
      <c r="F946" s="493"/>
      <c r="G946" s="476"/>
      <c r="H946" s="491"/>
      <c r="I946" s="491"/>
      <c r="J946" s="491"/>
      <c r="K946" s="476"/>
      <c r="L946" s="476"/>
      <c r="M946" s="476"/>
      <c r="N946" s="476"/>
      <c r="O946" s="476"/>
      <c r="P946" s="476"/>
      <c r="Q946" s="476"/>
      <c r="R946" s="476"/>
      <c r="S946" s="476"/>
      <c r="T946" s="476"/>
      <c r="U946" s="476"/>
      <c r="V946" s="476"/>
      <c r="W946" s="476"/>
    </row>
    <row r="947" spans="1:23" ht="12.75">
      <c r="A947" s="475"/>
      <c r="B947" s="476"/>
      <c r="C947" s="476"/>
      <c r="D947" s="476"/>
      <c r="E947" s="476"/>
      <c r="F947" s="493"/>
      <c r="G947" s="476"/>
      <c r="H947" s="491"/>
      <c r="I947" s="491"/>
      <c r="J947" s="491"/>
      <c r="K947" s="476"/>
      <c r="L947" s="476"/>
      <c r="M947" s="476"/>
      <c r="N947" s="476"/>
      <c r="O947" s="476"/>
      <c r="P947" s="476"/>
      <c r="Q947" s="476"/>
      <c r="R947" s="476"/>
      <c r="S947" s="476"/>
      <c r="T947" s="476"/>
      <c r="U947" s="476"/>
      <c r="V947" s="476"/>
      <c r="W947" s="476"/>
    </row>
    <row r="948" spans="1:23" ht="12.75">
      <c r="A948" s="475"/>
      <c r="B948" s="476"/>
      <c r="C948" s="476"/>
      <c r="D948" s="476"/>
      <c r="E948" s="476"/>
      <c r="F948" s="493"/>
      <c r="G948" s="476"/>
      <c r="H948" s="491"/>
      <c r="I948" s="491"/>
      <c r="J948" s="491"/>
      <c r="K948" s="476"/>
      <c r="L948" s="476"/>
      <c r="M948" s="476"/>
      <c r="N948" s="476"/>
      <c r="O948" s="476"/>
      <c r="P948" s="476"/>
      <c r="Q948" s="476"/>
      <c r="R948" s="476"/>
      <c r="S948" s="476"/>
      <c r="T948" s="476"/>
      <c r="U948" s="476"/>
      <c r="V948" s="476"/>
      <c r="W948" s="476"/>
    </row>
    <row r="949" spans="1:23" ht="12.75">
      <c r="A949" s="475"/>
      <c r="B949" s="476"/>
      <c r="C949" s="476"/>
      <c r="D949" s="476"/>
      <c r="E949" s="476"/>
      <c r="F949" s="493"/>
      <c r="G949" s="476"/>
      <c r="H949" s="491"/>
      <c r="I949" s="491"/>
      <c r="J949" s="491"/>
      <c r="K949" s="476"/>
      <c r="L949" s="476"/>
      <c r="M949" s="476"/>
      <c r="N949" s="476"/>
      <c r="O949" s="476"/>
      <c r="P949" s="476"/>
      <c r="Q949" s="476"/>
      <c r="R949" s="476"/>
      <c r="S949" s="476"/>
      <c r="T949" s="476"/>
      <c r="U949" s="476"/>
      <c r="V949" s="476"/>
      <c r="W949" s="476"/>
    </row>
    <row r="950" spans="1:23" ht="12.75">
      <c r="A950" s="475"/>
      <c r="B950" s="476"/>
      <c r="C950" s="476"/>
      <c r="D950" s="476"/>
      <c r="E950" s="476"/>
      <c r="F950" s="493"/>
      <c r="G950" s="476"/>
      <c r="H950" s="491"/>
      <c r="I950" s="491"/>
      <c r="J950" s="491"/>
      <c r="K950" s="476"/>
      <c r="L950" s="476"/>
      <c r="M950" s="476"/>
      <c r="N950" s="476"/>
      <c r="O950" s="476"/>
      <c r="P950" s="476"/>
      <c r="Q950" s="476"/>
      <c r="R950" s="476"/>
      <c r="S950" s="476"/>
      <c r="T950" s="476"/>
      <c r="U950" s="476"/>
      <c r="V950" s="476"/>
      <c r="W950" s="476"/>
    </row>
    <row r="951" spans="1:23" ht="12.75">
      <c r="A951" s="475"/>
      <c r="B951" s="476"/>
      <c r="C951" s="476"/>
      <c r="D951" s="476"/>
      <c r="E951" s="476"/>
      <c r="F951" s="493"/>
      <c r="G951" s="476"/>
      <c r="H951" s="491"/>
      <c r="I951" s="491"/>
      <c r="J951" s="491"/>
      <c r="K951" s="476"/>
      <c r="L951" s="476"/>
      <c r="M951" s="476"/>
      <c r="N951" s="476"/>
      <c r="O951" s="476"/>
      <c r="P951" s="476"/>
      <c r="Q951" s="476"/>
      <c r="R951" s="476"/>
      <c r="S951" s="476"/>
      <c r="T951" s="476"/>
      <c r="U951" s="476"/>
      <c r="V951" s="476"/>
      <c r="W951" s="476"/>
    </row>
    <row r="952" spans="1:23" ht="12.75">
      <c r="A952" s="475"/>
      <c r="B952" s="476"/>
      <c r="C952" s="476"/>
      <c r="D952" s="476"/>
      <c r="E952" s="476"/>
      <c r="F952" s="493"/>
      <c r="G952" s="476"/>
      <c r="H952" s="491"/>
      <c r="I952" s="491"/>
      <c r="J952" s="491"/>
      <c r="K952" s="476"/>
      <c r="L952" s="476"/>
      <c r="M952" s="476"/>
      <c r="N952" s="476"/>
      <c r="O952" s="476"/>
      <c r="P952" s="476"/>
      <c r="Q952" s="476"/>
      <c r="R952" s="476"/>
      <c r="S952" s="476"/>
      <c r="T952" s="476"/>
      <c r="U952" s="476"/>
      <c r="V952" s="476"/>
      <c r="W952" s="476"/>
    </row>
    <row r="953" spans="1:23" ht="12.75">
      <c r="A953" s="475"/>
      <c r="B953" s="476"/>
      <c r="C953" s="476"/>
      <c r="D953" s="476"/>
      <c r="E953" s="476"/>
      <c r="F953" s="493"/>
      <c r="G953" s="476"/>
      <c r="H953" s="491"/>
      <c r="I953" s="491"/>
      <c r="J953" s="491"/>
      <c r="K953" s="476"/>
      <c r="L953" s="476"/>
      <c r="M953" s="476"/>
      <c r="N953" s="476"/>
      <c r="O953" s="476"/>
      <c r="P953" s="476"/>
      <c r="Q953" s="476"/>
      <c r="R953" s="476"/>
      <c r="S953" s="476"/>
      <c r="T953" s="476"/>
      <c r="U953" s="476"/>
      <c r="V953" s="476"/>
      <c r="W953" s="476"/>
    </row>
    <row r="954" spans="1:23" ht="12.75">
      <c r="A954" s="475"/>
      <c r="B954" s="476"/>
      <c r="C954" s="476"/>
      <c r="D954" s="476"/>
      <c r="E954" s="476"/>
      <c r="F954" s="493"/>
      <c r="G954" s="476"/>
      <c r="H954" s="491"/>
      <c r="I954" s="491"/>
      <c r="J954" s="491"/>
      <c r="K954" s="476"/>
      <c r="L954" s="476"/>
      <c r="M954" s="476"/>
      <c r="N954" s="476"/>
      <c r="O954" s="476"/>
      <c r="P954" s="476"/>
      <c r="Q954" s="476"/>
      <c r="R954" s="476"/>
      <c r="S954" s="476"/>
      <c r="T954" s="476"/>
      <c r="U954" s="476"/>
      <c r="V954" s="476"/>
      <c r="W954" s="476"/>
    </row>
    <row r="955" spans="1:23" ht="12.75">
      <c r="A955" s="475"/>
      <c r="B955" s="476"/>
      <c r="C955" s="476"/>
      <c r="D955" s="476"/>
      <c r="E955" s="476"/>
      <c r="F955" s="493"/>
      <c r="G955" s="476"/>
      <c r="H955" s="491"/>
      <c r="I955" s="491"/>
      <c r="J955" s="491"/>
      <c r="K955" s="476"/>
      <c r="L955" s="476"/>
      <c r="M955" s="476"/>
      <c r="N955" s="476"/>
      <c r="O955" s="476"/>
      <c r="P955" s="476"/>
      <c r="Q955" s="476"/>
      <c r="R955" s="476"/>
      <c r="S955" s="476"/>
      <c r="T955" s="476"/>
      <c r="U955" s="476"/>
      <c r="V955" s="476"/>
      <c r="W955" s="476"/>
    </row>
    <row r="956" spans="1:23" ht="12.75">
      <c r="A956" s="475"/>
      <c r="B956" s="476"/>
      <c r="C956" s="476"/>
      <c r="D956" s="476"/>
      <c r="E956" s="476"/>
      <c r="F956" s="493"/>
      <c r="G956" s="476"/>
      <c r="H956" s="491"/>
      <c r="I956" s="491"/>
      <c r="J956" s="491"/>
      <c r="K956" s="476"/>
      <c r="L956" s="476"/>
      <c r="M956" s="476"/>
      <c r="N956" s="476"/>
      <c r="O956" s="476"/>
      <c r="P956" s="476"/>
      <c r="Q956" s="476"/>
      <c r="R956" s="476"/>
      <c r="S956" s="476"/>
      <c r="T956" s="476"/>
      <c r="U956" s="476"/>
      <c r="V956" s="476"/>
      <c r="W956" s="476"/>
    </row>
    <row r="957" spans="1:23" ht="12.75">
      <c r="A957" s="475"/>
      <c r="B957" s="476"/>
      <c r="C957" s="476"/>
      <c r="D957" s="476"/>
      <c r="E957" s="476"/>
      <c r="F957" s="493"/>
      <c r="G957" s="476"/>
      <c r="H957" s="491"/>
      <c r="I957" s="491"/>
      <c r="J957" s="491"/>
      <c r="K957" s="476"/>
      <c r="L957" s="476"/>
      <c r="M957" s="476"/>
      <c r="N957" s="476"/>
      <c r="O957" s="476"/>
      <c r="P957" s="476"/>
      <c r="Q957" s="476"/>
      <c r="R957" s="476"/>
      <c r="S957" s="476"/>
      <c r="T957" s="476"/>
      <c r="U957" s="476"/>
      <c r="V957" s="476"/>
      <c r="W957" s="476"/>
    </row>
    <row r="958" spans="1:23" ht="12.75">
      <c r="A958" s="475"/>
      <c r="B958" s="476"/>
      <c r="C958" s="476"/>
      <c r="D958" s="476"/>
      <c r="E958" s="476"/>
      <c r="F958" s="493"/>
      <c r="G958" s="476"/>
      <c r="H958" s="491"/>
      <c r="I958" s="491"/>
      <c r="J958" s="491"/>
      <c r="K958" s="476"/>
      <c r="L958" s="476"/>
      <c r="M958" s="476"/>
      <c r="N958" s="476"/>
      <c r="O958" s="476"/>
      <c r="P958" s="476"/>
      <c r="Q958" s="476"/>
      <c r="R958" s="476"/>
      <c r="S958" s="476"/>
      <c r="T958" s="476"/>
      <c r="U958" s="476"/>
      <c r="V958" s="476"/>
      <c r="W958" s="476"/>
    </row>
    <row r="959" spans="1:23" ht="12.75">
      <c r="A959" s="475"/>
      <c r="B959" s="476"/>
      <c r="C959" s="476"/>
      <c r="D959" s="476"/>
      <c r="E959" s="476"/>
      <c r="F959" s="493"/>
      <c r="G959" s="476"/>
      <c r="H959" s="491"/>
      <c r="I959" s="491"/>
      <c r="J959" s="491"/>
      <c r="K959" s="476"/>
      <c r="L959" s="476"/>
      <c r="M959" s="476"/>
      <c r="N959" s="476"/>
      <c r="O959" s="476"/>
      <c r="P959" s="476"/>
      <c r="Q959" s="476"/>
      <c r="R959" s="476"/>
      <c r="S959" s="476"/>
      <c r="T959" s="476"/>
      <c r="U959" s="476"/>
      <c r="V959" s="476"/>
      <c r="W959" s="476"/>
    </row>
    <row r="960" spans="1:23" ht="12.75">
      <c r="A960" s="475"/>
      <c r="B960" s="476"/>
      <c r="C960" s="476"/>
      <c r="D960" s="476"/>
      <c r="E960" s="476"/>
      <c r="F960" s="493"/>
      <c r="G960" s="476"/>
      <c r="H960" s="491"/>
      <c r="I960" s="491"/>
      <c r="J960" s="491"/>
      <c r="K960" s="476"/>
      <c r="L960" s="476"/>
      <c r="M960" s="476"/>
      <c r="N960" s="476"/>
      <c r="O960" s="476"/>
      <c r="P960" s="476"/>
      <c r="Q960" s="476"/>
      <c r="R960" s="476"/>
      <c r="S960" s="476"/>
      <c r="T960" s="476"/>
      <c r="U960" s="476"/>
      <c r="V960" s="476"/>
      <c r="W960" s="476"/>
    </row>
    <row r="961" spans="1:23" ht="12.75">
      <c r="A961" s="476"/>
      <c r="B961" s="476"/>
      <c r="C961" s="476"/>
      <c r="D961" s="476"/>
      <c r="E961" s="476"/>
      <c r="F961" s="476"/>
      <c r="G961" s="476"/>
      <c r="H961" s="491"/>
      <c r="I961" s="491"/>
      <c r="J961" s="491"/>
      <c r="K961" s="476"/>
      <c r="L961" s="476"/>
      <c r="M961" s="476"/>
      <c r="N961" s="476"/>
      <c r="O961" s="476"/>
      <c r="P961" s="476"/>
      <c r="Q961" s="476"/>
      <c r="R961" s="476"/>
      <c r="S961" s="476"/>
      <c r="T961" s="476"/>
      <c r="U961" s="476"/>
      <c r="V961" s="476"/>
      <c r="W961" s="476"/>
    </row>
    <row r="962" spans="1:23" ht="12.75">
      <c r="A962" s="476"/>
      <c r="B962" s="476"/>
      <c r="C962" s="476"/>
      <c r="D962" s="476"/>
      <c r="E962" s="476"/>
      <c r="F962" s="476"/>
      <c r="G962" s="476"/>
      <c r="H962" s="491"/>
      <c r="I962" s="491"/>
      <c r="J962" s="491"/>
      <c r="K962" s="476"/>
      <c r="L962" s="476"/>
      <c r="M962" s="476"/>
      <c r="N962" s="476"/>
      <c r="O962" s="476"/>
      <c r="P962" s="476"/>
      <c r="Q962" s="476"/>
      <c r="R962" s="476"/>
      <c r="S962" s="476"/>
      <c r="T962" s="476"/>
      <c r="U962" s="476"/>
      <c r="V962" s="476"/>
      <c r="W962" s="476"/>
    </row>
    <row r="963" spans="1:23" ht="12.75">
      <c r="A963" s="476"/>
      <c r="B963" s="476"/>
      <c r="C963" s="476"/>
      <c r="D963" s="476"/>
      <c r="E963" s="476"/>
      <c r="F963" s="476"/>
      <c r="G963" s="476"/>
      <c r="H963" s="491"/>
      <c r="I963" s="491"/>
      <c r="J963" s="491"/>
      <c r="K963" s="476"/>
      <c r="L963" s="476"/>
      <c r="M963" s="476"/>
      <c r="N963" s="476"/>
      <c r="O963" s="476"/>
      <c r="P963" s="476"/>
      <c r="Q963" s="476"/>
      <c r="R963" s="476"/>
      <c r="S963" s="476"/>
      <c r="T963" s="476"/>
      <c r="U963" s="476"/>
      <c r="V963" s="476"/>
      <c r="W963" s="476"/>
    </row>
    <row r="964" spans="1:23" ht="12.75">
      <c r="A964" s="476"/>
      <c r="B964" s="476"/>
      <c r="C964" s="476"/>
      <c r="D964" s="476"/>
      <c r="E964" s="476"/>
      <c r="F964" s="476"/>
      <c r="G964" s="476"/>
      <c r="H964" s="491"/>
      <c r="I964" s="491"/>
      <c r="J964" s="491"/>
      <c r="K964" s="476"/>
      <c r="L964" s="476"/>
      <c r="M964" s="476"/>
      <c r="N964" s="476"/>
      <c r="O964" s="476"/>
      <c r="P964" s="476"/>
      <c r="Q964" s="476"/>
      <c r="R964" s="476"/>
      <c r="S964" s="476"/>
      <c r="T964" s="476"/>
      <c r="U964" s="476"/>
      <c r="V964" s="476"/>
      <c r="W964" s="476"/>
    </row>
    <row r="965" spans="1:23" ht="12.75">
      <c r="A965" s="476"/>
      <c r="B965" s="476"/>
      <c r="C965" s="476"/>
      <c r="D965" s="476"/>
      <c r="E965" s="476"/>
      <c r="F965" s="476"/>
      <c r="G965" s="476"/>
      <c r="H965" s="491"/>
      <c r="I965" s="491"/>
      <c r="J965" s="491"/>
      <c r="K965" s="476"/>
      <c r="L965" s="476"/>
      <c r="M965" s="476"/>
      <c r="N965" s="476"/>
      <c r="O965" s="476"/>
      <c r="P965" s="476"/>
      <c r="Q965" s="476"/>
      <c r="R965" s="476"/>
      <c r="S965" s="476"/>
      <c r="T965" s="476"/>
      <c r="U965" s="476"/>
      <c r="V965" s="476"/>
      <c r="W965" s="476"/>
    </row>
    <row r="966" spans="1:23" ht="12.75">
      <c r="A966" s="476"/>
      <c r="B966" s="476"/>
      <c r="C966" s="476"/>
      <c r="D966" s="476"/>
      <c r="E966" s="476"/>
      <c r="F966" s="476"/>
      <c r="G966" s="476"/>
      <c r="H966" s="491"/>
      <c r="I966" s="491"/>
      <c r="J966" s="491"/>
      <c r="K966" s="476"/>
      <c r="L966" s="476"/>
      <c r="M966" s="476"/>
      <c r="N966" s="476"/>
      <c r="O966" s="476"/>
      <c r="P966" s="476"/>
      <c r="Q966" s="476"/>
      <c r="R966" s="476"/>
      <c r="S966" s="476"/>
      <c r="T966" s="476"/>
      <c r="U966" s="476"/>
      <c r="V966" s="476"/>
      <c r="W966" s="476"/>
    </row>
    <row r="967" spans="1:23" ht="12.75">
      <c r="A967" s="476"/>
      <c r="B967" s="476"/>
      <c r="C967" s="476"/>
      <c r="D967" s="476"/>
      <c r="E967" s="476"/>
      <c r="F967" s="476"/>
      <c r="G967" s="476"/>
      <c r="H967" s="491"/>
      <c r="I967" s="491"/>
      <c r="J967" s="491"/>
      <c r="K967" s="476"/>
      <c r="L967" s="476"/>
      <c r="M967" s="476"/>
      <c r="N967" s="476"/>
      <c r="O967" s="476"/>
      <c r="P967" s="476"/>
      <c r="Q967" s="476"/>
      <c r="R967" s="476"/>
      <c r="S967" s="476"/>
      <c r="T967" s="476"/>
      <c r="U967" s="476"/>
      <c r="V967" s="476"/>
      <c r="W967" s="476"/>
    </row>
    <row r="968" spans="1:23" ht="12.75">
      <c r="A968" s="476"/>
      <c r="B968" s="476"/>
      <c r="C968" s="476"/>
      <c r="D968" s="476"/>
      <c r="E968" s="476"/>
      <c r="F968" s="476"/>
      <c r="G968" s="476"/>
      <c r="H968" s="491"/>
      <c r="I968" s="491"/>
      <c r="J968" s="491"/>
      <c r="K968" s="476"/>
      <c r="L968" s="476"/>
      <c r="M968" s="476"/>
      <c r="N968" s="476"/>
      <c r="O968" s="476"/>
      <c r="P968" s="476"/>
      <c r="Q968" s="476"/>
      <c r="R968" s="476"/>
      <c r="S968" s="476"/>
      <c r="T968" s="476"/>
      <c r="U968" s="476"/>
      <c r="V968" s="476"/>
      <c r="W968" s="476"/>
    </row>
    <row r="969" spans="1:23" ht="12.75">
      <c r="A969" s="476"/>
      <c r="B969" s="476"/>
      <c r="C969" s="476"/>
      <c r="D969" s="476"/>
      <c r="E969" s="476"/>
      <c r="F969" s="476"/>
      <c r="G969" s="476"/>
      <c r="H969" s="491"/>
      <c r="I969" s="491"/>
      <c r="J969" s="491"/>
      <c r="K969" s="476"/>
      <c r="L969" s="476"/>
      <c r="M969" s="476"/>
      <c r="N969" s="476"/>
      <c r="O969" s="476"/>
      <c r="P969" s="476"/>
      <c r="Q969" s="476"/>
      <c r="R969" s="476"/>
      <c r="S969" s="476"/>
      <c r="T969" s="476"/>
      <c r="U969" s="476"/>
      <c r="V969" s="476"/>
      <c r="W969" s="476"/>
    </row>
    <row r="970" spans="1:23" ht="12.75">
      <c r="A970" s="476"/>
      <c r="B970" s="476"/>
      <c r="C970" s="476"/>
      <c r="D970" s="476"/>
      <c r="E970" s="476"/>
      <c r="F970" s="476"/>
      <c r="G970" s="476"/>
      <c r="H970" s="491"/>
      <c r="I970" s="491"/>
      <c r="J970" s="491"/>
      <c r="K970" s="476"/>
      <c r="L970" s="476"/>
      <c r="M970" s="476"/>
      <c r="N970" s="476"/>
      <c r="O970" s="476"/>
      <c r="P970" s="476"/>
      <c r="Q970" s="476"/>
      <c r="R970" s="476"/>
      <c r="S970" s="476"/>
      <c r="T970" s="476"/>
      <c r="U970" s="476"/>
      <c r="V970" s="476"/>
      <c r="W970" s="476"/>
    </row>
    <row r="971" spans="1:23" ht="12.75">
      <c r="A971" s="476"/>
      <c r="B971" s="476"/>
      <c r="C971" s="476"/>
      <c r="D971" s="476"/>
      <c r="E971" s="476"/>
      <c r="F971" s="476"/>
      <c r="G971" s="476"/>
      <c r="H971" s="491"/>
      <c r="I971" s="491"/>
      <c r="J971" s="491"/>
      <c r="K971" s="476"/>
      <c r="L971" s="476"/>
      <c r="M971" s="476"/>
      <c r="N971" s="476"/>
      <c r="O971" s="476"/>
      <c r="P971" s="476"/>
      <c r="Q971" s="476"/>
      <c r="R971" s="476"/>
      <c r="S971" s="476"/>
      <c r="T971" s="476"/>
      <c r="U971" s="476"/>
      <c r="V971" s="476"/>
      <c r="W971" s="476"/>
    </row>
    <row r="972" spans="1:23" ht="12.75">
      <c r="A972" s="476"/>
      <c r="B972" s="476"/>
      <c r="C972" s="476"/>
      <c r="D972" s="476"/>
      <c r="E972" s="476"/>
      <c r="F972" s="476"/>
      <c r="G972" s="476"/>
      <c r="H972" s="491"/>
      <c r="I972" s="491"/>
      <c r="J972" s="491"/>
      <c r="K972" s="476"/>
      <c r="L972" s="476"/>
      <c r="M972" s="476"/>
      <c r="N972" s="476"/>
      <c r="O972" s="476"/>
      <c r="P972" s="476"/>
      <c r="Q972" s="476"/>
      <c r="R972" s="476"/>
      <c r="S972" s="476"/>
      <c r="T972" s="476"/>
      <c r="U972" s="476"/>
      <c r="V972" s="476"/>
      <c r="W972" s="476"/>
    </row>
    <row r="973" spans="1:23" ht="12.75">
      <c r="A973" s="476"/>
      <c r="B973" s="476"/>
      <c r="C973" s="476"/>
      <c r="D973" s="476"/>
      <c r="E973" s="476"/>
      <c r="F973" s="476"/>
      <c r="G973" s="476"/>
      <c r="H973" s="491"/>
      <c r="I973" s="491"/>
      <c r="J973" s="491"/>
      <c r="K973" s="476"/>
      <c r="L973" s="476"/>
      <c r="M973" s="476"/>
      <c r="N973" s="476"/>
      <c r="O973" s="476"/>
      <c r="P973" s="476"/>
      <c r="Q973" s="476"/>
      <c r="R973" s="476"/>
      <c r="S973" s="476"/>
      <c r="T973" s="476"/>
      <c r="U973" s="476"/>
      <c r="V973" s="476"/>
      <c r="W973" s="476"/>
    </row>
    <row r="974" spans="1:23" ht="12.75">
      <c r="A974" s="476"/>
      <c r="B974" s="476"/>
      <c r="C974" s="476"/>
      <c r="D974" s="476"/>
      <c r="E974" s="476"/>
      <c r="F974" s="476"/>
      <c r="G974" s="476"/>
      <c r="H974" s="491"/>
      <c r="I974" s="491"/>
      <c r="J974" s="491"/>
      <c r="K974" s="476"/>
      <c r="L974" s="476"/>
      <c r="M974" s="476"/>
      <c r="N974" s="476"/>
      <c r="O974" s="476"/>
      <c r="P974" s="476"/>
      <c r="Q974" s="476"/>
      <c r="R974" s="476"/>
      <c r="S974" s="476"/>
      <c r="T974" s="476"/>
      <c r="U974" s="476"/>
      <c r="V974" s="476"/>
      <c r="W974" s="476"/>
    </row>
    <row r="975" spans="1:23" ht="12.75">
      <c r="A975" s="476"/>
      <c r="B975" s="476"/>
      <c r="C975" s="476"/>
      <c r="D975" s="476"/>
      <c r="E975" s="476"/>
      <c r="F975" s="476"/>
      <c r="G975" s="476"/>
      <c r="H975" s="491"/>
      <c r="I975" s="491"/>
      <c r="J975" s="491"/>
      <c r="K975" s="476"/>
      <c r="L975" s="476"/>
      <c r="M975" s="476"/>
      <c r="N975" s="476"/>
      <c r="O975" s="476"/>
      <c r="P975" s="476"/>
      <c r="Q975" s="476"/>
      <c r="R975" s="476"/>
      <c r="S975" s="476"/>
      <c r="T975" s="476"/>
      <c r="U975" s="476"/>
      <c r="V975" s="476"/>
      <c r="W975" s="476"/>
    </row>
    <row r="976" spans="1:23" ht="12.75">
      <c r="A976" s="476"/>
      <c r="B976" s="476"/>
      <c r="C976" s="476"/>
      <c r="D976" s="476"/>
      <c r="E976" s="476"/>
      <c r="F976" s="476"/>
      <c r="G976" s="476"/>
      <c r="H976" s="491"/>
      <c r="I976" s="491"/>
      <c r="J976" s="491"/>
      <c r="K976" s="476"/>
      <c r="L976" s="476"/>
      <c r="M976" s="476"/>
      <c r="N976" s="476"/>
      <c r="O976" s="476"/>
      <c r="P976" s="476"/>
      <c r="Q976" s="476"/>
      <c r="R976" s="476"/>
      <c r="S976" s="476"/>
      <c r="T976" s="476"/>
      <c r="U976" s="476"/>
      <c r="V976" s="476"/>
      <c r="W976" s="476"/>
    </row>
    <row r="977" spans="1:23" ht="12.75">
      <c r="A977" s="476"/>
      <c r="B977" s="476"/>
      <c r="C977" s="476"/>
      <c r="D977" s="476"/>
      <c r="E977" s="476"/>
      <c r="F977" s="476"/>
      <c r="G977" s="476"/>
      <c r="H977" s="491"/>
      <c r="I977" s="491"/>
      <c r="J977" s="491"/>
      <c r="K977" s="476"/>
      <c r="L977" s="476"/>
      <c r="M977" s="476"/>
      <c r="N977" s="476"/>
      <c r="O977" s="476"/>
      <c r="P977" s="476"/>
      <c r="Q977" s="476"/>
      <c r="R977" s="476"/>
      <c r="S977" s="476"/>
      <c r="T977" s="476"/>
      <c r="U977" s="476"/>
      <c r="V977" s="476"/>
      <c r="W977" s="476"/>
    </row>
    <row r="978" spans="1:23" ht="12.75">
      <c r="A978" s="476"/>
      <c r="B978" s="476"/>
      <c r="C978" s="476"/>
      <c r="D978" s="476"/>
      <c r="E978" s="476"/>
      <c r="F978" s="476"/>
      <c r="G978" s="476"/>
      <c r="H978" s="491"/>
      <c r="I978" s="491"/>
      <c r="J978" s="491"/>
      <c r="K978" s="476"/>
      <c r="L978" s="476"/>
      <c r="M978" s="476"/>
      <c r="N978" s="476"/>
      <c r="O978" s="476"/>
      <c r="P978" s="476"/>
      <c r="Q978" s="476"/>
      <c r="R978" s="476"/>
      <c r="S978" s="476"/>
      <c r="T978" s="476"/>
      <c r="U978" s="476"/>
      <c r="V978" s="476"/>
      <c r="W978" s="476"/>
    </row>
    <row r="979" spans="1:23" ht="12.75">
      <c r="A979" s="476"/>
      <c r="B979" s="476"/>
      <c r="C979" s="476"/>
      <c r="D979" s="476"/>
      <c r="E979" s="476"/>
      <c r="F979" s="476"/>
      <c r="G979" s="476"/>
      <c r="H979" s="491"/>
      <c r="I979" s="491"/>
      <c r="J979" s="491"/>
      <c r="K979" s="476"/>
      <c r="L979" s="476"/>
      <c r="M979" s="476"/>
      <c r="N979" s="476"/>
      <c r="O979" s="476"/>
      <c r="P979" s="476"/>
      <c r="Q979" s="476"/>
      <c r="R979" s="476"/>
      <c r="S979" s="476"/>
      <c r="T979" s="476"/>
      <c r="U979" s="476"/>
      <c r="V979" s="476"/>
      <c r="W979" s="476"/>
    </row>
    <row r="980" spans="1:23" ht="12.75">
      <c r="A980" s="476"/>
      <c r="B980" s="476"/>
      <c r="C980" s="476"/>
      <c r="D980" s="476"/>
      <c r="E980" s="476"/>
      <c r="F980" s="476"/>
      <c r="G980" s="476"/>
      <c r="H980" s="491"/>
      <c r="I980" s="491"/>
      <c r="J980" s="491"/>
      <c r="K980" s="476"/>
      <c r="L980" s="476"/>
      <c r="M980" s="476"/>
      <c r="N980" s="476"/>
      <c r="O980" s="476"/>
      <c r="P980" s="476"/>
      <c r="Q980" s="476"/>
      <c r="R980" s="476"/>
      <c r="S980" s="476"/>
      <c r="T980" s="476"/>
      <c r="U980" s="476"/>
      <c r="V980" s="476"/>
      <c r="W980" s="476"/>
    </row>
    <row r="981" spans="1:23" ht="12.75">
      <c r="A981" s="476"/>
      <c r="B981" s="476"/>
      <c r="C981" s="476"/>
      <c r="D981" s="476"/>
      <c r="E981" s="476"/>
      <c r="F981" s="476"/>
      <c r="G981" s="476"/>
      <c r="H981" s="491"/>
      <c r="I981" s="491"/>
      <c r="J981" s="491"/>
      <c r="K981" s="476"/>
      <c r="L981" s="476"/>
      <c r="M981" s="476"/>
      <c r="N981" s="476"/>
      <c r="O981" s="476"/>
      <c r="P981" s="476"/>
      <c r="Q981" s="476"/>
      <c r="R981" s="476"/>
      <c r="S981" s="476"/>
      <c r="T981" s="476"/>
      <c r="U981" s="476"/>
      <c r="V981" s="476"/>
      <c r="W981" s="476"/>
    </row>
    <row r="982" spans="1:23" ht="12.75">
      <c r="A982" s="476"/>
      <c r="B982" s="476"/>
      <c r="C982" s="476"/>
      <c r="D982" s="476"/>
      <c r="E982" s="476"/>
      <c r="F982" s="476"/>
      <c r="G982" s="476"/>
      <c r="H982" s="491"/>
      <c r="I982" s="491"/>
      <c r="J982" s="491"/>
      <c r="K982" s="476"/>
      <c r="L982" s="476"/>
      <c r="M982" s="476"/>
      <c r="N982" s="476"/>
      <c r="O982" s="476"/>
      <c r="P982" s="476"/>
      <c r="Q982" s="476"/>
      <c r="R982" s="476"/>
      <c r="S982" s="476"/>
      <c r="T982" s="476"/>
      <c r="U982" s="476"/>
      <c r="V982" s="476"/>
      <c r="W982" s="476"/>
    </row>
    <row r="983" spans="1:23" ht="12.75">
      <c r="A983" s="476"/>
      <c r="B983" s="476"/>
      <c r="C983" s="476"/>
      <c r="D983" s="476"/>
      <c r="E983" s="476"/>
      <c r="F983" s="476"/>
      <c r="G983" s="476"/>
      <c r="H983" s="491"/>
      <c r="I983" s="491"/>
      <c r="J983" s="491"/>
      <c r="K983" s="476"/>
      <c r="L983" s="476"/>
      <c r="M983" s="476"/>
      <c r="N983" s="476"/>
      <c r="O983" s="476"/>
      <c r="P983" s="476"/>
      <c r="Q983" s="476"/>
      <c r="R983" s="476"/>
      <c r="S983" s="476"/>
      <c r="T983" s="476"/>
      <c r="U983" s="476"/>
      <c r="V983" s="476"/>
      <c r="W983" s="476"/>
    </row>
    <row r="984" spans="1:23" ht="12.75">
      <c r="A984" s="476"/>
      <c r="B984" s="476"/>
      <c r="C984" s="476"/>
      <c r="D984" s="476"/>
      <c r="E984" s="476"/>
      <c r="F984" s="476"/>
      <c r="G984" s="476"/>
      <c r="H984" s="491"/>
      <c r="I984" s="491"/>
      <c r="J984" s="491"/>
      <c r="K984" s="476"/>
      <c r="L984" s="476"/>
      <c r="M984" s="476"/>
      <c r="N984" s="476"/>
      <c r="O984" s="476"/>
      <c r="P984" s="476"/>
      <c r="Q984" s="476"/>
      <c r="R984" s="476"/>
      <c r="S984" s="476"/>
      <c r="T984" s="476"/>
      <c r="U984" s="476"/>
      <c r="V984" s="476"/>
      <c r="W984" s="476"/>
    </row>
    <row r="985" spans="1:23" ht="12.75">
      <c r="A985" s="476"/>
      <c r="B985" s="476"/>
      <c r="C985" s="476"/>
      <c r="D985" s="476"/>
      <c r="E985" s="476"/>
      <c r="F985" s="476"/>
      <c r="G985" s="476"/>
      <c r="H985" s="491"/>
      <c r="I985" s="491"/>
      <c r="J985" s="491"/>
      <c r="K985" s="476"/>
      <c r="L985" s="476"/>
      <c r="M985" s="476"/>
      <c r="N985" s="476"/>
      <c r="O985" s="476"/>
      <c r="P985" s="476"/>
      <c r="Q985" s="476"/>
      <c r="R985" s="476"/>
      <c r="S985" s="476"/>
      <c r="T985" s="476"/>
      <c r="U985" s="476"/>
      <c r="V985" s="476"/>
      <c r="W985" s="476"/>
    </row>
    <row r="986" spans="1:23" ht="12.75">
      <c r="A986" s="476"/>
      <c r="B986" s="476"/>
      <c r="C986" s="476"/>
      <c r="D986" s="476"/>
      <c r="E986" s="476"/>
      <c r="F986" s="476"/>
      <c r="G986" s="476"/>
      <c r="H986" s="491"/>
      <c r="I986" s="491"/>
      <c r="J986" s="491"/>
      <c r="K986" s="476"/>
      <c r="L986" s="476"/>
      <c r="M986" s="476"/>
      <c r="N986" s="476"/>
      <c r="O986" s="476"/>
      <c r="P986" s="476"/>
      <c r="Q986" s="476"/>
      <c r="R986" s="476"/>
      <c r="S986" s="476"/>
      <c r="T986" s="476"/>
      <c r="U986" s="476"/>
      <c r="V986" s="476"/>
      <c r="W986" s="476"/>
    </row>
    <row r="987" spans="1:23" ht="12.75">
      <c r="A987" s="476"/>
      <c r="B987" s="476"/>
      <c r="C987" s="476"/>
      <c r="D987" s="476"/>
      <c r="E987" s="476"/>
      <c r="F987" s="476"/>
      <c r="G987" s="476"/>
      <c r="H987" s="491"/>
      <c r="I987" s="491"/>
      <c r="J987" s="491"/>
      <c r="K987" s="476"/>
      <c r="L987" s="476"/>
      <c r="M987" s="476"/>
      <c r="N987" s="476"/>
      <c r="O987" s="476"/>
      <c r="P987" s="476"/>
      <c r="Q987" s="476"/>
      <c r="R987" s="476"/>
      <c r="S987" s="476"/>
      <c r="T987" s="476"/>
      <c r="U987" s="476"/>
      <c r="V987" s="476"/>
      <c r="W987" s="476"/>
    </row>
    <row r="988" spans="1:23" ht="12.75">
      <c r="A988" s="476"/>
      <c r="B988" s="476"/>
      <c r="C988" s="476"/>
      <c r="D988" s="476"/>
      <c r="E988" s="476"/>
      <c r="F988" s="476"/>
      <c r="G988" s="476"/>
      <c r="H988" s="491"/>
      <c r="I988" s="491"/>
      <c r="J988" s="491"/>
      <c r="K988" s="476"/>
      <c r="L988" s="476"/>
      <c r="M988" s="476"/>
      <c r="N988" s="476"/>
      <c r="O988" s="476"/>
      <c r="P988" s="476"/>
      <c r="Q988" s="476"/>
      <c r="R988" s="476"/>
      <c r="S988" s="476"/>
      <c r="T988" s="476"/>
      <c r="U988" s="476"/>
      <c r="V988" s="476"/>
      <c r="W988" s="476"/>
    </row>
    <row r="989" spans="1:23" ht="12.75">
      <c r="A989" s="476"/>
      <c r="B989" s="476"/>
      <c r="C989" s="476"/>
      <c r="D989" s="476"/>
      <c r="E989" s="476"/>
      <c r="F989" s="476"/>
      <c r="G989" s="476"/>
      <c r="H989" s="491"/>
      <c r="I989" s="491"/>
      <c r="J989" s="491"/>
      <c r="K989" s="476"/>
      <c r="L989" s="476"/>
      <c r="M989" s="476"/>
      <c r="N989" s="476"/>
      <c r="O989" s="476"/>
      <c r="P989" s="476"/>
      <c r="Q989" s="476"/>
      <c r="R989" s="476"/>
      <c r="S989" s="476"/>
      <c r="T989" s="476"/>
      <c r="U989" s="476"/>
      <c r="V989" s="476"/>
      <c r="W989" s="476"/>
    </row>
    <row r="990" spans="1:23" ht="12.75">
      <c r="A990" s="476"/>
      <c r="B990" s="476"/>
      <c r="C990" s="476"/>
      <c r="D990" s="476"/>
      <c r="E990" s="476"/>
      <c r="F990" s="476"/>
      <c r="G990" s="476"/>
      <c r="H990" s="491"/>
      <c r="I990" s="491"/>
      <c r="J990" s="491"/>
      <c r="K990" s="476"/>
      <c r="L990" s="476"/>
      <c r="M990" s="476"/>
      <c r="N990" s="476"/>
      <c r="O990" s="476"/>
      <c r="P990" s="476"/>
      <c r="Q990" s="476"/>
      <c r="R990" s="476"/>
      <c r="S990" s="476"/>
      <c r="T990" s="476"/>
      <c r="U990" s="476"/>
      <c r="V990" s="476"/>
      <c r="W990" s="476"/>
    </row>
    <row r="991" spans="1:23" ht="12.75">
      <c r="A991" s="476"/>
      <c r="B991" s="476"/>
      <c r="C991" s="476"/>
      <c r="D991" s="476"/>
      <c r="E991" s="476"/>
      <c r="F991" s="476"/>
      <c r="G991" s="476"/>
      <c r="H991" s="491"/>
      <c r="I991" s="491"/>
      <c r="J991" s="491"/>
      <c r="K991" s="476"/>
      <c r="L991" s="476"/>
      <c r="M991" s="476"/>
      <c r="N991" s="476"/>
      <c r="O991" s="476"/>
      <c r="P991" s="476"/>
      <c r="Q991" s="476"/>
      <c r="R991" s="476"/>
      <c r="S991" s="476"/>
      <c r="T991" s="476"/>
      <c r="U991" s="476"/>
      <c r="V991" s="476"/>
      <c r="W991" s="476"/>
    </row>
    <row r="992" spans="1:23" ht="12.75">
      <c r="A992" s="476"/>
      <c r="B992" s="476"/>
      <c r="C992" s="476"/>
      <c r="D992" s="476"/>
      <c r="E992" s="476"/>
      <c r="F992" s="476"/>
      <c r="G992" s="476"/>
      <c r="H992" s="491"/>
      <c r="I992" s="491"/>
      <c r="J992" s="491"/>
      <c r="K992" s="476"/>
      <c r="L992" s="476"/>
      <c r="M992" s="476"/>
      <c r="N992" s="476"/>
      <c r="O992" s="476"/>
      <c r="P992" s="476"/>
      <c r="Q992" s="476"/>
      <c r="R992" s="476"/>
      <c r="S992" s="476"/>
      <c r="T992" s="476"/>
      <c r="U992" s="476"/>
      <c r="V992" s="476"/>
      <c r="W992" s="476"/>
    </row>
    <row r="993" spans="1:23" ht="12.75">
      <c r="A993" s="476"/>
      <c r="B993" s="476"/>
      <c r="C993" s="476"/>
      <c r="D993" s="476"/>
      <c r="E993" s="476"/>
      <c r="F993" s="476"/>
      <c r="G993" s="476"/>
      <c r="H993" s="491"/>
      <c r="I993" s="491"/>
      <c r="J993" s="491"/>
      <c r="K993" s="476"/>
      <c r="L993" s="476"/>
      <c r="M993" s="476"/>
      <c r="N993" s="476"/>
      <c r="O993" s="476"/>
      <c r="P993" s="476"/>
      <c r="Q993" s="476"/>
      <c r="R993" s="476"/>
      <c r="S993" s="476"/>
      <c r="T993" s="476"/>
      <c r="U993" s="476"/>
      <c r="V993" s="476"/>
      <c r="W993" s="476"/>
    </row>
    <row r="994" spans="1:23" ht="12.75">
      <c r="A994" s="476"/>
      <c r="B994" s="476"/>
      <c r="C994" s="476"/>
      <c r="D994" s="476"/>
      <c r="E994" s="476"/>
      <c r="F994" s="476"/>
      <c r="G994" s="476"/>
      <c r="H994" s="491"/>
      <c r="I994" s="491"/>
      <c r="J994" s="491"/>
      <c r="K994" s="476"/>
      <c r="L994" s="476"/>
      <c r="M994" s="476"/>
      <c r="N994" s="476"/>
      <c r="O994" s="476"/>
      <c r="P994" s="476"/>
      <c r="Q994" s="476"/>
      <c r="R994" s="476"/>
      <c r="S994" s="476"/>
      <c r="T994" s="476"/>
      <c r="U994" s="476"/>
      <c r="V994" s="476"/>
      <c r="W994" s="476"/>
    </row>
    <row r="995" spans="1:23" ht="12.75">
      <c r="A995" s="476"/>
      <c r="B995" s="476"/>
      <c r="C995" s="476"/>
      <c r="D995" s="476"/>
      <c r="E995" s="476"/>
      <c r="F995" s="476"/>
      <c r="G995" s="476"/>
      <c r="H995" s="491"/>
      <c r="I995" s="491"/>
      <c r="J995" s="491"/>
      <c r="K995" s="476"/>
      <c r="L995" s="476"/>
      <c r="M995" s="476"/>
      <c r="N995" s="476"/>
      <c r="O995" s="476"/>
      <c r="P995" s="476"/>
      <c r="Q995" s="476"/>
      <c r="R995" s="476"/>
      <c r="S995" s="476"/>
      <c r="T995" s="476"/>
      <c r="U995" s="476"/>
      <c r="V995" s="476"/>
      <c r="W995" s="476"/>
    </row>
    <row r="996" spans="1:23" ht="12.75">
      <c r="A996" s="476"/>
      <c r="B996" s="476"/>
      <c r="C996" s="476"/>
      <c r="D996" s="476"/>
      <c r="E996" s="476"/>
      <c r="F996" s="476"/>
      <c r="G996" s="476"/>
      <c r="H996" s="491"/>
      <c r="I996" s="491"/>
      <c r="J996" s="491"/>
      <c r="K996" s="476"/>
      <c r="L996" s="476"/>
      <c r="M996" s="476"/>
      <c r="N996" s="476"/>
      <c r="O996" s="476"/>
      <c r="P996" s="476"/>
      <c r="Q996" s="476"/>
      <c r="R996" s="476"/>
      <c r="S996" s="476"/>
      <c r="T996" s="476"/>
      <c r="U996" s="476"/>
      <c r="V996" s="476"/>
      <c r="W996" s="476"/>
    </row>
    <row r="997" spans="1:23" ht="12.75">
      <c r="A997" s="476"/>
      <c r="B997" s="476"/>
      <c r="C997" s="476"/>
      <c r="D997" s="476"/>
      <c r="E997" s="476"/>
      <c r="F997" s="476"/>
      <c r="G997" s="476"/>
      <c r="H997" s="491"/>
      <c r="I997" s="491"/>
      <c r="J997" s="491"/>
      <c r="K997" s="476"/>
      <c r="L997" s="476"/>
      <c r="M997" s="476"/>
      <c r="N997" s="476"/>
      <c r="O997" s="476"/>
      <c r="P997" s="476"/>
      <c r="Q997" s="476"/>
      <c r="R997" s="476"/>
      <c r="S997" s="476"/>
      <c r="T997" s="476"/>
      <c r="U997" s="476"/>
      <c r="V997" s="476"/>
      <c r="W997" s="476"/>
    </row>
    <row r="998" spans="1:23" ht="12.75">
      <c r="A998" s="476"/>
      <c r="B998" s="476"/>
      <c r="C998" s="476"/>
      <c r="D998" s="476"/>
      <c r="E998" s="476"/>
      <c r="F998" s="476"/>
      <c r="G998" s="476"/>
      <c r="H998" s="491"/>
      <c r="I998" s="491"/>
      <c r="J998" s="491"/>
      <c r="K998" s="476"/>
      <c r="L998" s="476"/>
      <c r="M998" s="476"/>
      <c r="N998" s="476"/>
      <c r="O998" s="476"/>
      <c r="P998" s="476"/>
      <c r="Q998" s="476"/>
      <c r="R998" s="476"/>
      <c r="S998" s="476"/>
      <c r="T998" s="476"/>
      <c r="U998" s="476"/>
      <c r="V998" s="476"/>
      <c r="W998" s="476"/>
    </row>
    <row r="999" spans="1:23" ht="12.75">
      <c r="A999" s="476"/>
      <c r="B999" s="476"/>
      <c r="C999" s="476"/>
      <c r="D999" s="476"/>
      <c r="E999" s="476"/>
      <c r="F999" s="476"/>
      <c r="G999" s="476"/>
      <c r="H999" s="491"/>
      <c r="I999" s="491"/>
      <c r="J999" s="491"/>
      <c r="K999" s="476"/>
      <c r="L999" s="476"/>
      <c r="M999" s="476"/>
      <c r="N999" s="476"/>
      <c r="O999" s="476"/>
      <c r="P999" s="476"/>
      <c r="Q999" s="476"/>
      <c r="R999" s="476"/>
      <c r="S999" s="476"/>
      <c r="T999" s="476"/>
      <c r="U999" s="476"/>
      <c r="V999" s="476"/>
      <c r="W999" s="476"/>
    </row>
    <row r="1000" spans="1:23" ht="12.75">
      <c r="A1000" s="476"/>
      <c r="B1000" s="476"/>
      <c r="C1000" s="476"/>
      <c r="D1000" s="476"/>
      <c r="E1000" s="476"/>
      <c r="F1000" s="476"/>
      <c r="G1000" s="476"/>
      <c r="H1000" s="491"/>
      <c r="I1000" s="491"/>
      <c r="J1000" s="491"/>
      <c r="K1000" s="476"/>
      <c r="L1000" s="476"/>
      <c r="M1000" s="476"/>
      <c r="N1000" s="476"/>
      <c r="O1000" s="476"/>
      <c r="P1000" s="476"/>
      <c r="Q1000" s="476"/>
      <c r="R1000" s="476"/>
      <c r="S1000" s="476"/>
      <c r="T1000" s="476"/>
      <c r="U1000" s="476"/>
      <c r="V1000" s="476"/>
      <c r="W1000" s="476"/>
    </row>
    <row r="1001" spans="1:23" ht="12.75">
      <c r="A1001" s="476"/>
      <c r="B1001" s="476"/>
      <c r="C1001" s="476"/>
      <c r="D1001" s="476"/>
      <c r="E1001" s="476"/>
      <c r="F1001" s="476"/>
      <c r="G1001" s="476"/>
      <c r="H1001" s="491"/>
      <c r="I1001" s="491"/>
      <c r="J1001" s="491"/>
      <c r="K1001" s="476"/>
      <c r="L1001" s="476"/>
      <c r="M1001" s="476"/>
      <c r="N1001" s="476"/>
      <c r="O1001" s="476"/>
      <c r="P1001" s="476"/>
      <c r="Q1001" s="476"/>
      <c r="R1001" s="476"/>
      <c r="S1001" s="476"/>
      <c r="T1001" s="476"/>
      <c r="U1001" s="476"/>
      <c r="V1001" s="476"/>
      <c r="W1001" s="476"/>
    </row>
    <row r="1002" spans="1:23" ht="12.75">
      <c r="A1002" s="476"/>
      <c r="B1002" s="476"/>
      <c r="C1002" s="476"/>
      <c r="D1002" s="476"/>
      <c r="E1002" s="476"/>
      <c r="F1002" s="476"/>
      <c r="G1002" s="476"/>
      <c r="H1002" s="491"/>
      <c r="I1002" s="491"/>
      <c r="J1002" s="491"/>
      <c r="K1002" s="476"/>
      <c r="L1002" s="476"/>
      <c r="M1002" s="476"/>
      <c r="N1002" s="476"/>
      <c r="O1002" s="476"/>
      <c r="P1002" s="476"/>
      <c r="Q1002" s="476"/>
      <c r="R1002" s="476"/>
      <c r="S1002" s="476"/>
      <c r="T1002" s="476"/>
      <c r="U1002" s="476"/>
      <c r="V1002" s="476"/>
      <c r="W1002" s="476"/>
    </row>
    <row r="1003" spans="1:23" ht="12.75">
      <c r="A1003" s="476"/>
      <c r="B1003" s="476"/>
      <c r="C1003" s="476"/>
      <c r="D1003" s="476"/>
      <c r="E1003" s="476"/>
      <c r="F1003" s="476"/>
      <c r="G1003" s="476"/>
      <c r="H1003" s="491"/>
      <c r="I1003" s="491"/>
      <c r="J1003" s="491"/>
      <c r="K1003" s="476"/>
      <c r="L1003" s="476"/>
      <c r="M1003" s="476"/>
      <c r="N1003" s="476"/>
      <c r="O1003" s="476"/>
      <c r="P1003" s="476"/>
      <c r="Q1003" s="476"/>
      <c r="R1003" s="476"/>
      <c r="S1003" s="476"/>
      <c r="T1003" s="476"/>
      <c r="U1003" s="476"/>
      <c r="V1003" s="476"/>
      <c r="W1003" s="476"/>
    </row>
    <row r="1004" spans="1:23" ht="12.75">
      <c r="A1004" s="476"/>
      <c r="B1004" s="476"/>
      <c r="C1004" s="476"/>
      <c r="D1004" s="476"/>
      <c r="E1004" s="476"/>
      <c r="F1004" s="476"/>
      <c r="G1004" s="476"/>
      <c r="H1004" s="491"/>
      <c r="I1004" s="491"/>
      <c r="J1004" s="491"/>
      <c r="K1004" s="476"/>
      <c r="L1004" s="476"/>
      <c r="M1004" s="476"/>
      <c r="N1004" s="476"/>
      <c r="O1004" s="476"/>
      <c r="P1004" s="476"/>
      <c r="Q1004" s="476"/>
      <c r="R1004" s="476"/>
      <c r="S1004" s="476"/>
      <c r="T1004" s="476"/>
      <c r="U1004" s="476"/>
      <c r="V1004" s="476"/>
      <c r="W1004" s="476"/>
    </row>
    <row r="1005" spans="1:23" ht="12.75">
      <c r="A1005" s="476"/>
      <c r="B1005" s="476"/>
      <c r="C1005" s="476"/>
      <c r="D1005" s="476"/>
      <c r="E1005" s="476"/>
      <c r="F1005" s="476"/>
      <c r="G1005" s="476"/>
      <c r="H1005" s="491"/>
      <c r="I1005" s="491"/>
      <c r="J1005" s="491"/>
      <c r="K1005" s="476"/>
      <c r="L1005" s="476"/>
      <c r="M1005" s="476"/>
      <c r="N1005" s="476"/>
      <c r="O1005" s="476"/>
      <c r="P1005" s="476"/>
      <c r="Q1005" s="476"/>
      <c r="R1005" s="476"/>
      <c r="S1005" s="476"/>
      <c r="T1005" s="476"/>
      <c r="U1005" s="476"/>
      <c r="V1005" s="476"/>
      <c r="W1005" s="476"/>
    </row>
    <row r="1006" spans="1:23" ht="12.75">
      <c r="A1006" s="476"/>
      <c r="B1006" s="476"/>
      <c r="C1006" s="476"/>
      <c r="D1006" s="476"/>
      <c r="E1006" s="476"/>
      <c r="F1006" s="476"/>
      <c r="G1006" s="476"/>
      <c r="H1006" s="491"/>
      <c r="I1006" s="491"/>
      <c r="J1006" s="491"/>
      <c r="K1006" s="476"/>
      <c r="L1006" s="476"/>
      <c r="M1006" s="476"/>
      <c r="N1006" s="476"/>
      <c r="O1006" s="476"/>
      <c r="P1006" s="476"/>
      <c r="Q1006" s="476"/>
      <c r="R1006" s="476"/>
      <c r="S1006" s="476"/>
      <c r="T1006" s="476"/>
      <c r="U1006" s="476"/>
      <c r="V1006" s="476"/>
      <c r="W1006" s="476"/>
    </row>
    <row r="1007" spans="1:23" ht="12.75">
      <c r="A1007" s="476"/>
      <c r="B1007" s="476"/>
      <c r="C1007" s="476"/>
      <c r="D1007" s="476"/>
      <c r="E1007" s="476"/>
      <c r="F1007" s="476"/>
      <c r="G1007" s="476"/>
      <c r="H1007" s="491"/>
      <c r="I1007" s="491"/>
      <c r="J1007" s="491"/>
      <c r="K1007" s="476"/>
      <c r="L1007" s="476"/>
      <c r="M1007" s="476"/>
      <c r="N1007" s="476"/>
      <c r="O1007" s="476"/>
      <c r="P1007" s="476"/>
      <c r="Q1007" s="476"/>
      <c r="R1007" s="476"/>
      <c r="S1007" s="476"/>
      <c r="T1007" s="476"/>
      <c r="U1007" s="476"/>
      <c r="V1007" s="476"/>
      <c r="W1007" s="476"/>
    </row>
    <row r="1008" spans="1:23" ht="12.75">
      <c r="A1008" s="476"/>
      <c r="B1008" s="476"/>
      <c r="C1008" s="476"/>
      <c r="D1008" s="476"/>
      <c r="E1008" s="476"/>
      <c r="F1008" s="476"/>
      <c r="G1008" s="476"/>
      <c r="H1008" s="491"/>
      <c r="I1008" s="491"/>
      <c r="J1008" s="491"/>
      <c r="K1008" s="476"/>
      <c r="L1008" s="476"/>
      <c r="M1008" s="476"/>
      <c r="N1008" s="476"/>
      <c r="O1008" s="476"/>
      <c r="P1008" s="476"/>
      <c r="Q1008" s="476"/>
      <c r="R1008" s="476"/>
      <c r="S1008" s="476"/>
      <c r="T1008" s="476"/>
      <c r="U1008" s="476"/>
      <c r="V1008" s="476"/>
      <c r="W1008" s="476"/>
    </row>
    <row r="1009" spans="1:23" ht="12.75">
      <c r="A1009" s="476"/>
      <c r="B1009" s="476"/>
      <c r="C1009" s="476"/>
      <c r="D1009" s="476"/>
      <c r="E1009" s="476"/>
      <c r="F1009" s="476"/>
      <c r="G1009" s="476"/>
      <c r="H1009" s="491"/>
      <c r="I1009" s="491"/>
      <c r="J1009" s="491"/>
      <c r="K1009" s="476"/>
      <c r="L1009" s="476"/>
      <c r="M1009" s="476"/>
      <c r="N1009" s="476"/>
      <c r="O1009" s="476"/>
      <c r="P1009" s="476"/>
      <c r="Q1009" s="476"/>
      <c r="R1009" s="476"/>
      <c r="S1009" s="476"/>
      <c r="T1009" s="476"/>
      <c r="U1009" s="476"/>
      <c r="V1009" s="476"/>
      <c r="W1009" s="476"/>
    </row>
    <row r="1010" spans="1:23" ht="12.75">
      <c r="A1010" s="476"/>
      <c r="B1010" s="476"/>
      <c r="C1010" s="476"/>
      <c r="D1010" s="476"/>
      <c r="E1010" s="476"/>
      <c r="F1010" s="476"/>
      <c r="G1010" s="476"/>
      <c r="H1010" s="491"/>
      <c r="I1010" s="491"/>
      <c r="J1010" s="491"/>
      <c r="K1010" s="476"/>
      <c r="L1010" s="476"/>
      <c r="M1010" s="476"/>
      <c r="N1010" s="476"/>
      <c r="O1010" s="476"/>
      <c r="P1010" s="476"/>
      <c r="Q1010" s="476"/>
      <c r="R1010" s="476"/>
      <c r="S1010" s="476"/>
      <c r="T1010" s="476"/>
      <c r="U1010" s="476"/>
      <c r="V1010" s="476"/>
      <c r="W1010" s="476"/>
    </row>
    <row r="1011" spans="1:23" ht="12.75">
      <c r="A1011" s="476"/>
      <c r="B1011" s="476"/>
      <c r="C1011" s="476"/>
      <c r="D1011" s="476"/>
      <c r="E1011" s="476"/>
      <c r="F1011" s="476"/>
      <c r="G1011" s="476"/>
      <c r="H1011" s="491"/>
      <c r="I1011" s="491"/>
      <c r="J1011" s="491"/>
      <c r="K1011" s="476"/>
      <c r="L1011" s="476"/>
      <c r="M1011" s="476"/>
      <c r="N1011" s="476"/>
      <c r="O1011" s="476"/>
      <c r="P1011" s="476"/>
      <c r="Q1011" s="476"/>
      <c r="R1011" s="476"/>
      <c r="S1011" s="476"/>
      <c r="T1011" s="476"/>
      <c r="U1011" s="476"/>
      <c r="V1011" s="476"/>
      <c r="W1011" s="476"/>
    </row>
    <row r="1012" spans="1:23" ht="12.75">
      <c r="A1012" s="476"/>
      <c r="B1012" s="476"/>
      <c r="C1012" s="476"/>
      <c r="D1012" s="476"/>
      <c r="E1012" s="476"/>
      <c r="F1012" s="476"/>
      <c r="G1012" s="476"/>
      <c r="H1012" s="491"/>
      <c r="I1012" s="491"/>
      <c r="J1012" s="491"/>
      <c r="K1012" s="476"/>
      <c r="L1012" s="476"/>
      <c r="M1012" s="476"/>
      <c r="N1012" s="476"/>
      <c r="O1012" s="476"/>
      <c r="P1012" s="476"/>
      <c r="Q1012" s="476"/>
      <c r="R1012" s="476"/>
      <c r="S1012" s="476"/>
      <c r="T1012" s="476"/>
      <c r="U1012" s="476"/>
      <c r="V1012" s="476"/>
      <c r="W1012" s="476"/>
    </row>
    <row r="1013" spans="1:23" ht="12.75">
      <c r="A1013" s="476"/>
      <c r="B1013" s="476"/>
      <c r="C1013" s="476"/>
      <c r="D1013" s="476"/>
      <c r="E1013" s="476"/>
      <c r="F1013" s="476"/>
      <c r="G1013" s="476"/>
      <c r="H1013" s="491"/>
      <c r="I1013" s="491"/>
      <c r="J1013" s="491"/>
      <c r="K1013" s="476"/>
      <c r="L1013" s="476"/>
      <c r="M1013" s="476"/>
      <c r="N1013" s="476"/>
      <c r="O1013" s="476"/>
      <c r="P1013" s="476"/>
      <c r="Q1013" s="476"/>
      <c r="R1013" s="476"/>
      <c r="S1013" s="476"/>
      <c r="T1013" s="476"/>
      <c r="U1013" s="476"/>
      <c r="V1013" s="476"/>
      <c r="W1013" s="476"/>
    </row>
    <row r="1014" spans="1:23" ht="12.75">
      <c r="A1014" s="476"/>
      <c r="B1014" s="476"/>
      <c r="C1014" s="476"/>
      <c r="D1014" s="476"/>
      <c r="E1014" s="476"/>
      <c r="F1014" s="476"/>
      <c r="G1014" s="476"/>
      <c r="H1014" s="491"/>
      <c r="I1014" s="491"/>
      <c r="J1014" s="491"/>
      <c r="K1014" s="476"/>
      <c r="L1014" s="476"/>
      <c r="M1014" s="476"/>
      <c r="N1014" s="476"/>
      <c r="O1014" s="476"/>
      <c r="P1014" s="476"/>
      <c r="Q1014" s="476"/>
      <c r="R1014" s="476"/>
      <c r="S1014" s="476"/>
      <c r="T1014" s="476"/>
      <c r="U1014" s="476"/>
      <c r="V1014" s="476"/>
      <c r="W1014" s="476"/>
    </row>
    <row r="1015" spans="1:23" ht="12.75">
      <c r="A1015" s="476"/>
      <c r="B1015" s="476"/>
      <c r="C1015" s="476"/>
      <c r="D1015" s="476"/>
      <c r="E1015" s="476"/>
      <c r="F1015" s="476"/>
      <c r="G1015" s="476"/>
      <c r="H1015" s="491"/>
      <c r="I1015" s="491"/>
      <c r="J1015" s="491"/>
      <c r="K1015" s="476"/>
      <c r="L1015" s="476"/>
      <c r="M1015" s="476"/>
      <c r="N1015" s="476"/>
      <c r="O1015" s="476"/>
      <c r="P1015" s="476"/>
      <c r="Q1015" s="476"/>
      <c r="R1015" s="476"/>
      <c r="S1015" s="476"/>
      <c r="T1015" s="476"/>
      <c r="U1015" s="476"/>
      <c r="V1015" s="476"/>
      <c r="W1015" s="476"/>
    </row>
    <row r="1016" spans="1:23" ht="12.75">
      <c r="A1016" s="476"/>
      <c r="B1016" s="476"/>
      <c r="C1016" s="476"/>
      <c r="D1016" s="476"/>
      <c r="E1016" s="476"/>
      <c r="F1016" s="476"/>
      <c r="G1016" s="476"/>
      <c r="H1016" s="491"/>
      <c r="I1016" s="491"/>
      <c r="J1016" s="491"/>
      <c r="K1016" s="476"/>
      <c r="L1016" s="476"/>
      <c r="M1016" s="476"/>
      <c r="N1016" s="476"/>
      <c r="O1016" s="476"/>
      <c r="P1016" s="476"/>
      <c r="Q1016" s="476"/>
      <c r="R1016" s="476"/>
      <c r="S1016" s="476"/>
      <c r="T1016" s="476"/>
      <c r="U1016" s="476"/>
      <c r="V1016" s="476"/>
      <c r="W1016" s="476"/>
    </row>
    <row r="1017" spans="1:23" ht="12.75">
      <c r="A1017" s="476"/>
      <c r="B1017" s="476"/>
      <c r="C1017" s="476"/>
      <c r="D1017" s="476"/>
      <c r="E1017" s="476"/>
      <c r="F1017" s="476"/>
      <c r="G1017" s="476"/>
      <c r="H1017" s="491"/>
      <c r="I1017" s="491"/>
      <c r="J1017" s="491"/>
      <c r="K1017" s="476"/>
      <c r="L1017" s="476"/>
      <c r="M1017" s="476"/>
      <c r="N1017" s="476"/>
      <c r="O1017" s="476"/>
      <c r="P1017" s="476"/>
      <c r="Q1017" s="476"/>
      <c r="R1017" s="476"/>
      <c r="S1017" s="476"/>
      <c r="T1017" s="476"/>
      <c r="U1017" s="476"/>
      <c r="V1017" s="476"/>
      <c r="W1017" s="476"/>
    </row>
    <row r="1018" spans="1:23" ht="12.75">
      <c r="A1018" s="476"/>
      <c r="B1018" s="476"/>
      <c r="C1018" s="476"/>
      <c r="D1018" s="476"/>
      <c r="E1018" s="476"/>
      <c r="F1018" s="476"/>
      <c r="G1018" s="476"/>
      <c r="H1018" s="491"/>
      <c r="I1018" s="491"/>
      <c r="J1018" s="491"/>
      <c r="K1018" s="476"/>
      <c r="L1018" s="476"/>
      <c r="M1018" s="476"/>
      <c r="N1018" s="476"/>
      <c r="O1018" s="476"/>
      <c r="P1018" s="476"/>
      <c r="Q1018" s="476"/>
      <c r="R1018" s="476"/>
      <c r="S1018" s="476"/>
      <c r="T1018" s="476"/>
      <c r="U1018" s="476"/>
      <c r="V1018" s="476"/>
      <c r="W1018" s="476"/>
    </row>
    <row r="1019" spans="1:23" ht="12.75">
      <c r="A1019" s="476"/>
      <c r="B1019" s="476"/>
      <c r="C1019" s="476"/>
      <c r="D1019" s="476"/>
      <c r="E1019" s="476"/>
      <c r="F1019" s="476"/>
      <c r="G1019" s="476"/>
      <c r="H1019" s="491"/>
      <c r="I1019" s="491"/>
      <c r="J1019" s="491"/>
      <c r="K1019" s="476"/>
      <c r="L1019" s="476"/>
      <c r="M1019" s="476"/>
      <c r="N1019" s="476"/>
      <c r="O1019" s="476"/>
      <c r="P1019" s="476"/>
      <c r="Q1019" s="476"/>
      <c r="R1019" s="476"/>
      <c r="S1019" s="476"/>
      <c r="T1019" s="476"/>
      <c r="U1019" s="476"/>
      <c r="V1019" s="476"/>
      <c r="W1019" s="476"/>
    </row>
    <row r="1020" spans="1:23" ht="12.75">
      <c r="A1020" s="476"/>
      <c r="B1020" s="476"/>
      <c r="C1020" s="476"/>
      <c r="D1020" s="476"/>
      <c r="E1020" s="476"/>
      <c r="F1020" s="476"/>
      <c r="G1020" s="476"/>
      <c r="H1020" s="491"/>
      <c r="I1020" s="491"/>
      <c r="J1020" s="491"/>
      <c r="K1020" s="476"/>
      <c r="L1020" s="476"/>
      <c r="M1020" s="476"/>
      <c r="N1020" s="476"/>
      <c r="O1020" s="476"/>
      <c r="P1020" s="476"/>
      <c r="Q1020" s="476"/>
      <c r="R1020" s="476"/>
      <c r="S1020" s="476"/>
      <c r="T1020" s="476"/>
      <c r="U1020" s="476"/>
      <c r="V1020" s="476"/>
      <c r="W1020" s="476"/>
    </row>
    <row r="1021" spans="1:23" ht="12.75">
      <c r="A1021" s="476"/>
      <c r="B1021" s="476"/>
      <c r="C1021" s="476"/>
      <c r="D1021" s="476"/>
      <c r="E1021" s="476"/>
      <c r="F1021" s="476"/>
      <c r="G1021" s="476"/>
      <c r="H1021" s="491"/>
      <c r="I1021" s="491"/>
      <c r="J1021" s="491"/>
      <c r="K1021" s="476"/>
      <c r="L1021" s="476"/>
      <c r="M1021" s="476"/>
      <c r="N1021" s="476"/>
      <c r="O1021" s="476"/>
      <c r="P1021" s="476"/>
      <c r="Q1021" s="476"/>
      <c r="R1021" s="476"/>
      <c r="S1021" s="476"/>
      <c r="T1021" s="476"/>
      <c r="U1021" s="476"/>
      <c r="V1021" s="476"/>
      <c r="W1021" s="476"/>
    </row>
    <row r="1022" spans="1:23" ht="12.75">
      <c r="A1022" s="476"/>
      <c r="B1022" s="476"/>
      <c r="C1022" s="476"/>
      <c r="D1022" s="476"/>
      <c r="E1022" s="476"/>
      <c r="F1022" s="476"/>
      <c r="G1022" s="476"/>
      <c r="H1022" s="491"/>
      <c r="I1022" s="491"/>
      <c r="J1022" s="491"/>
      <c r="K1022" s="476"/>
      <c r="L1022" s="476"/>
      <c r="M1022" s="476"/>
      <c r="N1022" s="476"/>
      <c r="O1022" s="476"/>
      <c r="P1022" s="476"/>
      <c r="Q1022" s="476"/>
      <c r="R1022" s="476"/>
      <c r="S1022" s="476"/>
      <c r="T1022" s="476"/>
      <c r="U1022" s="476"/>
      <c r="V1022" s="476"/>
      <c r="W1022" s="476"/>
    </row>
  </sheetData>
  <customSheetViews>
    <customSheetView guid="{A4966ECC-B0BE-45E0-BE69-AEAAC16366C4}" filter="1" showAutoFilter="1">
      <pageMargins left="0.7" right="0.7" top="0.75" bottom="0.75" header="0.3" footer="0.3"/>
      <autoFilter ref="B1:B2" xr:uid="{081428D9-7D4A-458F-95BB-08C1A591B186}"/>
    </customSheetView>
  </customSheetViews>
  <mergeCells count="928">
    <mergeCell ref="S313:S315"/>
    <mergeCell ref="T310:T312"/>
    <mergeCell ref="S310:S312"/>
    <mergeCell ref="S307:S309"/>
    <mergeCell ref="S304:S306"/>
    <mergeCell ref="S302:S303"/>
    <mergeCell ref="S325:S327"/>
    <mergeCell ref="O1:P1"/>
    <mergeCell ref="T304:T306"/>
    <mergeCell ref="T307:T309"/>
    <mergeCell ref="T283:T285"/>
    <mergeCell ref="T286:T288"/>
    <mergeCell ref="T289:T292"/>
    <mergeCell ref="T293:T294"/>
    <mergeCell ref="T295:T296"/>
    <mergeCell ref="T300:T301"/>
    <mergeCell ref="T302:T303"/>
    <mergeCell ref="T278:T282"/>
    <mergeCell ref="S278:S282"/>
    <mergeCell ref="S283:S285"/>
    <mergeCell ref="S286:S288"/>
    <mergeCell ref="S289:S292"/>
    <mergeCell ref="S293:S294"/>
    <mergeCell ref="S605:S607"/>
    <mergeCell ref="S608:S610"/>
    <mergeCell ref="S582:S584"/>
    <mergeCell ref="S585:S587"/>
    <mergeCell ref="S588:S590"/>
    <mergeCell ref="S591:S593"/>
    <mergeCell ref="S594:S595"/>
    <mergeCell ref="S596:S597"/>
    <mergeCell ref="S602:S604"/>
    <mergeCell ref="T588:T590"/>
    <mergeCell ref="T591:T593"/>
    <mergeCell ref="T594:T595"/>
    <mergeCell ref="T596:T597"/>
    <mergeCell ref="T602:T604"/>
    <mergeCell ref="T605:T607"/>
    <mergeCell ref="T608:T610"/>
    <mergeCell ref="T561:T567"/>
    <mergeCell ref="T568:T570"/>
    <mergeCell ref="T571:T573"/>
    <mergeCell ref="T574:T576"/>
    <mergeCell ref="T577:T578"/>
    <mergeCell ref="T579:T581"/>
    <mergeCell ref="T582:T584"/>
    <mergeCell ref="T558:T560"/>
    <mergeCell ref="S558:S560"/>
    <mergeCell ref="S561:S567"/>
    <mergeCell ref="S568:S570"/>
    <mergeCell ref="S571:S573"/>
    <mergeCell ref="S574:S576"/>
    <mergeCell ref="S577:S578"/>
    <mergeCell ref="S579:S581"/>
    <mergeCell ref="T585:T587"/>
    <mergeCell ref="S540:S542"/>
    <mergeCell ref="S543:S545"/>
    <mergeCell ref="S546:S548"/>
    <mergeCell ref="S549:S551"/>
    <mergeCell ref="S552:S554"/>
    <mergeCell ref="S555:S557"/>
    <mergeCell ref="T540:T542"/>
    <mergeCell ref="T543:T545"/>
    <mergeCell ref="T546:T548"/>
    <mergeCell ref="T549:T551"/>
    <mergeCell ref="T552:T554"/>
    <mergeCell ref="T555:T557"/>
    <mergeCell ref="S425:S427"/>
    <mergeCell ref="T425:T427"/>
    <mergeCell ref="S529:S531"/>
    <mergeCell ref="T529:T531"/>
    <mergeCell ref="S532:S534"/>
    <mergeCell ref="T532:T534"/>
    <mergeCell ref="S535:S536"/>
    <mergeCell ref="T535:T536"/>
    <mergeCell ref="T537:T539"/>
    <mergeCell ref="S537:S539"/>
    <mergeCell ref="S519:S525"/>
    <mergeCell ref="T519:T525"/>
    <mergeCell ref="S526:S528"/>
    <mergeCell ref="T526:T528"/>
    <mergeCell ref="S488:S490"/>
    <mergeCell ref="S491:S493"/>
    <mergeCell ref="S494:S496"/>
    <mergeCell ref="S497:S499"/>
    <mergeCell ref="S500:S502"/>
    <mergeCell ref="S503:S505"/>
    <mergeCell ref="S510:S512"/>
    <mergeCell ref="S513:S515"/>
    <mergeCell ref="S516:S518"/>
    <mergeCell ref="S482:S484"/>
    <mergeCell ref="S409:S411"/>
    <mergeCell ref="T409:T411"/>
    <mergeCell ref="S412:S415"/>
    <mergeCell ref="T412:T415"/>
    <mergeCell ref="T416:T418"/>
    <mergeCell ref="S416:S418"/>
    <mergeCell ref="S419:S422"/>
    <mergeCell ref="T419:T422"/>
    <mergeCell ref="S423:S424"/>
    <mergeCell ref="T423:T424"/>
    <mergeCell ref="S400:S402"/>
    <mergeCell ref="S403:S405"/>
    <mergeCell ref="T385:T387"/>
    <mergeCell ref="T388:T390"/>
    <mergeCell ref="S391:S393"/>
    <mergeCell ref="T391:T393"/>
    <mergeCell ref="S394:S396"/>
    <mergeCell ref="T394:T396"/>
    <mergeCell ref="T397:T399"/>
    <mergeCell ref="T400:T402"/>
    <mergeCell ref="T403:T405"/>
    <mergeCell ref="S388:S390"/>
    <mergeCell ref="S374:S375"/>
    <mergeCell ref="T374:T375"/>
    <mergeCell ref="S376:S378"/>
    <mergeCell ref="T376:T378"/>
    <mergeCell ref="S379:S381"/>
    <mergeCell ref="T379:T381"/>
    <mergeCell ref="T382:T384"/>
    <mergeCell ref="S397:S399"/>
    <mergeCell ref="S362:S363"/>
    <mergeCell ref="S364:S366"/>
    <mergeCell ref="T364:T366"/>
    <mergeCell ref="S367:S369"/>
    <mergeCell ref="T367:T369"/>
    <mergeCell ref="S370:S373"/>
    <mergeCell ref="T370:T373"/>
    <mergeCell ref="S382:S384"/>
    <mergeCell ref="S385:S387"/>
    <mergeCell ref="S350:S351"/>
    <mergeCell ref="S352:S353"/>
    <mergeCell ref="S354:S357"/>
    <mergeCell ref="S343:S345"/>
    <mergeCell ref="T343:T345"/>
    <mergeCell ref="S346:S347"/>
    <mergeCell ref="T346:T347"/>
    <mergeCell ref="S348:S349"/>
    <mergeCell ref="T348:T349"/>
    <mergeCell ref="T350:T351"/>
    <mergeCell ref="T352:T353"/>
    <mergeCell ref="T468:T470"/>
    <mergeCell ref="T471:T472"/>
    <mergeCell ref="T473:T475"/>
    <mergeCell ref="T476:T478"/>
    <mergeCell ref="T479:T481"/>
    <mergeCell ref="T482:T484"/>
    <mergeCell ref="T485:T487"/>
    <mergeCell ref="S485:S487"/>
    <mergeCell ref="S458:S464"/>
    <mergeCell ref="T458:T464"/>
    <mergeCell ref="T465:T467"/>
    <mergeCell ref="S465:S467"/>
    <mergeCell ref="S468:S470"/>
    <mergeCell ref="S471:S472"/>
    <mergeCell ref="S473:S475"/>
    <mergeCell ref="S476:S478"/>
    <mergeCell ref="S479:S481"/>
    <mergeCell ref="S443:S445"/>
    <mergeCell ref="S446:S448"/>
    <mergeCell ref="T446:T448"/>
    <mergeCell ref="S449:S451"/>
    <mergeCell ref="T449:T451"/>
    <mergeCell ref="S452:S454"/>
    <mergeCell ref="T452:T454"/>
    <mergeCell ref="S455:S457"/>
    <mergeCell ref="T455:T457"/>
    <mergeCell ref="T443:T445"/>
    <mergeCell ref="T513:T515"/>
    <mergeCell ref="T516:T518"/>
    <mergeCell ref="T488:T490"/>
    <mergeCell ref="T491:T493"/>
    <mergeCell ref="T494:T496"/>
    <mergeCell ref="T497:T499"/>
    <mergeCell ref="T500:T502"/>
    <mergeCell ref="T503:T505"/>
    <mergeCell ref="T510:T512"/>
    <mergeCell ref="S295:S296"/>
    <mergeCell ref="S300:S301"/>
    <mergeCell ref="T440:T442"/>
    <mergeCell ref="S428:S430"/>
    <mergeCell ref="T428:T430"/>
    <mergeCell ref="S431:S433"/>
    <mergeCell ref="T431:T433"/>
    <mergeCell ref="S434:S436"/>
    <mergeCell ref="T434:T436"/>
    <mergeCell ref="T437:T439"/>
    <mergeCell ref="S437:S439"/>
    <mergeCell ref="S440:S442"/>
    <mergeCell ref="T354:T357"/>
    <mergeCell ref="S358:S359"/>
    <mergeCell ref="T358:T359"/>
    <mergeCell ref="S360:S361"/>
    <mergeCell ref="T360:T361"/>
    <mergeCell ref="T362:T363"/>
    <mergeCell ref="T331:T333"/>
    <mergeCell ref="S331:S333"/>
    <mergeCell ref="S334:S336"/>
    <mergeCell ref="T334:T336"/>
    <mergeCell ref="S337:S339"/>
    <mergeCell ref="T337:T339"/>
    <mergeCell ref="S271:S272"/>
    <mergeCell ref="S273:S275"/>
    <mergeCell ref="S276:S277"/>
    <mergeCell ref="T259:T261"/>
    <mergeCell ref="T262:T264"/>
    <mergeCell ref="T269:T270"/>
    <mergeCell ref="T271:T272"/>
    <mergeCell ref="T273:T275"/>
    <mergeCell ref="T276:T277"/>
    <mergeCell ref="S251:S253"/>
    <mergeCell ref="T251:T253"/>
    <mergeCell ref="S254:S255"/>
    <mergeCell ref="T254:T255"/>
    <mergeCell ref="T256:T258"/>
    <mergeCell ref="S256:S258"/>
    <mergeCell ref="S259:S261"/>
    <mergeCell ref="S262:S264"/>
    <mergeCell ref="S269:S270"/>
    <mergeCell ref="S340:S342"/>
    <mergeCell ref="T340:T342"/>
    <mergeCell ref="S87:S89"/>
    <mergeCell ref="T87:T89"/>
    <mergeCell ref="S90:S92"/>
    <mergeCell ref="T90:T92"/>
    <mergeCell ref="S96:S99"/>
    <mergeCell ref="T96:T99"/>
    <mergeCell ref="T100:T101"/>
    <mergeCell ref="S100:S101"/>
    <mergeCell ref="S102:S104"/>
    <mergeCell ref="T102:T104"/>
    <mergeCell ref="S105:S107"/>
    <mergeCell ref="T105:T107"/>
    <mergeCell ref="S108:S110"/>
    <mergeCell ref="T108:T110"/>
    <mergeCell ref="S244:S250"/>
    <mergeCell ref="T244:T250"/>
    <mergeCell ref="S328:S330"/>
    <mergeCell ref="S316:S318"/>
    <mergeCell ref="T316:T318"/>
    <mergeCell ref="S319:S321"/>
    <mergeCell ref="T319:T321"/>
    <mergeCell ref="S322:S324"/>
    <mergeCell ref="T322:T324"/>
    <mergeCell ref="T325:T327"/>
    <mergeCell ref="T328:T330"/>
    <mergeCell ref="Y286:Y287"/>
    <mergeCell ref="Z286:Z287"/>
    <mergeCell ref="AA286:AA287"/>
    <mergeCell ref="Y289:Y290"/>
    <mergeCell ref="Z289:Z290"/>
    <mergeCell ref="AA289:AA290"/>
    <mergeCell ref="Y291:Y292"/>
    <mergeCell ref="Z291:Z292"/>
    <mergeCell ref="T313:T315"/>
    <mergeCell ref="Y278:Y279"/>
    <mergeCell ref="Z278:Z279"/>
    <mergeCell ref="AC278:AC279"/>
    <mergeCell ref="Z280:Z281"/>
    <mergeCell ref="AC280:AC281"/>
    <mergeCell ref="Y280:Y281"/>
    <mergeCell ref="Y283:Y285"/>
    <mergeCell ref="Z283:Z285"/>
    <mergeCell ref="AA283:AA285"/>
    <mergeCell ref="AB283:AB285"/>
    <mergeCell ref="AC283:AC285"/>
    <mergeCell ref="E184:E186"/>
    <mergeCell ref="F184:F186"/>
    <mergeCell ref="F187:F189"/>
    <mergeCell ref="A205:A208"/>
    <mergeCell ref="B205:B208"/>
    <mergeCell ref="C205:C208"/>
    <mergeCell ref="D205:D208"/>
    <mergeCell ref="E205:E208"/>
    <mergeCell ref="F205:F208"/>
    <mergeCell ref="E187:E189"/>
    <mergeCell ref="E190:E192"/>
    <mergeCell ref="E193:E195"/>
    <mergeCell ref="E196:E198"/>
    <mergeCell ref="E199:E200"/>
    <mergeCell ref="E201:E202"/>
    <mergeCell ref="E203:E204"/>
    <mergeCell ref="F190:F192"/>
    <mergeCell ref="F193:F195"/>
    <mergeCell ref="F196:F198"/>
    <mergeCell ref="F199:F200"/>
    <mergeCell ref="F201:F202"/>
    <mergeCell ref="F203:F204"/>
    <mergeCell ref="E169:E171"/>
    <mergeCell ref="F169:F171"/>
    <mergeCell ref="E172:E174"/>
    <mergeCell ref="F172:F174"/>
    <mergeCell ref="E175:E177"/>
    <mergeCell ref="F175:F177"/>
    <mergeCell ref="E178:E180"/>
    <mergeCell ref="F178:F180"/>
    <mergeCell ref="E181:E183"/>
    <mergeCell ref="F181:F183"/>
    <mergeCell ref="E159:E160"/>
    <mergeCell ref="F159:F160"/>
    <mergeCell ref="F166:F168"/>
    <mergeCell ref="E126:E128"/>
    <mergeCell ref="E129:E131"/>
    <mergeCell ref="E132:E133"/>
    <mergeCell ref="E138:E139"/>
    <mergeCell ref="E140:E147"/>
    <mergeCell ref="E148:E150"/>
    <mergeCell ref="E151:E154"/>
    <mergeCell ref="E166:E168"/>
    <mergeCell ref="F148:F150"/>
    <mergeCell ref="F151:F154"/>
    <mergeCell ref="F155:F158"/>
    <mergeCell ref="F120:F121"/>
    <mergeCell ref="F126:F128"/>
    <mergeCell ref="E155:E158"/>
    <mergeCell ref="E105:E107"/>
    <mergeCell ref="F105:F107"/>
    <mergeCell ref="E108:E110"/>
    <mergeCell ref="F108:F110"/>
    <mergeCell ref="F129:F131"/>
    <mergeCell ref="F132:F133"/>
    <mergeCell ref="F138:F139"/>
    <mergeCell ref="F140:F147"/>
    <mergeCell ref="I144:I147"/>
    <mergeCell ref="E74:E75"/>
    <mergeCell ref="E76:E81"/>
    <mergeCell ref="E82:E84"/>
    <mergeCell ref="E85:E86"/>
    <mergeCell ref="E87:E89"/>
    <mergeCell ref="E90:E92"/>
    <mergeCell ref="E96:E99"/>
    <mergeCell ref="E100:E101"/>
    <mergeCell ref="E102:E104"/>
    <mergeCell ref="F100:F101"/>
    <mergeCell ref="F102:F104"/>
    <mergeCell ref="F74:F75"/>
    <mergeCell ref="F76:F81"/>
    <mergeCell ref="F82:F84"/>
    <mergeCell ref="F85:F86"/>
    <mergeCell ref="F87:F89"/>
    <mergeCell ref="F90:F92"/>
    <mergeCell ref="F96:F99"/>
    <mergeCell ref="E111:E112"/>
    <mergeCell ref="F111:F112"/>
    <mergeCell ref="E117:E119"/>
    <mergeCell ref="F117:F119"/>
    <mergeCell ref="E120:E121"/>
    <mergeCell ref="E68:E70"/>
    <mergeCell ref="F45:F46"/>
    <mergeCell ref="F47:F49"/>
    <mergeCell ref="F53:F55"/>
    <mergeCell ref="F56:F58"/>
    <mergeCell ref="F59:F60"/>
    <mergeCell ref="F68:F70"/>
    <mergeCell ref="F71:F73"/>
    <mergeCell ref="E71:E73"/>
    <mergeCell ref="E62:E63"/>
    <mergeCell ref="F62:F63"/>
    <mergeCell ref="F21:F23"/>
    <mergeCell ref="E24:E26"/>
    <mergeCell ref="F24:F26"/>
    <mergeCell ref="E33:E35"/>
    <mergeCell ref="F33:F35"/>
    <mergeCell ref="E36:E38"/>
    <mergeCell ref="F36:F38"/>
    <mergeCell ref="E39:E41"/>
    <mergeCell ref="F39:F41"/>
    <mergeCell ref="E27:E28"/>
    <mergeCell ref="F27:F28"/>
    <mergeCell ref="F4:F6"/>
    <mergeCell ref="E9:E11"/>
    <mergeCell ref="F9:F11"/>
    <mergeCell ref="E12:E14"/>
    <mergeCell ref="F12:F14"/>
    <mergeCell ref="F16:F17"/>
    <mergeCell ref="E16:E17"/>
    <mergeCell ref="E18:E20"/>
    <mergeCell ref="F18:F20"/>
    <mergeCell ref="S27:S28"/>
    <mergeCell ref="T27:T28"/>
    <mergeCell ref="AB27:AB28"/>
    <mergeCell ref="AC27:AC28"/>
    <mergeCell ref="S33:S35"/>
    <mergeCell ref="T33:T35"/>
    <mergeCell ref="S62:S63"/>
    <mergeCell ref="T62:T63"/>
    <mergeCell ref="F42:F44"/>
    <mergeCell ref="AB45:AB46"/>
    <mergeCell ref="AC45:AC46"/>
    <mergeCell ref="AB47:AB52"/>
    <mergeCell ref="AC47:AC52"/>
    <mergeCell ref="AB61:AB63"/>
    <mergeCell ref="AC61:AC63"/>
    <mergeCell ref="T45:T46"/>
    <mergeCell ref="S45:S46"/>
    <mergeCell ref="S47:S49"/>
    <mergeCell ref="T47:T49"/>
    <mergeCell ref="S53:S55"/>
    <mergeCell ref="T53:T55"/>
    <mergeCell ref="S56:S58"/>
    <mergeCell ref="T56:T58"/>
    <mergeCell ref="S59:S60"/>
    <mergeCell ref="E42:E44"/>
    <mergeCell ref="E45:E46"/>
    <mergeCell ref="E47:E49"/>
    <mergeCell ref="E53:E55"/>
    <mergeCell ref="E56:E58"/>
    <mergeCell ref="E59:E60"/>
    <mergeCell ref="A1:A2"/>
    <mergeCell ref="B1:B2"/>
    <mergeCell ref="C1:C2"/>
    <mergeCell ref="D1:D2"/>
    <mergeCell ref="E1:E2"/>
    <mergeCell ref="E4:E6"/>
    <mergeCell ref="E21:E23"/>
    <mergeCell ref="F1:F2"/>
    <mergeCell ref="G1:G2"/>
    <mergeCell ref="Q1:R1"/>
    <mergeCell ref="S1:T1"/>
    <mergeCell ref="M1:N1"/>
    <mergeCell ref="L1:L2"/>
    <mergeCell ref="K1:K2"/>
    <mergeCell ref="J1:J2"/>
    <mergeCell ref="I1:I2"/>
    <mergeCell ref="H1:H2"/>
    <mergeCell ref="AB12:AB14"/>
    <mergeCell ref="AC12:AC14"/>
    <mergeCell ref="AB196:AB198"/>
    <mergeCell ref="AC196:AC198"/>
    <mergeCell ref="AB205:AB206"/>
    <mergeCell ref="AC205:AC206"/>
    <mergeCell ref="AB209:AB210"/>
    <mergeCell ref="AC209:AC210"/>
    <mergeCell ref="AC211:AC216"/>
    <mergeCell ref="U1:U2"/>
    <mergeCell ref="V1:V2"/>
    <mergeCell ref="W1:W2"/>
    <mergeCell ref="X1:X2"/>
    <mergeCell ref="Y1:Y2"/>
    <mergeCell ref="Z1:Z2"/>
    <mergeCell ref="AA1:AA2"/>
    <mergeCell ref="AB1:AC1"/>
    <mergeCell ref="AB4:AB6"/>
    <mergeCell ref="AC4:AC6"/>
    <mergeCell ref="AC409:AC411"/>
    <mergeCell ref="Y412:Y413"/>
    <mergeCell ref="AC293:AC294"/>
    <mergeCell ref="AB348:AB353"/>
    <mergeCell ref="AC348:AC353"/>
    <mergeCell ref="Y419:Y420"/>
    <mergeCell ref="Z419:Z420"/>
    <mergeCell ref="AB419:AB420"/>
    <mergeCell ref="AC419:AC420"/>
    <mergeCell ref="AB76:AB78"/>
    <mergeCell ref="AC76:AC78"/>
    <mergeCell ref="AC90:AC95"/>
    <mergeCell ref="Y96:Y99"/>
    <mergeCell ref="AC96:AC99"/>
    <mergeCell ref="Z412:Z413"/>
    <mergeCell ref="AA412:AA413"/>
    <mergeCell ref="AB278:AB279"/>
    <mergeCell ref="AB280:AB281"/>
    <mergeCell ref="AB273:AB274"/>
    <mergeCell ref="AC273:AC274"/>
    <mergeCell ref="Y155:Y158"/>
    <mergeCell ref="AB155:AB158"/>
    <mergeCell ref="AC155:AC158"/>
    <mergeCell ref="AB374:AB375"/>
    <mergeCell ref="AC374:AC375"/>
    <mergeCell ref="AC403:AC408"/>
    <mergeCell ref="AB412:AB413"/>
    <mergeCell ref="AC412:AC413"/>
    <mergeCell ref="AB403:AB408"/>
    <mergeCell ref="Y409:Y411"/>
    <mergeCell ref="Z409:Z411"/>
    <mergeCell ref="AA409:AA411"/>
    <mergeCell ref="AB409:AB411"/>
    <mergeCell ref="Y151:Y154"/>
    <mergeCell ref="Z151:Z154"/>
    <mergeCell ref="AB151:AB154"/>
    <mergeCell ref="AC151:AC154"/>
    <mergeCell ref="AB90:AB95"/>
    <mergeCell ref="AB96:AB99"/>
    <mergeCell ref="AB111:AB115"/>
    <mergeCell ref="AC111:AC115"/>
    <mergeCell ref="AB120:AB121"/>
    <mergeCell ref="AC120:AC121"/>
    <mergeCell ref="AB138:AB139"/>
    <mergeCell ref="Y141:Y142"/>
    <mergeCell ref="Z141:Z142"/>
    <mergeCell ref="Y148:Y150"/>
    <mergeCell ref="Z148:Z150"/>
    <mergeCell ref="AB148:AB150"/>
    <mergeCell ref="AC148:AC150"/>
    <mergeCell ref="AC138:AC139"/>
    <mergeCell ref="AC65:AC66"/>
    <mergeCell ref="AB65:AB66"/>
    <mergeCell ref="AB74:AB75"/>
    <mergeCell ref="AC74:AC75"/>
    <mergeCell ref="AB608:AB610"/>
    <mergeCell ref="AC608:AC610"/>
    <mergeCell ref="Y571:Y572"/>
    <mergeCell ref="Y577:Y578"/>
    <mergeCell ref="Z577:Z578"/>
    <mergeCell ref="AB577:AB578"/>
    <mergeCell ref="AC577:AC578"/>
    <mergeCell ref="AB594:AB600"/>
    <mergeCell ref="AC594:AC600"/>
    <mergeCell ref="AB546:AB548"/>
    <mergeCell ref="AC546:AC548"/>
    <mergeCell ref="AB561:AB566"/>
    <mergeCell ref="AC561:AC566"/>
    <mergeCell ref="Y569:Y570"/>
    <mergeCell ref="Z569:Z570"/>
    <mergeCell ref="AB569:AB570"/>
    <mergeCell ref="AC569:AC570"/>
    <mergeCell ref="Z571:Z572"/>
    <mergeCell ref="AB571:AB572"/>
    <mergeCell ref="AC571:AC572"/>
    <mergeCell ref="AB519:AB524"/>
    <mergeCell ref="AC519:AC524"/>
    <mergeCell ref="AB529:AB530"/>
    <mergeCell ref="AC529:AC530"/>
    <mergeCell ref="X532:X533"/>
    <mergeCell ref="AA532:AA533"/>
    <mergeCell ref="Y532:Y533"/>
    <mergeCell ref="Z532:Z533"/>
    <mergeCell ref="AA535:AA536"/>
    <mergeCell ref="AB452:AB454"/>
    <mergeCell ref="AB455:AB457"/>
    <mergeCell ref="AC455:AC457"/>
    <mergeCell ref="AB458:AB463"/>
    <mergeCell ref="AC458:AC463"/>
    <mergeCell ref="AB503:AB508"/>
    <mergeCell ref="AC503:AC508"/>
    <mergeCell ref="AB513:AB515"/>
    <mergeCell ref="AC513:AC515"/>
    <mergeCell ref="AC452:AC454"/>
    <mergeCell ref="Y364:Y366"/>
    <mergeCell ref="Z364:Z366"/>
    <mergeCell ref="AA364:AA366"/>
    <mergeCell ref="Y370:Y373"/>
    <mergeCell ref="Z370:Z373"/>
    <mergeCell ref="AB370:AB373"/>
    <mergeCell ref="AC370:AC373"/>
    <mergeCell ref="E537:E539"/>
    <mergeCell ref="E540:E542"/>
    <mergeCell ref="E513:E515"/>
    <mergeCell ref="E516:E518"/>
    <mergeCell ref="E519:E525"/>
    <mergeCell ref="E526:E528"/>
    <mergeCell ref="E529:E531"/>
    <mergeCell ref="E532:E534"/>
    <mergeCell ref="E535:E536"/>
    <mergeCell ref="E476:E478"/>
    <mergeCell ref="E479:E481"/>
    <mergeCell ref="E482:E484"/>
    <mergeCell ref="E485:E487"/>
    <mergeCell ref="E488:E490"/>
    <mergeCell ref="E491:E493"/>
    <mergeCell ref="E494:E496"/>
    <mergeCell ref="E497:E499"/>
    <mergeCell ref="E543:E545"/>
    <mergeCell ref="E546:E548"/>
    <mergeCell ref="E549:E551"/>
    <mergeCell ref="E552:E554"/>
    <mergeCell ref="AB211:AB216"/>
    <mergeCell ref="AB235:AB236"/>
    <mergeCell ref="AC235:AC236"/>
    <mergeCell ref="AB244:AB249"/>
    <mergeCell ref="AC244:AC249"/>
    <mergeCell ref="Y251:Y252"/>
    <mergeCell ref="Z251:Z252"/>
    <mergeCell ref="AC251:AC252"/>
    <mergeCell ref="AA251:AA252"/>
    <mergeCell ref="AB251:AB252"/>
    <mergeCell ref="AB267:AB271"/>
    <mergeCell ref="AC267:AC271"/>
    <mergeCell ref="Y273:Y274"/>
    <mergeCell ref="Z273:Z274"/>
    <mergeCell ref="AA273:AA274"/>
    <mergeCell ref="AB364:AB366"/>
    <mergeCell ref="AC364:AC366"/>
    <mergeCell ref="AB293:AB294"/>
    <mergeCell ref="E503:E505"/>
    <mergeCell ref="E510:E512"/>
    <mergeCell ref="E500:E502"/>
    <mergeCell ref="E446:E448"/>
    <mergeCell ref="E449:E451"/>
    <mergeCell ref="E452:E454"/>
    <mergeCell ref="E455:E457"/>
    <mergeCell ref="E458:E464"/>
    <mergeCell ref="E465:E467"/>
    <mergeCell ref="E468:E470"/>
    <mergeCell ref="E471:E472"/>
    <mergeCell ref="E473:E475"/>
    <mergeCell ref="E608:E610"/>
    <mergeCell ref="E579:E581"/>
    <mergeCell ref="E582:E584"/>
    <mergeCell ref="E585:E587"/>
    <mergeCell ref="E588:E590"/>
    <mergeCell ref="E591:E593"/>
    <mergeCell ref="E594:E595"/>
    <mergeCell ref="E596:E597"/>
    <mergeCell ref="E394:E396"/>
    <mergeCell ref="E397:E399"/>
    <mergeCell ref="E400:E402"/>
    <mergeCell ref="E403:E405"/>
    <mergeCell ref="E409:E411"/>
    <mergeCell ref="E412:E415"/>
    <mergeCell ref="E416:E418"/>
    <mergeCell ref="E419:E422"/>
    <mergeCell ref="E423:E424"/>
    <mergeCell ref="E425:E427"/>
    <mergeCell ref="E428:E430"/>
    <mergeCell ref="E431:E433"/>
    <mergeCell ref="E434:E436"/>
    <mergeCell ref="E437:E439"/>
    <mergeCell ref="E440:E442"/>
    <mergeCell ref="E443:E445"/>
    <mergeCell ref="E555:E557"/>
    <mergeCell ref="E558:E560"/>
    <mergeCell ref="E561:E567"/>
    <mergeCell ref="E568:E570"/>
    <mergeCell ref="E571:E573"/>
    <mergeCell ref="E574:E576"/>
    <mergeCell ref="E577:E578"/>
    <mergeCell ref="E602:E604"/>
    <mergeCell ref="E605:E607"/>
    <mergeCell ref="F358:F359"/>
    <mergeCell ref="F360:F361"/>
    <mergeCell ref="F362:F363"/>
    <mergeCell ref="F364:F366"/>
    <mergeCell ref="F367:F369"/>
    <mergeCell ref="F370:F373"/>
    <mergeCell ref="F374:F375"/>
    <mergeCell ref="F376:F378"/>
    <mergeCell ref="F379:F381"/>
    <mergeCell ref="F337:F339"/>
    <mergeCell ref="F340:F342"/>
    <mergeCell ref="F343:F345"/>
    <mergeCell ref="F346:F347"/>
    <mergeCell ref="F348:F349"/>
    <mergeCell ref="F350:F351"/>
    <mergeCell ref="F352:F353"/>
    <mergeCell ref="F354:F355"/>
    <mergeCell ref="F356:F357"/>
    <mergeCell ref="F310:F312"/>
    <mergeCell ref="F313:F315"/>
    <mergeCell ref="F316:F318"/>
    <mergeCell ref="F319:F321"/>
    <mergeCell ref="F322:F324"/>
    <mergeCell ref="F325:F327"/>
    <mergeCell ref="F328:F330"/>
    <mergeCell ref="F331:F333"/>
    <mergeCell ref="F334:F336"/>
    <mergeCell ref="F283:F285"/>
    <mergeCell ref="F286:F288"/>
    <mergeCell ref="F289:F292"/>
    <mergeCell ref="F293:F294"/>
    <mergeCell ref="F295:F296"/>
    <mergeCell ref="F300:F301"/>
    <mergeCell ref="F302:F303"/>
    <mergeCell ref="F304:F306"/>
    <mergeCell ref="F307:F309"/>
    <mergeCell ref="F558:F560"/>
    <mergeCell ref="F585:F587"/>
    <mergeCell ref="F588:F590"/>
    <mergeCell ref="F591:F593"/>
    <mergeCell ref="F594:F595"/>
    <mergeCell ref="F596:F597"/>
    <mergeCell ref="F602:F604"/>
    <mergeCell ref="F605:F607"/>
    <mergeCell ref="F608:F610"/>
    <mergeCell ref="F561:F567"/>
    <mergeCell ref="F568:F570"/>
    <mergeCell ref="F571:F573"/>
    <mergeCell ref="F574:F576"/>
    <mergeCell ref="F577:F578"/>
    <mergeCell ref="F579:F581"/>
    <mergeCell ref="F582:F584"/>
    <mergeCell ref="F532:F534"/>
    <mergeCell ref="F535:F536"/>
    <mergeCell ref="F537:F539"/>
    <mergeCell ref="F540:F542"/>
    <mergeCell ref="F543:F545"/>
    <mergeCell ref="F546:F548"/>
    <mergeCell ref="F549:F551"/>
    <mergeCell ref="F552:F554"/>
    <mergeCell ref="F555:F557"/>
    <mergeCell ref="F497:F499"/>
    <mergeCell ref="F500:F502"/>
    <mergeCell ref="F503:F505"/>
    <mergeCell ref="F510:F512"/>
    <mergeCell ref="F513:F515"/>
    <mergeCell ref="F516:F518"/>
    <mergeCell ref="F519:F525"/>
    <mergeCell ref="F526:F528"/>
    <mergeCell ref="F529:F531"/>
    <mergeCell ref="F471:F472"/>
    <mergeCell ref="F473:F475"/>
    <mergeCell ref="F476:F478"/>
    <mergeCell ref="F479:F481"/>
    <mergeCell ref="F482:F484"/>
    <mergeCell ref="F485:F487"/>
    <mergeCell ref="F488:F490"/>
    <mergeCell ref="F491:F493"/>
    <mergeCell ref="F494:F496"/>
    <mergeCell ref="F440:F442"/>
    <mergeCell ref="F443:F445"/>
    <mergeCell ref="F446:F448"/>
    <mergeCell ref="F449:F451"/>
    <mergeCell ref="F452:F454"/>
    <mergeCell ref="F455:F457"/>
    <mergeCell ref="F458:F464"/>
    <mergeCell ref="F465:F467"/>
    <mergeCell ref="F468:F470"/>
    <mergeCell ref="E382:E384"/>
    <mergeCell ref="E385:E387"/>
    <mergeCell ref="E388:E390"/>
    <mergeCell ref="E391:E393"/>
    <mergeCell ref="F425:F427"/>
    <mergeCell ref="F428:F430"/>
    <mergeCell ref="F431:F433"/>
    <mergeCell ref="F434:F436"/>
    <mergeCell ref="F437:F439"/>
    <mergeCell ref="F382:F384"/>
    <mergeCell ref="F385:F387"/>
    <mergeCell ref="F388:F390"/>
    <mergeCell ref="F391:F393"/>
    <mergeCell ref="F394:F396"/>
    <mergeCell ref="F397:F399"/>
    <mergeCell ref="F400:F402"/>
    <mergeCell ref="F403:F405"/>
    <mergeCell ref="F409:F411"/>
    <mergeCell ref="F412:F415"/>
    <mergeCell ref="F416:F418"/>
    <mergeCell ref="F419:F422"/>
    <mergeCell ref="F423:F424"/>
    <mergeCell ref="E358:E359"/>
    <mergeCell ref="E360:E361"/>
    <mergeCell ref="E362:E363"/>
    <mergeCell ref="E364:E366"/>
    <mergeCell ref="E367:E369"/>
    <mergeCell ref="E370:E373"/>
    <mergeCell ref="E374:E375"/>
    <mergeCell ref="E376:E378"/>
    <mergeCell ref="E379:E381"/>
    <mergeCell ref="E337:E339"/>
    <mergeCell ref="E340:E342"/>
    <mergeCell ref="E343:E345"/>
    <mergeCell ref="E346:E347"/>
    <mergeCell ref="E348:E349"/>
    <mergeCell ref="E350:E351"/>
    <mergeCell ref="E352:E353"/>
    <mergeCell ref="E354:E355"/>
    <mergeCell ref="C356:C357"/>
    <mergeCell ref="E356:E357"/>
    <mergeCell ref="E310:E312"/>
    <mergeCell ref="E313:E315"/>
    <mergeCell ref="E316:E318"/>
    <mergeCell ref="E319:E321"/>
    <mergeCell ref="E322:E324"/>
    <mergeCell ref="E325:E327"/>
    <mergeCell ref="E328:E330"/>
    <mergeCell ref="E331:E333"/>
    <mergeCell ref="E334:E336"/>
    <mergeCell ref="E283:E285"/>
    <mergeCell ref="E286:E288"/>
    <mergeCell ref="E289:E292"/>
    <mergeCell ref="E293:E294"/>
    <mergeCell ref="E295:E296"/>
    <mergeCell ref="E300:E301"/>
    <mergeCell ref="E302:E303"/>
    <mergeCell ref="E304:E306"/>
    <mergeCell ref="E307:E309"/>
    <mergeCell ref="F259:F261"/>
    <mergeCell ref="F262:F264"/>
    <mergeCell ref="F265:F266"/>
    <mergeCell ref="F269:F270"/>
    <mergeCell ref="F271:F272"/>
    <mergeCell ref="F273:F275"/>
    <mergeCell ref="F276:F277"/>
    <mergeCell ref="F278:F282"/>
    <mergeCell ref="E259:E261"/>
    <mergeCell ref="E262:E264"/>
    <mergeCell ref="E265:E266"/>
    <mergeCell ref="E269:E270"/>
    <mergeCell ref="E271:E272"/>
    <mergeCell ref="E273:E275"/>
    <mergeCell ref="E276:E277"/>
    <mergeCell ref="E278:E282"/>
    <mergeCell ref="F232:F234"/>
    <mergeCell ref="E232:E234"/>
    <mergeCell ref="E235:E236"/>
    <mergeCell ref="E241:E243"/>
    <mergeCell ref="E244:E250"/>
    <mergeCell ref="E251:E253"/>
    <mergeCell ref="E254:E255"/>
    <mergeCell ref="E256:E258"/>
    <mergeCell ref="F235:F236"/>
    <mergeCell ref="F241:F243"/>
    <mergeCell ref="F244:F250"/>
    <mergeCell ref="F251:F253"/>
    <mergeCell ref="F254:F255"/>
    <mergeCell ref="F256:F258"/>
    <mergeCell ref="F209:F210"/>
    <mergeCell ref="E209:E210"/>
    <mergeCell ref="E211:E213"/>
    <mergeCell ref="E217:E219"/>
    <mergeCell ref="E220:E222"/>
    <mergeCell ref="E223:E225"/>
    <mergeCell ref="E226:E228"/>
    <mergeCell ref="E229:E231"/>
    <mergeCell ref="F211:F213"/>
    <mergeCell ref="F217:F219"/>
    <mergeCell ref="F220:F222"/>
    <mergeCell ref="F223:F225"/>
    <mergeCell ref="F226:F228"/>
    <mergeCell ref="F229:F231"/>
    <mergeCell ref="S217:S219"/>
    <mergeCell ref="S220:S222"/>
    <mergeCell ref="S223:S225"/>
    <mergeCell ref="S226:S228"/>
    <mergeCell ref="S229:S231"/>
    <mergeCell ref="S232:S234"/>
    <mergeCell ref="S235:S236"/>
    <mergeCell ref="S241:S243"/>
    <mergeCell ref="S184:S186"/>
    <mergeCell ref="S187:S189"/>
    <mergeCell ref="S190:S192"/>
    <mergeCell ref="S193:S195"/>
    <mergeCell ref="S196:S198"/>
    <mergeCell ref="S199:S200"/>
    <mergeCell ref="S201:S202"/>
    <mergeCell ref="U205:U208"/>
    <mergeCell ref="S209:S210"/>
    <mergeCell ref="T209:T210"/>
    <mergeCell ref="S211:S213"/>
    <mergeCell ref="T211:T213"/>
    <mergeCell ref="T187:T189"/>
    <mergeCell ref="T190:T192"/>
    <mergeCell ref="T193:T195"/>
    <mergeCell ref="T196:T198"/>
    <mergeCell ref="T199:T200"/>
    <mergeCell ref="T201:T202"/>
    <mergeCell ref="T203:T204"/>
    <mergeCell ref="T111:T112"/>
    <mergeCell ref="S117:S119"/>
    <mergeCell ref="T117:T119"/>
    <mergeCell ref="S120:S121"/>
    <mergeCell ref="T120:T121"/>
    <mergeCell ref="T126:T128"/>
    <mergeCell ref="S126:S128"/>
    <mergeCell ref="S129:S131"/>
    <mergeCell ref="S132:S133"/>
    <mergeCell ref="S166:S168"/>
    <mergeCell ref="T166:T168"/>
    <mergeCell ref="T235:T236"/>
    <mergeCell ref="T241:T243"/>
    <mergeCell ref="T205:T206"/>
    <mergeCell ref="T217:T219"/>
    <mergeCell ref="T220:T222"/>
    <mergeCell ref="T223:T225"/>
    <mergeCell ref="T226:T228"/>
    <mergeCell ref="T229:T231"/>
    <mergeCell ref="T232:T234"/>
    <mergeCell ref="S169:S171"/>
    <mergeCell ref="T169:T171"/>
    <mergeCell ref="S172:S174"/>
    <mergeCell ref="T172:T174"/>
    <mergeCell ref="S175:S177"/>
    <mergeCell ref="T175:T177"/>
    <mergeCell ref="S178:S180"/>
    <mergeCell ref="T178:T180"/>
    <mergeCell ref="S181:S183"/>
    <mergeCell ref="T181:T183"/>
    <mergeCell ref="T184:T186"/>
    <mergeCell ref="S203:S204"/>
    <mergeCell ref="S205:S206"/>
    <mergeCell ref="S155:S158"/>
    <mergeCell ref="T155:T158"/>
    <mergeCell ref="S159:S160"/>
    <mergeCell ref="T159:T160"/>
    <mergeCell ref="S4:S6"/>
    <mergeCell ref="T4:T6"/>
    <mergeCell ref="S9:S11"/>
    <mergeCell ref="T9:T11"/>
    <mergeCell ref="S12:S14"/>
    <mergeCell ref="T12:T14"/>
    <mergeCell ref="T16:T17"/>
    <mergeCell ref="S16:S17"/>
    <mergeCell ref="S18:S20"/>
    <mergeCell ref="T18:T20"/>
    <mergeCell ref="S21:S23"/>
    <mergeCell ref="T21:T23"/>
    <mergeCell ref="S24:S26"/>
    <mergeCell ref="T24:T26"/>
    <mergeCell ref="S36:S38"/>
    <mergeCell ref="T36:T38"/>
    <mergeCell ref="S39:S41"/>
    <mergeCell ref="T39:T41"/>
    <mergeCell ref="S42:S44"/>
    <mergeCell ref="S68:S70"/>
    <mergeCell ref="S151:S154"/>
    <mergeCell ref="T151:T154"/>
    <mergeCell ref="T42:T44"/>
    <mergeCell ref="T129:T131"/>
    <mergeCell ref="T132:T133"/>
    <mergeCell ref="S138:S139"/>
    <mergeCell ref="T138:T139"/>
    <mergeCell ref="S140:S147"/>
    <mergeCell ref="T140:T147"/>
    <mergeCell ref="T148:T150"/>
    <mergeCell ref="S148:S150"/>
    <mergeCell ref="T59:T60"/>
    <mergeCell ref="T68:T70"/>
    <mergeCell ref="S71:S73"/>
    <mergeCell ref="T71:T73"/>
    <mergeCell ref="T74:T75"/>
    <mergeCell ref="S74:S75"/>
    <mergeCell ref="S76:S81"/>
    <mergeCell ref="T76:T81"/>
    <mergeCell ref="S82:S84"/>
    <mergeCell ref="T82:T84"/>
    <mergeCell ref="S85:S86"/>
    <mergeCell ref="T85:T86"/>
    <mergeCell ref="S111:S112"/>
  </mergeCells>
  <dataValidations count="3">
    <dataValidation type="list" allowBlank="1" showErrorMessage="1" sqref="V3:V610" xr:uid="{00000000-0002-0000-0D00-000000000000}">
      <formula1>"Active,Inactive,Ongoing,Assist,Terminated,Deactivated,Ongoing Acceptance,For Installation,For Transfer"</formula1>
    </dataValidation>
    <dataValidation type="list" allowBlank="1" showErrorMessage="1" sqref="Q3:Q610" xr:uid="{00000000-0002-0000-0D00-000001000000}">
      <formula1>"Centrally Procured,Regional Procured"</formula1>
    </dataValidation>
    <dataValidation type="list" allowBlank="1" showErrorMessage="1" sqref="R3:R610" xr:uid="{00000000-0002-0000-0D00-000002000000}">
      <formula1>"Region Initiated,Manage Service"</formula1>
    </dataValidation>
  </dataValidations>
  <hyperlinks>
    <hyperlink ref="Y67" r:id="rId1" xr:uid="{00000000-0004-0000-0D00-000000000000}"/>
    <hyperlink ref="Z67" r:id="rId2" xr:uid="{00000000-0004-0000-0D00-000001000000}"/>
    <hyperlink ref="Y85" r:id="rId3" xr:uid="{00000000-0004-0000-0D00-000002000000}"/>
    <hyperlink ref="Y96" r:id="rId4" xr:uid="{00000000-0004-0000-0D00-000003000000}"/>
    <hyperlink ref="Y138" r:id="rId5" xr:uid="{00000000-0004-0000-0D00-000004000000}"/>
    <hyperlink ref="Z138" r:id="rId6" xr:uid="{00000000-0004-0000-0D00-000005000000}"/>
    <hyperlink ref="Z139" r:id="rId7" xr:uid="{00000000-0004-0000-0D00-000006000000}"/>
    <hyperlink ref="Y141" r:id="rId8" xr:uid="{00000000-0004-0000-0D00-000007000000}"/>
    <hyperlink ref="Z141" r:id="rId9" xr:uid="{00000000-0004-0000-0D00-000008000000}"/>
    <hyperlink ref="Y143" r:id="rId10" xr:uid="{00000000-0004-0000-0D00-000009000000}"/>
    <hyperlink ref="Z143" r:id="rId11" xr:uid="{00000000-0004-0000-0D00-00000A000000}"/>
    <hyperlink ref="Y144" r:id="rId12" xr:uid="{00000000-0004-0000-0D00-00000B000000}"/>
    <hyperlink ref="Z144" r:id="rId13" xr:uid="{00000000-0004-0000-0D00-00000C000000}"/>
    <hyperlink ref="Y145" r:id="rId14" xr:uid="{00000000-0004-0000-0D00-00000D000000}"/>
    <hyperlink ref="Z145" r:id="rId15" xr:uid="{00000000-0004-0000-0D00-00000E000000}"/>
    <hyperlink ref="Y146" r:id="rId16" xr:uid="{00000000-0004-0000-0D00-00000F000000}"/>
    <hyperlink ref="Z146" r:id="rId17" xr:uid="{00000000-0004-0000-0D00-000010000000}"/>
    <hyperlink ref="Y147" r:id="rId18" xr:uid="{00000000-0004-0000-0D00-000011000000}"/>
    <hyperlink ref="Z147" r:id="rId19" xr:uid="{00000000-0004-0000-0D00-000012000000}"/>
    <hyperlink ref="X148" r:id="rId20" xr:uid="{00000000-0004-0000-0D00-000013000000}"/>
    <hyperlink ref="Y148" r:id="rId21" xr:uid="{00000000-0004-0000-0D00-000014000000}"/>
    <hyperlink ref="Z148" r:id="rId22" xr:uid="{00000000-0004-0000-0D00-000015000000}"/>
    <hyperlink ref="Y151" r:id="rId23" xr:uid="{00000000-0004-0000-0D00-000016000000}"/>
    <hyperlink ref="Z151" r:id="rId24" xr:uid="{00000000-0004-0000-0D00-000017000000}"/>
    <hyperlink ref="Y155" r:id="rId25" xr:uid="{00000000-0004-0000-0D00-000018000000}"/>
    <hyperlink ref="Z250" r:id="rId26" xr:uid="{00000000-0004-0000-0D00-000019000000}"/>
    <hyperlink ref="Y251" r:id="rId27" xr:uid="{00000000-0004-0000-0D00-00001A000000}"/>
    <hyperlink ref="Z251" r:id="rId28" xr:uid="{00000000-0004-0000-0D00-00001B000000}"/>
    <hyperlink ref="AA251" r:id="rId29" xr:uid="{00000000-0004-0000-0D00-00001C000000}"/>
    <hyperlink ref="Y253" r:id="rId30" xr:uid="{00000000-0004-0000-0D00-00001D000000}"/>
    <hyperlink ref="Z253" r:id="rId31" xr:uid="{00000000-0004-0000-0D00-00001E000000}"/>
    <hyperlink ref="Y254" r:id="rId32" xr:uid="{00000000-0004-0000-0D00-00001F000000}"/>
    <hyperlink ref="Z254" r:id="rId33" xr:uid="{00000000-0004-0000-0D00-000020000000}"/>
    <hyperlink ref="AA254" r:id="rId34" xr:uid="{00000000-0004-0000-0D00-000021000000}"/>
    <hyperlink ref="Y255" r:id="rId35" xr:uid="{00000000-0004-0000-0D00-000022000000}"/>
    <hyperlink ref="Z255" r:id="rId36" xr:uid="{00000000-0004-0000-0D00-000023000000}"/>
    <hyperlink ref="Y271" r:id="rId37" xr:uid="{00000000-0004-0000-0D00-000024000000}"/>
    <hyperlink ref="AA271" r:id="rId38" xr:uid="{00000000-0004-0000-0D00-000025000000}"/>
    <hyperlink ref="Y272" r:id="rId39" xr:uid="{00000000-0004-0000-0D00-000026000000}"/>
    <hyperlink ref="AA272" r:id="rId40" xr:uid="{00000000-0004-0000-0D00-000027000000}"/>
    <hyperlink ref="Y273" r:id="rId41" xr:uid="{00000000-0004-0000-0D00-000028000000}"/>
    <hyperlink ref="Z273" r:id="rId42" xr:uid="{00000000-0004-0000-0D00-000029000000}"/>
    <hyperlink ref="AA273" r:id="rId43" xr:uid="{00000000-0004-0000-0D00-00002A000000}"/>
    <hyperlink ref="X274" r:id="rId44" xr:uid="{00000000-0004-0000-0D00-00002B000000}"/>
    <hyperlink ref="Y275" r:id="rId45" xr:uid="{00000000-0004-0000-0D00-00002C000000}"/>
    <hyperlink ref="Z275" r:id="rId46" xr:uid="{00000000-0004-0000-0D00-00002D000000}"/>
    <hyperlink ref="X276" r:id="rId47" xr:uid="{00000000-0004-0000-0D00-00002E000000}"/>
    <hyperlink ref="Y276" r:id="rId48" xr:uid="{00000000-0004-0000-0D00-00002F000000}"/>
    <hyperlink ref="Z276" r:id="rId49" xr:uid="{00000000-0004-0000-0D00-000030000000}"/>
    <hyperlink ref="AA276" r:id="rId50" xr:uid="{00000000-0004-0000-0D00-000031000000}"/>
    <hyperlink ref="Y277" r:id="rId51" xr:uid="{00000000-0004-0000-0D00-000032000000}"/>
    <hyperlink ref="Z277" r:id="rId52" xr:uid="{00000000-0004-0000-0D00-000033000000}"/>
    <hyperlink ref="Y278" r:id="rId53" xr:uid="{00000000-0004-0000-0D00-000034000000}"/>
    <hyperlink ref="Z278" r:id="rId54" xr:uid="{00000000-0004-0000-0D00-000035000000}"/>
    <hyperlink ref="Y280" r:id="rId55" xr:uid="{00000000-0004-0000-0D00-000036000000}"/>
    <hyperlink ref="Z280" r:id="rId56" xr:uid="{00000000-0004-0000-0D00-000037000000}"/>
    <hyperlink ref="Y282" r:id="rId57" xr:uid="{00000000-0004-0000-0D00-000038000000}"/>
    <hyperlink ref="Z282" r:id="rId58" xr:uid="{00000000-0004-0000-0D00-000039000000}"/>
    <hyperlink ref="Y283" r:id="rId59" xr:uid="{00000000-0004-0000-0D00-00003A000000}"/>
    <hyperlink ref="Z283" r:id="rId60" xr:uid="{00000000-0004-0000-0D00-00003B000000}"/>
    <hyperlink ref="AA283" r:id="rId61" xr:uid="{00000000-0004-0000-0D00-00003C000000}"/>
    <hyperlink ref="Y286" r:id="rId62" xr:uid="{00000000-0004-0000-0D00-00003D000000}"/>
    <hyperlink ref="Z286" r:id="rId63" xr:uid="{00000000-0004-0000-0D00-00003E000000}"/>
    <hyperlink ref="AA286" r:id="rId64" xr:uid="{00000000-0004-0000-0D00-00003F000000}"/>
    <hyperlink ref="Y288" r:id="rId65" xr:uid="{00000000-0004-0000-0D00-000040000000}"/>
    <hyperlink ref="Z288" r:id="rId66" xr:uid="{00000000-0004-0000-0D00-000041000000}"/>
    <hyperlink ref="Y289" r:id="rId67" xr:uid="{00000000-0004-0000-0D00-000042000000}"/>
    <hyperlink ref="Z289" r:id="rId68" xr:uid="{00000000-0004-0000-0D00-000043000000}"/>
    <hyperlink ref="AA289" r:id="rId69" xr:uid="{00000000-0004-0000-0D00-000044000000}"/>
    <hyperlink ref="Y291" r:id="rId70" xr:uid="{00000000-0004-0000-0D00-000045000000}"/>
    <hyperlink ref="Z291" r:id="rId71" xr:uid="{00000000-0004-0000-0D00-000046000000}"/>
    <hyperlink ref="X354" r:id="rId72" xr:uid="{00000000-0004-0000-0D00-000047000000}"/>
    <hyperlink ref="Y354" r:id="rId73" xr:uid="{00000000-0004-0000-0D00-000048000000}"/>
    <hyperlink ref="Z354" r:id="rId74" xr:uid="{00000000-0004-0000-0D00-000049000000}"/>
    <hyperlink ref="AA354" r:id="rId75" xr:uid="{00000000-0004-0000-0D00-00004A000000}"/>
    <hyperlink ref="Y355" r:id="rId76" xr:uid="{00000000-0004-0000-0D00-00004B000000}"/>
    <hyperlink ref="Z355" r:id="rId77" xr:uid="{00000000-0004-0000-0D00-00004C000000}"/>
    <hyperlink ref="Y357" r:id="rId78" xr:uid="{00000000-0004-0000-0D00-00004D000000}"/>
    <hyperlink ref="Z357" r:id="rId79" xr:uid="{00000000-0004-0000-0D00-00004E000000}"/>
    <hyperlink ref="Y358" r:id="rId80" xr:uid="{00000000-0004-0000-0D00-00004F000000}"/>
    <hyperlink ref="Z358" r:id="rId81" xr:uid="{00000000-0004-0000-0D00-000050000000}"/>
    <hyperlink ref="AA358" r:id="rId82" xr:uid="{00000000-0004-0000-0D00-000051000000}"/>
    <hyperlink ref="Y359" r:id="rId83" xr:uid="{00000000-0004-0000-0D00-000052000000}"/>
    <hyperlink ref="Z359" r:id="rId84" xr:uid="{00000000-0004-0000-0D00-000053000000}"/>
    <hyperlink ref="Y360" r:id="rId85" xr:uid="{00000000-0004-0000-0D00-000054000000}"/>
    <hyperlink ref="Z360" r:id="rId86" xr:uid="{00000000-0004-0000-0D00-000055000000}"/>
    <hyperlink ref="AA360" r:id="rId87" xr:uid="{00000000-0004-0000-0D00-000056000000}"/>
    <hyperlink ref="Y361" r:id="rId88" xr:uid="{00000000-0004-0000-0D00-000057000000}"/>
    <hyperlink ref="Z361" r:id="rId89" xr:uid="{00000000-0004-0000-0D00-000058000000}"/>
    <hyperlink ref="Y362" r:id="rId90" xr:uid="{00000000-0004-0000-0D00-000059000000}"/>
    <hyperlink ref="Z362" r:id="rId91" xr:uid="{00000000-0004-0000-0D00-00005A000000}"/>
    <hyperlink ref="AA362" r:id="rId92" xr:uid="{00000000-0004-0000-0D00-00005B000000}"/>
    <hyperlink ref="Y363" r:id="rId93" xr:uid="{00000000-0004-0000-0D00-00005C000000}"/>
    <hyperlink ref="Z363" r:id="rId94" xr:uid="{00000000-0004-0000-0D00-00005D000000}"/>
    <hyperlink ref="Y364" r:id="rId95" xr:uid="{00000000-0004-0000-0D00-00005E000000}"/>
    <hyperlink ref="Z364" r:id="rId96" xr:uid="{00000000-0004-0000-0D00-00005F000000}"/>
    <hyperlink ref="AA364" r:id="rId97" xr:uid="{00000000-0004-0000-0D00-000060000000}"/>
    <hyperlink ref="Y370" r:id="rId98" xr:uid="{00000000-0004-0000-0D00-000061000000}"/>
    <hyperlink ref="Z370" r:id="rId99" xr:uid="{00000000-0004-0000-0D00-000062000000}"/>
    <hyperlink ref="Y409" r:id="rId100" xr:uid="{00000000-0004-0000-0D00-000063000000}"/>
    <hyperlink ref="Z409" r:id="rId101" xr:uid="{00000000-0004-0000-0D00-000064000000}"/>
    <hyperlink ref="AA409" r:id="rId102" xr:uid="{00000000-0004-0000-0D00-000065000000}"/>
    <hyperlink ref="Y412" r:id="rId103" xr:uid="{00000000-0004-0000-0D00-000066000000}"/>
    <hyperlink ref="Z412" r:id="rId104" xr:uid="{00000000-0004-0000-0D00-000067000000}"/>
    <hyperlink ref="AA412" r:id="rId105" xr:uid="{00000000-0004-0000-0D00-000068000000}"/>
    <hyperlink ref="Y414" r:id="rId106" xr:uid="{00000000-0004-0000-0D00-000069000000}"/>
    <hyperlink ref="Z414" r:id="rId107" xr:uid="{00000000-0004-0000-0D00-00006A000000}"/>
    <hyperlink ref="Y415" r:id="rId108" xr:uid="{00000000-0004-0000-0D00-00006B000000}"/>
    <hyperlink ref="Z415" r:id="rId109" xr:uid="{00000000-0004-0000-0D00-00006C000000}"/>
    <hyperlink ref="Y416" r:id="rId110" xr:uid="{00000000-0004-0000-0D00-00006D000000}"/>
    <hyperlink ref="Z416" r:id="rId111" xr:uid="{00000000-0004-0000-0D00-00006E000000}"/>
    <hyperlink ref="Y417" r:id="rId112" xr:uid="{00000000-0004-0000-0D00-00006F000000}"/>
    <hyperlink ref="Z417" r:id="rId113" xr:uid="{00000000-0004-0000-0D00-000070000000}"/>
    <hyperlink ref="AA417" r:id="rId114" xr:uid="{00000000-0004-0000-0D00-000071000000}"/>
    <hyperlink ref="Y418" r:id="rId115" xr:uid="{00000000-0004-0000-0D00-000072000000}"/>
    <hyperlink ref="Z418" r:id="rId116" xr:uid="{00000000-0004-0000-0D00-000073000000}"/>
    <hyperlink ref="Y419" r:id="rId117" xr:uid="{00000000-0004-0000-0D00-000074000000}"/>
    <hyperlink ref="Z419" r:id="rId118" xr:uid="{00000000-0004-0000-0D00-000075000000}"/>
    <hyperlink ref="Y421" r:id="rId119" xr:uid="{00000000-0004-0000-0D00-000076000000}"/>
    <hyperlink ref="Z421" r:id="rId120" xr:uid="{00000000-0004-0000-0D00-000077000000}"/>
    <hyperlink ref="AA421" r:id="rId121" xr:uid="{00000000-0004-0000-0D00-000078000000}"/>
    <hyperlink ref="Y422" r:id="rId122" xr:uid="{00000000-0004-0000-0D00-000079000000}"/>
    <hyperlink ref="Z422" r:id="rId123" xr:uid="{00000000-0004-0000-0D00-00007A000000}"/>
    <hyperlink ref="Z464" r:id="rId124" xr:uid="{00000000-0004-0000-0D00-00007B000000}"/>
    <hyperlink ref="Y465" r:id="rId125" xr:uid="{00000000-0004-0000-0D00-00007C000000}"/>
    <hyperlink ref="Z465" r:id="rId126" xr:uid="{00000000-0004-0000-0D00-00007D000000}"/>
    <hyperlink ref="Y466" r:id="rId127" xr:uid="{00000000-0004-0000-0D00-00007E000000}"/>
    <hyperlink ref="Z466" r:id="rId128" xr:uid="{00000000-0004-0000-0D00-00007F000000}"/>
    <hyperlink ref="AA466" r:id="rId129" xr:uid="{00000000-0004-0000-0D00-000080000000}"/>
    <hyperlink ref="Y467" r:id="rId130" xr:uid="{00000000-0004-0000-0D00-000081000000}"/>
    <hyperlink ref="Z467" r:id="rId131" xr:uid="{00000000-0004-0000-0D00-000082000000}"/>
    <hyperlink ref="Y468" r:id="rId132" xr:uid="{00000000-0004-0000-0D00-000083000000}"/>
    <hyperlink ref="Z468" r:id="rId133" xr:uid="{00000000-0004-0000-0D00-000084000000}"/>
    <hyperlink ref="Y469" r:id="rId134" xr:uid="{00000000-0004-0000-0D00-000085000000}"/>
    <hyperlink ref="Z469" r:id="rId135" xr:uid="{00000000-0004-0000-0D00-000086000000}"/>
    <hyperlink ref="Y470" r:id="rId136" xr:uid="{00000000-0004-0000-0D00-000087000000}"/>
    <hyperlink ref="Z470" r:id="rId137" xr:uid="{00000000-0004-0000-0D00-000088000000}"/>
    <hyperlink ref="Y509" r:id="rId138" xr:uid="{00000000-0004-0000-0D00-000089000000}"/>
    <hyperlink ref="Z509" r:id="rId139" xr:uid="{00000000-0004-0000-0D00-00008A000000}"/>
    <hyperlink ref="Z525" r:id="rId140" xr:uid="{00000000-0004-0000-0D00-00008B000000}"/>
    <hyperlink ref="X526" r:id="rId141" xr:uid="{00000000-0004-0000-0D00-00008C000000}"/>
    <hyperlink ref="Y526" r:id="rId142" xr:uid="{00000000-0004-0000-0D00-00008D000000}"/>
    <hyperlink ref="Z526" r:id="rId143" xr:uid="{00000000-0004-0000-0D00-00008E000000}"/>
    <hyperlink ref="Y527" r:id="rId144" xr:uid="{00000000-0004-0000-0D00-00008F000000}"/>
    <hyperlink ref="Z527" r:id="rId145" xr:uid="{00000000-0004-0000-0D00-000090000000}"/>
    <hyperlink ref="X532" r:id="rId146" xr:uid="{00000000-0004-0000-0D00-000091000000}"/>
    <hyperlink ref="Y532" r:id="rId147" xr:uid="{00000000-0004-0000-0D00-000092000000}"/>
    <hyperlink ref="Z532" r:id="rId148" xr:uid="{00000000-0004-0000-0D00-000093000000}"/>
    <hyperlink ref="AA532" r:id="rId149" xr:uid="{00000000-0004-0000-0D00-000094000000}"/>
    <hyperlink ref="Y534" r:id="rId150" xr:uid="{00000000-0004-0000-0D00-000095000000}"/>
    <hyperlink ref="Z534" r:id="rId151" xr:uid="{00000000-0004-0000-0D00-000096000000}"/>
    <hyperlink ref="Y535" r:id="rId152" xr:uid="{00000000-0004-0000-0D00-000097000000}"/>
    <hyperlink ref="Z535" r:id="rId153" xr:uid="{00000000-0004-0000-0D00-000098000000}"/>
    <hyperlink ref="AA535" r:id="rId154" xr:uid="{00000000-0004-0000-0D00-000099000000}"/>
    <hyperlink ref="Y536" r:id="rId155" xr:uid="{00000000-0004-0000-0D00-00009A000000}"/>
    <hyperlink ref="Z536" r:id="rId156" xr:uid="{00000000-0004-0000-0D00-00009B000000}"/>
    <hyperlink ref="Y537" r:id="rId157" xr:uid="{00000000-0004-0000-0D00-00009C000000}"/>
    <hyperlink ref="Z537" r:id="rId158" xr:uid="{00000000-0004-0000-0D00-00009D000000}"/>
    <hyperlink ref="Z567" r:id="rId159" xr:uid="{00000000-0004-0000-0D00-00009E000000}"/>
    <hyperlink ref="Y568" r:id="rId160" xr:uid="{00000000-0004-0000-0D00-00009F000000}"/>
    <hyperlink ref="Y569" r:id="rId161" xr:uid="{00000000-0004-0000-0D00-0000A0000000}"/>
    <hyperlink ref="Z569" r:id="rId162" xr:uid="{00000000-0004-0000-0D00-0000A1000000}"/>
    <hyperlink ref="Y571" r:id="rId163" xr:uid="{00000000-0004-0000-0D00-0000A2000000}"/>
    <hyperlink ref="Z571" r:id="rId164" xr:uid="{00000000-0004-0000-0D00-0000A3000000}"/>
    <hyperlink ref="Y573" r:id="rId165" xr:uid="{00000000-0004-0000-0D00-0000A4000000}"/>
    <hyperlink ref="Y574" r:id="rId166" xr:uid="{00000000-0004-0000-0D00-0000A5000000}"/>
    <hyperlink ref="Z574" r:id="rId167" xr:uid="{00000000-0004-0000-0D00-0000A6000000}"/>
    <hyperlink ref="Y575" r:id="rId168" xr:uid="{00000000-0004-0000-0D00-0000A7000000}"/>
    <hyperlink ref="Z575" r:id="rId169" xr:uid="{00000000-0004-0000-0D00-0000A8000000}"/>
    <hyperlink ref="Y576" r:id="rId170" xr:uid="{00000000-0004-0000-0D00-0000A9000000}"/>
    <hyperlink ref="Z576" r:id="rId171" xr:uid="{00000000-0004-0000-0D00-0000AA000000}"/>
    <hyperlink ref="Z577" r:id="rId172" xr:uid="{00000000-0004-0000-0D00-0000AB000000}"/>
    <hyperlink ref="Y601" r:id="rId173" xr:uid="{00000000-0004-0000-0D00-0000AC000000}"/>
    <hyperlink ref="Z601" r:id="rId174" xr:uid="{00000000-0004-0000-0D00-0000AD000000}"/>
    <hyperlink ref="Y602" r:id="rId175" xr:uid="{00000000-0004-0000-0D00-0000AE000000}"/>
    <hyperlink ref="Z602" r:id="rId176" xr:uid="{00000000-0004-0000-0D00-0000AF000000}"/>
    <hyperlink ref="AA602" r:id="rId177" xr:uid="{00000000-0004-0000-0D00-0000B0000000}"/>
    <hyperlink ref="Y603" r:id="rId178" xr:uid="{00000000-0004-0000-0D00-0000B1000000}"/>
    <hyperlink ref="Z603" r:id="rId179" xr:uid="{00000000-0004-0000-0D00-0000B2000000}"/>
    <hyperlink ref="Y604" r:id="rId180" xr:uid="{00000000-0004-0000-0D00-0000B3000000}"/>
    <hyperlink ref="Z604" r:id="rId181" xr:uid="{00000000-0004-0000-0D00-0000B4000000}"/>
  </hyperlinks>
  <pageMargins left="0.7" right="0.7" top="0.75" bottom="0.75" header="0.3" footer="0.3"/>
  <tableParts count="2">
    <tablePart r:id="rId182"/>
    <tablePart r:id="rId18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FF0000"/>
    <outlinePr summaryBelow="0" summaryRight="0"/>
    <pageSetUpPr fitToPage="1"/>
  </sheetPr>
  <dimension ref="A1:W571"/>
  <sheetViews>
    <sheetView showGridLines="0" workbookViewId="0">
      <pane xSplit="5" ySplit="1" topLeftCell="F2" activePane="bottomRight" state="frozen"/>
      <selection pane="topRight" activeCell="F1" sqref="F1"/>
      <selection pane="bottomLeft" activeCell="A2" sqref="A2"/>
      <selection pane="bottomRight" activeCell="F2" sqref="F2"/>
    </sheetView>
  </sheetViews>
  <sheetFormatPr defaultColWidth="12.5703125" defaultRowHeight="15.75" customHeight="1"/>
  <cols>
    <col min="1" max="1" width="7.42578125" customWidth="1"/>
    <col min="2" max="2" width="19.85546875" customWidth="1"/>
    <col min="3" max="3" width="29.28515625" customWidth="1"/>
    <col min="4" max="4" width="8.85546875" customWidth="1"/>
    <col min="5" max="5" width="52.28515625" customWidth="1"/>
    <col min="6" max="8" width="16.5703125" hidden="1" customWidth="1"/>
    <col min="9" max="9" width="21.7109375" customWidth="1"/>
    <col min="10" max="11" width="18" customWidth="1"/>
    <col min="12" max="12" width="34.5703125" customWidth="1"/>
    <col min="13" max="13" width="37.7109375" customWidth="1"/>
  </cols>
  <sheetData>
    <row r="1" spans="1:23" ht="25.5">
      <c r="A1" s="196"/>
      <c r="B1" s="197" t="s">
        <v>2</v>
      </c>
      <c r="C1" s="198" t="s">
        <v>1</v>
      </c>
      <c r="D1" s="199" t="s">
        <v>0</v>
      </c>
      <c r="E1" s="198" t="s">
        <v>3</v>
      </c>
      <c r="F1" s="198" t="s">
        <v>14</v>
      </c>
      <c r="G1" s="197" t="s">
        <v>641</v>
      </c>
      <c r="H1" s="197" t="s">
        <v>642</v>
      </c>
      <c r="I1" s="197" t="s">
        <v>7</v>
      </c>
      <c r="J1" s="90" t="s">
        <v>1956</v>
      </c>
      <c r="K1" s="90" t="s">
        <v>9</v>
      </c>
      <c r="L1" s="90" t="s">
        <v>20</v>
      </c>
      <c r="M1" s="90" t="s">
        <v>1958</v>
      </c>
      <c r="N1" s="200"/>
      <c r="O1" s="200"/>
      <c r="P1" s="200"/>
      <c r="Q1" s="200"/>
      <c r="R1" s="200"/>
      <c r="S1" s="200"/>
      <c r="T1" s="200"/>
      <c r="U1" s="200"/>
      <c r="V1" s="200"/>
      <c r="W1" s="200"/>
    </row>
    <row r="2" spans="1:23" ht="12.75">
      <c r="A2" s="201"/>
      <c r="B2" s="202" t="s">
        <v>57</v>
      </c>
      <c r="C2" s="202" t="s">
        <v>212</v>
      </c>
      <c r="D2" s="203">
        <v>2</v>
      </c>
      <c r="E2" s="96" t="s">
        <v>1784</v>
      </c>
      <c r="F2" s="202" t="s">
        <v>65</v>
      </c>
      <c r="G2" s="96">
        <v>9.4632009999999998</v>
      </c>
      <c r="H2" s="96">
        <v>125.57586000000001</v>
      </c>
      <c r="I2" s="96" t="s">
        <v>22</v>
      </c>
      <c r="J2" s="96" t="s">
        <v>288</v>
      </c>
      <c r="K2" s="96" t="s">
        <v>1965</v>
      </c>
      <c r="L2" s="205"/>
      <c r="M2" s="96" t="s">
        <v>1967</v>
      </c>
      <c r="N2" s="200"/>
      <c r="O2" s="200"/>
      <c r="P2" s="200"/>
      <c r="Q2" s="200"/>
      <c r="R2" s="200"/>
      <c r="S2" s="200"/>
      <c r="T2" s="200"/>
      <c r="U2" s="200"/>
      <c r="V2" s="200"/>
      <c r="W2" s="200"/>
    </row>
    <row r="3" spans="1:23" ht="12.75">
      <c r="A3" s="201"/>
      <c r="B3" s="202" t="s">
        <v>117</v>
      </c>
      <c r="C3" s="202" t="s">
        <v>191</v>
      </c>
      <c r="D3" s="203">
        <v>2</v>
      </c>
      <c r="E3" s="96" t="s">
        <v>108</v>
      </c>
      <c r="F3" s="202" t="s">
        <v>65</v>
      </c>
      <c r="G3" s="96">
        <v>9.6080570000000005</v>
      </c>
      <c r="H3" s="96">
        <v>125.640231</v>
      </c>
      <c r="I3" s="96" t="s">
        <v>22</v>
      </c>
      <c r="J3" s="96" t="s">
        <v>288</v>
      </c>
      <c r="K3" s="96" t="s">
        <v>1965</v>
      </c>
      <c r="L3" s="205"/>
      <c r="M3" s="96" t="s">
        <v>1968</v>
      </c>
      <c r="N3" s="206" t="s">
        <v>1969</v>
      </c>
      <c r="O3" s="200"/>
      <c r="P3" s="200"/>
      <c r="Q3" s="200"/>
      <c r="R3" s="200"/>
      <c r="S3" s="200"/>
      <c r="T3" s="200"/>
      <c r="U3" s="200"/>
      <c r="V3" s="200"/>
      <c r="W3" s="200"/>
    </row>
    <row r="4" spans="1:23" ht="12.75">
      <c r="A4" s="201"/>
      <c r="B4" s="202" t="s">
        <v>136</v>
      </c>
      <c r="C4" s="202" t="s">
        <v>251</v>
      </c>
      <c r="D4" s="203">
        <v>2</v>
      </c>
      <c r="E4" s="96" t="s">
        <v>1882</v>
      </c>
      <c r="F4" s="202" t="s">
        <v>65</v>
      </c>
      <c r="G4" s="96">
        <v>9.5739180000000008</v>
      </c>
      <c r="H4" s="96">
        <v>125.73276</v>
      </c>
      <c r="I4" s="96" t="s">
        <v>22</v>
      </c>
      <c r="J4" s="96" t="s">
        <v>288</v>
      </c>
      <c r="K4" s="96" t="s">
        <v>1965</v>
      </c>
      <c r="L4" s="205"/>
      <c r="M4" s="96" t="s">
        <v>1973</v>
      </c>
      <c r="N4" s="200"/>
      <c r="O4" s="200"/>
      <c r="P4" s="200"/>
      <c r="Q4" s="200"/>
      <c r="R4" s="200"/>
      <c r="S4" s="200"/>
      <c r="T4" s="200"/>
      <c r="U4" s="200"/>
      <c r="V4" s="200"/>
      <c r="W4" s="200"/>
    </row>
    <row r="5" spans="1:23" ht="25.5">
      <c r="A5" s="201"/>
      <c r="B5" s="202" t="s">
        <v>167</v>
      </c>
      <c r="C5" s="202" t="s">
        <v>290</v>
      </c>
      <c r="D5" s="203">
        <v>2</v>
      </c>
      <c r="E5" s="96" t="s">
        <v>160</v>
      </c>
      <c r="F5" s="202" t="s">
        <v>65</v>
      </c>
      <c r="G5" s="96">
        <v>9.5953529999999994</v>
      </c>
      <c r="H5" s="96">
        <v>125.69732999999999</v>
      </c>
      <c r="I5" s="96" t="s">
        <v>22</v>
      </c>
      <c r="J5" s="96" t="s">
        <v>288</v>
      </c>
      <c r="K5" s="96" t="s">
        <v>1965</v>
      </c>
      <c r="L5" s="205"/>
      <c r="M5" s="96" t="s">
        <v>1976</v>
      </c>
      <c r="N5" s="200"/>
      <c r="O5" s="200"/>
      <c r="P5" s="200"/>
      <c r="Q5" s="200"/>
      <c r="R5" s="200"/>
      <c r="S5" s="200"/>
      <c r="T5" s="200"/>
      <c r="U5" s="200"/>
      <c r="V5" s="200"/>
      <c r="W5" s="200"/>
    </row>
    <row r="6" spans="1:23" ht="25.5">
      <c r="A6" s="201"/>
      <c r="B6" s="202" t="s">
        <v>198</v>
      </c>
      <c r="C6" s="202" t="s">
        <v>327</v>
      </c>
      <c r="D6" s="203">
        <v>2</v>
      </c>
      <c r="E6" s="96" t="s">
        <v>583</v>
      </c>
      <c r="F6" s="202" t="s">
        <v>65</v>
      </c>
      <c r="G6" s="96">
        <v>9.5404671749999999</v>
      </c>
      <c r="H6" s="96">
        <v>125.52278800000001</v>
      </c>
      <c r="I6" s="96" t="s">
        <v>22</v>
      </c>
      <c r="J6" s="96" t="s">
        <v>288</v>
      </c>
      <c r="K6" s="96" t="s">
        <v>1965</v>
      </c>
      <c r="L6" s="205"/>
      <c r="M6" s="96" t="s">
        <v>1978</v>
      </c>
      <c r="N6" s="200"/>
      <c r="O6" s="200"/>
      <c r="P6" s="200"/>
      <c r="Q6" s="200"/>
      <c r="R6" s="200"/>
      <c r="S6" s="200"/>
      <c r="T6" s="200"/>
      <c r="U6" s="200"/>
      <c r="V6" s="200"/>
      <c r="W6" s="200"/>
    </row>
    <row r="7" spans="1:23" ht="12.75">
      <c r="A7" s="201"/>
      <c r="B7" s="202" t="s">
        <v>216</v>
      </c>
      <c r="C7" s="202" t="s">
        <v>376</v>
      </c>
      <c r="D7" s="203">
        <v>2</v>
      </c>
      <c r="E7" s="96" t="s">
        <v>1979</v>
      </c>
      <c r="F7" s="202" t="s">
        <v>65</v>
      </c>
      <c r="G7" s="96">
        <v>9.6564809999999994</v>
      </c>
      <c r="H7" s="96">
        <v>125.602485</v>
      </c>
      <c r="I7" s="96" t="s">
        <v>22</v>
      </c>
      <c r="J7" s="96" t="s">
        <v>288</v>
      </c>
      <c r="K7" s="96" t="s">
        <v>1965</v>
      </c>
      <c r="L7" s="205"/>
      <c r="M7" s="96" t="s">
        <v>1980</v>
      </c>
      <c r="N7" s="200"/>
      <c r="O7" s="200"/>
      <c r="P7" s="200"/>
      <c r="Q7" s="200"/>
      <c r="R7" s="200"/>
      <c r="S7" s="200"/>
      <c r="T7" s="200"/>
      <c r="U7" s="200"/>
      <c r="V7" s="200"/>
      <c r="W7" s="200"/>
    </row>
    <row r="8" spans="1:23" ht="12.75" hidden="1">
      <c r="A8" s="64"/>
      <c r="B8" s="8" t="s">
        <v>216</v>
      </c>
      <c r="C8" s="8" t="s">
        <v>1981</v>
      </c>
      <c r="D8" s="6">
        <v>2</v>
      </c>
      <c r="E8" s="119" t="s">
        <v>616</v>
      </c>
      <c r="F8" s="15" t="s">
        <v>553</v>
      </c>
      <c r="G8" s="13">
        <v>9.6324792600000002</v>
      </c>
      <c r="H8" s="13">
        <v>125.56162860000001</v>
      </c>
      <c r="I8" s="13" t="s">
        <v>513</v>
      </c>
      <c r="J8" s="96" t="s">
        <v>409</v>
      </c>
      <c r="K8" s="96" t="s">
        <v>1984</v>
      </c>
      <c r="L8" s="20" t="s">
        <v>1985</v>
      </c>
      <c r="M8" s="16"/>
    </row>
    <row r="9" spans="1:23" ht="12.75" hidden="1">
      <c r="A9" s="64"/>
      <c r="B9" s="4" t="s">
        <v>216</v>
      </c>
      <c r="C9" s="61" t="s">
        <v>471</v>
      </c>
      <c r="D9" s="61">
        <v>2</v>
      </c>
      <c r="E9" s="62" t="s">
        <v>472</v>
      </c>
      <c r="F9" s="97" t="s">
        <v>374</v>
      </c>
      <c r="G9" s="13">
        <v>9.628952</v>
      </c>
      <c r="H9" s="13">
        <v>125.617459</v>
      </c>
      <c r="I9" s="13" t="s">
        <v>350</v>
      </c>
      <c r="J9" s="96" t="s">
        <v>288</v>
      </c>
      <c r="K9" s="96" t="s">
        <v>1965</v>
      </c>
      <c r="L9" s="20"/>
      <c r="M9" s="16"/>
    </row>
    <row r="10" spans="1:23" ht="12.75">
      <c r="A10" s="210"/>
      <c r="B10" s="202" t="s">
        <v>397</v>
      </c>
      <c r="C10" s="202" t="s">
        <v>191</v>
      </c>
      <c r="D10" s="203">
        <v>2</v>
      </c>
      <c r="E10" s="96" t="s">
        <v>228</v>
      </c>
      <c r="F10" s="202" t="s">
        <v>65</v>
      </c>
      <c r="G10" s="96">
        <v>9.7767267130000004</v>
      </c>
      <c r="H10" s="96">
        <v>125.421119</v>
      </c>
      <c r="I10" s="96" t="s">
        <v>22</v>
      </c>
      <c r="J10" s="96" t="s">
        <v>288</v>
      </c>
      <c r="K10" s="96" t="s">
        <v>1965</v>
      </c>
      <c r="L10" s="205"/>
      <c r="M10" s="96" t="s">
        <v>1992</v>
      </c>
      <c r="N10" s="211"/>
      <c r="O10" s="211"/>
      <c r="P10" s="211"/>
      <c r="Q10" s="211"/>
      <c r="R10" s="211"/>
      <c r="S10" s="211"/>
      <c r="T10" s="211"/>
      <c r="U10" s="211"/>
      <c r="V10" s="211"/>
      <c r="W10" s="211"/>
    </row>
    <row r="11" spans="1:23" ht="12.75">
      <c r="A11" s="210"/>
      <c r="B11" s="202" t="s">
        <v>257</v>
      </c>
      <c r="C11" s="202" t="s">
        <v>405</v>
      </c>
      <c r="D11" s="203">
        <v>2</v>
      </c>
      <c r="E11" s="96" t="s">
        <v>253</v>
      </c>
      <c r="F11" s="202" t="s">
        <v>65</v>
      </c>
      <c r="G11" s="96">
        <v>9.6578099999999996</v>
      </c>
      <c r="H11" s="96">
        <v>125.528361</v>
      </c>
      <c r="I11" s="96" t="s">
        <v>22</v>
      </c>
      <c r="J11" s="96" t="s">
        <v>288</v>
      </c>
      <c r="K11" s="96" t="s">
        <v>1965</v>
      </c>
      <c r="L11" s="205"/>
      <c r="M11" s="96" t="s">
        <v>1994</v>
      </c>
      <c r="N11" s="211"/>
      <c r="O11" s="211"/>
      <c r="P11" s="211"/>
      <c r="Q11" s="211"/>
      <c r="R11" s="211"/>
      <c r="S11" s="211"/>
      <c r="T11" s="211"/>
      <c r="U11" s="211"/>
      <c r="V11" s="211"/>
      <c r="W11" s="211"/>
    </row>
    <row r="12" spans="1:23" ht="25.5">
      <c r="A12" s="210"/>
      <c r="B12" s="202" t="s">
        <v>291</v>
      </c>
      <c r="C12" s="202" t="s">
        <v>411</v>
      </c>
      <c r="D12" s="203">
        <v>2</v>
      </c>
      <c r="E12" s="96" t="s">
        <v>282</v>
      </c>
      <c r="F12" s="202" t="s">
        <v>65</v>
      </c>
      <c r="G12" s="96">
        <v>9.6979403959999999</v>
      </c>
      <c r="H12" s="96">
        <v>125.58390199999999</v>
      </c>
      <c r="I12" s="96" t="s">
        <v>22</v>
      </c>
      <c r="J12" s="96" t="s">
        <v>288</v>
      </c>
      <c r="K12" s="96" t="s">
        <v>1965</v>
      </c>
      <c r="L12" s="205"/>
      <c r="M12" s="96" t="s">
        <v>1996</v>
      </c>
      <c r="N12" s="215" t="s">
        <v>1969</v>
      </c>
      <c r="O12" s="211"/>
      <c r="P12" s="211"/>
      <c r="Q12" s="211"/>
      <c r="R12" s="211"/>
      <c r="S12" s="211"/>
      <c r="T12" s="211"/>
      <c r="U12" s="211"/>
      <c r="V12" s="211"/>
      <c r="W12" s="211"/>
    </row>
    <row r="13" spans="1:23" ht="12.75">
      <c r="A13" s="210"/>
      <c r="B13" s="202" t="s">
        <v>325</v>
      </c>
      <c r="C13" s="202" t="s">
        <v>415</v>
      </c>
      <c r="D13" s="203">
        <v>2</v>
      </c>
      <c r="E13" s="96" t="s">
        <v>1997</v>
      </c>
      <c r="F13" s="202" t="s">
        <v>65</v>
      </c>
      <c r="G13" s="96">
        <v>9.5538950000000007</v>
      </c>
      <c r="H13" s="96">
        <v>125.56960599999999</v>
      </c>
      <c r="I13" s="96" t="s">
        <v>22</v>
      </c>
      <c r="J13" s="96" t="s">
        <v>288</v>
      </c>
      <c r="K13" s="96" t="s">
        <v>1965</v>
      </c>
      <c r="L13" s="205"/>
      <c r="M13" s="96" t="s">
        <v>1998</v>
      </c>
      <c r="N13" s="211"/>
      <c r="O13" s="211"/>
      <c r="P13" s="211"/>
      <c r="Q13" s="211"/>
      <c r="R13" s="211"/>
      <c r="S13" s="211"/>
      <c r="T13" s="211"/>
      <c r="U13" s="211"/>
      <c r="V13" s="211"/>
      <c r="W13" s="211"/>
    </row>
    <row r="14" spans="1:23" ht="12.75">
      <c r="A14" s="210"/>
      <c r="B14" s="202" t="s">
        <v>268</v>
      </c>
      <c r="C14" s="202" t="s">
        <v>40</v>
      </c>
      <c r="D14" s="203">
        <v>2</v>
      </c>
      <c r="E14" s="96" t="s">
        <v>348</v>
      </c>
      <c r="F14" s="202" t="s">
        <v>351</v>
      </c>
      <c r="G14" s="96">
        <v>9.7852057030000008</v>
      </c>
      <c r="H14" s="96">
        <v>125.487904</v>
      </c>
      <c r="I14" s="96" t="s">
        <v>22</v>
      </c>
      <c r="J14" s="96" t="s">
        <v>288</v>
      </c>
      <c r="K14" s="96" t="s">
        <v>1965</v>
      </c>
      <c r="L14" s="205"/>
      <c r="M14" s="96"/>
      <c r="N14" s="211"/>
      <c r="O14" s="211"/>
      <c r="P14" s="211"/>
      <c r="Q14" s="211"/>
      <c r="R14" s="211"/>
      <c r="S14" s="211"/>
      <c r="T14" s="211"/>
      <c r="U14" s="211"/>
      <c r="V14" s="211"/>
      <c r="W14" s="211"/>
    </row>
    <row r="15" spans="1:23" ht="12.75" hidden="1">
      <c r="A15" s="64"/>
      <c r="B15" s="8" t="s">
        <v>268</v>
      </c>
      <c r="C15" s="8" t="s">
        <v>40</v>
      </c>
      <c r="D15" s="6">
        <v>2</v>
      </c>
      <c r="E15" s="16" t="s">
        <v>348</v>
      </c>
      <c r="F15" s="15" t="s">
        <v>351</v>
      </c>
      <c r="G15" s="13">
        <v>9.7852460000000008</v>
      </c>
      <c r="H15" s="13">
        <v>125.487915</v>
      </c>
      <c r="I15" s="13" t="s">
        <v>261</v>
      </c>
      <c r="J15" s="96" t="s">
        <v>409</v>
      </c>
      <c r="K15" s="96" t="s">
        <v>1965</v>
      </c>
      <c r="L15" s="20"/>
      <c r="M15" s="16"/>
    </row>
    <row r="16" spans="1:23" ht="12.75" hidden="1">
      <c r="A16" s="64"/>
      <c r="B16" s="8" t="s">
        <v>268</v>
      </c>
      <c r="C16" s="8" t="s">
        <v>40</v>
      </c>
      <c r="D16" s="6">
        <v>2</v>
      </c>
      <c r="E16" s="23" t="s">
        <v>52</v>
      </c>
      <c r="F16" s="15" t="s">
        <v>491</v>
      </c>
      <c r="G16" s="13" t="s">
        <v>1556</v>
      </c>
      <c r="H16" s="13" t="s">
        <v>1557</v>
      </c>
      <c r="I16" s="13" t="s">
        <v>261</v>
      </c>
      <c r="J16" s="96" t="s">
        <v>409</v>
      </c>
      <c r="K16" s="96" t="s">
        <v>1965</v>
      </c>
      <c r="L16" s="20"/>
      <c r="M16" s="16"/>
    </row>
    <row r="17" spans="1:23" ht="12.75" hidden="1">
      <c r="A17" s="64"/>
      <c r="B17" s="8" t="s">
        <v>268</v>
      </c>
      <c r="C17" s="8" t="s">
        <v>40</v>
      </c>
      <c r="D17" s="6">
        <v>2</v>
      </c>
      <c r="E17" s="23" t="s">
        <v>459</v>
      </c>
      <c r="F17" s="15" t="s">
        <v>493</v>
      </c>
      <c r="G17" s="13">
        <v>9.7814669999999992</v>
      </c>
      <c r="H17" s="13">
        <v>125.488632</v>
      </c>
      <c r="I17" s="13" t="s">
        <v>261</v>
      </c>
      <c r="J17" s="96" t="s">
        <v>288</v>
      </c>
      <c r="K17" s="96" t="s">
        <v>1965</v>
      </c>
      <c r="L17" s="216"/>
      <c r="M17" s="217"/>
    </row>
    <row r="18" spans="1:23" ht="12.75" hidden="1">
      <c r="A18" s="64"/>
      <c r="B18" s="8" t="s">
        <v>268</v>
      </c>
      <c r="C18" s="8" t="s">
        <v>35</v>
      </c>
      <c r="D18" s="6">
        <v>2</v>
      </c>
      <c r="E18" s="119" t="s">
        <v>614</v>
      </c>
      <c r="F18" s="15" t="s">
        <v>151</v>
      </c>
      <c r="G18" s="13">
        <v>9.7889333700000005</v>
      </c>
      <c r="H18" s="13">
        <v>125.49791039999999</v>
      </c>
      <c r="I18" s="13" t="s">
        <v>513</v>
      </c>
      <c r="J18" s="96" t="s">
        <v>288</v>
      </c>
      <c r="K18" s="96" t="s">
        <v>1984</v>
      </c>
      <c r="L18" s="20" t="s">
        <v>1985</v>
      </c>
      <c r="M18" s="217"/>
    </row>
    <row r="19" spans="1:23" ht="12.75" hidden="1">
      <c r="A19" s="64"/>
      <c r="B19" s="4" t="s">
        <v>268</v>
      </c>
      <c r="C19" s="61" t="s">
        <v>4</v>
      </c>
      <c r="D19" s="61">
        <v>2</v>
      </c>
      <c r="E19" s="4" t="s">
        <v>11</v>
      </c>
      <c r="F19" s="97" t="s">
        <v>374</v>
      </c>
      <c r="G19" s="13">
        <v>9.7399159999999991</v>
      </c>
      <c r="H19" s="13">
        <v>125.544605</v>
      </c>
      <c r="I19" s="13" t="s">
        <v>350</v>
      </c>
      <c r="J19" s="96" t="s">
        <v>409</v>
      </c>
      <c r="K19" s="96" t="s">
        <v>1965</v>
      </c>
      <c r="L19" s="20"/>
      <c r="M19" s="16"/>
    </row>
    <row r="20" spans="1:23" ht="12.75">
      <c r="A20" s="210"/>
      <c r="B20" s="202" t="s">
        <v>381</v>
      </c>
      <c r="C20" s="202" t="s">
        <v>140</v>
      </c>
      <c r="D20" s="203">
        <v>2</v>
      </c>
      <c r="E20" s="96" t="s">
        <v>379</v>
      </c>
      <c r="F20" s="202" t="s">
        <v>65</v>
      </c>
      <c r="G20" s="96">
        <v>9.6183148900000006</v>
      </c>
      <c r="H20" s="96">
        <v>125.401832</v>
      </c>
      <c r="I20" s="96" t="s">
        <v>22</v>
      </c>
      <c r="J20" s="96" t="s">
        <v>288</v>
      </c>
      <c r="K20" s="96" t="s">
        <v>1965</v>
      </c>
      <c r="L20" s="218"/>
      <c r="M20" s="96" t="s">
        <v>2009</v>
      </c>
      <c r="N20" s="206" t="s">
        <v>1969</v>
      </c>
      <c r="O20" s="200"/>
      <c r="P20" s="200"/>
      <c r="Q20" s="200"/>
      <c r="R20" s="200"/>
      <c r="S20" s="200"/>
      <c r="T20" s="200"/>
      <c r="U20" s="200"/>
      <c r="V20" s="200"/>
      <c r="W20" s="200"/>
    </row>
    <row r="21" spans="1:23" ht="12.75" hidden="1">
      <c r="A21" s="64"/>
      <c r="B21" s="61" t="s">
        <v>381</v>
      </c>
      <c r="C21" s="61" t="s">
        <v>466</v>
      </c>
      <c r="D21" s="61">
        <v>2</v>
      </c>
      <c r="E21" s="61" t="s">
        <v>467</v>
      </c>
      <c r="F21" s="97" t="s">
        <v>553</v>
      </c>
      <c r="G21" s="13">
        <v>9.6230820000000001</v>
      </c>
      <c r="H21" s="13">
        <v>125.40059100000001</v>
      </c>
      <c r="I21" s="13" t="s">
        <v>350</v>
      </c>
      <c r="J21" s="96" t="s">
        <v>409</v>
      </c>
      <c r="K21" s="96" t="s">
        <v>1965</v>
      </c>
      <c r="L21" s="20"/>
      <c r="M21" s="16"/>
    </row>
    <row r="22" spans="1:23" ht="12.75">
      <c r="A22" s="210"/>
      <c r="B22" s="202" t="s">
        <v>13</v>
      </c>
      <c r="C22" s="202" t="s">
        <v>15</v>
      </c>
      <c r="D22" s="203">
        <v>1</v>
      </c>
      <c r="E22" s="96" t="s">
        <v>16</v>
      </c>
      <c r="F22" s="202" t="s">
        <v>65</v>
      </c>
      <c r="G22" s="96">
        <v>10.018162999999999</v>
      </c>
      <c r="H22" s="96">
        <v>126.073989</v>
      </c>
      <c r="I22" s="96" t="s">
        <v>22</v>
      </c>
      <c r="J22" s="96" t="s">
        <v>288</v>
      </c>
      <c r="K22" s="96" t="s">
        <v>1965</v>
      </c>
      <c r="L22" s="218"/>
      <c r="M22" s="96" t="s">
        <v>2010</v>
      </c>
      <c r="N22" s="211"/>
      <c r="O22" s="211"/>
      <c r="P22" s="211"/>
      <c r="Q22" s="211"/>
      <c r="R22" s="211"/>
      <c r="S22" s="211"/>
      <c r="T22" s="211"/>
      <c r="U22" s="211"/>
      <c r="V22" s="211"/>
      <c r="W22" s="211"/>
    </row>
    <row r="23" spans="1:23" ht="12.75" hidden="1">
      <c r="A23" s="64"/>
      <c r="B23" s="8" t="s">
        <v>13</v>
      </c>
      <c r="C23" s="8" t="s">
        <v>15</v>
      </c>
      <c r="D23" s="6">
        <v>1</v>
      </c>
      <c r="E23" s="23" t="s">
        <v>538</v>
      </c>
      <c r="F23" s="15" t="s">
        <v>207</v>
      </c>
      <c r="G23" s="13">
        <v>10.01681262</v>
      </c>
      <c r="H23" s="13">
        <v>126.074563</v>
      </c>
      <c r="I23" s="13" t="s">
        <v>513</v>
      </c>
      <c r="J23" s="96" t="s">
        <v>409</v>
      </c>
      <c r="K23" s="96" t="s">
        <v>1984</v>
      </c>
      <c r="L23" s="20" t="s">
        <v>1985</v>
      </c>
      <c r="M23" s="16"/>
    </row>
    <row r="24" spans="1:23" ht="12.75" hidden="1">
      <c r="A24" s="64"/>
      <c r="B24" s="8" t="s">
        <v>13</v>
      </c>
      <c r="C24" s="8" t="s">
        <v>1788</v>
      </c>
      <c r="D24" s="6">
        <v>1</v>
      </c>
      <c r="E24" s="119" t="s">
        <v>2012</v>
      </c>
      <c r="F24" s="15" t="s">
        <v>155</v>
      </c>
      <c r="G24" s="13">
        <v>9.9666666999999993</v>
      </c>
      <c r="H24" s="13">
        <v>126.0738131</v>
      </c>
      <c r="I24" s="13" t="s">
        <v>513</v>
      </c>
      <c r="J24" s="96" t="s">
        <v>288</v>
      </c>
      <c r="K24" s="96" t="s">
        <v>1984</v>
      </c>
      <c r="L24" s="20" t="s">
        <v>1985</v>
      </c>
      <c r="M24" s="16"/>
    </row>
    <row r="25" spans="1:23" ht="12.75">
      <c r="A25" s="210"/>
      <c r="B25" s="202" t="s">
        <v>67</v>
      </c>
      <c r="C25" s="202" t="s">
        <v>68</v>
      </c>
      <c r="D25" s="203">
        <v>1</v>
      </c>
      <c r="E25" s="96" t="s">
        <v>69</v>
      </c>
      <c r="F25" s="202" t="s">
        <v>65</v>
      </c>
      <c r="G25" s="96">
        <v>9.7563359999999992</v>
      </c>
      <c r="H25" s="96">
        <v>126.053104</v>
      </c>
      <c r="I25" s="96" t="s">
        <v>22</v>
      </c>
      <c r="J25" s="96" t="s">
        <v>288</v>
      </c>
      <c r="K25" s="96" t="s">
        <v>1965</v>
      </c>
      <c r="L25" s="205"/>
      <c r="M25" s="96" t="s">
        <v>2018</v>
      </c>
      <c r="N25" s="211"/>
      <c r="O25" s="211"/>
      <c r="P25" s="211"/>
      <c r="Q25" s="211"/>
      <c r="R25" s="211"/>
      <c r="S25" s="211"/>
      <c r="T25" s="211"/>
      <c r="U25" s="211"/>
      <c r="V25" s="211"/>
      <c r="W25" s="211"/>
    </row>
    <row r="26" spans="1:23" ht="12.75" hidden="1">
      <c r="A26" s="64"/>
      <c r="B26" s="8" t="s">
        <v>67</v>
      </c>
      <c r="C26" s="8" t="s">
        <v>258</v>
      </c>
      <c r="D26" s="6">
        <v>1</v>
      </c>
      <c r="E26" s="4" t="s">
        <v>259</v>
      </c>
      <c r="F26" s="15" t="s">
        <v>155</v>
      </c>
      <c r="G26" s="13">
        <v>9.7789249999999992</v>
      </c>
      <c r="H26" s="13">
        <v>126.010543</v>
      </c>
      <c r="I26" s="13" t="s">
        <v>261</v>
      </c>
      <c r="J26" s="96" t="s">
        <v>409</v>
      </c>
      <c r="K26" s="96" t="s">
        <v>1965</v>
      </c>
      <c r="L26" s="20"/>
      <c r="M26" s="16"/>
    </row>
    <row r="27" spans="1:23" ht="12.75" hidden="1">
      <c r="A27" s="64"/>
      <c r="B27" s="8" t="s">
        <v>67</v>
      </c>
      <c r="C27" s="8" t="s">
        <v>265</v>
      </c>
      <c r="D27" s="6">
        <v>1</v>
      </c>
      <c r="E27" s="61" t="s">
        <v>267</v>
      </c>
      <c r="F27" s="15" t="s">
        <v>374</v>
      </c>
      <c r="G27" s="13">
        <v>9.7644529999999996</v>
      </c>
      <c r="H27" s="13">
        <v>126.0416</v>
      </c>
      <c r="I27" s="13" t="s">
        <v>261</v>
      </c>
      <c r="J27" s="96" t="s">
        <v>409</v>
      </c>
      <c r="K27" s="96" t="s">
        <v>1965</v>
      </c>
      <c r="L27" s="20"/>
      <c r="M27" s="16"/>
    </row>
    <row r="28" spans="1:23" ht="12.75" hidden="1">
      <c r="A28" s="64"/>
      <c r="B28" s="8" t="s">
        <v>67</v>
      </c>
      <c r="C28" s="8" t="s">
        <v>278</v>
      </c>
      <c r="D28" s="6">
        <v>1</v>
      </c>
      <c r="E28" s="4" t="s">
        <v>2019</v>
      </c>
      <c r="F28" s="15" t="s">
        <v>155</v>
      </c>
      <c r="G28" s="13">
        <v>9.7460000000000004</v>
      </c>
      <c r="H28" s="13">
        <v>126.03164599999999</v>
      </c>
      <c r="I28" s="13" t="s">
        <v>261</v>
      </c>
      <c r="J28" s="96" t="s">
        <v>409</v>
      </c>
      <c r="K28" s="96" t="s">
        <v>1965</v>
      </c>
      <c r="L28" s="20"/>
      <c r="M28" s="16"/>
    </row>
    <row r="29" spans="1:23" ht="12.75" hidden="1">
      <c r="A29" s="64"/>
      <c r="B29" s="8" t="s">
        <v>67</v>
      </c>
      <c r="C29" s="8" t="s">
        <v>1804</v>
      </c>
      <c r="D29" s="6">
        <v>1</v>
      </c>
      <c r="E29" s="23" t="s">
        <v>547</v>
      </c>
      <c r="F29" s="15" t="s">
        <v>155</v>
      </c>
      <c r="G29" s="13">
        <v>9.6897739900000008</v>
      </c>
      <c r="H29" s="13">
        <v>126.00788369999999</v>
      </c>
      <c r="I29" s="13" t="s">
        <v>513</v>
      </c>
      <c r="J29" s="96" t="s">
        <v>409</v>
      </c>
      <c r="K29" s="96" t="s">
        <v>1984</v>
      </c>
      <c r="L29" s="20" t="s">
        <v>1985</v>
      </c>
      <c r="M29" s="16"/>
    </row>
    <row r="30" spans="1:23" ht="12.75" hidden="1">
      <c r="A30" s="64"/>
      <c r="B30" s="8" t="s">
        <v>67</v>
      </c>
      <c r="C30" s="8" t="s">
        <v>1848</v>
      </c>
      <c r="D30" s="6">
        <v>1</v>
      </c>
      <c r="E30" s="13" t="s">
        <v>552</v>
      </c>
      <c r="F30" s="15" t="s">
        <v>553</v>
      </c>
      <c r="G30" s="13">
        <v>9.7586759500000007</v>
      </c>
      <c r="H30" s="13">
        <v>126.0574337</v>
      </c>
      <c r="I30" s="13" t="s">
        <v>513</v>
      </c>
      <c r="J30" s="96" t="s">
        <v>409</v>
      </c>
      <c r="K30" s="96" t="s">
        <v>1984</v>
      </c>
      <c r="L30" s="20" t="s">
        <v>1985</v>
      </c>
      <c r="M30" s="16"/>
    </row>
    <row r="31" spans="1:23" ht="12.75" hidden="1">
      <c r="A31" s="64"/>
      <c r="B31" s="4" t="s">
        <v>67</v>
      </c>
      <c r="C31" s="4" t="s">
        <v>308</v>
      </c>
      <c r="D31" s="6">
        <v>1</v>
      </c>
      <c r="E31" s="4" t="s">
        <v>309</v>
      </c>
      <c r="F31" s="13" t="s">
        <v>666</v>
      </c>
      <c r="G31" s="13">
        <v>9.76106257</v>
      </c>
      <c r="H31" s="13">
        <v>126.0127461</v>
      </c>
      <c r="I31" s="13" t="s">
        <v>311</v>
      </c>
      <c r="J31" s="96" t="s">
        <v>409</v>
      </c>
      <c r="K31" s="96" t="s">
        <v>1965</v>
      </c>
      <c r="L31" s="20"/>
      <c r="M31" s="16"/>
    </row>
    <row r="32" spans="1:23" ht="12.75" hidden="1">
      <c r="A32" s="64"/>
      <c r="B32" s="4" t="s">
        <v>67</v>
      </c>
      <c r="C32" s="4" t="s">
        <v>331</v>
      </c>
      <c r="D32" s="6">
        <v>1</v>
      </c>
      <c r="E32" s="4" t="s">
        <v>333</v>
      </c>
      <c r="F32" s="13" t="s">
        <v>666</v>
      </c>
      <c r="G32" s="13">
        <v>9.7161117200000007</v>
      </c>
      <c r="H32" s="13">
        <v>126.06116590000001</v>
      </c>
      <c r="I32" s="13" t="s">
        <v>311</v>
      </c>
      <c r="J32" s="96" t="s">
        <v>409</v>
      </c>
      <c r="K32" s="96" t="s">
        <v>1965</v>
      </c>
      <c r="L32" s="20"/>
      <c r="M32" s="16"/>
    </row>
    <row r="33" spans="1:23" ht="12.75" hidden="1">
      <c r="A33" s="64"/>
      <c r="B33" s="61" t="s">
        <v>67</v>
      </c>
      <c r="C33" s="61" t="s">
        <v>347</v>
      </c>
      <c r="D33" s="61">
        <v>1</v>
      </c>
      <c r="E33" s="219" t="s">
        <v>349</v>
      </c>
      <c r="F33" s="97" t="s">
        <v>207</v>
      </c>
      <c r="G33" s="13">
        <v>9.7551480000000002</v>
      </c>
      <c r="H33" s="13">
        <v>126.052662</v>
      </c>
      <c r="I33" s="13" t="s">
        <v>350</v>
      </c>
      <c r="J33" s="96" t="s">
        <v>409</v>
      </c>
      <c r="K33" s="96" t="s">
        <v>1965</v>
      </c>
      <c r="L33" s="20"/>
      <c r="M33" s="16"/>
    </row>
    <row r="34" spans="1:23" ht="12.75" hidden="1">
      <c r="A34" s="64"/>
      <c r="B34" s="4" t="s">
        <v>67</v>
      </c>
      <c r="C34" s="61" t="s">
        <v>354</v>
      </c>
      <c r="D34" s="61">
        <v>1</v>
      </c>
      <c r="E34" s="4" t="s">
        <v>2029</v>
      </c>
      <c r="F34" s="97" t="s">
        <v>2030</v>
      </c>
      <c r="G34" s="13">
        <v>9.7548038199999993</v>
      </c>
      <c r="H34" s="13">
        <v>126.0951094</v>
      </c>
      <c r="I34" s="13" t="s">
        <v>311</v>
      </c>
      <c r="J34" s="96" t="s">
        <v>409</v>
      </c>
      <c r="K34" s="96" t="s">
        <v>1965</v>
      </c>
      <c r="L34" s="20"/>
      <c r="M34" s="16"/>
    </row>
    <row r="35" spans="1:23" ht="12.75">
      <c r="A35" s="210"/>
      <c r="B35" s="202" t="s">
        <v>81</v>
      </c>
      <c r="C35" s="202" t="s">
        <v>82</v>
      </c>
      <c r="D35" s="203">
        <v>1</v>
      </c>
      <c r="E35" s="96" t="s">
        <v>639</v>
      </c>
      <c r="F35" s="202" t="s">
        <v>65</v>
      </c>
      <c r="G35" s="96">
        <v>9.8820940000000004</v>
      </c>
      <c r="H35" s="96">
        <v>125.984093</v>
      </c>
      <c r="I35" s="96" t="s">
        <v>22</v>
      </c>
      <c r="J35" s="96" t="s">
        <v>288</v>
      </c>
      <c r="K35" s="96" t="s">
        <v>1965</v>
      </c>
      <c r="L35" s="205"/>
      <c r="M35" s="96" t="s">
        <v>2031</v>
      </c>
      <c r="N35" s="211"/>
      <c r="O35" s="211"/>
      <c r="P35" s="211"/>
      <c r="Q35" s="211"/>
      <c r="R35" s="211"/>
      <c r="S35" s="211"/>
      <c r="T35" s="211"/>
      <c r="U35" s="211"/>
      <c r="V35" s="211"/>
      <c r="W35" s="211"/>
    </row>
    <row r="36" spans="1:23" ht="12.75" hidden="1">
      <c r="A36" s="64"/>
      <c r="B36" s="8" t="s">
        <v>81</v>
      </c>
      <c r="C36" s="8" t="s">
        <v>286</v>
      </c>
      <c r="D36" s="6">
        <v>1</v>
      </c>
      <c r="E36" s="4" t="s">
        <v>287</v>
      </c>
      <c r="F36" s="15" t="s">
        <v>155</v>
      </c>
      <c r="G36" s="13">
        <v>9.8737630000000003</v>
      </c>
      <c r="H36" s="13">
        <v>126.013057</v>
      </c>
      <c r="I36" s="13" t="s">
        <v>261</v>
      </c>
      <c r="J36" s="96" t="s">
        <v>288</v>
      </c>
      <c r="K36" s="96" t="s">
        <v>1965</v>
      </c>
      <c r="L36" s="205"/>
      <c r="M36" s="16"/>
    </row>
    <row r="37" spans="1:23" ht="12.75" hidden="1">
      <c r="A37" s="64"/>
      <c r="B37" s="8" t="s">
        <v>81</v>
      </c>
      <c r="C37" s="8" t="s">
        <v>1869</v>
      </c>
      <c r="D37" s="6">
        <v>1</v>
      </c>
      <c r="E37" s="220" t="s">
        <v>555</v>
      </c>
      <c r="F37" s="15" t="s">
        <v>155</v>
      </c>
      <c r="G37" s="13">
        <v>9.7904040800000001</v>
      </c>
      <c r="H37" s="13">
        <v>126.0110839</v>
      </c>
      <c r="I37" s="13" t="s">
        <v>513</v>
      </c>
      <c r="J37" s="96" t="s">
        <v>409</v>
      </c>
      <c r="K37" s="96" t="s">
        <v>1984</v>
      </c>
      <c r="L37" s="20" t="s">
        <v>1985</v>
      </c>
      <c r="M37" s="16"/>
    </row>
    <row r="38" spans="1:23" ht="12.75" hidden="1">
      <c r="A38" s="64"/>
      <c r="B38" s="8" t="s">
        <v>81</v>
      </c>
      <c r="C38" s="8" t="s">
        <v>1889</v>
      </c>
      <c r="D38" s="6">
        <v>1</v>
      </c>
      <c r="E38" s="13" t="s">
        <v>558</v>
      </c>
      <c r="F38" s="15" t="s">
        <v>155</v>
      </c>
      <c r="G38" s="13">
        <v>9.5824010000000008</v>
      </c>
      <c r="H38" s="13">
        <v>126.0099115</v>
      </c>
      <c r="I38" s="13" t="s">
        <v>513</v>
      </c>
      <c r="J38" s="96" t="s">
        <v>409</v>
      </c>
      <c r="K38" s="96" t="s">
        <v>1984</v>
      </c>
      <c r="L38" s="20" t="s">
        <v>1985</v>
      </c>
      <c r="M38" s="16"/>
    </row>
    <row r="39" spans="1:23" ht="12.75" hidden="1">
      <c r="A39" s="64"/>
      <c r="B39" s="8" t="s">
        <v>81</v>
      </c>
      <c r="C39" s="8" t="s">
        <v>283</v>
      </c>
      <c r="D39" s="6">
        <v>1</v>
      </c>
      <c r="E39" s="220" t="s">
        <v>154</v>
      </c>
      <c r="F39" s="15" t="s">
        <v>155</v>
      </c>
      <c r="G39" s="13">
        <v>9.8955821999999998</v>
      </c>
      <c r="H39" s="13">
        <v>126.0275461</v>
      </c>
      <c r="I39" s="13" t="s">
        <v>513</v>
      </c>
      <c r="J39" s="96" t="s">
        <v>409</v>
      </c>
      <c r="K39" s="96" t="s">
        <v>1984</v>
      </c>
      <c r="L39" s="20" t="s">
        <v>1985</v>
      </c>
      <c r="M39" s="16"/>
    </row>
    <row r="40" spans="1:23" ht="12.75" hidden="1">
      <c r="A40" s="64"/>
      <c r="B40" s="8" t="s">
        <v>81</v>
      </c>
      <c r="C40" s="8" t="s">
        <v>1934</v>
      </c>
      <c r="D40" s="6">
        <v>1</v>
      </c>
      <c r="E40" s="13" t="s">
        <v>563</v>
      </c>
      <c r="F40" s="15" t="s">
        <v>207</v>
      </c>
      <c r="G40" s="13" t="s">
        <v>1936</v>
      </c>
      <c r="H40" s="13" t="s">
        <v>1937</v>
      </c>
      <c r="I40" s="13" t="s">
        <v>513</v>
      </c>
      <c r="J40" s="96" t="s">
        <v>409</v>
      </c>
      <c r="K40" s="96" t="s">
        <v>1984</v>
      </c>
      <c r="L40" s="20" t="s">
        <v>1985</v>
      </c>
      <c r="M40" s="16"/>
    </row>
    <row r="41" spans="1:23" ht="12.75" hidden="1">
      <c r="A41" s="64"/>
      <c r="B41" s="4" t="s">
        <v>81</v>
      </c>
      <c r="C41" s="4" t="s">
        <v>320</v>
      </c>
      <c r="D41" s="6">
        <v>1</v>
      </c>
      <c r="E41" s="4" t="s">
        <v>322</v>
      </c>
      <c r="F41" s="13" t="s">
        <v>668</v>
      </c>
      <c r="G41" s="13">
        <v>9.8565553300000008</v>
      </c>
      <c r="H41" s="13">
        <v>126.0160595</v>
      </c>
      <c r="I41" s="13" t="s">
        <v>311</v>
      </c>
      <c r="J41" s="96" t="s">
        <v>288</v>
      </c>
      <c r="K41" s="96" t="s">
        <v>1965</v>
      </c>
      <c r="L41" s="216"/>
      <c r="M41" s="217"/>
    </row>
    <row r="42" spans="1:23" ht="12.75">
      <c r="A42" s="210"/>
      <c r="B42" s="202" t="s">
        <v>79</v>
      </c>
      <c r="C42" s="202" t="s">
        <v>97</v>
      </c>
      <c r="D42" s="203">
        <v>1</v>
      </c>
      <c r="E42" s="96" t="s">
        <v>98</v>
      </c>
      <c r="F42" s="202" t="s">
        <v>65</v>
      </c>
      <c r="G42" s="96">
        <v>9.7823740000000008</v>
      </c>
      <c r="H42" s="96">
        <v>126.15665799999999</v>
      </c>
      <c r="I42" s="96" t="s">
        <v>22</v>
      </c>
      <c r="J42" s="96" t="s">
        <v>288</v>
      </c>
      <c r="K42" s="96" t="s">
        <v>1965</v>
      </c>
      <c r="L42" s="205"/>
      <c r="M42" s="96" t="s">
        <v>1702</v>
      </c>
      <c r="N42" s="215" t="s">
        <v>1969</v>
      </c>
      <c r="O42" s="211"/>
      <c r="P42" s="211"/>
      <c r="Q42" s="211"/>
      <c r="R42" s="211"/>
      <c r="S42" s="211"/>
      <c r="T42" s="211"/>
      <c r="U42" s="211"/>
      <c r="V42" s="211"/>
      <c r="W42" s="211"/>
    </row>
    <row r="43" spans="1:23" ht="12.75" hidden="1">
      <c r="A43" s="64"/>
      <c r="B43" s="8" t="s">
        <v>79</v>
      </c>
      <c r="C43" s="8" t="s">
        <v>1665</v>
      </c>
      <c r="D43" s="6">
        <v>1</v>
      </c>
      <c r="E43" s="221" t="s">
        <v>2035</v>
      </c>
      <c r="F43" s="15" t="s">
        <v>128</v>
      </c>
      <c r="G43" s="13">
        <v>9.8123750699999999</v>
      </c>
      <c r="H43" s="13">
        <v>126.1638323</v>
      </c>
      <c r="I43" s="13" t="s">
        <v>513</v>
      </c>
      <c r="J43" s="96" t="s">
        <v>409</v>
      </c>
      <c r="K43" s="96" t="s">
        <v>1984</v>
      </c>
      <c r="L43" s="20" t="s">
        <v>1985</v>
      </c>
      <c r="M43" s="16"/>
    </row>
    <row r="44" spans="1:23" ht="12.75" hidden="1">
      <c r="A44" s="64"/>
      <c r="B44" s="8" t="s">
        <v>79</v>
      </c>
      <c r="C44" s="8" t="s">
        <v>15</v>
      </c>
      <c r="D44" s="6">
        <v>1</v>
      </c>
      <c r="E44" s="148" t="s">
        <v>520</v>
      </c>
      <c r="F44" s="15" t="s">
        <v>207</v>
      </c>
      <c r="G44" s="13">
        <v>9.7826132999999995</v>
      </c>
      <c r="H44" s="13">
        <v>126.15794219999999</v>
      </c>
      <c r="I44" s="13" t="s">
        <v>513</v>
      </c>
      <c r="J44" s="96" t="s">
        <v>409</v>
      </c>
      <c r="K44" s="96" t="s">
        <v>1984</v>
      </c>
      <c r="L44" s="20" t="s">
        <v>1985</v>
      </c>
      <c r="M44" s="16"/>
    </row>
    <row r="45" spans="1:23" ht="12.75" hidden="1">
      <c r="A45" s="64"/>
      <c r="B45" s="8" t="s">
        <v>79</v>
      </c>
      <c r="C45" s="8" t="s">
        <v>258</v>
      </c>
      <c r="D45" s="6">
        <v>1</v>
      </c>
      <c r="E45" s="220" t="s">
        <v>529</v>
      </c>
      <c r="F45" s="15" t="s">
        <v>155</v>
      </c>
      <c r="G45" s="13">
        <v>9.8409222599999993</v>
      </c>
      <c r="H45" s="13">
        <v>126.13875</v>
      </c>
      <c r="I45" s="13" t="s">
        <v>513</v>
      </c>
      <c r="J45" s="96" t="s">
        <v>409</v>
      </c>
      <c r="K45" s="96" t="s">
        <v>1984</v>
      </c>
      <c r="L45" s="20" t="s">
        <v>1985</v>
      </c>
      <c r="M45" s="16"/>
    </row>
    <row r="46" spans="1:23" ht="12.75" hidden="1">
      <c r="A46" s="64"/>
      <c r="B46" s="8" t="s">
        <v>79</v>
      </c>
      <c r="C46" s="8" t="s">
        <v>1723</v>
      </c>
      <c r="D46" s="6">
        <v>1</v>
      </c>
      <c r="E46" s="13" t="s">
        <v>2038</v>
      </c>
      <c r="F46" s="15" t="s">
        <v>207</v>
      </c>
      <c r="G46" s="13" t="s">
        <v>1724</v>
      </c>
      <c r="H46" s="13" t="s">
        <v>1725</v>
      </c>
      <c r="I46" s="13" t="s">
        <v>513</v>
      </c>
      <c r="J46" s="96" t="s">
        <v>409</v>
      </c>
      <c r="K46" s="96" t="s">
        <v>1984</v>
      </c>
      <c r="L46" s="20" t="s">
        <v>1985</v>
      </c>
      <c r="M46" s="16"/>
    </row>
    <row r="47" spans="1:23" ht="12.75">
      <c r="A47" s="210"/>
      <c r="B47" s="202" t="s">
        <v>113</v>
      </c>
      <c r="C47" s="202" t="s">
        <v>114</v>
      </c>
      <c r="D47" s="203">
        <v>1</v>
      </c>
      <c r="E47" s="96" t="s">
        <v>115</v>
      </c>
      <c r="F47" s="202" t="s">
        <v>65</v>
      </c>
      <c r="G47" s="96">
        <v>9.8644020000000001</v>
      </c>
      <c r="H47" s="96">
        <v>126.100433</v>
      </c>
      <c r="I47" s="96" t="s">
        <v>22</v>
      </c>
      <c r="J47" s="96" t="s">
        <v>288</v>
      </c>
      <c r="K47" s="96" t="s">
        <v>1965</v>
      </c>
      <c r="L47" s="205"/>
      <c r="M47" s="96" t="s">
        <v>2039</v>
      </c>
      <c r="N47" s="215" t="s">
        <v>1969</v>
      </c>
      <c r="O47" s="211"/>
      <c r="P47" s="211"/>
      <c r="Q47" s="211"/>
      <c r="R47" s="211"/>
      <c r="S47" s="211"/>
      <c r="T47" s="211"/>
      <c r="U47" s="211"/>
      <c r="V47" s="211"/>
      <c r="W47" s="211"/>
    </row>
    <row r="48" spans="1:23" ht="12.75" hidden="1">
      <c r="A48" s="64"/>
      <c r="B48" s="8" t="s">
        <v>113</v>
      </c>
      <c r="C48" s="8" t="s">
        <v>1959</v>
      </c>
      <c r="D48" s="6">
        <v>1</v>
      </c>
      <c r="E48" s="13" t="s">
        <v>569</v>
      </c>
      <c r="F48" s="15" t="s">
        <v>207</v>
      </c>
      <c r="G48" s="13">
        <v>9.8951834499999993</v>
      </c>
      <c r="H48" s="13">
        <v>126.1096766</v>
      </c>
      <c r="I48" s="13" t="s">
        <v>513</v>
      </c>
      <c r="J48" s="96" t="s">
        <v>409</v>
      </c>
      <c r="K48" s="96" t="s">
        <v>1984</v>
      </c>
      <c r="L48" s="20" t="s">
        <v>1985</v>
      </c>
      <c r="M48" s="16"/>
    </row>
    <row r="49" spans="1:23" ht="12.75" hidden="1">
      <c r="A49" s="64"/>
      <c r="B49" s="8" t="s">
        <v>113</v>
      </c>
      <c r="C49" s="8" t="s">
        <v>2000</v>
      </c>
      <c r="D49" s="6">
        <v>1</v>
      </c>
      <c r="E49" s="220" t="s">
        <v>575</v>
      </c>
      <c r="F49" s="15" t="s">
        <v>374</v>
      </c>
      <c r="G49" s="13">
        <v>9.8652061999999994</v>
      </c>
      <c r="H49" s="13">
        <v>126.1000537</v>
      </c>
      <c r="I49" s="13" t="s">
        <v>513</v>
      </c>
      <c r="J49" s="96" t="s">
        <v>288</v>
      </c>
      <c r="K49" s="96" t="s">
        <v>1984</v>
      </c>
      <c r="L49" s="20" t="s">
        <v>1985</v>
      </c>
      <c r="M49" s="16" t="s">
        <v>2043</v>
      </c>
    </row>
    <row r="50" spans="1:23" ht="12.75">
      <c r="A50" s="210"/>
      <c r="B50" s="202" t="s">
        <v>140</v>
      </c>
      <c r="C50" s="202" t="s">
        <v>141</v>
      </c>
      <c r="D50" s="203">
        <v>1</v>
      </c>
      <c r="E50" s="96" t="s">
        <v>637</v>
      </c>
      <c r="F50" s="202" t="s">
        <v>65</v>
      </c>
      <c r="G50" s="96">
        <v>9.9366299999999992</v>
      </c>
      <c r="H50" s="96">
        <v>126.08703199999999</v>
      </c>
      <c r="I50" s="96" t="s">
        <v>22</v>
      </c>
      <c r="J50" s="96" t="s">
        <v>288</v>
      </c>
      <c r="K50" s="96" t="s">
        <v>1965</v>
      </c>
      <c r="L50" s="205"/>
      <c r="M50" s="96" t="s">
        <v>2044</v>
      </c>
      <c r="N50" s="215" t="s">
        <v>1969</v>
      </c>
      <c r="O50" s="211"/>
      <c r="P50" s="211"/>
      <c r="Q50" s="211"/>
      <c r="R50" s="211"/>
      <c r="S50" s="211"/>
      <c r="T50" s="211"/>
      <c r="U50" s="211"/>
      <c r="V50" s="211"/>
      <c r="W50" s="211"/>
    </row>
    <row r="51" spans="1:23" ht="12.75" hidden="1">
      <c r="A51" s="64"/>
      <c r="B51" s="15" t="s">
        <v>140</v>
      </c>
      <c r="C51" s="15" t="s">
        <v>299</v>
      </c>
      <c r="D51" s="6">
        <v>1</v>
      </c>
      <c r="E51" s="141" t="s">
        <v>2047</v>
      </c>
      <c r="F51" s="15" t="s">
        <v>155</v>
      </c>
      <c r="G51" s="13">
        <v>9.9414829999999998</v>
      </c>
      <c r="H51" s="13">
        <v>126.065558</v>
      </c>
      <c r="I51" s="13" t="s">
        <v>261</v>
      </c>
      <c r="J51" s="96" t="s">
        <v>288</v>
      </c>
      <c r="K51" s="96" t="s">
        <v>1984</v>
      </c>
      <c r="L51" s="205" t="s">
        <v>2048</v>
      </c>
      <c r="M51" s="217"/>
    </row>
    <row r="52" spans="1:23" ht="12.75" hidden="1">
      <c r="A52" s="64"/>
      <c r="B52" s="8" t="s">
        <v>140</v>
      </c>
      <c r="C52" s="8" t="s">
        <v>2049</v>
      </c>
      <c r="D52" s="6">
        <v>1</v>
      </c>
      <c r="E52" s="13" t="s">
        <v>586</v>
      </c>
      <c r="F52" s="15" t="s">
        <v>207</v>
      </c>
      <c r="G52" s="13">
        <v>9.9355012299999999</v>
      </c>
      <c r="H52" s="13">
        <v>126.0889493</v>
      </c>
      <c r="I52" s="13" t="s">
        <v>513</v>
      </c>
      <c r="J52" s="96" t="s">
        <v>409</v>
      </c>
      <c r="K52" s="96" t="s">
        <v>1984</v>
      </c>
      <c r="L52" s="20" t="s">
        <v>1985</v>
      </c>
      <c r="M52" s="16" t="s">
        <v>2050</v>
      </c>
    </row>
    <row r="53" spans="1:23" ht="12.75" hidden="1">
      <c r="A53" s="64"/>
      <c r="B53" s="8" t="s">
        <v>140</v>
      </c>
      <c r="C53" s="8" t="s">
        <v>2051</v>
      </c>
      <c r="D53" s="6">
        <v>1</v>
      </c>
      <c r="E53" s="220" t="s">
        <v>591</v>
      </c>
      <c r="F53" s="15" t="s">
        <v>207</v>
      </c>
      <c r="G53" s="13">
        <v>9.9291041</v>
      </c>
      <c r="H53" s="13">
        <v>126.0568121</v>
      </c>
      <c r="I53" s="13" t="s">
        <v>513</v>
      </c>
      <c r="J53" s="96" t="s">
        <v>409</v>
      </c>
      <c r="K53" s="96" t="s">
        <v>1984</v>
      </c>
      <c r="L53" s="20" t="s">
        <v>1985</v>
      </c>
      <c r="M53" s="16"/>
    </row>
    <row r="54" spans="1:23" ht="12.75">
      <c r="A54" s="210"/>
      <c r="B54" s="202" t="s">
        <v>165</v>
      </c>
      <c r="C54" s="202" t="s">
        <v>172</v>
      </c>
      <c r="D54" s="203">
        <v>1</v>
      </c>
      <c r="E54" s="96" t="s">
        <v>2052</v>
      </c>
      <c r="F54" s="202" t="s">
        <v>65</v>
      </c>
      <c r="G54" s="96">
        <v>9.9595330000000004</v>
      </c>
      <c r="H54" s="96">
        <v>126.007548</v>
      </c>
      <c r="I54" s="96" t="s">
        <v>22</v>
      </c>
      <c r="J54" s="96" t="s">
        <v>288</v>
      </c>
      <c r="K54" s="96" t="s">
        <v>1965</v>
      </c>
      <c r="L54" s="218"/>
      <c r="M54" s="96" t="s">
        <v>171</v>
      </c>
      <c r="N54" s="215" t="s">
        <v>1969</v>
      </c>
      <c r="O54" s="211"/>
      <c r="P54" s="211"/>
      <c r="Q54" s="211"/>
      <c r="R54" s="211"/>
      <c r="S54" s="211"/>
      <c r="T54" s="211"/>
      <c r="U54" s="211"/>
      <c r="V54" s="211"/>
      <c r="W54" s="211"/>
    </row>
    <row r="55" spans="1:23" ht="12.75" hidden="1">
      <c r="A55" s="64"/>
      <c r="B55" s="8" t="s">
        <v>165</v>
      </c>
      <c r="C55" s="8" t="s">
        <v>1981</v>
      </c>
      <c r="D55" s="6">
        <v>1</v>
      </c>
      <c r="E55" s="220" t="s">
        <v>578</v>
      </c>
      <c r="F55" s="15" t="s">
        <v>374</v>
      </c>
      <c r="G55" s="13">
        <v>9.9581590999999996</v>
      </c>
      <c r="H55" s="13">
        <v>126.00709000000001</v>
      </c>
      <c r="I55" s="13" t="s">
        <v>513</v>
      </c>
      <c r="J55" s="96" t="s">
        <v>409</v>
      </c>
      <c r="K55" s="96" t="s">
        <v>1984</v>
      </c>
      <c r="L55" s="20" t="s">
        <v>1985</v>
      </c>
      <c r="M55" s="16"/>
    </row>
    <row r="56" spans="1:23" ht="12.75" hidden="1">
      <c r="A56" s="64"/>
      <c r="B56" s="8" t="s">
        <v>165</v>
      </c>
      <c r="C56" s="8" t="s">
        <v>183</v>
      </c>
      <c r="D56" s="6">
        <v>1</v>
      </c>
      <c r="E56" s="13" t="s">
        <v>2055</v>
      </c>
      <c r="F56" s="15" t="s">
        <v>207</v>
      </c>
      <c r="G56" s="13">
        <v>9.9476759599999998</v>
      </c>
      <c r="H56" s="13">
        <v>126.0015066</v>
      </c>
      <c r="I56" s="13" t="s">
        <v>513</v>
      </c>
      <c r="J56" s="96" t="s">
        <v>409</v>
      </c>
      <c r="K56" s="96" t="s">
        <v>1984</v>
      </c>
      <c r="L56" s="20" t="s">
        <v>1985</v>
      </c>
      <c r="M56" s="16"/>
    </row>
    <row r="57" spans="1:23" ht="12.75">
      <c r="A57" s="210"/>
      <c r="B57" s="202" t="s">
        <v>176</v>
      </c>
      <c r="C57" s="202" t="s">
        <v>210</v>
      </c>
      <c r="D57" s="203">
        <v>1</v>
      </c>
      <c r="E57" s="96" t="s">
        <v>211</v>
      </c>
      <c r="F57" s="202" t="s">
        <v>65</v>
      </c>
      <c r="G57" s="96">
        <v>10.020443</v>
      </c>
      <c r="H57" s="96">
        <v>126.03608</v>
      </c>
      <c r="I57" s="96" t="s">
        <v>22</v>
      </c>
      <c r="J57" s="96" t="s">
        <v>288</v>
      </c>
      <c r="K57" s="96" t="s">
        <v>1965</v>
      </c>
      <c r="L57" s="205"/>
      <c r="M57" s="96" t="s">
        <v>2056</v>
      </c>
      <c r="N57" s="211"/>
      <c r="O57" s="211"/>
      <c r="P57" s="211"/>
      <c r="Q57" s="211"/>
      <c r="R57" s="211"/>
      <c r="S57" s="211"/>
      <c r="T57" s="211"/>
      <c r="U57" s="211"/>
      <c r="V57" s="211"/>
      <c r="W57" s="211"/>
    </row>
    <row r="58" spans="1:23" ht="12.75" hidden="1">
      <c r="A58" s="64"/>
      <c r="B58" s="4" t="s">
        <v>176</v>
      </c>
      <c r="C58" s="8" t="s">
        <v>210</v>
      </c>
      <c r="D58" s="6">
        <v>1</v>
      </c>
      <c r="E58" s="13" t="s">
        <v>596</v>
      </c>
      <c r="F58" s="15" t="s">
        <v>31</v>
      </c>
      <c r="G58" s="13">
        <v>10.020357000000001</v>
      </c>
      <c r="H58" s="13">
        <v>126.036468</v>
      </c>
      <c r="I58" s="13" t="s">
        <v>513</v>
      </c>
      <c r="J58" s="96" t="s">
        <v>409</v>
      </c>
      <c r="K58" s="96" t="s">
        <v>1984</v>
      </c>
      <c r="L58" s="20" t="s">
        <v>1985</v>
      </c>
      <c r="M58" s="16"/>
    </row>
    <row r="59" spans="1:23" ht="12.75">
      <c r="A59" s="210"/>
      <c r="B59" s="202" t="s">
        <v>196</v>
      </c>
      <c r="C59" s="202" t="s">
        <v>241</v>
      </c>
      <c r="D59" s="203">
        <v>1</v>
      </c>
      <c r="E59" s="96" t="s">
        <v>245</v>
      </c>
      <c r="F59" s="202" t="s">
        <v>65</v>
      </c>
      <c r="G59" s="96">
        <v>9.6168420000000001</v>
      </c>
      <c r="H59" s="96">
        <v>125.965041</v>
      </c>
      <c r="I59" s="96" t="s">
        <v>22</v>
      </c>
      <c r="J59" s="96" t="s">
        <v>288</v>
      </c>
      <c r="K59" s="96" t="s">
        <v>1965</v>
      </c>
      <c r="L59" s="205"/>
      <c r="M59" s="96" t="s">
        <v>2060</v>
      </c>
      <c r="N59" s="215" t="s">
        <v>1969</v>
      </c>
      <c r="O59" s="211"/>
      <c r="P59" s="211"/>
      <c r="Q59" s="211"/>
      <c r="R59" s="211"/>
      <c r="S59" s="211"/>
      <c r="T59" s="211"/>
      <c r="U59" s="211"/>
      <c r="V59" s="211"/>
      <c r="W59" s="211"/>
    </row>
    <row r="60" spans="1:23" ht="12.75" hidden="1">
      <c r="A60" s="64"/>
      <c r="B60" s="8" t="s">
        <v>196</v>
      </c>
      <c r="C60" s="8" t="s">
        <v>241</v>
      </c>
      <c r="D60" s="6">
        <v>1</v>
      </c>
      <c r="E60" s="13" t="s">
        <v>600</v>
      </c>
      <c r="F60" s="15" t="s">
        <v>553</v>
      </c>
      <c r="G60" s="13">
        <v>9.6196971799999993</v>
      </c>
      <c r="H60" s="13">
        <v>125.9613155</v>
      </c>
      <c r="I60" s="13" t="s">
        <v>513</v>
      </c>
      <c r="J60" s="96" t="s">
        <v>409</v>
      </c>
      <c r="K60" s="96" t="s">
        <v>1965</v>
      </c>
      <c r="L60" s="20"/>
      <c r="M60" s="16"/>
    </row>
    <row r="61" spans="1:23" ht="12.75" hidden="1">
      <c r="A61" s="64"/>
      <c r="B61" s="8" t="s">
        <v>196</v>
      </c>
      <c r="C61" s="8" t="s">
        <v>2061</v>
      </c>
      <c r="D61" s="6">
        <v>1</v>
      </c>
      <c r="E61" s="220" t="s">
        <v>603</v>
      </c>
      <c r="F61" s="15" t="s">
        <v>207</v>
      </c>
      <c r="G61" s="13">
        <v>9.6144084500000009</v>
      </c>
      <c r="H61" s="13">
        <v>125.96273429999999</v>
      </c>
      <c r="I61" s="13" t="s">
        <v>513</v>
      </c>
      <c r="J61" s="96" t="s">
        <v>409</v>
      </c>
      <c r="K61" s="96" t="s">
        <v>1984</v>
      </c>
      <c r="L61" s="20" t="s">
        <v>1985</v>
      </c>
      <c r="M61" s="16"/>
    </row>
    <row r="62" spans="1:23" ht="12.75" hidden="1">
      <c r="A62" s="64"/>
      <c r="B62" s="15" t="s">
        <v>196</v>
      </c>
      <c r="C62" s="15" t="s">
        <v>1629</v>
      </c>
      <c r="D62" s="6">
        <v>1</v>
      </c>
      <c r="E62" s="13" t="s">
        <v>606</v>
      </c>
      <c r="F62" s="15" t="s">
        <v>155</v>
      </c>
      <c r="G62" s="13">
        <v>9.6963308099999992</v>
      </c>
      <c r="H62" s="13">
        <v>125.94899150000001</v>
      </c>
      <c r="I62" s="13" t="s">
        <v>513</v>
      </c>
      <c r="J62" s="96" t="s">
        <v>409</v>
      </c>
      <c r="K62" s="96" t="s">
        <v>1984</v>
      </c>
      <c r="L62" s="20" t="s">
        <v>1985</v>
      </c>
      <c r="M62" s="16"/>
    </row>
    <row r="63" spans="1:23" ht="12.75" hidden="1">
      <c r="A63" s="64"/>
      <c r="B63" s="8" t="s">
        <v>196</v>
      </c>
      <c r="C63" s="8" t="s">
        <v>1638</v>
      </c>
      <c r="D63" s="6">
        <v>1</v>
      </c>
      <c r="E63" s="220" t="s">
        <v>611</v>
      </c>
      <c r="F63" s="15" t="s">
        <v>128</v>
      </c>
      <c r="G63" s="13">
        <v>9.5955293400000006</v>
      </c>
      <c r="H63" s="13">
        <v>125.9104476</v>
      </c>
      <c r="I63" s="13" t="s">
        <v>513</v>
      </c>
      <c r="J63" s="96" t="s">
        <v>409</v>
      </c>
      <c r="K63" s="96" t="s">
        <v>1984</v>
      </c>
      <c r="L63" s="20" t="s">
        <v>1985</v>
      </c>
      <c r="M63" s="16"/>
    </row>
    <row r="64" spans="1:23" ht="12.75">
      <c r="A64" s="201"/>
      <c r="B64" s="201"/>
      <c r="C64" s="201"/>
      <c r="D64" s="224"/>
      <c r="E64" s="201"/>
      <c r="F64" s="201"/>
      <c r="G64" s="200"/>
      <c r="H64" s="200"/>
      <c r="I64" s="200"/>
      <c r="J64" s="200"/>
      <c r="K64" s="200"/>
      <c r="L64" s="200"/>
      <c r="M64" s="200"/>
      <c r="N64" s="200"/>
      <c r="O64" s="200"/>
      <c r="P64" s="200"/>
      <c r="Q64" s="200"/>
      <c r="R64" s="200"/>
      <c r="S64" s="200"/>
      <c r="T64" s="200"/>
      <c r="U64" s="200"/>
      <c r="V64" s="200"/>
      <c r="W64" s="200"/>
    </row>
    <row r="65" spans="1:23" ht="12.75">
      <c r="A65" s="201"/>
      <c r="B65" s="201"/>
      <c r="C65" s="201"/>
      <c r="D65" s="224"/>
      <c r="E65" s="201"/>
      <c r="F65" s="201"/>
      <c r="G65" s="200"/>
      <c r="H65" s="200"/>
      <c r="I65" s="200"/>
      <c r="J65" s="200"/>
      <c r="K65" s="200"/>
      <c r="L65" s="200"/>
      <c r="M65" s="200"/>
      <c r="N65" s="200"/>
      <c r="O65" s="200"/>
      <c r="P65" s="200"/>
      <c r="Q65" s="200"/>
      <c r="R65" s="200"/>
      <c r="S65" s="200"/>
      <c r="T65" s="200"/>
      <c r="U65" s="200"/>
      <c r="V65" s="200"/>
      <c r="W65" s="200"/>
    </row>
    <row r="66" spans="1:23" ht="12.75">
      <c r="A66" s="201"/>
      <c r="B66" s="201"/>
      <c r="C66" s="201"/>
      <c r="D66" s="224"/>
      <c r="E66" s="201"/>
      <c r="F66" s="201"/>
      <c r="G66" s="200"/>
      <c r="H66" s="200"/>
      <c r="I66" s="200"/>
      <c r="J66" s="200"/>
      <c r="K66" s="200"/>
      <c r="L66" s="200"/>
      <c r="M66" s="200"/>
      <c r="N66" s="200"/>
      <c r="O66" s="200"/>
      <c r="P66" s="200"/>
      <c r="Q66" s="200"/>
      <c r="R66" s="200"/>
      <c r="S66" s="200"/>
      <c r="T66" s="200"/>
      <c r="U66" s="200"/>
      <c r="V66" s="200"/>
      <c r="W66" s="200"/>
    </row>
    <row r="67" spans="1:23" ht="12.75">
      <c r="A67" s="201"/>
      <c r="B67" s="201"/>
      <c r="C67" s="201"/>
      <c r="D67" s="224"/>
      <c r="E67" s="201"/>
      <c r="F67" s="201"/>
      <c r="G67" s="200"/>
      <c r="H67" s="200"/>
      <c r="I67" s="200"/>
      <c r="J67" s="200"/>
      <c r="K67" s="200"/>
      <c r="L67" s="200"/>
      <c r="M67" s="200"/>
      <c r="N67" s="200"/>
      <c r="O67" s="200"/>
      <c r="P67" s="200"/>
      <c r="Q67" s="200"/>
      <c r="R67" s="200"/>
      <c r="S67" s="200"/>
      <c r="T67" s="200"/>
      <c r="U67" s="200"/>
      <c r="V67" s="200"/>
      <c r="W67" s="200"/>
    </row>
    <row r="68" spans="1:23" ht="12.75">
      <c r="A68" s="201"/>
      <c r="B68" s="201"/>
      <c r="C68" s="201"/>
      <c r="D68" s="224"/>
      <c r="E68" s="201"/>
      <c r="F68" s="201"/>
      <c r="G68" s="200"/>
      <c r="H68" s="200"/>
      <c r="I68" s="200"/>
      <c r="J68" s="200"/>
      <c r="K68" s="200"/>
      <c r="L68" s="200"/>
      <c r="M68" s="200"/>
      <c r="N68" s="200"/>
      <c r="O68" s="200"/>
      <c r="P68" s="200"/>
      <c r="Q68" s="200"/>
      <c r="R68" s="200"/>
      <c r="S68" s="200"/>
      <c r="T68" s="200"/>
      <c r="U68" s="200"/>
      <c r="V68" s="200"/>
      <c r="W68" s="200"/>
    </row>
    <row r="69" spans="1:23" ht="12.75">
      <c r="A69" s="201"/>
      <c r="B69" s="201"/>
      <c r="C69" s="201"/>
      <c r="D69" s="224"/>
      <c r="E69" s="201"/>
      <c r="F69" s="201"/>
      <c r="G69" s="200"/>
      <c r="H69" s="200"/>
      <c r="I69" s="200"/>
      <c r="J69" s="200"/>
      <c r="K69" s="200"/>
      <c r="L69" s="200"/>
      <c r="M69" s="200"/>
      <c r="N69" s="200"/>
      <c r="O69" s="200"/>
      <c r="P69" s="200"/>
      <c r="Q69" s="200"/>
      <c r="R69" s="200"/>
      <c r="S69" s="200"/>
      <c r="T69" s="200"/>
      <c r="U69" s="200"/>
      <c r="V69" s="200"/>
      <c r="W69" s="200"/>
    </row>
    <row r="70" spans="1:23" ht="12.75">
      <c r="A70" s="201"/>
      <c r="B70" s="201"/>
      <c r="C70" s="201"/>
      <c r="D70" s="224"/>
      <c r="E70" s="201"/>
      <c r="F70" s="201"/>
      <c r="G70" s="200"/>
      <c r="H70" s="200"/>
      <c r="I70" s="200"/>
      <c r="J70" s="200"/>
      <c r="K70" s="200"/>
      <c r="L70" s="200"/>
      <c r="M70" s="200"/>
      <c r="N70" s="200"/>
      <c r="O70" s="200"/>
      <c r="P70" s="200"/>
      <c r="Q70" s="200"/>
      <c r="R70" s="200"/>
      <c r="S70" s="200"/>
      <c r="T70" s="200"/>
      <c r="U70" s="200"/>
      <c r="V70" s="200"/>
      <c r="W70" s="200"/>
    </row>
    <row r="71" spans="1:23" ht="12.75">
      <c r="A71" s="201"/>
      <c r="B71" s="201"/>
      <c r="C71" s="201"/>
      <c r="D71" s="224"/>
      <c r="E71" s="201"/>
      <c r="F71" s="201"/>
      <c r="G71" s="200"/>
      <c r="H71" s="200"/>
      <c r="I71" s="200"/>
      <c r="J71" s="200"/>
      <c r="K71" s="200"/>
      <c r="L71" s="200"/>
      <c r="M71" s="200"/>
      <c r="N71" s="200"/>
      <c r="O71" s="200"/>
      <c r="P71" s="200"/>
      <c r="Q71" s="200"/>
      <c r="R71" s="200"/>
      <c r="S71" s="200"/>
      <c r="T71" s="200"/>
      <c r="U71" s="200"/>
      <c r="V71" s="200"/>
      <c r="W71" s="200"/>
    </row>
    <row r="72" spans="1:23" ht="12.75">
      <c r="A72" s="201"/>
      <c r="B72" s="201"/>
      <c r="C72" s="201"/>
      <c r="D72" s="224"/>
      <c r="E72" s="201"/>
      <c r="F72" s="201"/>
      <c r="G72" s="200"/>
      <c r="H72" s="200"/>
      <c r="I72" s="200"/>
      <c r="J72" s="200"/>
      <c r="K72" s="200"/>
      <c r="L72" s="200"/>
      <c r="M72" s="200"/>
      <c r="N72" s="200"/>
      <c r="O72" s="200"/>
      <c r="P72" s="200"/>
      <c r="Q72" s="200"/>
      <c r="R72" s="200"/>
      <c r="S72" s="200"/>
      <c r="T72" s="200"/>
      <c r="U72" s="200"/>
      <c r="V72" s="200"/>
      <c r="W72" s="200"/>
    </row>
    <row r="73" spans="1:23" ht="12.75">
      <c r="A73" s="201"/>
      <c r="B73" s="201"/>
      <c r="C73" s="201"/>
      <c r="D73" s="224"/>
      <c r="E73" s="201"/>
      <c r="F73" s="201"/>
      <c r="G73" s="200"/>
      <c r="H73" s="200"/>
      <c r="I73" s="200"/>
      <c r="J73" s="200"/>
      <c r="K73" s="200"/>
      <c r="L73" s="200"/>
      <c r="M73" s="200"/>
      <c r="N73" s="200"/>
      <c r="O73" s="200"/>
      <c r="P73" s="200"/>
      <c r="Q73" s="200"/>
      <c r="R73" s="200"/>
      <c r="S73" s="200"/>
      <c r="T73" s="200"/>
      <c r="U73" s="200"/>
      <c r="V73" s="200"/>
      <c r="W73" s="200"/>
    </row>
    <row r="74" spans="1:23" ht="12.75">
      <c r="A74" s="201"/>
      <c r="B74" s="201"/>
      <c r="C74" s="201"/>
      <c r="D74" s="224"/>
      <c r="E74" s="201"/>
      <c r="F74" s="201"/>
      <c r="G74" s="200"/>
      <c r="H74" s="200"/>
      <c r="I74" s="200"/>
      <c r="J74" s="200"/>
      <c r="K74" s="200"/>
      <c r="L74" s="200"/>
      <c r="M74" s="200"/>
      <c r="N74" s="200"/>
      <c r="O74" s="200"/>
      <c r="P74" s="200"/>
      <c r="Q74" s="200"/>
      <c r="R74" s="200"/>
      <c r="S74" s="200"/>
      <c r="T74" s="200"/>
      <c r="U74" s="200"/>
      <c r="V74" s="200"/>
      <c r="W74" s="200"/>
    </row>
    <row r="75" spans="1:23" ht="12.75">
      <c r="A75" s="201"/>
      <c r="B75" s="201"/>
      <c r="C75" s="201"/>
      <c r="D75" s="224"/>
      <c r="E75" s="201"/>
      <c r="F75" s="201"/>
      <c r="G75" s="200"/>
      <c r="H75" s="200"/>
      <c r="I75" s="200"/>
      <c r="J75" s="200"/>
      <c r="K75" s="200"/>
      <c r="L75" s="200"/>
      <c r="M75" s="200"/>
      <c r="N75" s="200"/>
      <c r="O75" s="200"/>
      <c r="P75" s="200"/>
      <c r="Q75" s="200"/>
      <c r="R75" s="200"/>
      <c r="S75" s="200"/>
      <c r="T75" s="200"/>
      <c r="U75" s="200"/>
      <c r="V75" s="200"/>
      <c r="W75" s="200"/>
    </row>
    <row r="76" spans="1:23" ht="12.75">
      <c r="A76" s="201"/>
      <c r="B76" s="201"/>
      <c r="C76" s="201"/>
      <c r="D76" s="224"/>
      <c r="E76" s="201"/>
      <c r="F76" s="201"/>
      <c r="G76" s="200"/>
      <c r="H76" s="200"/>
      <c r="I76" s="200"/>
      <c r="J76" s="200"/>
      <c r="K76" s="200"/>
      <c r="L76" s="200"/>
      <c r="M76" s="200"/>
      <c r="N76" s="200"/>
      <c r="O76" s="200"/>
      <c r="P76" s="200"/>
      <c r="Q76" s="200"/>
      <c r="R76" s="200"/>
      <c r="S76" s="200"/>
      <c r="T76" s="200"/>
      <c r="U76" s="200"/>
      <c r="V76" s="200"/>
      <c r="W76" s="200"/>
    </row>
    <row r="77" spans="1:23" ht="12.75">
      <c r="A77" s="201"/>
      <c r="B77" s="201"/>
      <c r="C77" s="201"/>
      <c r="D77" s="224"/>
      <c r="E77" s="201"/>
      <c r="F77" s="201"/>
      <c r="G77" s="200"/>
      <c r="H77" s="200"/>
      <c r="I77" s="200"/>
      <c r="J77" s="200"/>
      <c r="K77" s="200"/>
      <c r="L77" s="200"/>
      <c r="M77" s="200"/>
      <c r="N77" s="200"/>
      <c r="O77" s="200"/>
      <c r="P77" s="200"/>
      <c r="Q77" s="200"/>
      <c r="R77" s="200"/>
      <c r="S77" s="200"/>
      <c r="T77" s="200"/>
      <c r="U77" s="200"/>
      <c r="V77" s="200"/>
      <c r="W77" s="200"/>
    </row>
    <row r="78" spans="1:23" ht="12.75">
      <c r="A78" s="201"/>
      <c r="B78" s="201"/>
      <c r="C78" s="201"/>
      <c r="D78" s="224"/>
      <c r="E78" s="201"/>
      <c r="F78" s="201"/>
      <c r="G78" s="200"/>
      <c r="H78" s="200"/>
      <c r="I78" s="200"/>
      <c r="J78" s="200"/>
      <c r="K78" s="200"/>
      <c r="L78" s="200"/>
      <c r="M78" s="200"/>
      <c r="N78" s="200"/>
      <c r="O78" s="200"/>
      <c r="P78" s="200"/>
      <c r="Q78" s="200"/>
      <c r="R78" s="200"/>
      <c r="S78" s="200"/>
      <c r="T78" s="200"/>
      <c r="U78" s="200"/>
      <c r="V78" s="200"/>
      <c r="W78" s="200"/>
    </row>
    <row r="79" spans="1:23" ht="12.75">
      <c r="A79" s="201"/>
      <c r="B79" s="201"/>
      <c r="C79" s="201"/>
      <c r="D79" s="224"/>
      <c r="E79" s="201"/>
      <c r="F79" s="201"/>
      <c r="G79" s="200"/>
      <c r="H79" s="200"/>
      <c r="I79" s="200"/>
      <c r="J79" s="200"/>
      <c r="K79" s="200"/>
      <c r="L79" s="200"/>
      <c r="M79" s="200"/>
      <c r="N79" s="200"/>
      <c r="O79" s="200"/>
      <c r="P79" s="200"/>
      <c r="Q79" s="200"/>
      <c r="R79" s="200"/>
      <c r="S79" s="200"/>
      <c r="T79" s="200"/>
      <c r="U79" s="200"/>
      <c r="V79" s="200"/>
      <c r="W79" s="200"/>
    </row>
    <row r="80" spans="1:23" ht="12.75">
      <c r="A80" s="201"/>
      <c r="B80" s="201"/>
      <c r="C80" s="201"/>
      <c r="D80" s="224"/>
      <c r="E80" s="201"/>
      <c r="F80" s="201"/>
      <c r="G80" s="200"/>
      <c r="H80" s="200"/>
      <c r="I80" s="200"/>
      <c r="J80" s="200"/>
      <c r="K80" s="200"/>
      <c r="L80" s="200"/>
      <c r="M80" s="200"/>
      <c r="N80" s="200"/>
      <c r="O80" s="200"/>
      <c r="P80" s="200"/>
      <c r="Q80" s="200"/>
      <c r="R80" s="200"/>
      <c r="S80" s="200"/>
      <c r="T80" s="200"/>
      <c r="U80" s="200"/>
      <c r="V80" s="200"/>
      <c r="W80" s="200"/>
    </row>
    <row r="81" spans="1:23" ht="12.75">
      <c r="A81" s="201"/>
      <c r="B81" s="201"/>
      <c r="C81" s="201"/>
      <c r="D81" s="224"/>
      <c r="E81" s="201"/>
      <c r="F81" s="201"/>
      <c r="G81" s="200"/>
      <c r="H81" s="200"/>
      <c r="I81" s="200"/>
      <c r="J81" s="200"/>
      <c r="K81" s="200"/>
      <c r="L81" s="200"/>
      <c r="M81" s="200"/>
      <c r="N81" s="200"/>
      <c r="O81" s="200"/>
      <c r="P81" s="200"/>
      <c r="Q81" s="200"/>
      <c r="R81" s="200"/>
      <c r="S81" s="200"/>
      <c r="T81" s="200"/>
      <c r="U81" s="200"/>
      <c r="V81" s="200"/>
      <c r="W81" s="200"/>
    </row>
    <row r="82" spans="1:23" ht="12.75">
      <c r="A82" s="201"/>
      <c r="B82" s="201"/>
      <c r="C82" s="201"/>
      <c r="D82" s="224"/>
      <c r="E82" s="201"/>
      <c r="F82" s="201"/>
      <c r="G82" s="200"/>
      <c r="H82" s="200"/>
      <c r="I82" s="200"/>
      <c r="J82" s="200"/>
      <c r="K82" s="200"/>
      <c r="L82" s="200"/>
      <c r="M82" s="200"/>
      <c r="N82" s="200"/>
      <c r="O82" s="200"/>
      <c r="P82" s="200"/>
      <c r="Q82" s="200"/>
      <c r="R82" s="200"/>
      <c r="S82" s="200"/>
      <c r="T82" s="200"/>
      <c r="U82" s="200"/>
      <c r="V82" s="200"/>
      <c r="W82" s="200"/>
    </row>
    <row r="83" spans="1:23" ht="12.75">
      <c r="A83" s="201"/>
      <c r="B83" s="201"/>
      <c r="C83" s="201"/>
      <c r="D83" s="224"/>
      <c r="E83" s="201"/>
      <c r="F83" s="201"/>
      <c r="G83" s="200"/>
      <c r="H83" s="200"/>
      <c r="I83" s="200"/>
      <c r="J83" s="200"/>
      <c r="K83" s="200"/>
      <c r="L83" s="200"/>
      <c r="M83" s="200"/>
      <c r="N83" s="200"/>
      <c r="O83" s="200"/>
      <c r="P83" s="200"/>
      <c r="Q83" s="200"/>
      <c r="R83" s="200"/>
      <c r="S83" s="200"/>
      <c r="T83" s="200"/>
      <c r="U83" s="200"/>
      <c r="V83" s="200"/>
      <c r="W83" s="200"/>
    </row>
    <row r="84" spans="1:23" ht="12.75">
      <c r="A84" s="201"/>
      <c r="B84" s="201"/>
      <c r="C84" s="201"/>
      <c r="D84" s="224"/>
      <c r="E84" s="201"/>
      <c r="F84" s="201"/>
      <c r="G84" s="200"/>
      <c r="H84" s="200"/>
      <c r="I84" s="200"/>
      <c r="J84" s="200"/>
      <c r="K84" s="200"/>
      <c r="L84" s="200"/>
      <c r="M84" s="200"/>
      <c r="N84" s="200"/>
      <c r="O84" s="200"/>
      <c r="P84" s="200"/>
      <c r="Q84" s="200"/>
      <c r="R84" s="200"/>
      <c r="S84" s="200"/>
      <c r="T84" s="200"/>
      <c r="U84" s="200"/>
      <c r="V84" s="200"/>
      <c r="W84" s="200"/>
    </row>
    <row r="85" spans="1:23" ht="12.75">
      <c r="A85" s="201"/>
      <c r="B85" s="201"/>
      <c r="C85" s="201"/>
      <c r="D85" s="224"/>
      <c r="E85" s="201"/>
      <c r="F85" s="201"/>
      <c r="G85" s="200"/>
      <c r="H85" s="200"/>
      <c r="I85" s="200"/>
      <c r="J85" s="200"/>
      <c r="K85" s="200"/>
      <c r="L85" s="200"/>
      <c r="M85" s="200"/>
      <c r="N85" s="200"/>
      <c r="O85" s="200"/>
      <c r="P85" s="200"/>
      <c r="Q85" s="200"/>
      <c r="R85" s="200"/>
      <c r="S85" s="200"/>
      <c r="T85" s="200"/>
      <c r="U85" s="200"/>
      <c r="V85" s="200"/>
      <c r="W85" s="200"/>
    </row>
    <row r="86" spans="1:23" ht="12.75">
      <c r="A86" s="201"/>
      <c r="B86" s="201"/>
      <c r="C86" s="201"/>
      <c r="D86" s="224"/>
      <c r="E86" s="201"/>
      <c r="F86" s="201"/>
      <c r="G86" s="200"/>
      <c r="H86" s="200"/>
      <c r="I86" s="200"/>
      <c r="J86" s="200"/>
      <c r="K86" s="200"/>
      <c r="L86" s="200"/>
      <c r="M86" s="200"/>
      <c r="N86" s="200"/>
      <c r="O86" s="200"/>
      <c r="P86" s="200"/>
      <c r="Q86" s="200"/>
      <c r="R86" s="200"/>
      <c r="S86" s="200"/>
      <c r="T86" s="200"/>
      <c r="U86" s="200"/>
      <c r="V86" s="200"/>
      <c r="W86" s="200"/>
    </row>
    <row r="87" spans="1:23" ht="12.75">
      <c r="A87" s="201"/>
      <c r="B87" s="201"/>
      <c r="C87" s="201"/>
      <c r="D87" s="224"/>
      <c r="E87" s="201"/>
      <c r="F87" s="201"/>
      <c r="G87" s="200"/>
      <c r="H87" s="200"/>
      <c r="I87" s="200"/>
      <c r="J87" s="200"/>
      <c r="K87" s="200"/>
      <c r="L87" s="200"/>
      <c r="M87" s="200"/>
      <c r="N87" s="200"/>
      <c r="O87" s="200"/>
      <c r="P87" s="200"/>
      <c r="Q87" s="200"/>
      <c r="R87" s="200"/>
      <c r="S87" s="200"/>
      <c r="T87" s="200"/>
      <c r="U87" s="200"/>
      <c r="V87" s="200"/>
      <c r="W87" s="200"/>
    </row>
    <row r="88" spans="1:23" ht="12.75">
      <c r="A88" s="201"/>
      <c r="B88" s="201"/>
      <c r="C88" s="201"/>
      <c r="D88" s="224"/>
      <c r="E88" s="201"/>
      <c r="F88" s="201"/>
      <c r="G88" s="200"/>
      <c r="H88" s="200"/>
      <c r="I88" s="200"/>
      <c r="J88" s="200"/>
      <c r="K88" s="200"/>
      <c r="L88" s="200"/>
      <c r="M88" s="200"/>
      <c r="N88" s="200"/>
      <c r="O88" s="200"/>
      <c r="P88" s="200"/>
      <c r="Q88" s="200"/>
      <c r="R88" s="200"/>
      <c r="S88" s="200"/>
      <c r="T88" s="200"/>
      <c r="U88" s="200"/>
      <c r="V88" s="200"/>
      <c r="W88" s="200"/>
    </row>
    <row r="89" spans="1:23" ht="12.75">
      <c r="A89" s="201"/>
      <c r="B89" s="201"/>
      <c r="C89" s="201"/>
      <c r="D89" s="224"/>
      <c r="E89" s="201"/>
      <c r="F89" s="201"/>
      <c r="G89" s="200"/>
      <c r="H89" s="200"/>
      <c r="I89" s="200"/>
      <c r="J89" s="200"/>
      <c r="K89" s="200"/>
      <c r="L89" s="200"/>
      <c r="M89" s="200"/>
      <c r="N89" s="200"/>
      <c r="O89" s="200"/>
      <c r="P89" s="200"/>
      <c r="Q89" s="200"/>
      <c r="R89" s="200"/>
      <c r="S89" s="200"/>
      <c r="T89" s="200"/>
      <c r="U89" s="200"/>
      <c r="V89" s="200"/>
      <c r="W89" s="200"/>
    </row>
    <row r="90" spans="1:23" ht="12.75">
      <c r="A90" s="201"/>
      <c r="B90" s="201"/>
      <c r="C90" s="201"/>
      <c r="D90" s="224"/>
      <c r="E90" s="201"/>
      <c r="F90" s="201"/>
      <c r="G90" s="200"/>
      <c r="H90" s="200"/>
      <c r="I90" s="200"/>
      <c r="J90" s="200"/>
      <c r="K90" s="200"/>
      <c r="L90" s="200"/>
      <c r="M90" s="200"/>
      <c r="N90" s="200"/>
      <c r="O90" s="200"/>
      <c r="P90" s="200"/>
      <c r="Q90" s="200"/>
      <c r="R90" s="200"/>
      <c r="S90" s="200"/>
      <c r="T90" s="200"/>
      <c r="U90" s="200"/>
      <c r="V90" s="200"/>
      <c r="W90" s="200"/>
    </row>
    <row r="91" spans="1:23" ht="12.75">
      <c r="A91" s="201"/>
      <c r="B91" s="201"/>
      <c r="C91" s="201"/>
      <c r="D91" s="224"/>
      <c r="E91" s="201"/>
      <c r="F91" s="201"/>
      <c r="G91" s="200"/>
      <c r="H91" s="200"/>
      <c r="I91" s="200"/>
      <c r="J91" s="200"/>
      <c r="K91" s="200"/>
      <c r="L91" s="200"/>
      <c r="M91" s="200"/>
      <c r="N91" s="200"/>
      <c r="O91" s="200"/>
      <c r="P91" s="200"/>
      <c r="Q91" s="200"/>
      <c r="R91" s="200"/>
      <c r="S91" s="200"/>
      <c r="T91" s="200"/>
      <c r="U91" s="200"/>
      <c r="V91" s="200"/>
      <c r="W91" s="200"/>
    </row>
    <row r="92" spans="1:23" ht="12.75">
      <c r="A92" s="201"/>
      <c r="B92" s="201"/>
      <c r="C92" s="201"/>
      <c r="D92" s="224"/>
      <c r="E92" s="201"/>
      <c r="F92" s="201"/>
      <c r="G92" s="200"/>
      <c r="H92" s="200"/>
      <c r="I92" s="200"/>
      <c r="J92" s="200"/>
      <c r="K92" s="200"/>
      <c r="L92" s="200"/>
      <c r="M92" s="200"/>
      <c r="N92" s="200"/>
      <c r="O92" s="200"/>
      <c r="P92" s="200"/>
      <c r="Q92" s="200"/>
      <c r="R92" s="200"/>
      <c r="S92" s="200"/>
      <c r="T92" s="200"/>
      <c r="U92" s="200"/>
      <c r="V92" s="200"/>
      <c r="W92" s="200"/>
    </row>
    <row r="93" spans="1:23" ht="12.75">
      <c r="A93" s="201"/>
      <c r="B93" s="201"/>
      <c r="C93" s="201"/>
      <c r="D93" s="224"/>
      <c r="E93" s="201"/>
      <c r="F93" s="201"/>
      <c r="G93" s="200"/>
      <c r="H93" s="200"/>
      <c r="I93" s="200"/>
      <c r="J93" s="200"/>
      <c r="K93" s="200"/>
      <c r="L93" s="200"/>
      <c r="M93" s="200"/>
      <c r="N93" s="200"/>
      <c r="O93" s="200"/>
      <c r="P93" s="200"/>
      <c r="Q93" s="200"/>
      <c r="R93" s="200"/>
      <c r="S93" s="200"/>
      <c r="T93" s="200"/>
      <c r="U93" s="200"/>
      <c r="V93" s="200"/>
      <c r="W93" s="200"/>
    </row>
    <row r="94" spans="1:23" ht="12.75">
      <c r="A94" s="201"/>
      <c r="B94" s="201"/>
      <c r="C94" s="201"/>
      <c r="D94" s="224"/>
      <c r="E94" s="201"/>
      <c r="F94" s="201"/>
      <c r="G94" s="200"/>
      <c r="H94" s="200"/>
      <c r="I94" s="200"/>
      <c r="J94" s="200"/>
      <c r="K94" s="200"/>
      <c r="L94" s="200"/>
      <c r="M94" s="200"/>
      <c r="N94" s="200"/>
      <c r="O94" s="200"/>
      <c r="P94" s="200"/>
      <c r="Q94" s="200"/>
      <c r="R94" s="200"/>
      <c r="S94" s="200"/>
      <c r="T94" s="200"/>
      <c r="U94" s="200"/>
      <c r="V94" s="200"/>
      <c r="W94" s="200"/>
    </row>
    <row r="95" spans="1:23" ht="12.75">
      <c r="A95" s="201"/>
      <c r="B95" s="201"/>
      <c r="C95" s="201"/>
      <c r="D95" s="224"/>
      <c r="E95" s="201"/>
      <c r="F95" s="201"/>
      <c r="G95" s="200"/>
      <c r="H95" s="200"/>
      <c r="I95" s="200"/>
      <c r="J95" s="200"/>
      <c r="K95" s="200"/>
      <c r="L95" s="200"/>
      <c r="M95" s="200"/>
      <c r="N95" s="200"/>
      <c r="O95" s="200"/>
      <c r="P95" s="200"/>
      <c r="Q95" s="200"/>
      <c r="R95" s="200"/>
      <c r="S95" s="200"/>
      <c r="T95" s="200"/>
      <c r="U95" s="200"/>
      <c r="V95" s="200"/>
      <c r="W95" s="200"/>
    </row>
    <row r="96" spans="1:23" ht="12.75">
      <c r="A96" s="201"/>
      <c r="B96" s="201"/>
      <c r="C96" s="201"/>
      <c r="D96" s="224"/>
      <c r="E96" s="201"/>
      <c r="F96" s="201"/>
      <c r="G96" s="200"/>
      <c r="H96" s="200"/>
      <c r="I96" s="200"/>
      <c r="J96" s="200"/>
      <c r="K96" s="200"/>
      <c r="L96" s="200"/>
      <c r="M96" s="200"/>
      <c r="N96" s="200"/>
      <c r="O96" s="200"/>
      <c r="P96" s="200"/>
      <c r="Q96" s="200"/>
      <c r="R96" s="200"/>
      <c r="S96" s="200"/>
      <c r="T96" s="200"/>
      <c r="U96" s="200"/>
      <c r="V96" s="200"/>
      <c r="W96" s="200"/>
    </row>
    <row r="97" spans="1:23" ht="12.75">
      <c r="A97" s="201"/>
      <c r="B97" s="201"/>
      <c r="C97" s="201"/>
      <c r="D97" s="224"/>
      <c r="E97" s="201"/>
      <c r="F97" s="201"/>
      <c r="G97" s="200"/>
      <c r="H97" s="200"/>
      <c r="I97" s="200"/>
      <c r="J97" s="200"/>
      <c r="K97" s="200"/>
      <c r="L97" s="200"/>
      <c r="M97" s="200"/>
      <c r="N97" s="200"/>
      <c r="O97" s="200"/>
      <c r="P97" s="200"/>
      <c r="Q97" s="200"/>
      <c r="R97" s="200"/>
      <c r="S97" s="200"/>
      <c r="T97" s="200"/>
      <c r="U97" s="200"/>
      <c r="V97" s="200"/>
      <c r="W97" s="200"/>
    </row>
    <row r="98" spans="1:23" ht="12.75">
      <c r="A98" s="201"/>
      <c r="B98" s="201"/>
      <c r="C98" s="201"/>
      <c r="D98" s="224"/>
      <c r="E98" s="201"/>
      <c r="F98" s="201"/>
      <c r="G98" s="200"/>
      <c r="H98" s="200"/>
      <c r="I98" s="200"/>
      <c r="J98" s="200"/>
      <c r="K98" s="200"/>
      <c r="L98" s="200"/>
      <c r="M98" s="200"/>
      <c r="N98" s="200"/>
      <c r="O98" s="200"/>
      <c r="P98" s="200"/>
      <c r="Q98" s="200"/>
      <c r="R98" s="200"/>
      <c r="S98" s="200"/>
      <c r="T98" s="200"/>
      <c r="U98" s="200"/>
      <c r="V98" s="200"/>
      <c r="W98" s="200"/>
    </row>
    <row r="99" spans="1:23" ht="12.75">
      <c r="A99" s="201"/>
      <c r="B99" s="201"/>
      <c r="C99" s="201"/>
      <c r="D99" s="224"/>
      <c r="E99" s="201"/>
      <c r="F99" s="201"/>
      <c r="G99" s="200"/>
      <c r="H99" s="200"/>
      <c r="I99" s="200"/>
      <c r="J99" s="200"/>
      <c r="K99" s="200"/>
      <c r="L99" s="200"/>
      <c r="M99" s="200"/>
      <c r="N99" s="200"/>
      <c r="O99" s="200"/>
      <c r="P99" s="200"/>
      <c r="Q99" s="200"/>
      <c r="R99" s="200"/>
      <c r="S99" s="200"/>
      <c r="T99" s="200"/>
      <c r="U99" s="200"/>
      <c r="V99" s="200"/>
      <c r="W99" s="200"/>
    </row>
    <row r="100" spans="1:23" ht="12.75">
      <c r="A100" s="201"/>
      <c r="B100" s="201"/>
      <c r="C100" s="201"/>
      <c r="D100" s="224"/>
      <c r="E100" s="201"/>
      <c r="F100" s="201"/>
      <c r="G100" s="200"/>
      <c r="H100" s="200"/>
      <c r="I100" s="200"/>
      <c r="J100" s="200"/>
      <c r="K100" s="200"/>
      <c r="L100" s="200"/>
      <c r="M100" s="200"/>
      <c r="N100" s="200"/>
      <c r="O100" s="200"/>
      <c r="P100" s="200"/>
      <c r="Q100" s="200"/>
      <c r="R100" s="200"/>
      <c r="S100" s="200"/>
      <c r="T100" s="200"/>
      <c r="U100" s="200"/>
      <c r="V100" s="200"/>
      <c r="W100" s="200"/>
    </row>
    <row r="101" spans="1:23" ht="12.75">
      <c r="A101" s="201"/>
      <c r="B101" s="201"/>
      <c r="C101" s="201"/>
      <c r="D101" s="224"/>
      <c r="E101" s="201"/>
      <c r="F101" s="201"/>
      <c r="G101" s="200"/>
      <c r="H101" s="200"/>
      <c r="I101" s="200"/>
      <c r="J101" s="200"/>
      <c r="K101" s="200"/>
      <c r="L101" s="200"/>
      <c r="M101" s="200"/>
      <c r="N101" s="200"/>
      <c r="O101" s="200"/>
      <c r="P101" s="200"/>
      <c r="Q101" s="200"/>
      <c r="R101" s="200"/>
      <c r="S101" s="200"/>
      <c r="T101" s="200"/>
      <c r="U101" s="200"/>
      <c r="V101" s="200"/>
      <c r="W101" s="200"/>
    </row>
    <row r="102" spans="1:23" ht="12.75">
      <c r="A102" s="201"/>
      <c r="B102" s="201"/>
      <c r="C102" s="201"/>
      <c r="D102" s="224"/>
      <c r="E102" s="201"/>
      <c r="F102" s="201"/>
      <c r="G102" s="200"/>
      <c r="H102" s="200"/>
      <c r="I102" s="200"/>
      <c r="J102" s="200"/>
      <c r="K102" s="200"/>
      <c r="L102" s="200"/>
      <c r="M102" s="200"/>
      <c r="N102" s="200"/>
      <c r="O102" s="200"/>
      <c r="P102" s="200"/>
      <c r="Q102" s="200"/>
      <c r="R102" s="200"/>
      <c r="S102" s="200"/>
      <c r="T102" s="200"/>
      <c r="U102" s="200"/>
      <c r="V102" s="200"/>
      <c r="W102" s="200"/>
    </row>
    <row r="103" spans="1:23" ht="12.75">
      <c r="A103" s="201"/>
      <c r="B103" s="201"/>
      <c r="C103" s="201"/>
      <c r="D103" s="224"/>
      <c r="E103" s="201"/>
      <c r="F103" s="201"/>
      <c r="G103" s="200"/>
      <c r="H103" s="200"/>
      <c r="I103" s="200"/>
      <c r="J103" s="200"/>
      <c r="K103" s="200"/>
      <c r="L103" s="200"/>
      <c r="M103" s="200"/>
      <c r="N103" s="200"/>
      <c r="O103" s="200"/>
      <c r="P103" s="200"/>
      <c r="Q103" s="200"/>
      <c r="R103" s="200"/>
      <c r="S103" s="200"/>
      <c r="T103" s="200"/>
      <c r="U103" s="200"/>
      <c r="V103" s="200"/>
      <c r="W103" s="200"/>
    </row>
    <row r="104" spans="1:23" ht="12.75">
      <c r="A104" s="201"/>
      <c r="B104" s="201"/>
      <c r="C104" s="201"/>
      <c r="D104" s="224"/>
      <c r="E104" s="201"/>
      <c r="F104" s="201"/>
      <c r="G104" s="200"/>
      <c r="H104" s="200"/>
      <c r="I104" s="200"/>
      <c r="J104" s="200"/>
      <c r="K104" s="200"/>
      <c r="L104" s="200"/>
      <c r="M104" s="200"/>
      <c r="N104" s="200"/>
      <c r="O104" s="200"/>
      <c r="P104" s="200"/>
      <c r="Q104" s="200"/>
      <c r="R104" s="200"/>
      <c r="S104" s="200"/>
      <c r="T104" s="200"/>
      <c r="U104" s="200"/>
      <c r="V104" s="200"/>
      <c r="W104" s="200"/>
    </row>
    <row r="105" spans="1:23" ht="12.75">
      <c r="A105" s="201"/>
      <c r="B105" s="201"/>
      <c r="C105" s="201"/>
      <c r="D105" s="224"/>
      <c r="E105" s="201"/>
      <c r="F105" s="201"/>
      <c r="G105" s="200"/>
      <c r="H105" s="200"/>
      <c r="I105" s="200"/>
      <c r="J105" s="200"/>
      <c r="K105" s="200"/>
      <c r="L105" s="200"/>
      <c r="M105" s="200"/>
      <c r="N105" s="200"/>
      <c r="O105" s="200"/>
      <c r="P105" s="200"/>
      <c r="Q105" s="200"/>
      <c r="R105" s="200"/>
      <c r="S105" s="200"/>
      <c r="T105" s="200"/>
      <c r="U105" s="200"/>
      <c r="V105" s="200"/>
      <c r="W105" s="200"/>
    </row>
    <row r="106" spans="1:23" ht="12.75">
      <c r="A106" s="201"/>
      <c r="B106" s="201"/>
      <c r="C106" s="201"/>
      <c r="D106" s="224"/>
      <c r="E106" s="201"/>
      <c r="F106" s="201"/>
      <c r="G106" s="200"/>
      <c r="H106" s="200"/>
      <c r="I106" s="200"/>
      <c r="J106" s="200"/>
      <c r="K106" s="200"/>
      <c r="L106" s="200"/>
      <c r="M106" s="200"/>
      <c r="N106" s="200"/>
      <c r="O106" s="200"/>
      <c r="P106" s="200"/>
      <c r="Q106" s="200"/>
      <c r="R106" s="200"/>
      <c r="S106" s="200"/>
      <c r="T106" s="200"/>
      <c r="U106" s="200"/>
      <c r="V106" s="200"/>
      <c r="W106" s="200"/>
    </row>
    <row r="107" spans="1:23" ht="12.75">
      <c r="A107" s="201"/>
      <c r="B107" s="201"/>
      <c r="C107" s="201"/>
      <c r="D107" s="224"/>
      <c r="E107" s="201"/>
      <c r="F107" s="201"/>
      <c r="G107" s="200"/>
      <c r="H107" s="200"/>
      <c r="I107" s="200"/>
      <c r="J107" s="200"/>
      <c r="K107" s="200"/>
      <c r="L107" s="200"/>
      <c r="M107" s="200"/>
      <c r="N107" s="200"/>
      <c r="O107" s="200"/>
      <c r="P107" s="200"/>
      <c r="Q107" s="200"/>
      <c r="R107" s="200"/>
      <c r="S107" s="200"/>
      <c r="T107" s="200"/>
      <c r="U107" s="200"/>
      <c r="V107" s="200"/>
      <c r="W107" s="200"/>
    </row>
    <row r="108" spans="1:23" ht="12.75">
      <c r="A108" s="201"/>
      <c r="B108" s="201"/>
      <c r="C108" s="201"/>
      <c r="D108" s="224"/>
      <c r="E108" s="201"/>
      <c r="F108" s="201"/>
      <c r="G108" s="200"/>
      <c r="H108" s="200"/>
      <c r="I108" s="200"/>
      <c r="J108" s="200"/>
      <c r="K108" s="200"/>
      <c r="L108" s="200"/>
      <c r="M108" s="200"/>
      <c r="N108" s="200"/>
      <c r="O108" s="200"/>
      <c r="P108" s="200"/>
      <c r="Q108" s="200"/>
      <c r="R108" s="200"/>
      <c r="S108" s="200"/>
      <c r="T108" s="200"/>
      <c r="U108" s="200"/>
      <c r="V108" s="200"/>
      <c r="W108" s="200"/>
    </row>
    <row r="109" spans="1:23" ht="12.75">
      <c r="A109" s="201"/>
      <c r="B109" s="201"/>
      <c r="C109" s="201"/>
      <c r="D109" s="224"/>
      <c r="E109" s="201"/>
      <c r="F109" s="201"/>
      <c r="G109" s="200"/>
      <c r="H109" s="200"/>
      <c r="I109" s="200"/>
      <c r="J109" s="200"/>
      <c r="K109" s="200"/>
      <c r="L109" s="200"/>
      <c r="M109" s="200"/>
      <c r="N109" s="200"/>
      <c r="O109" s="200"/>
      <c r="P109" s="200"/>
      <c r="Q109" s="200"/>
      <c r="R109" s="200"/>
      <c r="S109" s="200"/>
      <c r="T109" s="200"/>
      <c r="U109" s="200"/>
      <c r="V109" s="200"/>
      <c r="W109" s="200"/>
    </row>
    <row r="110" spans="1:23" ht="12.75">
      <c r="A110" s="201"/>
      <c r="B110" s="201"/>
      <c r="C110" s="201"/>
      <c r="D110" s="224"/>
      <c r="E110" s="201"/>
      <c r="F110" s="201"/>
      <c r="G110" s="200"/>
      <c r="H110" s="200"/>
      <c r="I110" s="200"/>
      <c r="J110" s="200"/>
      <c r="K110" s="200"/>
      <c r="L110" s="200"/>
      <c r="M110" s="200"/>
      <c r="N110" s="200"/>
      <c r="O110" s="200"/>
      <c r="P110" s="200"/>
      <c r="Q110" s="200"/>
      <c r="R110" s="200"/>
      <c r="S110" s="200"/>
      <c r="T110" s="200"/>
      <c r="U110" s="200"/>
      <c r="V110" s="200"/>
      <c r="W110" s="200"/>
    </row>
    <row r="111" spans="1:23" ht="12.75">
      <c r="A111" s="201"/>
      <c r="B111" s="201"/>
      <c r="C111" s="201"/>
      <c r="D111" s="224"/>
      <c r="E111" s="201"/>
      <c r="F111" s="201"/>
      <c r="G111" s="200"/>
      <c r="H111" s="200"/>
      <c r="I111" s="200"/>
      <c r="J111" s="200"/>
      <c r="K111" s="200"/>
      <c r="L111" s="200"/>
      <c r="M111" s="200"/>
      <c r="N111" s="200"/>
      <c r="O111" s="200"/>
      <c r="P111" s="200"/>
      <c r="Q111" s="200"/>
      <c r="R111" s="200"/>
      <c r="S111" s="200"/>
      <c r="T111" s="200"/>
      <c r="U111" s="200"/>
      <c r="V111" s="200"/>
      <c r="W111" s="200"/>
    </row>
    <row r="112" spans="1:23" ht="12.75">
      <c r="A112" s="201"/>
      <c r="B112" s="201"/>
      <c r="C112" s="201"/>
      <c r="D112" s="224"/>
      <c r="E112" s="201"/>
      <c r="F112" s="201"/>
      <c r="G112" s="200"/>
      <c r="H112" s="200"/>
      <c r="I112" s="200"/>
      <c r="J112" s="200"/>
      <c r="K112" s="200"/>
      <c r="L112" s="200"/>
      <c r="M112" s="200"/>
      <c r="N112" s="200"/>
      <c r="O112" s="200"/>
      <c r="P112" s="200"/>
      <c r="Q112" s="200"/>
      <c r="R112" s="200"/>
      <c r="S112" s="200"/>
      <c r="T112" s="200"/>
      <c r="U112" s="200"/>
      <c r="V112" s="200"/>
      <c r="W112" s="200"/>
    </row>
    <row r="113" spans="1:23" ht="12.75">
      <c r="A113" s="201"/>
      <c r="B113" s="201"/>
      <c r="C113" s="201"/>
      <c r="D113" s="224"/>
      <c r="E113" s="201"/>
      <c r="F113" s="201"/>
      <c r="G113" s="200"/>
      <c r="H113" s="200"/>
      <c r="I113" s="200"/>
      <c r="J113" s="200"/>
      <c r="K113" s="200"/>
      <c r="L113" s="200"/>
      <c r="M113" s="200"/>
      <c r="N113" s="200"/>
      <c r="O113" s="200"/>
      <c r="P113" s="200"/>
      <c r="Q113" s="200"/>
      <c r="R113" s="200"/>
      <c r="S113" s="200"/>
      <c r="T113" s="200"/>
      <c r="U113" s="200"/>
      <c r="V113" s="200"/>
      <c r="W113" s="200"/>
    </row>
    <row r="114" spans="1:23" ht="12.75">
      <c r="A114" s="201"/>
      <c r="B114" s="201"/>
      <c r="C114" s="201"/>
      <c r="D114" s="224"/>
      <c r="E114" s="201"/>
      <c r="F114" s="201"/>
      <c r="G114" s="200"/>
      <c r="H114" s="200"/>
      <c r="I114" s="200"/>
      <c r="J114" s="200"/>
      <c r="K114" s="200"/>
      <c r="L114" s="200"/>
      <c r="M114" s="200"/>
      <c r="N114" s="200"/>
      <c r="O114" s="200"/>
      <c r="P114" s="200"/>
      <c r="Q114" s="200"/>
      <c r="R114" s="200"/>
      <c r="S114" s="200"/>
      <c r="T114" s="200"/>
      <c r="U114" s="200"/>
      <c r="V114" s="200"/>
      <c r="W114" s="200"/>
    </row>
    <row r="115" spans="1:23" ht="12.75">
      <c r="A115" s="201"/>
      <c r="B115" s="201"/>
      <c r="C115" s="201"/>
      <c r="D115" s="224"/>
      <c r="E115" s="201"/>
      <c r="F115" s="201"/>
      <c r="G115" s="200"/>
      <c r="H115" s="200"/>
      <c r="I115" s="200"/>
      <c r="J115" s="200"/>
      <c r="K115" s="200"/>
      <c r="L115" s="200"/>
      <c r="M115" s="200"/>
      <c r="N115" s="200"/>
      <c r="O115" s="200"/>
      <c r="P115" s="200"/>
      <c r="Q115" s="200"/>
      <c r="R115" s="200"/>
      <c r="S115" s="200"/>
      <c r="T115" s="200"/>
      <c r="U115" s="200"/>
      <c r="V115" s="200"/>
      <c r="W115" s="200"/>
    </row>
    <row r="116" spans="1:23" ht="12.75">
      <c r="A116" s="201"/>
      <c r="B116" s="201"/>
      <c r="C116" s="201"/>
      <c r="D116" s="224"/>
      <c r="E116" s="201"/>
      <c r="F116" s="201"/>
      <c r="G116" s="200"/>
      <c r="H116" s="200"/>
      <c r="I116" s="200"/>
      <c r="J116" s="200"/>
      <c r="K116" s="200"/>
      <c r="L116" s="200"/>
      <c r="M116" s="200"/>
      <c r="N116" s="200"/>
      <c r="O116" s="200"/>
      <c r="P116" s="200"/>
      <c r="Q116" s="200"/>
      <c r="R116" s="200"/>
      <c r="S116" s="200"/>
      <c r="T116" s="200"/>
      <c r="U116" s="200"/>
      <c r="V116" s="200"/>
      <c r="W116" s="200"/>
    </row>
    <row r="117" spans="1:23" ht="12.75">
      <c r="A117" s="201"/>
      <c r="B117" s="201"/>
      <c r="C117" s="201"/>
      <c r="D117" s="224"/>
      <c r="E117" s="201"/>
      <c r="F117" s="201"/>
      <c r="G117" s="200"/>
      <c r="H117" s="200"/>
      <c r="I117" s="200"/>
      <c r="J117" s="200"/>
      <c r="K117" s="200"/>
      <c r="L117" s="200"/>
      <c r="M117" s="200"/>
      <c r="N117" s="200"/>
      <c r="O117" s="200"/>
      <c r="P117" s="200"/>
      <c r="Q117" s="200"/>
      <c r="R117" s="200"/>
      <c r="S117" s="200"/>
      <c r="T117" s="200"/>
      <c r="U117" s="200"/>
      <c r="V117" s="200"/>
      <c r="W117" s="200"/>
    </row>
    <row r="118" spans="1:23" ht="12.75">
      <c r="A118" s="201"/>
      <c r="B118" s="201"/>
      <c r="C118" s="201"/>
      <c r="D118" s="224"/>
      <c r="E118" s="201"/>
      <c r="F118" s="201"/>
      <c r="G118" s="200"/>
      <c r="H118" s="200"/>
      <c r="I118" s="200"/>
      <c r="J118" s="200"/>
      <c r="K118" s="200"/>
      <c r="L118" s="200"/>
      <c r="M118" s="200"/>
      <c r="N118" s="200"/>
      <c r="O118" s="200"/>
      <c r="P118" s="200"/>
      <c r="Q118" s="200"/>
      <c r="R118" s="200"/>
      <c r="S118" s="200"/>
      <c r="T118" s="200"/>
      <c r="U118" s="200"/>
      <c r="V118" s="200"/>
      <c r="W118" s="200"/>
    </row>
    <row r="119" spans="1:23" ht="12.75">
      <c r="A119" s="201"/>
      <c r="B119" s="201"/>
      <c r="C119" s="201"/>
      <c r="D119" s="224"/>
      <c r="E119" s="201"/>
      <c r="F119" s="201"/>
      <c r="G119" s="200"/>
      <c r="H119" s="200"/>
      <c r="I119" s="200"/>
      <c r="J119" s="200"/>
      <c r="K119" s="200"/>
      <c r="L119" s="200"/>
      <c r="M119" s="200"/>
      <c r="N119" s="200"/>
      <c r="O119" s="200"/>
      <c r="P119" s="200"/>
      <c r="Q119" s="200"/>
      <c r="R119" s="200"/>
      <c r="S119" s="200"/>
      <c r="T119" s="200"/>
      <c r="U119" s="200"/>
      <c r="V119" s="200"/>
      <c r="W119" s="200"/>
    </row>
    <row r="120" spans="1:23" ht="12.75">
      <c r="A120" s="201"/>
      <c r="B120" s="201"/>
      <c r="C120" s="201"/>
      <c r="D120" s="224"/>
      <c r="E120" s="201"/>
      <c r="F120" s="201"/>
      <c r="G120" s="200"/>
      <c r="H120" s="200"/>
      <c r="I120" s="200"/>
      <c r="J120" s="200"/>
      <c r="K120" s="200"/>
      <c r="L120" s="200"/>
      <c r="M120" s="200"/>
      <c r="N120" s="200"/>
      <c r="O120" s="200"/>
      <c r="P120" s="200"/>
      <c r="Q120" s="200"/>
      <c r="R120" s="200"/>
      <c r="S120" s="200"/>
      <c r="T120" s="200"/>
      <c r="U120" s="200"/>
      <c r="V120" s="200"/>
      <c r="W120" s="200"/>
    </row>
    <row r="121" spans="1:23" ht="12.75">
      <c r="A121" s="201"/>
      <c r="B121" s="201"/>
      <c r="C121" s="201"/>
      <c r="D121" s="224"/>
      <c r="E121" s="201"/>
      <c r="F121" s="201"/>
      <c r="G121" s="200"/>
      <c r="H121" s="200"/>
      <c r="I121" s="200"/>
      <c r="J121" s="200"/>
      <c r="K121" s="200"/>
      <c r="L121" s="200"/>
      <c r="M121" s="200"/>
      <c r="N121" s="200"/>
      <c r="O121" s="200"/>
      <c r="P121" s="200"/>
      <c r="Q121" s="200"/>
      <c r="R121" s="200"/>
      <c r="S121" s="200"/>
      <c r="T121" s="200"/>
      <c r="U121" s="200"/>
      <c r="V121" s="200"/>
      <c r="W121" s="200"/>
    </row>
    <row r="122" spans="1:23" ht="12.75">
      <c r="A122" s="201"/>
      <c r="B122" s="201"/>
      <c r="C122" s="201"/>
      <c r="D122" s="224"/>
      <c r="E122" s="201"/>
      <c r="F122" s="201"/>
      <c r="G122" s="200"/>
      <c r="H122" s="200"/>
      <c r="I122" s="200"/>
      <c r="J122" s="200"/>
      <c r="K122" s="200"/>
      <c r="L122" s="200"/>
      <c r="M122" s="200"/>
      <c r="N122" s="200"/>
      <c r="O122" s="200"/>
      <c r="P122" s="200"/>
      <c r="Q122" s="200"/>
      <c r="R122" s="200"/>
      <c r="S122" s="200"/>
      <c r="T122" s="200"/>
      <c r="U122" s="200"/>
      <c r="V122" s="200"/>
      <c r="W122" s="200"/>
    </row>
    <row r="123" spans="1:23" ht="12.75">
      <c r="A123" s="201"/>
      <c r="B123" s="201"/>
      <c r="C123" s="201"/>
      <c r="D123" s="224"/>
      <c r="E123" s="201"/>
      <c r="F123" s="201"/>
      <c r="G123" s="200"/>
      <c r="H123" s="200"/>
      <c r="I123" s="200"/>
      <c r="J123" s="200"/>
      <c r="K123" s="200"/>
      <c r="L123" s="200"/>
      <c r="M123" s="200"/>
      <c r="N123" s="200"/>
      <c r="O123" s="200"/>
      <c r="P123" s="200"/>
      <c r="Q123" s="200"/>
      <c r="R123" s="200"/>
      <c r="S123" s="200"/>
      <c r="T123" s="200"/>
      <c r="U123" s="200"/>
      <c r="V123" s="200"/>
      <c r="W123" s="200"/>
    </row>
    <row r="124" spans="1:23" ht="12.75">
      <c r="A124" s="201"/>
      <c r="B124" s="201"/>
      <c r="C124" s="201"/>
      <c r="D124" s="224"/>
      <c r="E124" s="201"/>
      <c r="F124" s="201"/>
      <c r="G124" s="200"/>
      <c r="H124" s="200"/>
      <c r="I124" s="200"/>
      <c r="J124" s="200"/>
      <c r="K124" s="200"/>
      <c r="L124" s="200"/>
      <c r="M124" s="200"/>
      <c r="N124" s="200"/>
      <c r="O124" s="200"/>
      <c r="P124" s="200"/>
      <c r="Q124" s="200"/>
      <c r="R124" s="200"/>
      <c r="S124" s="200"/>
      <c r="T124" s="200"/>
      <c r="U124" s="200"/>
      <c r="V124" s="200"/>
      <c r="W124" s="200"/>
    </row>
    <row r="125" spans="1:23" ht="12.75">
      <c r="A125" s="201"/>
      <c r="B125" s="201"/>
      <c r="C125" s="201"/>
      <c r="D125" s="224"/>
      <c r="E125" s="201"/>
      <c r="F125" s="201"/>
      <c r="G125" s="200"/>
      <c r="H125" s="200"/>
      <c r="I125" s="200"/>
      <c r="J125" s="200"/>
      <c r="K125" s="200"/>
      <c r="L125" s="200"/>
      <c r="M125" s="200"/>
      <c r="N125" s="200"/>
      <c r="O125" s="200"/>
      <c r="P125" s="200"/>
      <c r="Q125" s="200"/>
      <c r="R125" s="200"/>
      <c r="S125" s="200"/>
      <c r="T125" s="200"/>
      <c r="U125" s="200"/>
      <c r="V125" s="200"/>
      <c r="W125" s="200"/>
    </row>
    <row r="126" spans="1:23" ht="12.75">
      <c r="A126" s="201"/>
      <c r="B126" s="201"/>
      <c r="C126" s="201"/>
      <c r="D126" s="224"/>
      <c r="E126" s="201"/>
      <c r="F126" s="201"/>
      <c r="G126" s="200"/>
      <c r="H126" s="200"/>
      <c r="I126" s="200"/>
      <c r="J126" s="200"/>
      <c r="K126" s="200"/>
      <c r="L126" s="200"/>
      <c r="M126" s="200"/>
      <c r="N126" s="200"/>
      <c r="O126" s="200"/>
      <c r="P126" s="200"/>
      <c r="Q126" s="200"/>
      <c r="R126" s="200"/>
      <c r="S126" s="200"/>
      <c r="T126" s="200"/>
      <c r="U126" s="200"/>
      <c r="V126" s="200"/>
      <c r="W126" s="200"/>
    </row>
    <row r="127" spans="1:23" ht="12.75">
      <c r="A127" s="201"/>
      <c r="B127" s="201"/>
      <c r="C127" s="201"/>
      <c r="D127" s="224"/>
      <c r="E127" s="201"/>
      <c r="F127" s="201"/>
      <c r="G127" s="200"/>
      <c r="H127" s="200"/>
      <c r="I127" s="200"/>
      <c r="J127" s="200"/>
      <c r="K127" s="200"/>
      <c r="L127" s="200"/>
      <c r="M127" s="200"/>
      <c r="N127" s="200"/>
      <c r="O127" s="200"/>
      <c r="P127" s="200"/>
      <c r="Q127" s="200"/>
      <c r="R127" s="200"/>
      <c r="S127" s="200"/>
      <c r="T127" s="200"/>
      <c r="U127" s="200"/>
      <c r="V127" s="200"/>
      <c r="W127" s="200"/>
    </row>
    <row r="128" spans="1:23" ht="12.75">
      <c r="A128" s="201"/>
      <c r="B128" s="201"/>
      <c r="C128" s="201"/>
      <c r="D128" s="224"/>
      <c r="E128" s="201"/>
      <c r="F128" s="201"/>
      <c r="G128" s="200"/>
      <c r="H128" s="200"/>
      <c r="I128" s="200"/>
      <c r="J128" s="200"/>
      <c r="K128" s="200"/>
      <c r="L128" s="200"/>
      <c r="M128" s="200"/>
      <c r="N128" s="200"/>
      <c r="O128" s="200"/>
      <c r="P128" s="200"/>
      <c r="Q128" s="200"/>
      <c r="R128" s="200"/>
      <c r="S128" s="200"/>
      <c r="T128" s="200"/>
      <c r="U128" s="200"/>
      <c r="V128" s="200"/>
      <c r="W128" s="200"/>
    </row>
    <row r="129" spans="1:23" ht="12.75">
      <c r="A129" s="201"/>
      <c r="B129" s="201"/>
      <c r="C129" s="201"/>
      <c r="D129" s="224"/>
      <c r="E129" s="201"/>
      <c r="F129" s="201"/>
      <c r="G129" s="200"/>
      <c r="H129" s="200"/>
      <c r="I129" s="200"/>
      <c r="J129" s="200"/>
      <c r="K129" s="200"/>
      <c r="L129" s="200"/>
      <c r="M129" s="200"/>
      <c r="N129" s="200"/>
      <c r="O129" s="200"/>
      <c r="P129" s="200"/>
      <c r="Q129" s="200"/>
      <c r="R129" s="200"/>
      <c r="S129" s="200"/>
      <c r="T129" s="200"/>
      <c r="U129" s="200"/>
      <c r="V129" s="200"/>
      <c r="W129" s="200"/>
    </row>
    <row r="130" spans="1:23" ht="12.75">
      <c r="A130" s="201"/>
      <c r="B130" s="201"/>
      <c r="C130" s="201"/>
      <c r="D130" s="224"/>
      <c r="E130" s="201"/>
      <c r="F130" s="201"/>
      <c r="G130" s="200"/>
      <c r="H130" s="200"/>
      <c r="I130" s="200"/>
      <c r="J130" s="200"/>
      <c r="K130" s="200"/>
      <c r="L130" s="200"/>
      <c r="M130" s="200"/>
      <c r="N130" s="200"/>
      <c r="O130" s="200"/>
      <c r="P130" s="200"/>
      <c r="Q130" s="200"/>
      <c r="R130" s="200"/>
      <c r="S130" s="200"/>
      <c r="T130" s="200"/>
      <c r="U130" s="200"/>
      <c r="V130" s="200"/>
      <c r="W130" s="200"/>
    </row>
    <row r="131" spans="1:23" ht="12.75">
      <c r="A131" s="201"/>
      <c r="B131" s="201"/>
      <c r="C131" s="201"/>
      <c r="D131" s="224"/>
      <c r="E131" s="201"/>
      <c r="F131" s="201"/>
      <c r="G131" s="200"/>
      <c r="H131" s="200"/>
      <c r="I131" s="200"/>
      <c r="J131" s="200"/>
      <c r="K131" s="200"/>
      <c r="L131" s="200"/>
      <c r="M131" s="200"/>
      <c r="N131" s="200"/>
      <c r="O131" s="200"/>
      <c r="P131" s="200"/>
      <c r="Q131" s="200"/>
      <c r="R131" s="200"/>
      <c r="S131" s="200"/>
      <c r="T131" s="200"/>
      <c r="U131" s="200"/>
      <c r="V131" s="200"/>
      <c r="W131" s="200"/>
    </row>
    <row r="132" spans="1:23" ht="12.75">
      <c r="A132" s="201"/>
      <c r="B132" s="201"/>
      <c r="C132" s="201"/>
      <c r="D132" s="224"/>
      <c r="E132" s="201"/>
      <c r="F132" s="201"/>
      <c r="G132" s="200"/>
      <c r="H132" s="200"/>
      <c r="I132" s="200"/>
      <c r="J132" s="200"/>
      <c r="K132" s="200"/>
      <c r="L132" s="200"/>
      <c r="M132" s="200"/>
      <c r="N132" s="200"/>
      <c r="O132" s="200"/>
      <c r="P132" s="200"/>
      <c r="Q132" s="200"/>
      <c r="R132" s="200"/>
      <c r="S132" s="200"/>
      <c r="T132" s="200"/>
      <c r="U132" s="200"/>
      <c r="V132" s="200"/>
      <c r="W132" s="200"/>
    </row>
    <row r="133" spans="1:23" ht="12.75">
      <c r="A133" s="201"/>
      <c r="B133" s="201"/>
      <c r="C133" s="201"/>
      <c r="D133" s="224"/>
      <c r="E133" s="201"/>
      <c r="F133" s="201"/>
      <c r="G133" s="200"/>
      <c r="H133" s="200"/>
      <c r="I133" s="200"/>
      <c r="J133" s="200"/>
      <c r="K133" s="200"/>
      <c r="L133" s="200"/>
      <c r="M133" s="200"/>
      <c r="N133" s="200"/>
      <c r="O133" s="200"/>
      <c r="P133" s="200"/>
      <c r="Q133" s="200"/>
      <c r="R133" s="200"/>
      <c r="S133" s="200"/>
      <c r="T133" s="200"/>
      <c r="U133" s="200"/>
      <c r="V133" s="200"/>
      <c r="W133" s="200"/>
    </row>
    <row r="134" spans="1:23" ht="12.75">
      <c r="A134" s="201"/>
      <c r="B134" s="201"/>
      <c r="C134" s="201"/>
      <c r="D134" s="224"/>
      <c r="E134" s="201"/>
      <c r="F134" s="201"/>
      <c r="G134" s="200"/>
      <c r="H134" s="200"/>
      <c r="I134" s="200"/>
      <c r="J134" s="200"/>
      <c r="K134" s="200"/>
      <c r="L134" s="200"/>
      <c r="M134" s="200"/>
      <c r="N134" s="200"/>
      <c r="O134" s="200"/>
      <c r="P134" s="200"/>
      <c r="Q134" s="200"/>
      <c r="R134" s="200"/>
      <c r="S134" s="200"/>
      <c r="T134" s="200"/>
      <c r="U134" s="200"/>
      <c r="V134" s="200"/>
      <c r="W134" s="200"/>
    </row>
    <row r="135" spans="1:23" ht="12.75">
      <c r="A135" s="201"/>
      <c r="B135" s="201"/>
      <c r="C135" s="201"/>
      <c r="D135" s="224"/>
      <c r="E135" s="201"/>
      <c r="F135" s="201"/>
      <c r="G135" s="200"/>
      <c r="H135" s="200"/>
      <c r="I135" s="200"/>
      <c r="J135" s="200"/>
      <c r="K135" s="200"/>
      <c r="L135" s="200"/>
      <c r="M135" s="200"/>
      <c r="N135" s="200"/>
      <c r="O135" s="200"/>
      <c r="P135" s="200"/>
      <c r="Q135" s="200"/>
      <c r="R135" s="200"/>
      <c r="S135" s="200"/>
      <c r="T135" s="200"/>
      <c r="U135" s="200"/>
      <c r="V135" s="200"/>
      <c r="W135" s="200"/>
    </row>
    <row r="136" spans="1:23" ht="12.75">
      <c r="A136" s="201"/>
      <c r="B136" s="201"/>
      <c r="C136" s="201"/>
      <c r="D136" s="224"/>
      <c r="E136" s="201"/>
      <c r="F136" s="201"/>
      <c r="G136" s="200"/>
      <c r="H136" s="200"/>
      <c r="I136" s="200"/>
      <c r="J136" s="200"/>
      <c r="K136" s="200"/>
      <c r="L136" s="200"/>
      <c r="M136" s="200"/>
      <c r="N136" s="200"/>
      <c r="O136" s="200"/>
      <c r="P136" s="200"/>
      <c r="Q136" s="200"/>
      <c r="R136" s="200"/>
      <c r="S136" s="200"/>
      <c r="T136" s="200"/>
      <c r="U136" s="200"/>
      <c r="V136" s="200"/>
      <c r="W136" s="200"/>
    </row>
    <row r="137" spans="1:23" ht="12.75">
      <c r="A137" s="201"/>
      <c r="B137" s="201"/>
      <c r="C137" s="201"/>
      <c r="D137" s="224"/>
      <c r="E137" s="201"/>
      <c r="F137" s="201"/>
      <c r="G137" s="200"/>
      <c r="H137" s="200"/>
      <c r="I137" s="200"/>
      <c r="J137" s="200"/>
      <c r="K137" s="200"/>
      <c r="L137" s="200"/>
      <c r="M137" s="200"/>
      <c r="N137" s="200"/>
      <c r="O137" s="200"/>
      <c r="P137" s="200"/>
      <c r="Q137" s="200"/>
      <c r="R137" s="200"/>
      <c r="S137" s="200"/>
      <c r="T137" s="200"/>
      <c r="U137" s="200"/>
      <c r="V137" s="200"/>
      <c r="W137" s="200"/>
    </row>
    <row r="138" spans="1:23" ht="12.75">
      <c r="A138" s="201"/>
      <c r="B138" s="201"/>
      <c r="C138" s="201"/>
      <c r="D138" s="224"/>
      <c r="E138" s="201"/>
      <c r="F138" s="201"/>
      <c r="G138" s="200"/>
      <c r="H138" s="200"/>
      <c r="I138" s="200"/>
      <c r="J138" s="200"/>
      <c r="K138" s="200"/>
      <c r="L138" s="200"/>
      <c r="M138" s="200"/>
      <c r="N138" s="200"/>
      <c r="O138" s="200"/>
      <c r="P138" s="200"/>
      <c r="Q138" s="200"/>
      <c r="R138" s="200"/>
      <c r="S138" s="200"/>
      <c r="T138" s="200"/>
      <c r="U138" s="200"/>
      <c r="V138" s="200"/>
      <c r="W138" s="200"/>
    </row>
    <row r="139" spans="1:23" ht="12.75">
      <c r="A139" s="201"/>
      <c r="B139" s="201"/>
      <c r="C139" s="201"/>
      <c r="D139" s="224"/>
      <c r="E139" s="201"/>
      <c r="F139" s="201"/>
      <c r="G139" s="200"/>
      <c r="H139" s="200"/>
      <c r="I139" s="200"/>
      <c r="J139" s="200"/>
      <c r="K139" s="200"/>
      <c r="L139" s="200"/>
      <c r="M139" s="200"/>
      <c r="N139" s="200"/>
      <c r="O139" s="200"/>
      <c r="P139" s="200"/>
      <c r="Q139" s="200"/>
      <c r="R139" s="200"/>
      <c r="S139" s="200"/>
      <c r="T139" s="200"/>
      <c r="U139" s="200"/>
      <c r="V139" s="200"/>
      <c r="W139" s="200"/>
    </row>
    <row r="140" spans="1:23" ht="12.75">
      <c r="A140" s="201"/>
      <c r="B140" s="201"/>
      <c r="C140" s="201"/>
      <c r="D140" s="224"/>
      <c r="E140" s="201"/>
      <c r="F140" s="201"/>
      <c r="G140" s="200"/>
      <c r="H140" s="200"/>
      <c r="I140" s="200"/>
      <c r="J140" s="200"/>
      <c r="K140" s="200"/>
      <c r="L140" s="200"/>
      <c r="M140" s="200"/>
      <c r="N140" s="200"/>
      <c r="O140" s="200"/>
      <c r="P140" s="200"/>
      <c r="Q140" s="200"/>
      <c r="R140" s="200"/>
      <c r="S140" s="200"/>
      <c r="T140" s="200"/>
      <c r="U140" s="200"/>
      <c r="V140" s="200"/>
      <c r="W140" s="200"/>
    </row>
    <row r="141" spans="1:23" ht="12.75">
      <c r="A141" s="201"/>
      <c r="B141" s="201"/>
      <c r="C141" s="201"/>
      <c r="D141" s="224"/>
      <c r="E141" s="201"/>
      <c r="F141" s="201"/>
      <c r="G141" s="200"/>
      <c r="H141" s="200"/>
      <c r="I141" s="200"/>
      <c r="J141" s="200"/>
      <c r="K141" s="200"/>
      <c r="L141" s="200"/>
      <c r="M141" s="200"/>
      <c r="N141" s="200"/>
      <c r="O141" s="200"/>
      <c r="P141" s="200"/>
      <c r="Q141" s="200"/>
      <c r="R141" s="200"/>
      <c r="S141" s="200"/>
      <c r="T141" s="200"/>
      <c r="U141" s="200"/>
      <c r="V141" s="200"/>
      <c r="W141" s="200"/>
    </row>
    <row r="142" spans="1:23" ht="12.75">
      <c r="A142" s="201"/>
      <c r="B142" s="201"/>
      <c r="C142" s="201"/>
      <c r="D142" s="224"/>
      <c r="E142" s="201"/>
      <c r="F142" s="201"/>
      <c r="G142" s="200"/>
      <c r="H142" s="200"/>
      <c r="I142" s="200"/>
      <c r="J142" s="200"/>
      <c r="K142" s="200"/>
      <c r="L142" s="200"/>
      <c r="M142" s="200"/>
      <c r="N142" s="200"/>
      <c r="O142" s="200"/>
      <c r="P142" s="200"/>
      <c r="Q142" s="200"/>
      <c r="R142" s="200"/>
      <c r="S142" s="200"/>
      <c r="T142" s="200"/>
      <c r="U142" s="200"/>
      <c r="V142" s="200"/>
      <c r="W142" s="200"/>
    </row>
    <row r="143" spans="1:23" ht="12.75">
      <c r="A143" s="201"/>
      <c r="B143" s="201"/>
      <c r="C143" s="201"/>
      <c r="D143" s="224"/>
      <c r="E143" s="201"/>
      <c r="F143" s="201"/>
      <c r="G143" s="200"/>
      <c r="H143" s="200"/>
      <c r="I143" s="200"/>
      <c r="J143" s="200"/>
      <c r="K143" s="200"/>
      <c r="L143" s="200"/>
      <c r="M143" s="200"/>
      <c r="N143" s="200"/>
      <c r="O143" s="200"/>
      <c r="P143" s="200"/>
      <c r="Q143" s="200"/>
      <c r="R143" s="200"/>
      <c r="S143" s="200"/>
      <c r="T143" s="200"/>
      <c r="U143" s="200"/>
      <c r="V143" s="200"/>
      <c r="W143" s="200"/>
    </row>
    <row r="144" spans="1:23" ht="12.75">
      <c r="A144" s="201"/>
      <c r="B144" s="201"/>
      <c r="C144" s="201"/>
      <c r="D144" s="224"/>
      <c r="E144" s="201"/>
      <c r="F144" s="201"/>
      <c r="G144" s="200"/>
      <c r="H144" s="200"/>
      <c r="I144" s="200"/>
      <c r="J144" s="200"/>
      <c r="K144" s="200"/>
      <c r="L144" s="200"/>
      <c r="M144" s="200"/>
      <c r="N144" s="200"/>
      <c r="O144" s="200"/>
      <c r="P144" s="200"/>
      <c r="Q144" s="200"/>
      <c r="R144" s="200"/>
      <c r="S144" s="200"/>
      <c r="T144" s="200"/>
      <c r="U144" s="200"/>
      <c r="V144" s="200"/>
      <c r="W144" s="200"/>
    </row>
    <row r="145" spans="1:23" ht="12.75">
      <c r="A145" s="201"/>
      <c r="B145" s="201"/>
      <c r="C145" s="201"/>
      <c r="D145" s="224"/>
      <c r="E145" s="201"/>
      <c r="F145" s="201"/>
      <c r="G145" s="200"/>
      <c r="H145" s="200"/>
      <c r="I145" s="200"/>
      <c r="J145" s="200"/>
      <c r="K145" s="200"/>
      <c r="L145" s="200"/>
      <c r="M145" s="200"/>
      <c r="N145" s="200"/>
      <c r="O145" s="200"/>
      <c r="P145" s="200"/>
      <c r="Q145" s="200"/>
      <c r="R145" s="200"/>
      <c r="S145" s="200"/>
      <c r="T145" s="200"/>
      <c r="U145" s="200"/>
      <c r="V145" s="200"/>
      <c r="W145" s="200"/>
    </row>
    <row r="146" spans="1:23" ht="12.75">
      <c r="A146" s="201"/>
      <c r="B146" s="201"/>
      <c r="C146" s="201"/>
      <c r="D146" s="224"/>
      <c r="E146" s="201"/>
      <c r="F146" s="201"/>
      <c r="G146" s="200"/>
      <c r="H146" s="200"/>
      <c r="I146" s="200"/>
      <c r="J146" s="200"/>
      <c r="K146" s="200"/>
      <c r="L146" s="200"/>
      <c r="M146" s="200"/>
      <c r="N146" s="200"/>
      <c r="O146" s="200"/>
      <c r="P146" s="200"/>
      <c r="Q146" s="200"/>
      <c r="R146" s="200"/>
      <c r="S146" s="200"/>
      <c r="T146" s="200"/>
      <c r="U146" s="200"/>
      <c r="V146" s="200"/>
      <c r="W146" s="200"/>
    </row>
    <row r="147" spans="1:23" ht="12.75">
      <c r="A147" s="201"/>
      <c r="B147" s="201"/>
      <c r="C147" s="201"/>
      <c r="D147" s="224"/>
      <c r="E147" s="201"/>
      <c r="F147" s="201"/>
      <c r="G147" s="200"/>
      <c r="H147" s="200"/>
      <c r="I147" s="200"/>
      <c r="J147" s="200"/>
      <c r="K147" s="200"/>
      <c r="L147" s="200"/>
      <c r="M147" s="200"/>
      <c r="N147" s="200"/>
      <c r="O147" s="200"/>
      <c r="P147" s="200"/>
      <c r="Q147" s="200"/>
      <c r="R147" s="200"/>
      <c r="S147" s="200"/>
      <c r="T147" s="200"/>
      <c r="U147" s="200"/>
      <c r="V147" s="200"/>
      <c r="W147" s="200"/>
    </row>
    <row r="148" spans="1:23" ht="12.75">
      <c r="A148" s="201"/>
      <c r="B148" s="201"/>
      <c r="C148" s="201"/>
      <c r="D148" s="224"/>
      <c r="E148" s="201"/>
      <c r="F148" s="201"/>
      <c r="G148" s="200"/>
      <c r="H148" s="200"/>
      <c r="I148" s="200"/>
      <c r="J148" s="200"/>
      <c r="K148" s="200"/>
      <c r="L148" s="200"/>
      <c r="M148" s="200"/>
      <c r="N148" s="200"/>
      <c r="O148" s="200"/>
      <c r="P148" s="200"/>
      <c r="Q148" s="200"/>
      <c r="R148" s="200"/>
      <c r="S148" s="200"/>
      <c r="T148" s="200"/>
      <c r="U148" s="200"/>
      <c r="V148" s="200"/>
      <c r="W148" s="200"/>
    </row>
    <row r="149" spans="1:23" ht="12.75">
      <c r="A149" s="201"/>
      <c r="B149" s="201"/>
      <c r="C149" s="201"/>
      <c r="D149" s="224"/>
      <c r="E149" s="201"/>
      <c r="F149" s="201"/>
      <c r="G149" s="200"/>
      <c r="H149" s="200"/>
      <c r="I149" s="200"/>
      <c r="J149" s="200"/>
      <c r="K149" s="200"/>
      <c r="L149" s="200"/>
      <c r="M149" s="200"/>
      <c r="N149" s="200"/>
      <c r="O149" s="200"/>
      <c r="P149" s="200"/>
      <c r="Q149" s="200"/>
      <c r="R149" s="200"/>
      <c r="S149" s="200"/>
      <c r="T149" s="200"/>
      <c r="U149" s="200"/>
      <c r="V149" s="200"/>
      <c r="W149" s="200"/>
    </row>
    <row r="150" spans="1:23" ht="12.75">
      <c r="A150" s="201"/>
      <c r="B150" s="201"/>
      <c r="C150" s="201"/>
      <c r="D150" s="224"/>
      <c r="E150" s="201"/>
      <c r="F150" s="201"/>
      <c r="G150" s="200"/>
      <c r="H150" s="200"/>
      <c r="I150" s="200"/>
      <c r="J150" s="200"/>
      <c r="K150" s="200"/>
      <c r="L150" s="200"/>
      <c r="M150" s="200"/>
      <c r="N150" s="200"/>
      <c r="O150" s="200"/>
      <c r="P150" s="200"/>
      <c r="Q150" s="200"/>
      <c r="R150" s="200"/>
      <c r="S150" s="200"/>
      <c r="T150" s="200"/>
      <c r="U150" s="200"/>
      <c r="V150" s="200"/>
      <c r="W150" s="200"/>
    </row>
    <row r="151" spans="1:23" ht="12.75">
      <c r="A151" s="201"/>
      <c r="B151" s="201"/>
      <c r="C151" s="201"/>
      <c r="D151" s="224"/>
      <c r="E151" s="201"/>
      <c r="F151" s="201"/>
      <c r="G151" s="200"/>
      <c r="H151" s="200"/>
      <c r="I151" s="200"/>
      <c r="J151" s="200"/>
      <c r="K151" s="200"/>
      <c r="L151" s="200"/>
      <c r="M151" s="200"/>
      <c r="N151" s="200"/>
      <c r="O151" s="200"/>
      <c r="P151" s="200"/>
      <c r="Q151" s="200"/>
      <c r="R151" s="200"/>
      <c r="S151" s="200"/>
      <c r="T151" s="200"/>
      <c r="U151" s="200"/>
      <c r="V151" s="200"/>
      <c r="W151" s="200"/>
    </row>
    <row r="152" spans="1:23" ht="12.75">
      <c r="A152" s="201"/>
      <c r="B152" s="201"/>
      <c r="C152" s="201"/>
      <c r="D152" s="224"/>
      <c r="E152" s="201"/>
      <c r="F152" s="201"/>
      <c r="G152" s="200"/>
      <c r="H152" s="200"/>
      <c r="I152" s="200"/>
      <c r="J152" s="200"/>
      <c r="K152" s="200"/>
      <c r="L152" s="200"/>
      <c r="M152" s="200"/>
      <c r="N152" s="200"/>
      <c r="O152" s="200"/>
      <c r="P152" s="200"/>
      <c r="Q152" s="200"/>
      <c r="R152" s="200"/>
      <c r="S152" s="200"/>
      <c r="T152" s="200"/>
      <c r="U152" s="200"/>
      <c r="V152" s="200"/>
      <c r="W152" s="200"/>
    </row>
    <row r="153" spans="1:23" ht="12.75">
      <c r="A153" s="201"/>
      <c r="B153" s="201"/>
      <c r="C153" s="201"/>
      <c r="D153" s="224"/>
      <c r="E153" s="201"/>
      <c r="F153" s="201"/>
      <c r="G153" s="200"/>
      <c r="H153" s="200"/>
      <c r="I153" s="200"/>
      <c r="J153" s="200"/>
      <c r="K153" s="200"/>
      <c r="L153" s="200"/>
      <c r="M153" s="200"/>
      <c r="N153" s="200"/>
      <c r="O153" s="200"/>
      <c r="P153" s="200"/>
      <c r="Q153" s="200"/>
      <c r="R153" s="200"/>
      <c r="S153" s="200"/>
      <c r="T153" s="200"/>
      <c r="U153" s="200"/>
      <c r="V153" s="200"/>
      <c r="W153" s="200"/>
    </row>
    <row r="154" spans="1:23" ht="12.75">
      <c r="A154" s="201"/>
      <c r="B154" s="201"/>
      <c r="C154" s="201"/>
      <c r="D154" s="224"/>
      <c r="E154" s="201"/>
      <c r="F154" s="201"/>
      <c r="G154" s="200"/>
      <c r="H154" s="200"/>
      <c r="I154" s="200"/>
      <c r="J154" s="200"/>
      <c r="K154" s="200"/>
      <c r="L154" s="200"/>
      <c r="M154" s="200"/>
      <c r="N154" s="200"/>
      <c r="O154" s="200"/>
      <c r="P154" s="200"/>
      <c r="Q154" s="200"/>
      <c r="R154" s="200"/>
      <c r="S154" s="200"/>
      <c r="T154" s="200"/>
      <c r="U154" s="200"/>
      <c r="V154" s="200"/>
      <c r="W154" s="200"/>
    </row>
    <row r="155" spans="1:23" ht="12.75">
      <c r="A155" s="201"/>
      <c r="B155" s="201"/>
      <c r="C155" s="201"/>
      <c r="D155" s="224"/>
      <c r="E155" s="201"/>
      <c r="F155" s="201"/>
      <c r="G155" s="200"/>
      <c r="H155" s="200"/>
      <c r="I155" s="200"/>
      <c r="J155" s="200"/>
      <c r="K155" s="200"/>
      <c r="L155" s="200"/>
      <c r="M155" s="200"/>
      <c r="N155" s="200"/>
      <c r="O155" s="200"/>
      <c r="P155" s="200"/>
      <c r="Q155" s="200"/>
      <c r="R155" s="200"/>
      <c r="S155" s="200"/>
      <c r="T155" s="200"/>
      <c r="U155" s="200"/>
      <c r="V155" s="200"/>
      <c r="W155" s="200"/>
    </row>
    <row r="156" spans="1:23" ht="12.75">
      <c r="A156" s="201"/>
      <c r="B156" s="201"/>
      <c r="C156" s="201"/>
      <c r="D156" s="224"/>
      <c r="E156" s="201"/>
      <c r="F156" s="201"/>
      <c r="G156" s="200"/>
      <c r="H156" s="200"/>
      <c r="I156" s="200"/>
      <c r="J156" s="200"/>
      <c r="K156" s="200"/>
      <c r="L156" s="200"/>
      <c r="M156" s="200"/>
      <c r="N156" s="200"/>
      <c r="O156" s="200"/>
      <c r="P156" s="200"/>
      <c r="Q156" s="200"/>
      <c r="R156" s="200"/>
      <c r="S156" s="200"/>
      <c r="T156" s="200"/>
      <c r="U156" s="200"/>
      <c r="V156" s="200"/>
      <c r="W156" s="200"/>
    </row>
    <row r="157" spans="1:23" ht="12.75">
      <c r="A157" s="201"/>
      <c r="B157" s="201"/>
      <c r="C157" s="201"/>
      <c r="D157" s="224"/>
      <c r="E157" s="201"/>
      <c r="F157" s="201"/>
      <c r="G157" s="200"/>
      <c r="H157" s="200"/>
      <c r="I157" s="200"/>
      <c r="J157" s="200"/>
      <c r="K157" s="200"/>
      <c r="L157" s="200"/>
      <c r="M157" s="200"/>
      <c r="N157" s="200"/>
      <c r="O157" s="200"/>
      <c r="P157" s="200"/>
      <c r="Q157" s="200"/>
      <c r="R157" s="200"/>
      <c r="S157" s="200"/>
      <c r="T157" s="200"/>
      <c r="U157" s="200"/>
      <c r="V157" s="200"/>
      <c r="W157" s="200"/>
    </row>
    <row r="158" spans="1:23" ht="12.75">
      <c r="A158" s="201"/>
      <c r="B158" s="201"/>
      <c r="C158" s="201"/>
      <c r="D158" s="224"/>
      <c r="E158" s="201"/>
      <c r="F158" s="201"/>
      <c r="G158" s="200"/>
      <c r="H158" s="200"/>
      <c r="I158" s="200"/>
      <c r="J158" s="200"/>
      <c r="K158" s="200"/>
      <c r="L158" s="200"/>
      <c r="M158" s="200"/>
      <c r="N158" s="200"/>
      <c r="O158" s="200"/>
      <c r="P158" s="200"/>
      <c r="Q158" s="200"/>
      <c r="R158" s="200"/>
      <c r="S158" s="200"/>
      <c r="T158" s="200"/>
      <c r="U158" s="200"/>
      <c r="V158" s="200"/>
      <c r="W158" s="200"/>
    </row>
    <row r="159" spans="1:23" ht="12.75">
      <c r="A159" s="201"/>
      <c r="B159" s="201"/>
      <c r="C159" s="201"/>
      <c r="D159" s="224"/>
      <c r="E159" s="201"/>
      <c r="F159" s="201"/>
      <c r="G159" s="200"/>
      <c r="H159" s="200"/>
      <c r="I159" s="200"/>
      <c r="J159" s="200"/>
      <c r="K159" s="200"/>
      <c r="L159" s="200"/>
      <c r="M159" s="200"/>
      <c r="N159" s="200"/>
      <c r="O159" s="200"/>
      <c r="P159" s="200"/>
      <c r="Q159" s="200"/>
      <c r="R159" s="200"/>
      <c r="S159" s="200"/>
      <c r="T159" s="200"/>
      <c r="U159" s="200"/>
      <c r="V159" s="200"/>
      <c r="W159" s="200"/>
    </row>
    <row r="160" spans="1:23" ht="12.75">
      <c r="A160" s="201"/>
      <c r="B160" s="201"/>
      <c r="C160" s="201"/>
      <c r="D160" s="224"/>
      <c r="E160" s="201"/>
      <c r="F160" s="201"/>
      <c r="G160" s="200"/>
      <c r="H160" s="200"/>
      <c r="I160" s="200"/>
      <c r="J160" s="200"/>
      <c r="K160" s="200"/>
      <c r="L160" s="200"/>
      <c r="M160" s="200"/>
      <c r="N160" s="200"/>
      <c r="O160" s="200"/>
      <c r="P160" s="200"/>
      <c r="Q160" s="200"/>
      <c r="R160" s="200"/>
      <c r="S160" s="200"/>
      <c r="T160" s="200"/>
      <c r="U160" s="200"/>
      <c r="V160" s="200"/>
      <c r="W160" s="200"/>
    </row>
    <row r="161" spans="1:23" ht="12.75">
      <c r="A161" s="201"/>
      <c r="B161" s="201"/>
      <c r="C161" s="201"/>
      <c r="D161" s="224"/>
      <c r="E161" s="201"/>
      <c r="F161" s="201"/>
      <c r="G161" s="200"/>
      <c r="H161" s="200"/>
      <c r="I161" s="200"/>
      <c r="J161" s="200"/>
      <c r="K161" s="200"/>
      <c r="L161" s="200"/>
      <c r="M161" s="200"/>
      <c r="N161" s="200"/>
      <c r="O161" s="200"/>
      <c r="P161" s="200"/>
      <c r="Q161" s="200"/>
      <c r="R161" s="200"/>
      <c r="S161" s="200"/>
      <c r="T161" s="200"/>
      <c r="U161" s="200"/>
      <c r="V161" s="200"/>
      <c r="W161" s="200"/>
    </row>
    <row r="162" spans="1:23" ht="12.75">
      <c r="A162" s="201"/>
      <c r="B162" s="201"/>
      <c r="C162" s="201"/>
      <c r="D162" s="224"/>
      <c r="E162" s="201"/>
      <c r="F162" s="201"/>
      <c r="G162" s="200"/>
      <c r="H162" s="200"/>
      <c r="I162" s="200"/>
      <c r="J162" s="200"/>
      <c r="K162" s="200"/>
      <c r="L162" s="200"/>
      <c r="M162" s="200"/>
      <c r="N162" s="200"/>
      <c r="O162" s="200"/>
      <c r="P162" s="200"/>
      <c r="Q162" s="200"/>
      <c r="R162" s="200"/>
      <c r="S162" s="200"/>
      <c r="T162" s="200"/>
      <c r="U162" s="200"/>
      <c r="V162" s="200"/>
      <c r="W162" s="200"/>
    </row>
    <row r="163" spans="1:23" ht="12.75">
      <c r="A163" s="201"/>
      <c r="B163" s="201"/>
      <c r="C163" s="201"/>
      <c r="D163" s="224"/>
      <c r="E163" s="201"/>
      <c r="F163" s="201"/>
      <c r="G163" s="200"/>
      <c r="H163" s="200"/>
      <c r="I163" s="200"/>
      <c r="J163" s="200"/>
      <c r="K163" s="200"/>
      <c r="L163" s="200"/>
      <c r="M163" s="200"/>
      <c r="N163" s="200"/>
      <c r="O163" s="200"/>
      <c r="P163" s="200"/>
      <c r="Q163" s="200"/>
      <c r="R163" s="200"/>
      <c r="S163" s="200"/>
      <c r="T163" s="200"/>
      <c r="U163" s="200"/>
      <c r="V163" s="200"/>
      <c r="W163" s="200"/>
    </row>
    <row r="164" spans="1:23" ht="12.75">
      <c r="A164" s="201"/>
      <c r="B164" s="201"/>
      <c r="C164" s="201"/>
      <c r="D164" s="224"/>
      <c r="E164" s="201"/>
      <c r="F164" s="201"/>
      <c r="G164" s="200"/>
      <c r="H164" s="200"/>
      <c r="I164" s="200"/>
      <c r="J164" s="200"/>
      <c r="K164" s="200"/>
      <c r="L164" s="200"/>
      <c r="M164" s="200"/>
      <c r="N164" s="200"/>
      <c r="O164" s="200"/>
      <c r="P164" s="200"/>
      <c r="Q164" s="200"/>
      <c r="R164" s="200"/>
      <c r="S164" s="200"/>
      <c r="T164" s="200"/>
      <c r="U164" s="200"/>
      <c r="V164" s="200"/>
      <c r="W164" s="200"/>
    </row>
    <row r="165" spans="1:23" ht="12.75">
      <c r="A165" s="201"/>
      <c r="B165" s="201"/>
      <c r="C165" s="201"/>
      <c r="D165" s="224"/>
      <c r="E165" s="201"/>
      <c r="F165" s="201"/>
      <c r="G165" s="200"/>
      <c r="H165" s="200"/>
      <c r="I165" s="200"/>
      <c r="J165" s="200"/>
      <c r="K165" s="200"/>
      <c r="L165" s="200"/>
      <c r="M165" s="200"/>
      <c r="N165" s="200"/>
      <c r="O165" s="200"/>
      <c r="P165" s="200"/>
      <c r="Q165" s="200"/>
      <c r="R165" s="200"/>
      <c r="S165" s="200"/>
      <c r="T165" s="200"/>
      <c r="U165" s="200"/>
      <c r="V165" s="200"/>
      <c r="W165" s="200"/>
    </row>
    <row r="166" spans="1:23" ht="12.75">
      <c r="A166" s="201"/>
      <c r="B166" s="201"/>
      <c r="C166" s="201"/>
      <c r="D166" s="224"/>
      <c r="E166" s="201"/>
      <c r="F166" s="201"/>
      <c r="G166" s="200"/>
      <c r="H166" s="200"/>
      <c r="I166" s="200"/>
      <c r="J166" s="200"/>
      <c r="K166" s="200"/>
      <c r="L166" s="200"/>
      <c r="M166" s="200"/>
      <c r="N166" s="200"/>
      <c r="O166" s="200"/>
      <c r="P166" s="200"/>
      <c r="Q166" s="200"/>
      <c r="R166" s="200"/>
      <c r="S166" s="200"/>
      <c r="T166" s="200"/>
      <c r="U166" s="200"/>
      <c r="V166" s="200"/>
      <c r="W166" s="200"/>
    </row>
    <row r="167" spans="1:23" ht="12.75">
      <c r="A167" s="201"/>
      <c r="B167" s="201"/>
      <c r="C167" s="201"/>
      <c r="D167" s="224"/>
      <c r="E167" s="201"/>
      <c r="F167" s="201"/>
      <c r="G167" s="200"/>
      <c r="H167" s="200"/>
      <c r="I167" s="200"/>
      <c r="J167" s="200"/>
      <c r="K167" s="200"/>
      <c r="L167" s="200"/>
      <c r="M167" s="200"/>
      <c r="N167" s="200"/>
      <c r="O167" s="200"/>
      <c r="P167" s="200"/>
      <c r="Q167" s="200"/>
      <c r="R167" s="200"/>
      <c r="S167" s="200"/>
      <c r="T167" s="200"/>
      <c r="U167" s="200"/>
      <c r="V167" s="200"/>
      <c r="W167" s="200"/>
    </row>
    <row r="168" spans="1:23" ht="12.75">
      <c r="A168" s="201"/>
      <c r="B168" s="201"/>
      <c r="C168" s="201"/>
      <c r="D168" s="224"/>
      <c r="E168" s="201"/>
      <c r="F168" s="201"/>
      <c r="G168" s="200"/>
      <c r="H168" s="200"/>
      <c r="I168" s="200"/>
      <c r="J168" s="200"/>
      <c r="K168" s="200"/>
      <c r="L168" s="200"/>
      <c r="M168" s="200"/>
      <c r="N168" s="200"/>
      <c r="O168" s="200"/>
      <c r="P168" s="200"/>
      <c r="Q168" s="200"/>
      <c r="R168" s="200"/>
      <c r="S168" s="200"/>
      <c r="T168" s="200"/>
      <c r="U168" s="200"/>
      <c r="V168" s="200"/>
      <c r="W168" s="200"/>
    </row>
    <row r="169" spans="1:23" ht="12.75">
      <c r="A169" s="201"/>
      <c r="B169" s="201"/>
      <c r="C169" s="201"/>
      <c r="D169" s="224"/>
      <c r="E169" s="201"/>
      <c r="F169" s="201"/>
      <c r="G169" s="200"/>
      <c r="H169" s="200"/>
      <c r="I169" s="200"/>
      <c r="J169" s="200"/>
      <c r="K169" s="200"/>
      <c r="L169" s="200"/>
      <c r="M169" s="200"/>
      <c r="N169" s="200"/>
      <c r="O169" s="200"/>
      <c r="P169" s="200"/>
      <c r="Q169" s="200"/>
      <c r="R169" s="200"/>
      <c r="S169" s="200"/>
      <c r="T169" s="200"/>
      <c r="U169" s="200"/>
      <c r="V169" s="200"/>
      <c r="W169" s="200"/>
    </row>
    <row r="170" spans="1:23" ht="12.75">
      <c r="A170" s="201"/>
      <c r="B170" s="201"/>
      <c r="C170" s="201"/>
      <c r="D170" s="224"/>
      <c r="E170" s="201"/>
      <c r="F170" s="201"/>
      <c r="G170" s="200"/>
      <c r="H170" s="200"/>
      <c r="I170" s="200"/>
      <c r="J170" s="200"/>
      <c r="K170" s="200"/>
      <c r="L170" s="200"/>
      <c r="M170" s="200"/>
      <c r="N170" s="200"/>
      <c r="O170" s="200"/>
      <c r="P170" s="200"/>
      <c r="Q170" s="200"/>
      <c r="R170" s="200"/>
      <c r="S170" s="200"/>
      <c r="T170" s="200"/>
      <c r="U170" s="200"/>
      <c r="V170" s="200"/>
      <c r="W170" s="200"/>
    </row>
    <row r="171" spans="1:23" ht="12.75">
      <c r="A171" s="201"/>
      <c r="B171" s="201"/>
      <c r="C171" s="201"/>
      <c r="D171" s="224"/>
      <c r="E171" s="201"/>
      <c r="F171" s="201"/>
      <c r="G171" s="200"/>
      <c r="H171" s="200"/>
      <c r="I171" s="200"/>
      <c r="J171" s="200"/>
      <c r="K171" s="200"/>
      <c r="L171" s="200"/>
      <c r="M171" s="200"/>
      <c r="N171" s="200"/>
      <c r="O171" s="200"/>
      <c r="P171" s="200"/>
      <c r="Q171" s="200"/>
      <c r="R171" s="200"/>
      <c r="S171" s="200"/>
      <c r="T171" s="200"/>
      <c r="U171" s="200"/>
      <c r="V171" s="200"/>
      <c r="W171" s="200"/>
    </row>
    <row r="172" spans="1:23" ht="12.75">
      <c r="A172" s="201"/>
      <c r="B172" s="201"/>
      <c r="C172" s="201"/>
      <c r="D172" s="224"/>
      <c r="E172" s="201"/>
      <c r="F172" s="201"/>
      <c r="G172" s="200"/>
      <c r="H172" s="200"/>
      <c r="I172" s="200"/>
      <c r="J172" s="200"/>
      <c r="K172" s="200"/>
      <c r="L172" s="200"/>
      <c r="M172" s="200"/>
      <c r="N172" s="200"/>
      <c r="O172" s="200"/>
      <c r="P172" s="200"/>
      <c r="Q172" s="200"/>
      <c r="R172" s="200"/>
      <c r="S172" s="200"/>
      <c r="T172" s="200"/>
      <c r="U172" s="200"/>
      <c r="V172" s="200"/>
      <c r="W172" s="200"/>
    </row>
    <row r="173" spans="1:23" ht="12.75">
      <c r="A173" s="201"/>
      <c r="B173" s="201"/>
      <c r="C173" s="201"/>
      <c r="D173" s="224"/>
      <c r="E173" s="201"/>
      <c r="F173" s="201"/>
      <c r="G173" s="200"/>
      <c r="H173" s="200"/>
      <c r="I173" s="200"/>
      <c r="J173" s="200"/>
      <c r="K173" s="200"/>
      <c r="L173" s="200"/>
      <c r="M173" s="200"/>
      <c r="N173" s="200"/>
      <c r="O173" s="200"/>
      <c r="P173" s="200"/>
      <c r="Q173" s="200"/>
      <c r="R173" s="200"/>
      <c r="S173" s="200"/>
      <c r="T173" s="200"/>
      <c r="U173" s="200"/>
      <c r="V173" s="200"/>
      <c r="W173" s="200"/>
    </row>
    <row r="174" spans="1:23" ht="12.75">
      <c r="A174" s="201"/>
      <c r="B174" s="201"/>
      <c r="C174" s="201"/>
      <c r="D174" s="224"/>
      <c r="E174" s="201"/>
      <c r="F174" s="201"/>
      <c r="G174" s="200"/>
      <c r="H174" s="200"/>
      <c r="I174" s="200"/>
      <c r="J174" s="200"/>
      <c r="K174" s="200"/>
      <c r="L174" s="200"/>
      <c r="M174" s="200"/>
      <c r="N174" s="200"/>
      <c r="O174" s="200"/>
      <c r="P174" s="200"/>
      <c r="Q174" s="200"/>
      <c r="R174" s="200"/>
      <c r="S174" s="200"/>
      <c r="T174" s="200"/>
      <c r="U174" s="200"/>
      <c r="V174" s="200"/>
      <c r="W174" s="200"/>
    </row>
    <row r="175" spans="1:23" ht="12.75">
      <c r="A175" s="201"/>
      <c r="B175" s="201"/>
      <c r="C175" s="201"/>
      <c r="D175" s="224"/>
      <c r="E175" s="201"/>
      <c r="F175" s="201"/>
      <c r="G175" s="200"/>
      <c r="H175" s="200"/>
      <c r="I175" s="200"/>
      <c r="J175" s="200"/>
      <c r="K175" s="200"/>
      <c r="L175" s="200"/>
      <c r="M175" s="200"/>
      <c r="N175" s="200"/>
      <c r="O175" s="200"/>
      <c r="P175" s="200"/>
      <c r="Q175" s="200"/>
      <c r="R175" s="200"/>
      <c r="S175" s="200"/>
      <c r="T175" s="200"/>
      <c r="U175" s="200"/>
      <c r="V175" s="200"/>
      <c r="W175" s="200"/>
    </row>
    <row r="176" spans="1:23" ht="12.75">
      <c r="A176" s="201"/>
      <c r="B176" s="201"/>
      <c r="C176" s="201"/>
      <c r="D176" s="224"/>
      <c r="E176" s="201"/>
      <c r="F176" s="201"/>
      <c r="G176" s="200"/>
      <c r="H176" s="200"/>
      <c r="I176" s="200"/>
      <c r="J176" s="200"/>
      <c r="K176" s="200"/>
      <c r="L176" s="200"/>
      <c r="M176" s="200"/>
      <c r="N176" s="200"/>
      <c r="O176" s="200"/>
      <c r="P176" s="200"/>
      <c r="Q176" s="200"/>
      <c r="R176" s="200"/>
      <c r="S176" s="200"/>
      <c r="T176" s="200"/>
      <c r="U176" s="200"/>
      <c r="V176" s="200"/>
      <c r="W176" s="200"/>
    </row>
    <row r="177" spans="1:23" ht="12.75">
      <c r="A177" s="201"/>
      <c r="B177" s="201"/>
      <c r="C177" s="201"/>
      <c r="D177" s="224"/>
      <c r="E177" s="201"/>
      <c r="F177" s="201"/>
      <c r="G177" s="200"/>
      <c r="H177" s="200"/>
      <c r="I177" s="200"/>
      <c r="J177" s="200"/>
      <c r="K177" s="200"/>
      <c r="L177" s="200"/>
      <c r="M177" s="200"/>
      <c r="N177" s="200"/>
      <c r="O177" s="200"/>
      <c r="P177" s="200"/>
      <c r="Q177" s="200"/>
      <c r="R177" s="200"/>
      <c r="S177" s="200"/>
      <c r="T177" s="200"/>
      <c r="U177" s="200"/>
      <c r="V177" s="200"/>
      <c r="W177" s="200"/>
    </row>
    <row r="178" spans="1:23" ht="12.75">
      <c r="A178" s="201"/>
      <c r="B178" s="201"/>
      <c r="C178" s="201"/>
      <c r="D178" s="224"/>
      <c r="E178" s="201"/>
      <c r="F178" s="201"/>
      <c r="G178" s="200"/>
      <c r="H178" s="200"/>
      <c r="I178" s="200"/>
      <c r="J178" s="200"/>
      <c r="K178" s="200"/>
      <c r="L178" s="200"/>
      <c r="M178" s="200"/>
      <c r="N178" s="200"/>
      <c r="O178" s="200"/>
      <c r="P178" s="200"/>
      <c r="Q178" s="200"/>
      <c r="R178" s="200"/>
      <c r="S178" s="200"/>
      <c r="T178" s="200"/>
      <c r="U178" s="200"/>
      <c r="V178" s="200"/>
      <c r="W178" s="200"/>
    </row>
    <row r="179" spans="1:23" ht="12.75">
      <c r="A179" s="201"/>
      <c r="B179" s="201"/>
      <c r="C179" s="201"/>
      <c r="D179" s="224"/>
      <c r="E179" s="201"/>
      <c r="F179" s="201"/>
      <c r="G179" s="200"/>
      <c r="H179" s="200"/>
      <c r="I179" s="200"/>
      <c r="J179" s="200"/>
      <c r="K179" s="200"/>
      <c r="L179" s="200"/>
      <c r="M179" s="200"/>
      <c r="N179" s="200"/>
      <c r="O179" s="200"/>
      <c r="P179" s="200"/>
      <c r="Q179" s="200"/>
      <c r="R179" s="200"/>
      <c r="S179" s="200"/>
      <c r="T179" s="200"/>
      <c r="U179" s="200"/>
      <c r="V179" s="200"/>
      <c r="W179" s="200"/>
    </row>
    <row r="180" spans="1:23" ht="12.75">
      <c r="A180" s="201"/>
      <c r="B180" s="201"/>
      <c r="C180" s="201"/>
      <c r="D180" s="224"/>
      <c r="E180" s="201"/>
      <c r="F180" s="201"/>
      <c r="G180" s="200"/>
      <c r="H180" s="200"/>
      <c r="I180" s="200"/>
      <c r="J180" s="200"/>
      <c r="K180" s="200"/>
      <c r="L180" s="200"/>
      <c r="M180" s="200"/>
      <c r="N180" s="200"/>
      <c r="O180" s="200"/>
      <c r="P180" s="200"/>
      <c r="Q180" s="200"/>
      <c r="R180" s="200"/>
      <c r="S180" s="200"/>
      <c r="T180" s="200"/>
      <c r="U180" s="200"/>
      <c r="V180" s="200"/>
      <c r="W180" s="200"/>
    </row>
    <row r="181" spans="1:23" ht="12.75">
      <c r="A181" s="201"/>
      <c r="B181" s="201"/>
      <c r="C181" s="201"/>
      <c r="D181" s="224"/>
      <c r="E181" s="201"/>
      <c r="F181" s="201"/>
      <c r="G181" s="200"/>
      <c r="H181" s="200"/>
      <c r="I181" s="200"/>
      <c r="J181" s="200"/>
      <c r="K181" s="200"/>
      <c r="L181" s="200"/>
      <c r="M181" s="200"/>
      <c r="N181" s="200"/>
      <c r="O181" s="200"/>
      <c r="P181" s="200"/>
      <c r="Q181" s="200"/>
      <c r="R181" s="200"/>
      <c r="S181" s="200"/>
      <c r="T181" s="200"/>
      <c r="U181" s="200"/>
      <c r="V181" s="200"/>
      <c r="W181" s="200"/>
    </row>
    <row r="182" spans="1:23" ht="12.75">
      <c r="A182" s="201"/>
      <c r="B182" s="201"/>
      <c r="C182" s="201"/>
      <c r="D182" s="224"/>
      <c r="E182" s="201"/>
      <c r="F182" s="201"/>
      <c r="G182" s="200"/>
      <c r="H182" s="200"/>
      <c r="I182" s="200"/>
      <c r="J182" s="200"/>
      <c r="K182" s="200"/>
      <c r="L182" s="200"/>
      <c r="M182" s="200"/>
      <c r="N182" s="200"/>
      <c r="O182" s="200"/>
      <c r="P182" s="200"/>
      <c r="Q182" s="200"/>
      <c r="R182" s="200"/>
      <c r="S182" s="200"/>
      <c r="T182" s="200"/>
      <c r="U182" s="200"/>
      <c r="V182" s="200"/>
      <c r="W182" s="200"/>
    </row>
    <row r="183" spans="1:23" ht="12.75">
      <c r="A183" s="201"/>
      <c r="B183" s="201"/>
      <c r="C183" s="201"/>
      <c r="D183" s="224"/>
      <c r="E183" s="201"/>
      <c r="F183" s="201"/>
      <c r="G183" s="200"/>
      <c r="H183" s="200"/>
      <c r="I183" s="200"/>
      <c r="J183" s="200"/>
      <c r="K183" s="200"/>
      <c r="L183" s="200"/>
      <c r="M183" s="200"/>
      <c r="N183" s="200"/>
      <c r="O183" s="200"/>
      <c r="P183" s="200"/>
      <c r="Q183" s="200"/>
      <c r="R183" s="200"/>
      <c r="S183" s="200"/>
      <c r="T183" s="200"/>
      <c r="U183" s="200"/>
      <c r="V183" s="200"/>
      <c r="W183" s="200"/>
    </row>
    <row r="184" spans="1:23" ht="12.75">
      <c r="A184" s="201"/>
      <c r="B184" s="201"/>
      <c r="C184" s="201"/>
      <c r="D184" s="224"/>
      <c r="E184" s="201"/>
      <c r="F184" s="201"/>
      <c r="G184" s="200"/>
      <c r="H184" s="200"/>
      <c r="I184" s="200"/>
      <c r="J184" s="200"/>
      <c r="K184" s="200"/>
      <c r="L184" s="200"/>
      <c r="M184" s="200"/>
      <c r="N184" s="200"/>
      <c r="O184" s="200"/>
      <c r="P184" s="200"/>
      <c r="Q184" s="200"/>
      <c r="R184" s="200"/>
      <c r="S184" s="200"/>
      <c r="T184" s="200"/>
      <c r="U184" s="200"/>
      <c r="V184" s="200"/>
      <c r="W184" s="200"/>
    </row>
    <row r="185" spans="1:23" ht="12.75">
      <c r="A185" s="201"/>
      <c r="B185" s="201"/>
      <c r="C185" s="201"/>
      <c r="D185" s="224"/>
      <c r="E185" s="201"/>
      <c r="F185" s="201"/>
      <c r="G185" s="200"/>
      <c r="H185" s="200"/>
      <c r="I185" s="200"/>
      <c r="J185" s="200"/>
      <c r="K185" s="200"/>
      <c r="L185" s="200"/>
      <c r="M185" s="200"/>
      <c r="N185" s="200"/>
      <c r="O185" s="200"/>
      <c r="P185" s="200"/>
      <c r="Q185" s="200"/>
      <c r="R185" s="200"/>
      <c r="S185" s="200"/>
      <c r="T185" s="200"/>
      <c r="U185" s="200"/>
      <c r="V185" s="200"/>
      <c r="W185" s="200"/>
    </row>
    <row r="186" spans="1:23" ht="12.75">
      <c r="A186" s="201"/>
      <c r="B186" s="201"/>
      <c r="C186" s="201"/>
      <c r="D186" s="224"/>
      <c r="E186" s="201"/>
      <c r="F186" s="201"/>
      <c r="G186" s="200"/>
      <c r="H186" s="200"/>
      <c r="I186" s="200"/>
      <c r="J186" s="200"/>
      <c r="K186" s="200"/>
      <c r="L186" s="200"/>
      <c r="M186" s="200"/>
      <c r="N186" s="200"/>
      <c r="O186" s="200"/>
      <c r="P186" s="200"/>
      <c r="Q186" s="200"/>
      <c r="R186" s="200"/>
      <c r="S186" s="200"/>
      <c r="T186" s="200"/>
      <c r="U186" s="200"/>
      <c r="V186" s="200"/>
      <c r="W186" s="200"/>
    </row>
    <row r="187" spans="1:23" ht="12.75">
      <c r="A187" s="201"/>
      <c r="B187" s="201"/>
      <c r="C187" s="201"/>
      <c r="D187" s="224"/>
      <c r="E187" s="201"/>
      <c r="F187" s="201"/>
      <c r="G187" s="200"/>
      <c r="H187" s="200"/>
      <c r="I187" s="200"/>
      <c r="J187" s="200"/>
      <c r="K187" s="200"/>
      <c r="L187" s="200"/>
      <c r="M187" s="200"/>
      <c r="N187" s="200"/>
      <c r="O187" s="200"/>
      <c r="P187" s="200"/>
      <c r="Q187" s="200"/>
      <c r="R187" s="200"/>
      <c r="S187" s="200"/>
      <c r="T187" s="200"/>
      <c r="U187" s="200"/>
      <c r="V187" s="200"/>
      <c r="W187" s="200"/>
    </row>
    <row r="188" spans="1:23" ht="12.75">
      <c r="A188" s="201"/>
      <c r="B188" s="201"/>
      <c r="C188" s="201"/>
      <c r="D188" s="224"/>
      <c r="E188" s="201"/>
      <c r="F188" s="201"/>
      <c r="G188" s="200"/>
      <c r="H188" s="200"/>
      <c r="I188" s="200"/>
      <c r="J188" s="200"/>
      <c r="K188" s="200"/>
      <c r="L188" s="200"/>
      <c r="M188" s="200"/>
      <c r="N188" s="200"/>
      <c r="O188" s="200"/>
      <c r="P188" s="200"/>
      <c r="Q188" s="200"/>
      <c r="R188" s="200"/>
      <c r="S188" s="200"/>
      <c r="T188" s="200"/>
      <c r="U188" s="200"/>
      <c r="V188" s="200"/>
      <c r="W188" s="200"/>
    </row>
    <row r="189" spans="1:23" ht="12.75">
      <c r="A189" s="201"/>
      <c r="B189" s="201"/>
      <c r="C189" s="201"/>
      <c r="D189" s="224"/>
      <c r="E189" s="201"/>
      <c r="F189" s="201"/>
      <c r="G189" s="200"/>
      <c r="H189" s="200"/>
      <c r="I189" s="200"/>
      <c r="J189" s="200"/>
      <c r="K189" s="200"/>
      <c r="L189" s="200"/>
      <c r="M189" s="200"/>
      <c r="N189" s="200"/>
      <c r="O189" s="200"/>
      <c r="P189" s="200"/>
      <c r="Q189" s="200"/>
      <c r="R189" s="200"/>
      <c r="S189" s="200"/>
      <c r="T189" s="200"/>
      <c r="U189" s="200"/>
      <c r="V189" s="200"/>
      <c r="W189" s="200"/>
    </row>
    <row r="190" spans="1:23" ht="12.75">
      <c r="A190" s="201"/>
      <c r="B190" s="201"/>
      <c r="C190" s="201"/>
      <c r="D190" s="224"/>
      <c r="E190" s="201"/>
      <c r="F190" s="201"/>
      <c r="G190" s="200"/>
      <c r="H190" s="200"/>
      <c r="I190" s="200"/>
      <c r="J190" s="200"/>
      <c r="K190" s="200"/>
      <c r="L190" s="200"/>
      <c r="M190" s="200"/>
      <c r="N190" s="200"/>
      <c r="O190" s="200"/>
      <c r="P190" s="200"/>
      <c r="Q190" s="200"/>
      <c r="R190" s="200"/>
      <c r="S190" s="200"/>
      <c r="T190" s="200"/>
      <c r="U190" s="200"/>
      <c r="V190" s="200"/>
      <c r="W190" s="200"/>
    </row>
    <row r="191" spans="1:23" ht="12.75">
      <c r="A191" s="201"/>
      <c r="B191" s="201"/>
      <c r="C191" s="201"/>
      <c r="D191" s="224"/>
      <c r="E191" s="201"/>
      <c r="F191" s="201"/>
      <c r="G191" s="200"/>
      <c r="H191" s="200"/>
      <c r="I191" s="200"/>
      <c r="J191" s="200"/>
      <c r="K191" s="200"/>
      <c r="L191" s="200"/>
      <c r="M191" s="200"/>
      <c r="N191" s="200"/>
      <c r="O191" s="200"/>
      <c r="P191" s="200"/>
      <c r="Q191" s="200"/>
      <c r="R191" s="200"/>
      <c r="S191" s="200"/>
      <c r="T191" s="200"/>
      <c r="U191" s="200"/>
      <c r="V191" s="200"/>
      <c r="W191" s="200"/>
    </row>
    <row r="192" spans="1:23" ht="12.75">
      <c r="A192" s="201"/>
      <c r="B192" s="201"/>
      <c r="C192" s="201"/>
      <c r="D192" s="224"/>
      <c r="E192" s="201"/>
      <c r="F192" s="201"/>
      <c r="G192" s="200"/>
      <c r="H192" s="200"/>
      <c r="I192" s="200"/>
      <c r="J192" s="200"/>
      <c r="K192" s="200"/>
      <c r="L192" s="200"/>
      <c r="M192" s="200"/>
      <c r="N192" s="200"/>
      <c r="O192" s="200"/>
      <c r="P192" s="200"/>
      <c r="Q192" s="200"/>
      <c r="R192" s="200"/>
      <c r="S192" s="200"/>
      <c r="T192" s="200"/>
      <c r="U192" s="200"/>
      <c r="V192" s="200"/>
      <c r="W192" s="200"/>
    </row>
    <row r="193" spans="1:23" ht="12.75">
      <c r="A193" s="201"/>
      <c r="B193" s="201"/>
      <c r="C193" s="201"/>
      <c r="D193" s="224"/>
      <c r="E193" s="201"/>
      <c r="F193" s="201"/>
      <c r="G193" s="200"/>
      <c r="H193" s="200"/>
      <c r="I193" s="200"/>
      <c r="J193" s="200"/>
      <c r="K193" s="200"/>
      <c r="L193" s="200"/>
      <c r="M193" s="200"/>
      <c r="N193" s="200"/>
      <c r="O193" s="200"/>
      <c r="P193" s="200"/>
      <c r="Q193" s="200"/>
      <c r="R193" s="200"/>
      <c r="S193" s="200"/>
      <c r="T193" s="200"/>
      <c r="U193" s="200"/>
      <c r="V193" s="200"/>
      <c r="W193" s="200"/>
    </row>
    <row r="194" spans="1:23" ht="12.75">
      <c r="A194" s="201"/>
      <c r="B194" s="201"/>
      <c r="C194" s="201"/>
      <c r="D194" s="224"/>
      <c r="E194" s="201"/>
      <c r="F194" s="201"/>
      <c r="G194" s="200"/>
      <c r="H194" s="200"/>
      <c r="I194" s="200"/>
      <c r="J194" s="200"/>
      <c r="K194" s="200"/>
      <c r="L194" s="200"/>
      <c r="M194" s="200"/>
      <c r="N194" s="200"/>
      <c r="O194" s="200"/>
      <c r="P194" s="200"/>
      <c r="Q194" s="200"/>
      <c r="R194" s="200"/>
      <c r="S194" s="200"/>
      <c r="T194" s="200"/>
      <c r="U194" s="200"/>
      <c r="V194" s="200"/>
      <c r="W194" s="200"/>
    </row>
    <row r="195" spans="1:23" ht="12.75">
      <c r="A195" s="201"/>
      <c r="B195" s="201"/>
      <c r="C195" s="201"/>
      <c r="D195" s="224"/>
      <c r="E195" s="201"/>
      <c r="F195" s="201"/>
      <c r="G195" s="200"/>
      <c r="H195" s="200"/>
      <c r="I195" s="200"/>
      <c r="J195" s="200"/>
      <c r="K195" s="200"/>
      <c r="L195" s="200"/>
      <c r="M195" s="200"/>
      <c r="N195" s="200"/>
      <c r="O195" s="200"/>
      <c r="P195" s="200"/>
      <c r="Q195" s="200"/>
      <c r="R195" s="200"/>
      <c r="S195" s="200"/>
      <c r="T195" s="200"/>
      <c r="U195" s="200"/>
      <c r="V195" s="200"/>
      <c r="W195" s="200"/>
    </row>
    <row r="196" spans="1:23" ht="12.75">
      <c r="A196" s="201"/>
      <c r="B196" s="201"/>
      <c r="C196" s="201"/>
      <c r="D196" s="224"/>
      <c r="E196" s="201"/>
      <c r="F196" s="201"/>
      <c r="G196" s="200"/>
      <c r="H196" s="200"/>
      <c r="I196" s="200"/>
      <c r="J196" s="200"/>
      <c r="K196" s="200"/>
      <c r="L196" s="200"/>
      <c r="M196" s="200"/>
      <c r="N196" s="200"/>
      <c r="O196" s="200"/>
      <c r="P196" s="200"/>
      <c r="Q196" s="200"/>
      <c r="R196" s="200"/>
      <c r="S196" s="200"/>
      <c r="T196" s="200"/>
      <c r="U196" s="200"/>
      <c r="V196" s="200"/>
      <c r="W196" s="200"/>
    </row>
    <row r="197" spans="1:23" ht="12.75">
      <c r="A197" s="201"/>
      <c r="B197" s="201"/>
      <c r="C197" s="201"/>
      <c r="D197" s="224"/>
      <c r="E197" s="201"/>
      <c r="F197" s="201"/>
      <c r="G197" s="200"/>
      <c r="H197" s="200"/>
      <c r="I197" s="200"/>
      <c r="J197" s="200"/>
      <c r="K197" s="200"/>
      <c r="L197" s="200"/>
      <c r="M197" s="200"/>
      <c r="N197" s="200"/>
      <c r="O197" s="200"/>
      <c r="P197" s="200"/>
      <c r="Q197" s="200"/>
      <c r="R197" s="200"/>
      <c r="S197" s="200"/>
      <c r="T197" s="200"/>
      <c r="U197" s="200"/>
      <c r="V197" s="200"/>
      <c r="W197" s="200"/>
    </row>
    <row r="198" spans="1:23" ht="12.75">
      <c r="A198" s="201"/>
      <c r="B198" s="201"/>
      <c r="C198" s="201"/>
      <c r="D198" s="224"/>
      <c r="E198" s="201"/>
      <c r="F198" s="201"/>
      <c r="G198" s="200"/>
      <c r="H198" s="200"/>
      <c r="I198" s="200"/>
      <c r="J198" s="200"/>
      <c r="K198" s="200"/>
      <c r="L198" s="200"/>
      <c r="M198" s="200"/>
      <c r="N198" s="200"/>
      <c r="O198" s="200"/>
      <c r="P198" s="200"/>
      <c r="Q198" s="200"/>
      <c r="R198" s="200"/>
      <c r="S198" s="200"/>
      <c r="T198" s="200"/>
      <c r="U198" s="200"/>
      <c r="V198" s="200"/>
      <c r="W198" s="200"/>
    </row>
    <row r="199" spans="1:23" ht="12.75">
      <c r="A199" s="201"/>
      <c r="B199" s="201"/>
      <c r="C199" s="201"/>
      <c r="D199" s="224"/>
      <c r="E199" s="201"/>
      <c r="F199" s="201"/>
      <c r="G199" s="200"/>
      <c r="H199" s="200"/>
      <c r="I199" s="200"/>
      <c r="J199" s="200"/>
      <c r="K199" s="200"/>
      <c r="L199" s="200"/>
      <c r="M199" s="200"/>
      <c r="N199" s="200"/>
      <c r="O199" s="200"/>
      <c r="P199" s="200"/>
      <c r="Q199" s="200"/>
      <c r="R199" s="200"/>
      <c r="S199" s="200"/>
      <c r="T199" s="200"/>
      <c r="U199" s="200"/>
      <c r="V199" s="200"/>
      <c r="W199" s="200"/>
    </row>
    <row r="200" spans="1:23" ht="12.75">
      <c r="A200" s="201"/>
      <c r="B200" s="201"/>
      <c r="C200" s="201"/>
      <c r="D200" s="224"/>
      <c r="E200" s="201"/>
      <c r="F200" s="201"/>
      <c r="G200" s="200"/>
      <c r="H200" s="200"/>
      <c r="I200" s="200"/>
      <c r="J200" s="200"/>
      <c r="K200" s="200"/>
      <c r="L200" s="200"/>
      <c r="M200" s="200"/>
      <c r="N200" s="200"/>
      <c r="O200" s="200"/>
      <c r="P200" s="200"/>
      <c r="Q200" s="200"/>
      <c r="R200" s="200"/>
      <c r="S200" s="200"/>
      <c r="T200" s="200"/>
      <c r="U200" s="200"/>
      <c r="V200" s="200"/>
      <c r="W200" s="200"/>
    </row>
    <row r="201" spans="1:23" ht="12.75">
      <c r="A201" s="201"/>
      <c r="B201" s="201"/>
      <c r="C201" s="201"/>
      <c r="D201" s="224"/>
      <c r="E201" s="201"/>
      <c r="F201" s="201"/>
      <c r="G201" s="200"/>
      <c r="H201" s="200"/>
      <c r="I201" s="200"/>
      <c r="J201" s="200"/>
      <c r="K201" s="200"/>
      <c r="L201" s="200"/>
      <c r="M201" s="200"/>
      <c r="N201" s="200"/>
      <c r="O201" s="200"/>
      <c r="P201" s="200"/>
      <c r="Q201" s="200"/>
      <c r="R201" s="200"/>
      <c r="S201" s="200"/>
      <c r="T201" s="200"/>
      <c r="U201" s="200"/>
      <c r="V201" s="200"/>
      <c r="W201" s="200"/>
    </row>
    <row r="202" spans="1:23" ht="12.75">
      <c r="A202" s="201"/>
      <c r="B202" s="201"/>
      <c r="C202" s="201"/>
      <c r="D202" s="224"/>
      <c r="E202" s="201"/>
      <c r="F202" s="201"/>
      <c r="G202" s="200"/>
      <c r="H202" s="200"/>
      <c r="I202" s="200"/>
      <c r="J202" s="200"/>
      <c r="K202" s="200"/>
      <c r="L202" s="200"/>
      <c r="M202" s="200"/>
      <c r="N202" s="200"/>
      <c r="O202" s="200"/>
      <c r="P202" s="200"/>
      <c r="Q202" s="200"/>
      <c r="R202" s="200"/>
      <c r="S202" s="200"/>
      <c r="T202" s="200"/>
      <c r="U202" s="200"/>
      <c r="V202" s="200"/>
      <c r="W202" s="200"/>
    </row>
    <row r="203" spans="1:23" ht="12.75">
      <c r="A203" s="201"/>
      <c r="B203" s="201"/>
      <c r="C203" s="201"/>
      <c r="D203" s="224"/>
      <c r="E203" s="201"/>
      <c r="F203" s="201"/>
      <c r="G203" s="200"/>
      <c r="H203" s="200"/>
      <c r="I203" s="200"/>
      <c r="J203" s="200"/>
      <c r="K203" s="200"/>
      <c r="L203" s="200"/>
      <c r="M203" s="200"/>
      <c r="N203" s="200"/>
      <c r="O203" s="200"/>
      <c r="P203" s="200"/>
      <c r="Q203" s="200"/>
      <c r="R203" s="200"/>
      <c r="S203" s="200"/>
      <c r="T203" s="200"/>
      <c r="U203" s="200"/>
      <c r="V203" s="200"/>
      <c r="W203" s="200"/>
    </row>
    <row r="204" spans="1:23" ht="12.75">
      <c r="A204" s="201"/>
      <c r="B204" s="201"/>
      <c r="C204" s="201"/>
      <c r="D204" s="224"/>
      <c r="E204" s="201"/>
      <c r="F204" s="201"/>
      <c r="G204" s="200"/>
      <c r="H204" s="200"/>
      <c r="I204" s="200"/>
      <c r="J204" s="200"/>
      <c r="K204" s="200"/>
      <c r="L204" s="200"/>
      <c r="M204" s="200"/>
      <c r="N204" s="200"/>
      <c r="O204" s="200"/>
      <c r="P204" s="200"/>
      <c r="Q204" s="200"/>
      <c r="R204" s="200"/>
      <c r="S204" s="200"/>
      <c r="T204" s="200"/>
      <c r="U204" s="200"/>
      <c r="V204" s="200"/>
      <c r="W204" s="200"/>
    </row>
    <row r="205" spans="1:23" ht="12.75">
      <c r="A205" s="201"/>
      <c r="B205" s="201"/>
      <c r="C205" s="201"/>
      <c r="D205" s="224"/>
      <c r="E205" s="201"/>
      <c r="F205" s="201"/>
      <c r="G205" s="200"/>
      <c r="H205" s="200"/>
      <c r="I205" s="200"/>
      <c r="J205" s="200"/>
      <c r="K205" s="200"/>
      <c r="L205" s="200"/>
      <c r="M205" s="200"/>
      <c r="N205" s="200"/>
      <c r="O205" s="200"/>
      <c r="P205" s="200"/>
      <c r="Q205" s="200"/>
      <c r="R205" s="200"/>
      <c r="S205" s="200"/>
      <c r="T205" s="200"/>
      <c r="U205" s="200"/>
      <c r="V205" s="200"/>
      <c r="W205" s="200"/>
    </row>
    <row r="206" spans="1:23" ht="12.75">
      <c r="A206" s="201"/>
      <c r="B206" s="201"/>
      <c r="C206" s="201"/>
      <c r="D206" s="224"/>
      <c r="E206" s="201"/>
      <c r="F206" s="201"/>
      <c r="G206" s="200"/>
      <c r="H206" s="200"/>
      <c r="I206" s="200"/>
      <c r="J206" s="200"/>
      <c r="K206" s="200"/>
      <c r="L206" s="200"/>
      <c r="M206" s="200"/>
      <c r="N206" s="200"/>
      <c r="O206" s="200"/>
      <c r="P206" s="200"/>
      <c r="Q206" s="200"/>
      <c r="R206" s="200"/>
      <c r="S206" s="200"/>
      <c r="T206" s="200"/>
      <c r="U206" s="200"/>
      <c r="V206" s="200"/>
      <c r="W206" s="200"/>
    </row>
    <row r="207" spans="1:23" ht="12.75">
      <c r="A207" s="201"/>
      <c r="B207" s="201"/>
      <c r="C207" s="201"/>
      <c r="D207" s="224"/>
      <c r="E207" s="201"/>
      <c r="F207" s="201"/>
      <c r="G207" s="200"/>
      <c r="H207" s="200"/>
      <c r="I207" s="200"/>
      <c r="J207" s="200"/>
      <c r="K207" s="200"/>
      <c r="L207" s="200"/>
      <c r="M207" s="200"/>
      <c r="N207" s="200"/>
      <c r="O207" s="200"/>
      <c r="P207" s="200"/>
      <c r="Q207" s="200"/>
      <c r="R207" s="200"/>
      <c r="S207" s="200"/>
      <c r="T207" s="200"/>
      <c r="U207" s="200"/>
      <c r="V207" s="200"/>
      <c r="W207" s="200"/>
    </row>
    <row r="208" spans="1:23" ht="12.75">
      <c r="A208" s="201"/>
      <c r="B208" s="201"/>
      <c r="C208" s="201"/>
      <c r="D208" s="224"/>
      <c r="E208" s="201"/>
      <c r="F208" s="201"/>
      <c r="G208" s="200"/>
      <c r="H208" s="200"/>
      <c r="I208" s="200"/>
      <c r="J208" s="200"/>
      <c r="K208" s="200"/>
      <c r="L208" s="200"/>
      <c r="M208" s="200"/>
      <c r="N208" s="200"/>
      <c r="O208" s="200"/>
      <c r="P208" s="200"/>
      <c r="Q208" s="200"/>
      <c r="R208" s="200"/>
      <c r="S208" s="200"/>
      <c r="T208" s="200"/>
      <c r="U208" s="200"/>
      <c r="V208" s="200"/>
      <c r="W208" s="200"/>
    </row>
    <row r="209" spans="1:23" ht="12.75">
      <c r="A209" s="201"/>
      <c r="B209" s="201"/>
      <c r="C209" s="201"/>
      <c r="D209" s="224"/>
      <c r="E209" s="201"/>
      <c r="F209" s="201"/>
      <c r="G209" s="200"/>
      <c r="H209" s="200"/>
      <c r="I209" s="200"/>
      <c r="J209" s="200"/>
      <c r="K209" s="200"/>
      <c r="L209" s="200"/>
      <c r="M209" s="200"/>
      <c r="N209" s="200"/>
      <c r="O209" s="200"/>
      <c r="P209" s="200"/>
      <c r="Q209" s="200"/>
      <c r="R209" s="200"/>
      <c r="S209" s="200"/>
      <c r="T209" s="200"/>
      <c r="U209" s="200"/>
      <c r="V209" s="200"/>
      <c r="W209" s="200"/>
    </row>
    <row r="210" spans="1:23" ht="12.75">
      <c r="A210" s="201"/>
      <c r="B210" s="201"/>
      <c r="C210" s="201"/>
      <c r="D210" s="224"/>
      <c r="E210" s="201"/>
      <c r="F210" s="201"/>
      <c r="G210" s="200"/>
      <c r="H210" s="200"/>
      <c r="I210" s="200"/>
      <c r="J210" s="200"/>
      <c r="K210" s="200"/>
      <c r="L210" s="200"/>
      <c r="M210" s="200"/>
      <c r="N210" s="200"/>
      <c r="O210" s="200"/>
      <c r="P210" s="200"/>
      <c r="Q210" s="200"/>
      <c r="R210" s="200"/>
      <c r="S210" s="200"/>
      <c r="T210" s="200"/>
      <c r="U210" s="200"/>
      <c r="V210" s="200"/>
      <c r="W210" s="200"/>
    </row>
    <row r="211" spans="1:23" ht="12.75">
      <c r="A211" s="201"/>
      <c r="B211" s="201"/>
      <c r="C211" s="201"/>
      <c r="D211" s="224"/>
      <c r="E211" s="201"/>
      <c r="F211" s="201"/>
      <c r="G211" s="200"/>
      <c r="H211" s="200"/>
      <c r="I211" s="200"/>
      <c r="J211" s="200"/>
      <c r="K211" s="200"/>
      <c r="L211" s="200"/>
      <c r="M211" s="200"/>
      <c r="N211" s="200"/>
      <c r="O211" s="200"/>
      <c r="P211" s="200"/>
      <c r="Q211" s="200"/>
      <c r="R211" s="200"/>
      <c r="S211" s="200"/>
      <c r="T211" s="200"/>
      <c r="U211" s="200"/>
      <c r="V211" s="200"/>
      <c r="W211" s="200"/>
    </row>
    <row r="212" spans="1:23" ht="12.75">
      <c r="A212" s="201"/>
      <c r="B212" s="201"/>
      <c r="C212" s="201"/>
      <c r="D212" s="224"/>
      <c r="E212" s="201"/>
      <c r="F212" s="201"/>
      <c r="G212" s="200"/>
      <c r="H212" s="200"/>
      <c r="I212" s="200"/>
      <c r="J212" s="200"/>
      <c r="K212" s="200"/>
      <c r="L212" s="200"/>
      <c r="M212" s="200"/>
      <c r="N212" s="200"/>
      <c r="O212" s="200"/>
      <c r="P212" s="200"/>
      <c r="Q212" s="200"/>
      <c r="R212" s="200"/>
      <c r="S212" s="200"/>
      <c r="T212" s="200"/>
      <c r="U212" s="200"/>
      <c r="V212" s="200"/>
      <c r="W212" s="200"/>
    </row>
    <row r="213" spans="1:23" ht="12.75">
      <c r="A213" s="201"/>
      <c r="B213" s="201"/>
      <c r="C213" s="201"/>
      <c r="D213" s="224"/>
      <c r="E213" s="201"/>
      <c r="F213" s="201"/>
      <c r="G213" s="200"/>
      <c r="H213" s="200"/>
      <c r="I213" s="200"/>
      <c r="J213" s="200"/>
      <c r="K213" s="200"/>
      <c r="L213" s="200"/>
      <c r="M213" s="200"/>
      <c r="N213" s="200"/>
      <c r="O213" s="200"/>
      <c r="P213" s="200"/>
      <c r="Q213" s="200"/>
      <c r="R213" s="200"/>
      <c r="S213" s="200"/>
      <c r="T213" s="200"/>
      <c r="U213" s="200"/>
      <c r="V213" s="200"/>
      <c r="W213" s="200"/>
    </row>
    <row r="214" spans="1:23" ht="12.75">
      <c r="A214" s="201"/>
      <c r="B214" s="201"/>
      <c r="C214" s="201"/>
      <c r="D214" s="224"/>
      <c r="E214" s="201"/>
      <c r="F214" s="201"/>
      <c r="G214" s="200"/>
      <c r="H214" s="200"/>
      <c r="I214" s="200"/>
      <c r="J214" s="200"/>
      <c r="K214" s="200"/>
      <c r="L214" s="200"/>
      <c r="M214" s="200"/>
      <c r="N214" s="200"/>
      <c r="O214" s="200"/>
      <c r="P214" s="200"/>
      <c r="Q214" s="200"/>
      <c r="R214" s="200"/>
      <c r="S214" s="200"/>
      <c r="T214" s="200"/>
      <c r="U214" s="200"/>
      <c r="V214" s="200"/>
      <c r="W214" s="200"/>
    </row>
    <row r="215" spans="1:23" ht="12.75">
      <c r="A215" s="201"/>
      <c r="B215" s="201"/>
      <c r="C215" s="201"/>
      <c r="D215" s="224"/>
      <c r="E215" s="201"/>
      <c r="F215" s="201"/>
      <c r="G215" s="200"/>
      <c r="H215" s="200"/>
      <c r="I215" s="200"/>
      <c r="J215" s="200"/>
      <c r="K215" s="200"/>
      <c r="L215" s="200"/>
      <c r="M215" s="200"/>
      <c r="N215" s="200"/>
      <c r="O215" s="200"/>
      <c r="P215" s="200"/>
      <c r="Q215" s="200"/>
      <c r="R215" s="200"/>
      <c r="S215" s="200"/>
      <c r="T215" s="200"/>
      <c r="U215" s="200"/>
      <c r="V215" s="200"/>
      <c r="W215" s="200"/>
    </row>
    <row r="216" spans="1:23" ht="12.75">
      <c r="A216" s="201"/>
      <c r="B216" s="201"/>
      <c r="C216" s="201"/>
      <c r="D216" s="224"/>
      <c r="E216" s="201"/>
      <c r="F216" s="201"/>
      <c r="G216" s="200"/>
      <c r="H216" s="200"/>
      <c r="I216" s="200"/>
      <c r="J216" s="200"/>
      <c r="K216" s="200"/>
      <c r="L216" s="200"/>
      <c r="M216" s="200"/>
      <c r="N216" s="200"/>
      <c r="O216" s="200"/>
      <c r="P216" s="200"/>
      <c r="Q216" s="200"/>
      <c r="R216" s="200"/>
      <c r="S216" s="200"/>
      <c r="T216" s="200"/>
      <c r="U216" s="200"/>
      <c r="V216" s="200"/>
      <c r="W216" s="200"/>
    </row>
    <row r="217" spans="1:23" ht="12.75">
      <c r="A217" s="201"/>
      <c r="B217" s="201"/>
      <c r="C217" s="201"/>
      <c r="D217" s="224"/>
      <c r="E217" s="201"/>
      <c r="F217" s="201"/>
      <c r="G217" s="200"/>
      <c r="H217" s="200"/>
      <c r="I217" s="200"/>
      <c r="J217" s="200"/>
      <c r="K217" s="200"/>
      <c r="L217" s="200"/>
      <c r="M217" s="200"/>
      <c r="N217" s="200"/>
      <c r="O217" s="200"/>
      <c r="P217" s="200"/>
      <c r="Q217" s="200"/>
      <c r="R217" s="200"/>
      <c r="S217" s="200"/>
      <c r="T217" s="200"/>
      <c r="U217" s="200"/>
      <c r="V217" s="200"/>
      <c r="W217" s="200"/>
    </row>
    <row r="218" spans="1:23" ht="12.75">
      <c r="A218" s="201"/>
      <c r="B218" s="201"/>
      <c r="C218" s="201"/>
      <c r="D218" s="224"/>
      <c r="E218" s="201"/>
      <c r="F218" s="201"/>
      <c r="G218" s="200"/>
      <c r="H218" s="200"/>
      <c r="I218" s="200"/>
      <c r="J218" s="200"/>
      <c r="K218" s="200"/>
      <c r="L218" s="200"/>
      <c r="M218" s="200"/>
      <c r="N218" s="200"/>
      <c r="O218" s="200"/>
      <c r="P218" s="200"/>
      <c r="Q218" s="200"/>
      <c r="R218" s="200"/>
      <c r="S218" s="200"/>
      <c r="T218" s="200"/>
      <c r="U218" s="200"/>
      <c r="V218" s="200"/>
      <c r="W218" s="200"/>
    </row>
    <row r="219" spans="1:23" ht="12.75">
      <c r="A219" s="201"/>
      <c r="B219" s="201"/>
      <c r="C219" s="201"/>
      <c r="D219" s="224"/>
      <c r="E219" s="201"/>
      <c r="F219" s="201"/>
      <c r="G219" s="200"/>
      <c r="H219" s="200"/>
      <c r="I219" s="200"/>
      <c r="J219" s="200"/>
      <c r="K219" s="200"/>
      <c r="L219" s="200"/>
      <c r="M219" s="200"/>
      <c r="N219" s="200"/>
      <c r="O219" s="200"/>
      <c r="P219" s="200"/>
      <c r="Q219" s="200"/>
      <c r="R219" s="200"/>
      <c r="S219" s="200"/>
      <c r="T219" s="200"/>
      <c r="U219" s="200"/>
      <c r="V219" s="200"/>
      <c r="W219" s="200"/>
    </row>
    <row r="220" spans="1:23" ht="12.75">
      <c r="A220" s="201"/>
      <c r="B220" s="201"/>
      <c r="C220" s="201"/>
      <c r="D220" s="224"/>
      <c r="E220" s="201"/>
      <c r="F220" s="201"/>
      <c r="G220" s="200"/>
      <c r="H220" s="200"/>
      <c r="I220" s="200"/>
      <c r="J220" s="200"/>
      <c r="K220" s="200"/>
      <c r="L220" s="200"/>
      <c r="M220" s="200"/>
      <c r="N220" s="200"/>
      <c r="O220" s="200"/>
      <c r="P220" s="200"/>
      <c r="Q220" s="200"/>
      <c r="R220" s="200"/>
      <c r="S220" s="200"/>
      <c r="T220" s="200"/>
      <c r="U220" s="200"/>
      <c r="V220" s="200"/>
      <c r="W220" s="200"/>
    </row>
    <row r="221" spans="1:23" ht="12.75">
      <c r="A221" s="201"/>
      <c r="B221" s="201"/>
      <c r="C221" s="201"/>
      <c r="D221" s="224"/>
      <c r="E221" s="201"/>
      <c r="F221" s="201"/>
      <c r="G221" s="200"/>
      <c r="H221" s="200"/>
      <c r="I221" s="200"/>
      <c r="J221" s="200"/>
      <c r="K221" s="200"/>
      <c r="L221" s="200"/>
      <c r="M221" s="200"/>
      <c r="N221" s="200"/>
      <c r="O221" s="200"/>
      <c r="P221" s="200"/>
      <c r="Q221" s="200"/>
      <c r="R221" s="200"/>
      <c r="S221" s="200"/>
      <c r="T221" s="200"/>
      <c r="U221" s="200"/>
      <c r="V221" s="200"/>
      <c r="W221" s="200"/>
    </row>
    <row r="222" spans="1:23" ht="12.75">
      <c r="A222" s="201"/>
      <c r="B222" s="201"/>
      <c r="C222" s="201"/>
      <c r="D222" s="224"/>
      <c r="E222" s="201"/>
      <c r="F222" s="201"/>
      <c r="G222" s="200"/>
      <c r="H222" s="200"/>
      <c r="I222" s="200"/>
      <c r="J222" s="200"/>
      <c r="K222" s="200"/>
      <c r="L222" s="200"/>
      <c r="M222" s="200"/>
      <c r="N222" s="200"/>
      <c r="O222" s="200"/>
      <c r="P222" s="200"/>
      <c r="Q222" s="200"/>
      <c r="R222" s="200"/>
      <c r="S222" s="200"/>
      <c r="T222" s="200"/>
      <c r="U222" s="200"/>
      <c r="V222" s="200"/>
      <c r="W222" s="200"/>
    </row>
    <row r="223" spans="1:23" ht="12.75">
      <c r="A223" s="201"/>
      <c r="B223" s="201"/>
      <c r="C223" s="201"/>
      <c r="D223" s="224"/>
      <c r="E223" s="201"/>
      <c r="F223" s="201"/>
      <c r="G223" s="200"/>
      <c r="H223" s="200"/>
      <c r="I223" s="200"/>
      <c r="J223" s="200"/>
      <c r="K223" s="200"/>
      <c r="L223" s="200"/>
      <c r="M223" s="200"/>
      <c r="N223" s="200"/>
      <c r="O223" s="200"/>
      <c r="P223" s="200"/>
      <c r="Q223" s="200"/>
      <c r="R223" s="200"/>
      <c r="S223" s="200"/>
      <c r="T223" s="200"/>
      <c r="U223" s="200"/>
      <c r="V223" s="200"/>
      <c r="W223" s="200"/>
    </row>
    <row r="224" spans="1:23" ht="12.75">
      <c r="A224" s="201"/>
      <c r="B224" s="201"/>
      <c r="C224" s="201"/>
      <c r="D224" s="224"/>
      <c r="E224" s="201"/>
      <c r="F224" s="201"/>
      <c r="G224" s="200"/>
      <c r="H224" s="200"/>
      <c r="I224" s="200"/>
      <c r="J224" s="200"/>
      <c r="K224" s="200"/>
      <c r="L224" s="200"/>
      <c r="M224" s="200"/>
      <c r="N224" s="200"/>
      <c r="O224" s="200"/>
      <c r="P224" s="200"/>
      <c r="Q224" s="200"/>
      <c r="R224" s="200"/>
      <c r="S224" s="200"/>
      <c r="T224" s="200"/>
      <c r="U224" s="200"/>
      <c r="V224" s="200"/>
      <c r="W224" s="200"/>
    </row>
    <row r="225" spans="1:23" ht="12.75">
      <c r="A225" s="201"/>
      <c r="B225" s="201"/>
      <c r="C225" s="201"/>
      <c r="D225" s="224"/>
      <c r="E225" s="201"/>
      <c r="F225" s="201"/>
      <c r="G225" s="200"/>
      <c r="H225" s="200"/>
      <c r="I225" s="200"/>
      <c r="J225" s="200"/>
      <c r="K225" s="200"/>
      <c r="L225" s="200"/>
      <c r="M225" s="200"/>
      <c r="N225" s="200"/>
      <c r="O225" s="200"/>
      <c r="P225" s="200"/>
      <c r="Q225" s="200"/>
      <c r="R225" s="200"/>
      <c r="S225" s="200"/>
      <c r="T225" s="200"/>
      <c r="U225" s="200"/>
      <c r="V225" s="200"/>
      <c r="W225" s="200"/>
    </row>
    <row r="226" spans="1:23" ht="12.75">
      <c r="A226" s="201"/>
      <c r="B226" s="201"/>
      <c r="C226" s="201"/>
      <c r="D226" s="224"/>
      <c r="E226" s="201"/>
      <c r="F226" s="201"/>
      <c r="G226" s="200"/>
      <c r="H226" s="200"/>
      <c r="I226" s="200"/>
      <c r="J226" s="200"/>
      <c r="K226" s="200"/>
      <c r="L226" s="200"/>
      <c r="M226" s="200"/>
      <c r="N226" s="200"/>
      <c r="O226" s="200"/>
      <c r="P226" s="200"/>
      <c r="Q226" s="200"/>
      <c r="R226" s="200"/>
      <c r="S226" s="200"/>
      <c r="T226" s="200"/>
      <c r="U226" s="200"/>
      <c r="V226" s="200"/>
      <c r="W226" s="200"/>
    </row>
    <row r="227" spans="1:23" ht="12.75">
      <c r="A227" s="201"/>
      <c r="B227" s="201"/>
      <c r="C227" s="201"/>
      <c r="D227" s="224"/>
      <c r="E227" s="201"/>
      <c r="F227" s="201"/>
      <c r="G227" s="200"/>
      <c r="H227" s="200"/>
      <c r="I227" s="200"/>
      <c r="J227" s="200"/>
      <c r="K227" s="200"/>
      <c r="L227" s="200"/>
      <c r="M227" s="200"/>
      <c r="N227" s="200"/>
      <c r="O227" s="200"/>
      <c r="P227" s="200"/>
      <c r="Q227" s="200"/>
      <c r="R227" s="200"/>
      <c r="S227" s="200"/>
      <c r="T227" s="200"/>
      <c r="U227" s="200"/>
      <c r="V227" s="200"/>
      <c r="W227" s="200"/>
    </row>
    <row r="228" spans="1:23" ht="12.75">
      <c r="A228" s="201"/>
      <c r="B228" s="201"/>
      <c r="C228" s="201"/>
      <c r="D228" s="224"/>
      <c r="E228" s="201"/>
      <c r="F228" s="201"/>
      <c r="G228" s="200"/>
      <c r="H228" s="200"/>
      <c r="I228" s="200"/>
      <c r="J228" s="200"/>
      <c r="K228" s="200"/>
      <c r="L228" s="200"/>
      <c r="M228" s="200"/>
      <c r="N228" s="200"/>
      <c r="O228" s="200"/>
      <c r="P228" s="200"/>
      <c r="Q228" s="200"/>
      <c r="R228" s="200"/>
      <c r="S228" s="200"/>
      <c r="T228" s="200"/>
      <c r="U228" s="200"/>
      <c r="V228" s="200"/>
      <c r="W228" s="200"/>
    </row>
    <row r="229" spans="1:23" ht="12.75">
      <c r="A229" s="201"/>
      <c r="B229" s="201"/>
      <c r="C229" s="201"/>
      <c r="D229" s="224"/>
      <c r="E229" s="201"/>
      <c r="F229" s="201"/>
      <c r="G229" s="200"/>
      <c r="H229" s="200"/>
      <c r="I229" s="200"/>
      <c r="J229" s="200"/>
      <c r="K229" s="200"/>
      <c r="L229" s="200"/>
      <c r="M229" s="200"/>
      <c r="N229" s="200"/>
      <c r="O229" s="200"/>
      <c r="P229" s="200"/>
      <c r="Q229" s="200"/>
      <c r="R229" s="200"/>
      <c r="S229" s="200"/>
      <c r="T229" s="200"/>
      <c r="U229" s="200"/>
      <c r="V229" s="200"/>
      <c r="W229" s="200"/>
    </row>
    <row r="230" spans="1:23" ht="12.75">
      <c r="A230" s="201"/>
      <c r="B230" s="201"/>
      <c r="C230" s="201"/>
      <c r="D230" s="224"/>
      <c r="E230" s="201"/>
      <c r="F230" s="201"/>
      <c r="G230" s="200"/>
      <c r="H230" s="200"/>
      <c r="I230" s="200"/>
      <c r="J230" s="200"/>
      <c r="K230" s="200"/>
      <c r="L230" s="200"/>
      <c r="M230" s="200"/>
      <c r="N230" s="200"/>
      <c r="O230" s="200"/>
      <c r="P230" s="200"/>
      <c r="Q230" s="200"/>
      <c r="R230" s="200"/>
      <c r="S230" s="200"/>
      <c r="T230" s="200"/>
      <c r="U230" s="200"/>
      <c r="V230" s="200"/>
      <c r="W230" s="200"/>
    </row>
    <row r="231" spans="1:23" ht="12.75">
      <c r="A231" s="201"/>
      <c r="B231" s="201"/>
      <c r="C231" s="201"/>
      <c r="D231" s="224"/>
      <c r="E231" s="201"/>
      <c r="F231" s="201"/>
      <c r="G231" s="200"/>
      <c r="H231" s="200"/>
      <c r="I231" s="200"/>
      <c r="J231" s="200"/>
      <c r="K231" s="200"/>
      <c r="L231" s="200"/>
      <c r="M231" s="200"/>
      <c r="N231" s="200"/>
      <c r="O231" s="200"/>
      <c r="P231" s="200"/>
      <c r="Q231" s="200"/>
      <c r="R231" s="200"/>
      <c r="S231" s="200"/>
      <c r="T231" s="200"/>
      <c r="U231" s="200"/>
      <c r="V231" s="200"/>
      <c r="W231" s="200"/>
    </row>
    <row r="232" spans="1:23" ht="12.75">
      <c r="A232" s="201"/>
      <c r="B232" s="201"/>
      <c r="C232" s="201"/>
      <c r="D232" s="224"/>
      <c r="E232" s="201"/>
      <c r="F232" s="201"/>
      <c r="G232" s="200"/>
      <c r="H232" s="200"/>
      <c r="I232" s="200"/>
      <c r="J232" s="200"/>
      <c r="K232" s="200"/>
      <c r="L232" s="200"/>
      <c r="M232" s="200"/>
      <c r="N232" s="200"/>
      <c r="O232" s="200"/>
      <c r="P232" s="200"/>
      <c r="Q232" s="200"/>
      <c r="R232" s="200"/>
      <c r="S232" s="200"/>
      <c r="T232" s="200"/>
      <c r="U232" s="200"/>
      <c r="V232" s="200"/>
      <c r="W232" s="200"/>
    </row>
    <row r="233" spans="1:23" ht="12.75">
      <c r="A233" s="201"/>
      <c r="B233" s="201"/>
      <c r="C233" s="201"/>
      <c r="D233" s="224"/>
      <c r="E233" s="201"/>
      <c r="F233" s="201"/>
      <c r="G233" s="200"/>
      <c r="H233" s="200"/>
      <c r="I233" s="200"/>
      <c r="J233" s="200"/>
      <c r="K233" s="200"/>
      <c r="L233" s="200"/>
      <c r="M233" s="200"/>
      <c r="N233" s="200"/>
      <c r="O233" s="200"/>
      <c r="P233" s="200"/>
      <c r="Q233" s="200"/>
      <c r="R233" s="200"/>
      <c r="S233" s="200"/>
      <c r="T233" s="200"/>
      <c r="U233" s="200"/>
      <c r="V233" s="200"/>
      <c r="W233" s="200"/>
    </row>
    <row r="234" spans="1:23" ht="12.75">
      <c r="A234" s="201"/>
      <c r="B234" s="201"/>
      <c r="C234" s="201"/>
      <c r="D234" s="224"/>
      <c r="E234" s="201"/>
      <c r="F234" s="201"/>
      <c r="G234" s="200"/>
      <c r="H234" s="200"/>
      <c r="I234" s="200"/>
      <c r="J234" s="200"/>
      <c r="K234" s="200"/>
      <c r="L234" s="200"/>
      <c r="M234" s="200"/>
      <c r="N234" s="200"/>
      <c r="O234" s="200"/>
      <c r="P234" s="200"/>
      <c r="Q234" s="200"/>
      <c r="R234" s="200"/>
      <c r="S234" s="200"/>
      <c r="T234" s="200"/>
      <c r="U234" s="200"/>
      <c r="V234" s="200"/>
      <c r="W234" s="200"/>
    </row>
    <row r="235" spans="1:23" ht="12.75">
      <c r="A235" s="201"/>
      <c r="B235" s="201"/>
      <c r="C235" s="201"/>
      <c r="D235" s="224"/>
      <c r="E235" s="201"/>
      <c r="F235" s="201"/>
      <c r="G235" s="200"/>
      <c r="H235" s="200"/>
      <c r="I235" s="200"/>
      <c r="J235" s="200"/>
      <c r="K235" s="200"/>
      <c r="L235" s="200"/>
      <c r="M235" s="200"/>
      <c r="N235" s="200"/>
      <c r="O235" s="200"/>
      <c r="P235" s="200"/>
      <c r="Q235" s="200"/>
      <c r="R235" s="200"/>
      <c r="S235" s="200"/>
      <c r="T235" s="200"/>
      <c r="U235" s="200"/>
      <c r="V235" s="200"/>
      <c r="W235" s="200"/>
    </row>
    <row r="236" spans="1:23" ht="12.75">
      <c r="A236" s="201"/>
      <c r="B236" s="201"/>
      <c r="C236" s="201"/>
      <c r="D236" s="224"/>
      <c r="E236" s="201"/>
      <c r="F236" s="201"/>
      <c r="G236" s="200"/>
      <c r="H236" s="200"/>
      <c r="I236" s="200"/>
      <c r="J236" s="200"/>
      <c r="K236" s="200"/>
      <c r="L236" s="200"/>
      <c r="M236" s="200"/>
      <c r="N236" s="200"/>
      <c r="O236" s="200"/>
      <c r="P236" s="200"/>
      <c r="Q236" s="200"/>
      <c r="R236" s="200"/>
      <c r="S236" s="200"/>
      <c r="T236" s="200"/>
      <c r="U236" s="200"/>
      <c r="V236" s="200"/>
      <c r="W236" s="200"/>
    </row>
    <row r="237" spans="1:23" ht="12.75">
      <c r="A237" s="201"/>
      <c r="B237" s="201"/>
      <c r="C237" s="201"/>
      <c r="D237" s="224"/>
      <c r="E237" s="201"/>
      <c r="F237" s="201"/>
      <c r="G237" s="200"/>
      <c r="H237" s="200"/>
      <c r="I237" s="200"/>
      <c r="J237" s="200"/>
      <c r="K237" s="200"/>
      <c r="L237" s="200"/>
      <c r="M237" s="200"/>
      <c r="N237" s="200"/>
      <c r="O237" s="200"/>
      <c r="P237" s="200"/>
      <c r="Q237" s="200"/>
      <c r="R237" s="200"/>
      <c r="S237" s="200"/>
      <c r="T237" s="200"/>
      <c r="U237" s="200"/>
      <c r="V237" s="200"/>
      <c r="W237" s="200"/>
    </row>
    <row r="238" spans="1:23" ht="12.75">
      <c r="A238" s="201"/>
      <c r="B238" s="201"/>
      <c r="C238" s="201"/>
      <c r="D238" s="224"/>
      <c r="E238" s="201"/>
      <c r="F238" s="201"/>
      <c r="G238" s="200"/>
      <c r="H238" s="200"/>
      <c r="I238" s="200"/>
      <c r="J238" s="200"/>
      <c r="K238" s="200"/>
      <c r="L238" s="200"/>
      <c r="M238" s="200"/>
      <c r="N238" s="200"/>
      <c r="O238" s="200"/>
      <c r="P238" s="200"/>
      <c r="Q238" s="200"/>
      <c r="R238" s="200"/>
      <c r="S238" s="200"/>
      <c r="T238" s="200"/>
      <c r="U238" s="200"/>
      <c r="V238" s="200"/>
      <c r="W238" s="200"/>
    </row>
    <row r="239" spans="1:23" ht="12.75">
      <c r="A239" s="201"/>
      <c r="B239" s="201"/>
      <c r="C239" s="201"/>
      <c r="D239" s="224"/>
      <c r="E239" s="201"/>
      <c r="F239" s="201"/>
      <c r="G239" s="200"/>
      <c r="H239" s="200"/>
      <c r="I239" s="200"/>
      <c r="J239" s="200"/>
      <c r="K239" s="200"/>
      <c r="L239" s="200"/>
      <c r="M239" s="200"/>
      <c r="N239" s="200"/>
      <c r="O239" s="200"/>
      <c r="P239" s="200"/>
      <c r="Q239" s="200"/>
      <c r="R239" s="200"/>
      <c r="S239" s="200"/>
      <c r="T239" s="200"/>
      <c r="U239" s="200"/>
      <c r="V239" s="200"/>
      <c r="W239" s="200"/>
    </row>
    <row r="240" spans="1:23" ht="12.75">
      <c r="A240" s="201"/>
      <c r="B240" s="201"/>
      <c r="C240" s="201"/>
      <c r="D240" s="224"/>
      <c r="E240" s="201"/>
      <c r="F240" s="201"/>
      <c r="G240" s="200"/>
      <c r="H240" s="200"/>
      <c r="I240" s="200"/>
      <c r="J240" s="200"/>
      <c r="K240" s="200"/>
      <c r="L240" s="200"/>
      <c r="M240" s="200"/>
      <c r="N240" s="200"/>
      <c r="O240" s="200"/>
      <c r="P240" s="200"/>
      <c r="Q240" s="200"/>
      <c r="R240" s="200"/>
      <c r="S240" s="200"/>
      <c r="T240" s="200"/>
      <c r="U240" s="200"/>
      <c r="V240" s="200"/>
      <c r="W240" s="200"/>
    </row>
    <row r="241" spans="1:23" ht="12.75">
      <c r="A241" s="201"/>
      <c r="B241" s="201"/>
      <c r="C241" s="201"/>
      <c r="D241" s="224"/>
      <c r="E241" s="201"/>
      <c r="F241" s="201"/>
      <c r="G241" s="200"/>
      <c r="H241" s="200"/>
      <c r="I241" s="200"/>
      <c r="J241" s="200"/>
      <c r="K241" s="200"/>
      <c r="L241" s="200"/>
      <c r="M241" s="200"/>
      <c r="N241" s="200"/>
      <c r="O241" s="200"/>
      <c r="P241" s="200"/>
      <c r="Q241" s="200"/>
      <c r="R241" s="200"/>
      <c r="S241" s="200"/>
      <c r="T241" s="200"/>
      <c r="U241" s="200"/>
      <c r="V241" s="200"/>
      <c r="W241" s="200"/>
    </row>
    <row r="242" spans="1:23" ht="12.75">
      <c r="A242" s="201"/>
      <c r="B242" s="201"/>
      <c r="C242" s="201"/>
      <c r="D242" s="224"/>
      <c r="E242" s="201"/>
      <c r="F242" s="201"/>
      <c r="G242" s="200"/>
      <c r="H242" s="200"/>
      <c r="I242" s="200"/>
      <c r="J242" s="200"/>
      <c r="K242" s="200"/>
      <c r="L242" s="200"/>
      <c r="M242" s="200"/>
      <c r="N242" s="200"/>
      <c r="O242" s="200"/>
      <c r="P242" s="200"/>
      <c r="Q242" s="200"/>
      <c r="R242" s="200"/>
      <c r="S242" s="200"/>
      <c r="T242" s="200"/>
      <c r="U242" s="200"/>
      <c r="V242" s="200"/>
      <c r="W242" s="200"/>
    </row>
    <row r="243" spans="1:23" ht="12.75">
      <c r="A243" s="201"/>
      <c r="B243" s="201"/>
      <c r="C243" s="201"/>
      <c r="D243" s="224"/>
      <c r="E243" s="201"/>
      <c r="F243" s="201"/>
      <c r="G243" s="200"/>
      <c r="H243" s="200"/>
      <c r="I243" s="200"/>
      <c r="J243" s="200"/>
      <c r="K243" s="200"/>
      <c r="L243" s="200"/>
      <c r="M243" s="200"/>
      <c r="N243" s="200"/>
      <c r="O243" s="200"/>
      <c r="P243" s="200"/>
      <c r="Q243" s="200"/>
      <c r="R243" s="200"/>
      <c r="S243" s="200"/>
      <c r="T243" s="200"/>
      <c r="U243" s="200"/>
      <c r="V243" s="200"/>
      <c r="W243" s="200"/>
    </row>
    <row r="244" spans="1:23" ht="12.75">
      <c r="A244" s="201"/>
      <c r="B244" s="201"/>
      <c r="C244" s="201"/>
      <c r="D244" s="224"/>
      <c r="E244" s="201"/>
      <c r="F244" s="201"/>
      <c r="G244" s="200"/>
      <c r="H244" s="200"/>
      <c r="I244" s="200"/>
      <c r="J244" s="200"/>
      <c r="K244" s="200"/>
      <c r="L244" s="200"/>
      <c r="M244" s="200"/>
      <c r="N244" s="200"/>
      <c r="O244" s="200"/>
      <c r="P244" s="200"/>
      <c r="Q244" s="200"/>
      <c r="R244" s="200"/>
      <c r="S244" s="200"/>
      <c r="T244" s="200"/>
      <c r="U244" s="200"/>
      <c r="V244" s="200"/>
      <c r="W244" s="200"/>
    </row>
    <row r="245" spans="1:23" ht="12.75">
      <c r="A245" s="201"/>
      <c r="B245" s="201"/>
      <c r="C245" s="201"/>
      <c r="D245" s="224"/>
      <c r="E245" s="201"/>
      <c r="F245" s="201"/>
      <c r="G245" s="200"/>
      <c r="H245" s="200"/>
      <c r="I245" s="200"/>
      <c r="J245" s="200"/>
      <c r="K245" s="200"/>
      <c r="L245" s="200"/>
      <c r="M245" s="200"/>
      <c r="N245" s="200"/>
      <c r="O245" s="200"/>
      <c r="P245" s="200"/>
      <c r="Q245" s="200"/>
      <c r="R245" s="200"/>
      <c r="S245" s="200"/>
      <c r="T245" s="200"/>
      <c r="U245" s="200"/>
      <c r="V245" s="200"/>
      <c r="W245" s="200"/>
    </row>
    <row r="246" spans="1:23" ht="12.75">
      <c r="A246" s="201"/>
      <c r="B246" s="201"/>
      <c r="C246" s="201"/>
      <c r="D246" s="224"/>
      <c r="E246" s="201"/>
      <c r="F246" s="201"/>
      <c r="G246" s="200"/>
      <c r="H246" s="200"/>
      <c r="I246" s="200"/>
      <c r="J246" s="200"/>
      <c r="K246" s="200"/>
      <c r="L246" s="200"/>
      <c r="M246" s="200"/>
      <c r="N246" s="200"/>
      <c r="O246" s="200"/>
      <c r="P246" s="200"/>
      <c r="Q246" s="200"/>
      <c r="R246" s="200"/>
      <c r="S246" s="200"/>
      <c r="T246" s="200"/>
      <c r="U246" s="200"/>
      <c r="V246" s="200"/>
      <c r="W246" s="200"/>
    </row>
    <row r="247" spans="1:23" ht="12.75">
      <c r="A247" s="201"/>
      <c r="B247" s="201"/>
      <c r="C247" s="201"/>
      <c r="D247" s="224"/>
      <c r="E247" s="201"/>
      <c r="F247" s="201"/>
      <c r="G247" s="200"/>
      <c r="H247" s="200"/>
      <c r="I247" s="200"/>
      <c r="J247" s="200"/>
      <c r="K247" s="200"/>
      <c r="L247" s="200"/>
      <c r="M247" s="200"/>
      <c r="N247" s="200"/>
      <c r="O247" s="200"/>
      <c r="P247" s="200"/>
      <c r="Q247" s="200"/>
      <c r="R247" s="200"/>
      <c r="S247" s="200"/>
      <c r="T247" s="200"/>
      <c r="U247" s="200"/>
      <c r="V247" s="200"/>
      <c r="W247" s="200"/>
    </row>
    <row r="248" spans="1:23" ht="12.75">
      <c r="A248" s="201"/>
      <c r="B248" s="201"/>
      <c r="C248" s="201"/>
      <c r="D248" s="224"/>
      <c r="E248" s="201"/>
      <c r="F248" s="201"/>
      <c r="G248" s="200"/>
      <c r="H248" s="200"/>
      <c r="I248" s="200"/>
      <c r="J248" s="200"/>
      <c r="K248" s="200"/>
      <c r="L248" s="200"/>
      <c r="M248" s="200"/>
      <c r="N248" s="200"/>
      <c r="O248" s="200"/>
      <c r="P248" s="200"/>
      <c r="Q248" s="200"/>
      <c r="R248" s="200"/>
      <c r="S248" s="200"/>
      <c r="T248" s="200"/>
      <c r="U248" s="200"/>
      <c r="V248" s="200"/>
      <c r="W248" s="200"/>
    </row>
    <row r="249" spans="1:23" ht="12.75">
      <c r="A249" s="201"/>
      <c r="B249" s="201"/>
      <c r="C249" s="201"/>
      <c r="D249" s="224"/>
      <c r="E249" s="201"/>
      <c r="F249" s="201"/>
      <c r="G249" s="200"/>
      <c r="H249" s="200"/>
      <c r="I249" s="200"/>
      <c r="J249" s="200"/>
      <c r="K249" s="200"/>
      <c r="L249" s="200"/>
      <c r="M249" s="200"/>
      <c r="N249" s="200"/>
      <c r="O249" s="200"/>
      <c r="P249" s="200"/>
      <c r="Q249" s="200"/>
      <c r="R249" s="200"/>
      <c r="S249" s="200"/>
      <c r="T249" s="200"/>
      <c r="U249" s="200"/>
      <c r="V249" s="200"/>
      <c r="W249" s="200"/>
    </row>
    <row r="250" spans="1:23" ht="12.75">
      <c r="A250" s="201"/>
      <c r="B250" s="201"/>
      <c r="C250" s="201"/>
      <c r="D250" s="224"/>
      <c r="E250" s="201"/>
      <c r="F250" s="201"/>
      <c r="G250" s="200"/>
      <c r="H250" s="200"/>
      <c r="I250" s="200"/>
      <c r="J250" s="200"/>
      <c r="K250" s="200"/>
      <c r="L250" s="200"/>
      <c r="M250" s="200"/>
      <c r="N250" s="200"/>
      <c r="O250" s="200"/>
      <c r="P250" s="200"/>
      <c r="Q250" s="200"/>
      <c r="R250" s="200"/>
      <c r="S250" s="200"/>
      <c r="T250" s="200"/>
      <c r="U250" s="200"/>
      <c r="V250" s="200"/>
      <c r="W250" s="200"/>
    </row>
    <row r="251" spans="1:23" ht="12.75">
      <c r="A251" s="201"/>
      <c r="B251" s="201"/>
      <c r="C251" s="201"/>
      <c r="D251" s="224"/>
      <c r="E251" s="201"/>
      <c r="F251" s="201"/>
      <c r="G251" s="200"/>
      <c r="H251" s="200"/>
      <c r="I251" s="200"/>
      <c r="J251" s="200"/>
      <c r="K251" s="200"/>
      <c r="L251" s="200"/>
      <c r="M251" s="200"/>
      <c r="N251" s="200"/>
      <c r="O251" s="200"/>
      <c r="P251" s="200"/>
      <c r="Q251" s="200"/>
      <c r="R251" s="200"/>
      <c r="S251" s="200"/>
      <c r="T251" s="200"/>
      <c r="U251" s="200"/>
      <c r="V251" s="200"/>
      <c r="W251" s="200"/>
    </row>
    <row r="252" spans="1:23" ht="12.75">
      <c r="A252" s="201"/>
      <c r="B252" s="201"/>
      <c r="C252" s="201"/>
      <c r="D252" s="224"/>
      <c r="E252" s="201"/>
      <c r="F252" s="201"/>
      <c r="G252" s="200"/>
      <c r="H252" s="200"/>
      <c r="I252" s="200"/>
      <c r="J252" s="200"/>
      <c r="K252" s="200"/>
      <c r="L252" s="200"/>
      <c r="M252" s="200"/>
      <c r="N252" s="200"/>
      <c r="O252" s="200"/>
      <c r="P252" s="200"/>
      <c r="Q252" s="200"/>
      <c r="R252" s="200"/>
      <c r="S252" s="200"/>
      <c r="T252" s="200"/>
      <c r="U252" s="200"/>
      <c r="V252" s="200"/>
      <c r="W252" s="200"/>
    </row>
    <row r="253" spans="1:23" ht="12.75">
      <c r="A253" s="201"/>
      <c r="B253" s="201"/>
      <c r="C253" s="201"/>
      <c r="D253" s="224"/>
      <c r="E253" s="201"/>
      <c r="F253" s="201"/>
      <c r="G253" s="200"/>
      <c r="H253" s="200"/>
      <c r="I253" s="200"/>
      <c r="J253" s="200"/>
      <c r="K253" s="200"/>
      <c r="L253" s="200"/>
      <c r="M253" s="200"/>
      <c r="N253" s="200"/>
      <c r="O253" s="200"/>
      <c r="P253" s="200"/>
      <c r="Q253" s="200"/>
      <c r="R253" s="200"/>
      <c r="S253" s="200"/>
      <c r="T253" s="200"/>
      <c r="U253" s="200"/>
      <c r="V253" s="200"/>
      <c r="W253" s="200"/>
    </row>
    <row r="254" spans="1:23" ht="12.75">
      <c r="A254" s="201"/>
      <c r="B254" s="201"/>
      <c r="C254" s="201"/>
      <c r="D254" s="224"/>
      <c r="E254" s="201"/>
      <c r="F254" s="201"/>
      <c r="G254" s="200"/>
      <c r="H254" s="200"/>
      <c r="I254" s="200"/>
      <c r="J254" s="200"/>
      <c r="K254" s="200"/>
      <c r="L254" s="200"/>
      <c r="M254" s="200"/>
      <c r="N254" s="200"/>
      <c r="O254" s="200"/>
      <c r="P254" s="200"/>
      <c r="Q254" s="200"/>
      <c r="R254" s="200"/>
      <c r="S254" s="200"/>
      <c r="T254" s="200"/>
      <c r="U254" s="200"/>
      <c r="V254" s="200"/>
      <c r="W254" s="200"/>
    </row>
    <row r="255" spans="1:23" ht="12.75">
      <c r="A255" s="201"/>
      <c r="B255" s="201"/>
      <c r="C255" s="201"/>
      <c r="D255" s="224"/>
      <c r="E255" s="201"/>
      <c r="F255" s="201"/>
      <c r="G255" s="200"/>
      <c r="H255" s="200"/>
      <c r="I255" s="200"/>
      <c r="J255" s="200"/>
      <c r="K255" s="200"/>
      <c r="L255" s="200"/>
      <c r="M255" s="200"/>
      <c r="N255" s="200"/>
      <c r="O255" s="200"/>
      <c r="P255" s="200"/>
      <c r="Q255" s="200"/>
      <c r="R255" s="200"/>
      <c r="S255" s="200"/>
      <c r="T255" s="200"/>
      <c r="U255" s="200"/>
      <c r="V255" s="200"/>
      <c r="W255" s="200"/>
    </row>
    <row r="256" spans="1:23" ht="12.75">
      <c r="A256" s="201"/>
      <c r="B256" s="201"/>
      <c r="C256" s="201"/>
      <c r="D256" s="224"/>
      <c r="E256" s="201"/>
      <c r="F256" s="201"/>
      <c r="G256" s="200"/>
      <c r="H256" s="200"/>
      <c r="I256" s="200"/>
      <c r="J256" s="200"/>
      <c r="K256" s="200"/>
      <c r="L256" s="200"/>
      <c r="M256" s="200"/>
      <c r="N256" s="200"/>
      <c r="O256" s="200"/>
      <c r="P256" s="200"/>
      <c r="Q256" s="200"/>
      <c r="R256" s="200"/>
      <c r="S256" s="200"/>
      <c r="T256" s="200"/>
      <c r="U256" s="200"/>
      <c r="V256" s="200"/>
      <c r="W256" s="200"/>
    </row>
    <row r="257" spans="1:23" ht="12.75">
      <c r="A257" s="201"/>
      <c r="B257" s="201"/>
      <c r="C257" s="201"/>
      <c r="D257" s="224"/>
      <c r="E257" s="201"/>
      <c r="F257" s="201"/>
      <c r="G257" s="200"/>
      <c r="H257" s="200"/>
      <c r="I257" s="200"/>
      <c r="J257" s="200"/>
      <c r="K257" s="200"/>
      <c r="L257" s="200"/>
      <c r="M257" s="200"/>
      <c r="N257" s="200"/>
      <c r="O257" s="200"/>
      <c r="P257" s="200"/>
      <c r="Q257" s="200"/>
      <c r="R257" s="200"/>
      <c r="S257" s="200"/>
      <c r="T257" s="200"/>
      <c r="U257" s="200"/>
      <c r="V257" s="200"/>
      <c r="W257" s="200"/>
    </row>
    <row r="258" spans="1:23" ht="12.75">
      <c r="A258" s="201"/>
      <c r="B258" s="201"/>
      <c r="C258" s="201"/>
      <c r="D258" s="224"/>
      <c r="E258" s="201"/>
      <c r="F258" s="201"/>
      <c r="G258" s="200"/>
      <c r="H258" s="200"/>
      <c r="I258" s="200"/>
      <c r="J258" s="200"/>
      <c r="K258" s="200"/>
      <c r="L258" s="200"/>
      <c r="M258" s="200"/>
      <c r="N258" s="200"/>
      <c r="O258" s="200"/>
      <c r="P258" s="200"/>
      <c r="Q258" s="200"/>
      <c r="R258" s="200"/>
      <c r="S258" s="200"/>
      <c r="T258" s="200"/>
      <c r="U258" s="200"/>
      <c r="V258" s="200"/>
      <c r="W258" s="200"/>
    </row>
    <row r="259" spans="1:23" ht="12.75">
      <c r="A259" s="201"/>
      <c r="B259" s="201"/>
      <c r="C259" s="201"/>
      <c r="D259" s="224"/>
      <c r="E259" s="201"/>
      <c r="F259" s="201"/>
      <c r="G259" s="200"/>
      <c r="H259" s="200"/>
      <c r="I259" s="200"/>
      <c r="J259" s="200"/>
      <c r="K259" s="200"/>
      <c r="L259" s="200"/>
      <c r="M259" s="200"/>
      <c r="N259" s="200"/>
      <c r="O259" s="200"/>
      <c r="P259" s="200"/>
      <c r="Q259" s="200"/>
      <c r="R259" s="200"/>
      <c r="S259" s="200"/>
      <c r="T259" s="200"/>
      <c r="U259" s="200"/>
      <c r="V259" s="200"/>
      <c r="W259" s="200"/>
    </row>
    <row r="260" spans="1:23" ht="12.75">
      <c r="A260" s="201"/>
      <c r="B260" s="201"/>
      <c r="C260" s="201"/>
      <c r="D260" s="224"/>
      <c r="E260" s="201"/>
      <c r="F260" s="201"/>
      <c r="G260" s="200"/>
      <c r="H260" s="200"/>
      <c r="I260" s="200"/>
      <c r="J260" s="200"/>
      <c r="K260" s="200"/>
      <c r="L260" s="200"/>
      <c r="M260" s="200"/>
      <c r="N260" s="200"/>
      <c r="O260" s="200"/>
      <c r="P260" s="200"/>
      <c r="Q260" s="200"/>
      <c r="R260" s="200"/>
      <c r="S260" s="200"/>
      <c r="T260" s="200"/>
      <c r="U260" s="200"/>
      <c r="V260" s="200"/>
      <c r="W260" s="200"/>
    </row>
    <row r="261" spans="1:23" ht="12.75">
      <c r="A261" s="201"/>
      <c r="B261" s="201"/>
      <c r="C261" s="201"/>
      <c r="D261" s="224"/>
      <c r="E261" s="201"/>
      <c r="F261" s="201"/>
      <c r="G261" s="200"/>
      <c r="H261" s="200"/>
      <c r="I261" s="200"/>
      <c r="J261" s="200"/>
      <c r="K261" s="200"/>
      <c r="L261" s="200"/>
      <c r="M261" s="200"/>
      <c r="N261" s="200"/>
      <c r="O261" s="200"/>
      <c r="P261" s="200"/>
      <c r="Q261" s="200"/>
      <c r="R261" s="200"/>
      <c r="S261" s="200"/>
      <c r="T261" s="200"/>
      <c r="U261" s="200"/>
      <c r="V261" s="200"/>
      <c r="W261" s="200"/>
    </row>
    <row r="262" spans="1:23" ht="12.75">
      <c r="A262" s="201"/>
      <c r="B262" s="201"/>
      <c r="C262" s="201"/>
      <c r="D262" s="224"/>
      <c r="E262" s="201"/>
      <c r="F262" s="201"/>
      <c r="G262" s="200"/>
      <c r="H262" s="200"/>
      <c r="I262" s="200"/>
      <c r="J262" s="200"/>
      <c r="K262" s="200"/>
      <c r="L262" s="200"/>
      <c r="M262" s="200"/>
      <c r="N262" s="200"/>
      <c r="O262" s="200"/>
      <c r="P262" s="200"/>
      <c r="Q262" s="200"/>
      <c r="R262" s="200"/>
      <c r="S262" s="200"/>
      <c r="T262" s="200"/>
      <c r="U262" s="200"/>
      <c r="V262" s="200"/>
      <c r="W262" s="200"/>
    </row>
    <row r="263" spans="1:23" ht="12.75">
      <c r="A263" s="201"/>
      <c r="B263" s="201"/>
      <c r="C263" s="201"/>
      <c r="D263" s="224"/>
      <c r="E263" s="201"/>
      <c r="F263" s="201"/>
      <c r="G263" s="200"/>
      <c r="H263" s="200"/>
      <c r="I263" s="200"/>
      <c r="J263" s="200"/>
      <c r="K263" s="200"/>
      <c r="L263" s="200"/>
      <c r="M263" s="200"/>
      <c r="N263" s="200"/>
      <c r="O263" s="200"/>
      <c r="P263" s="200"/>
      <c r="Q263" s="200"/>
      <c r="R263" s="200"/>
      <c r="S263" s="200"/>
      <c r="T263" s="200"/>
      <c r="U263" s="200"/>
      <c r="V263" s="200"/>
      <c r="W263" s="200"/>
    </row>
    <row r="264" spans="1:23" ht="12.75">
      <c r="A264" s="201"/>
      <c r="B264" s="201"/>
      <c r="C264" s="201"/>
      <c r="D264" s="224"/>
      <c r="E264" s="201"/>
      <c r="F264" s="201"/>
      <c r="G264" s="200"/>
      <c r="H264" s="200"/>
      <c r="I264" s="200"/>
      <c r="J264" s="200"/>
      <c r="K264" s="200"/>
      <c r="L264" s="200"/>
      <c r="M264" s="200"/>
      <c r="N264" s="200"/>
      <c r="O264" s="200"/>
      <c r="P264" s="200"/>
      <c r="Q264" s="200"/>
      <c r="R264" s="200"/>
      <c r="S264" s="200"/>
      <c r="T264" s="200"/>
      <c r="U264" s="200"/>
      <c r="V264" s="200"/>
      <c r="W264" s="200"/>
    </row>
    <row r="265" spans="1:23" ht="12.75">
      <c r="A265" s="201"/>
      <c r="B265" s="201"/>
      <c r="C265" s="201"/>
      <c r="D265" s="224"/>
      <c r="E265" s="201"/>
      <c r="F265" s="201"/>
      <c r="G265" s="200"/>
      <c r="H265" s="200"/>
      <c r="I265" s="200"/>
      <c r="J265" s="200"/>
      <c r="K265" s="200"/>
      <c r="L265" s="200"/>
      <c r="M265" s="200"/>
      <c r="N265" s="200"/>
      <c r="O265" s="200"/>
      <c r="P265" s="200"/>
      <c r="Q265" s="200"/>
      <c r="R265" s="200"/>
      <c r="S265" s="200"/>
      <c r="T265" s="200"/>
      <c r="U265" s="200"/>
      <c r="V265" s="200"/>
      <c r="W265" s="200"/>
    </row>
    <row r="266" spans="1:23" ht="12.75">
      <c r="A266" s="201"/>
      <c r="B266" s="201"/>
      <c r="C266" s="201"/>
      <c r="D266" s="224"/>
      <c r="E266" s="201"/>
      <c r="F266" s="201"/>
      <c r="G266" s="200"/>
      <c r="H266" s="200"/>
      <c r="I266" s="200"/>
      <c r="J266" s="200"/>
      <c r="K266" s="200"/>
      <c r="L266" s="200"/>
      <c r="M266" s="200"/>
      <c r="N266" s="200"/>
      <c r="O266" s="200"/>
      <c r="P266" s="200"/>
      <c r="Q266" s="200"/>
      <c r="R266" s="200"/>
      <c r="S266" s="200"/>
      <c r="T266" s="200"/>
      <c r="U266" s="200"/>
      <c r="V266" s="200"/>
      <c r="W266" s="200"/>
    </row>
    <row r="267" spans="1:23" ht="12.75">
      <c r="A267" s="201"/>
      <c r="B267" s="201"/>
      <c r="C267" s="201"/>
      <c r="D267" s="224"/>
      <c r="E267" s="201"/>
      <c r="F267" s="201"/>
      <c r="G267" s="200"/>
      <c r="H267" s="200"/>
      <c r="I267" s="200"/>
      <c r="J267" s="200"/>
      <c r="K267" s="200"/>
      <c r="L267" s="200"/>
      <c r="M267" s="200"/>
      <c r="N267" s="200"/>
      <c r="O267" s="200"/>
      <c r="P267" s="200"/>
      <c r="Q267" s="200"/>
      <c r="R267" s="200"/>
      <c r="S267" s="200"/>
      <c r="T267" s="200"/>
      <c r="U267" s="200"/>
      <c r="V267" s="200"/>
      <c r="W267" s="200"/>
    </row>
    <row r="268" spans="1:23" ht="12.75">
      <c r="A268" s="201"/>
      <c r="B268" s="201"/>
      <c r="C268" s="201"/>
      <c r="D268" s="224"/>
      <c r="E268" s="201"/>
      <c r="F268" s="201"/>
      <c r="G268" s="200"/>
      <c r="H268" s="200"/>
      <c r="I268" s="200"/>
      <c r="J268" s="200"/>
      <c r="K268" s="200"/>
      <c r="L268" s="200"/>
      <c r="M268" s="200"/>
      <c r="N268" s="200"/>
      <c r="O268" s="200"/>
      <c r="P268" s="200"/>
      <c r="Q268" s="200"/>
      <c r="R268" s="200"/>
      <c r="S268" s="200"/>
      <c r="T268" s="200"/>
      <c r="U268" s="200"/>
      <c r="V268" s="200"/>
      <c r="W268" s="200"/>
    </row>
    <row r="269" spans="1:23" ht="12.75">
      <c r="A269" s="201"/>
      <c r="B269" s="201"/>
      <c r="C269" s="201"/>
      <c r="D269" s="224"/>
      <c r="E269" s="201"/>
      <c r="F269" s="201"/>
      <c r="G269" s="200"/>
      <c r="H269" s="200"/>
      <c r="I269" s="200"/>
      <c r="J269" s="200"/>
      <c r="K269" s="200"/>
      <c r="L269" s="200"/>
      <c r="M269" s="200"/>
      <c r="N269" s="200"/>
      <c r="O269" s="200"/>
      <c r="P269" s="200"/>
      <c r="Q269" s="200"/>
      <c r="R269" s="200"/>
      <c r="S269" s="200"/>
      <c r="T269" s="200"/>
      <c r="U269" s="200"/>
      <c r="V269" s="200"/>
      <c r="W269" s="200"/>
    </row>
    <row r="270" spans="1:23" ht="12.75">
      <c r="A270" s="201"/>
      <c r="B270" s="201"/>
      <c r="C270" s="201"/>
      <c r="D270" s="224"/>
      <c r="E270" s="201"/>
      <c r="F270" s="201"/>
      <c r="G270" s="200"/>
      <c r="H270" s="200"/>
      <c r="I270" s="200"/>
      <c r="J270" s="200"/>
      <c r="K270" s="200"/>
      <c r="L270" s="200"/>
      <c r="M270" s="200"/>
      <c r="N270" s="200"/>
      <c r="O270" s="200"/>
      <c r="P270" s="200"/>
      <c r="Q270" s="200"/>
      <c r="R270" s="200"/>
      <c r="S270" s="200"/>
      <c r="T270" s="200"/>
      <c r="U270" s="200"/>
      <c r="V270" s="200"/>
      <c r="W270" s="200"/>
    </row>
    <row r="271" spans="1:23" ht="12.75">
      <c r="A271" s="201"/>
      <c r="B271" s="201"/>
      <c r="C271" s="201"/>
      <c r="D271" s="224"/>
      <c r="E271" s="201"/>
      <c r="F271" s="201"/>
      <c r="G271" s="200"/>
      <c r="H271" s="200"/>
      <c r="I271" s="200"/>
      <c r="J271" s="200"/>
      <c r="K271" s="200"/>
      <c r="L271" s="200"/>
      <c r="M271" s="200"/>
      <c r="N271" s="200"/>
      <c r="O271" s="200"/>
      <c r="P271" s="200"/>
      <c r="Q271" s="200"/>
      <c r="R271" s="200"/>
      <c r="S271" s="200"/>
      <c r="T271" s="200"/>
      <c r="U271" s="200"/>
      <c r="V271" s="200"/>
      <c r="W271" s="200"/>
    </row>
    <row r="272" spans="1:23" ht="12.75">
      <c r="A272" s="201"/>
      <c r="B272" s="201"/>
      <c r="C272" s="201"/>
      <c r="D272" s="224"/>
      <c r="E272" s="201"/>
      <c r="F272" s="201"/>
      <c r="G272" s="200"/>
      <c r="H272" s="200"/>
      <c r="I272" s="200"/>
      <c r="J272" s="200"/>
      <c r="K272" s="200"/>
      <c r="L272" s="200"/>
      <c r="M272" s="200"/>
      <c r="N272" s="200"/>
      <c r="O272" s="200"/>
      <c r="P272" s="200"/>
      <c r="Q272" s="200"/>
      <c r="R272" s="200"/>
      <c r="S272" s="200"/>
      <c r="T272" s="200"/>
      <c r="U272" s="200"/>
      <c r="V272" s="200"/>
      <c r="W272" s="200"/>
    </row>
    <row r="273" spans="1:23" ht="12.75">
      <c r="A273" s="201"/>
      <c r="B273" s="201"/>
      <c r="C273" s="201"/>
      <c r="D273" s="224"/>
      <c r="E273" s="201"/>
      <c r="F273" s="201"/>
      <c r="G273" s="200"/>
      <c r="H273" s="200"/>
      <c r="I273" s="200"/>
      <c r="J273" s="200"/>
      <c r="K273" s="200"/>
      <c r="L273" s="200"/>
      <c r="M273" s="200"/>
      <c r="N273" s="200"/>
      <c r="O273" s="200"/>
      <c r="P273" s="200"/>
      <c r="Q273" s="200"/>
      <c r="R273" s="200"/>
      <c r="S273" s="200"/>
      <c r="T273" s="200"/>
      <c r="U273" s="200"/>
      <c r="V273" s="200"/>
      <c r="W273" s="200"/>
    </row>
    <row r="274" spans="1:23" ht="12.75">
      <c r="A274" s="201"/>
      <c r="B274" s="201"/>
      <c r="C274" s="201"/>
      <c r="D274" s="224"/>
      <c r="E274" s="201"/>
      <c r="F274" s="201"/>
      <c r="G274" s="200"/>
      <c r="H274" s="200"/>
      <c r="I274" s="200"/>
      <c r="J274" s="200"/>
      <c r="K274" s="200"/>
      <c r="L274" s="200"/>
      <c r="M274" s="200"/>
      <c r="N274" s="200"/>
      <c r="O274" s="200"/>
      <c r="P274" s="200"/>
      <c r="Q274" s="200"/>
      <c r="R274" s="200"/>
      <c r="S274" s="200"/>
      <c r="T274" s="200"/>
      <c r="U274" s="200"/>
      <c r="V274" s="200"/>
      <c r="W274" s="200"/>
    </row>
    <row r="275" spans="1:23" ht="12.75">
      <c r="A275" s="201"/>
      <c r="B275" s="201"/>
      <c r="C275" s="201"/>
      <c r="D275" s="224"/>
      <c r="E275" s="201"/>
      <c r="F275" s="201"/>
      <c r="G275" s="200"/>
      <c r="H275" s="200"/>
      <c r="I275" s="200"/>
      <c r="J275" s="200"/>
      <c r="K275" s="200"/>
      <c r="L275" s="200"/>
      <c r="M275" s="200"/>
      <c r="N275" s="200"/>
      <c r="O275" s="200"/>
      <c r="P275" s="200"/>
      <c r="Q275" s="200"/>
      <c r="R275" s="200"/>
      <c r="S275" s="200"/>
      <c r="T275" s="200"/>
      <c r="U275" s="200"/>
      <c r="V275" s="200"/>
      <c r="W275" s="200"/>
    </row>
    <row r="276" spans="1:23" ht="12.75">
      <c r="A276" s="201"/>
      <c r="B276" s="201"/>
      <c r="C276" s="201"/>
      <c r="D276" s="224"/>
      <c r="E276" s="201"/>
      <c r="F276" s="201"/>
      <c r="G276" s="200"/>
      <c r="H276" s="200"/>
      <c r="I276" s="200"/>
      <c r="J276" s="200"/>
      <c r="K276" s="200"/>
      <c r="L276" s="200"/>
      <c r="M276" s="200"/>
      <c r="N276" s="200"/>
      <c r="O276" s="200"/>
      <c r="P276" s="200"/>
      <c r="Q276" s="200"/>
      <c r="R276" s="200"/>
      <c r="S276" s="200"/>
      <c r="T276" s="200"/>
      <c r="U276" s="200"/>
      <c r="V276" s="200"/>
      <c r="W276" s="200"/>
    </row>
    <row r="277" spans="1:23" ht="12.75">
      <c r="A277" s="201"/>
      <c r="B277" s="201"/>
      <c r="C277" s="201"/>
      <c r="D277" s="224"/>
      <c r="E277" s="201"/>
      <c r="F277" s="201"/>
      <c r="G277" s="200"/>
      <c r="H277" s="200"/>
      <c r="I277" s="200"/>
      <c r="J277" s="200"/>
      <c r="K277" s="200"/>
      <c r="L277" s="200"/>
      <c r="M277" s="200"/>
      <c r="N277" s="200"/>
      <c r="O277" s="200"/>
      <c r="P277" s="200"/>
      <c r="Q277" s="200"/>
      <c r="R277" s="200"/>
      <c r="S277" s="200"/>
      <c r="T277" s="200"/>
      <c r="U277" s="200"/>
      <c r="V277" s="200"/>
      <c r="W277" s="200"/>
    </row>
    <row r="278" spans="1:23" ht="12.75">
      <c r="A278" s="201"/>
      <c r="B278" s="201"/>
      <c r="C278" s="201"/>
      <c r="D278" s="224"/>
      <c r="E278" s="201"/>
      <c r="F278" s="201"/>
      <c r="G278" s="200"/>
      <c r="H278" s="200"/>
      <c r="I278" s="200"/>
      <c r="J278" s="200"/>
      <c r="K278" s="200"/>
      <c r="L278" s="200"/>
      <c r="M278" s="200"/>
      <c r="N278" s="200"/>
      <c r="O278" s="200"/>
      <c r="P278" s="200"/>
      <c r="Q278" s="200"/>
      <c r="R278" s="200"/>
      <c r="S278" s="200"/>
      <c r="T278" s="200"/>
      <c r="U278" s="200"/>
      <c r="V278" s="200"/>
      <c r="W278" s="200"/>
    </row>
    <row r="279" spans="1:23" ht="12.75">
      <c r="A279" s="201"/>
      <c r="B279" s="201"/>
      <c r="C279" s="201"/>
      <c r="D279" s="224"/>
      <c r="E279" s="201"/>
      <c r="F279" s="201"/>
      <c r="G279" s="200"/>
      <c r="H279" s="200"/>
      <c r="I279" s="200"/>
      <c r="J279" s="200"/>
      <c r="K279" s="200"/>
      <c r="L279" s="200"/>
      <c r="M279" s="200"/>
      <c r="N279" s="200"/>
      <c r="O279" s="200"/>
      <c r="P279" s="200"/>
      <c r="Q279" s="200"/>
      <c r="R279" s="200"/>
      <c r="S279" s="200"/>
      <c r="T279" s="200"/>
      <c r="U279" s="200"/>
      <c r="V279" s="200"/>
      <c r="W279" s="200"/>
    </row>
    <row r="280" spans="1:23" ht="12.75">
      <c r="A280" s="201"/>
      <c r="B280" s="201"/>
      <c r="C280" s="201"/>
      <c r="D280" s="224"/>
      <c r="E280" s="201"/>
      <c r="F280" s="201"/>
      <c r="G280" s="200"/>
      <c r="H280" s="200"/>
      <c r="I280" s="200"/>
      <c r="J280" s="200"/>
      <c r="K280" s="200"/>
      <c r="L280" s="200"/>
      <c r="M280" s="200"/>
      <c r="N280" s="200"/>
      <c r="O280" s="200"/>
      <c r="P280" s="200"/>
      <c r="Q280" s="200"/>
      <c r="R280" s="200"/>
      <c r="S280" s="200"/>
      <c r="T280" s="200"/>
      <c r="U280" s="200"/>
      <c r="V280" s="200"/>
      <c r="W280" s="200"/>
    </row>
    <row r="281" spans="1:23" ht="12.75">
      <c r="A281" s="201"/>
      <c r="B281" s="201"/>
      <c r="C281" s="201"/>
      <c r="D281" s="224"/>
      <c r="E281" s="201"/>
      <c r="F281" s="201"/>
      <c r="G281" s="200"/>
      <c r="H281" s="200"/>
      <c r="I281" s="200"/>
      <c r="J281" s="200"/>
      <c r="K281" s="200"/>
      <c r="L281" s="200"/>
      <c r="M281" s="200"/>
      <c r="N281" s="200"/>
      <c r="O281" s="200"/>
      <c r="P281" s="200"/>
      <c r="Q281" s="200"/>
      <c r="R281" s="200"/>
      <c r="S281" s="200"/>
      <c r="T281" s="200"/>
      <c r="U281" s="200"/>
      <c r="V281" s="200"/>
      <c r="W281" s="200"/>
    </row>
    <row r="282" spans="1:23" ht="12.75">
      <c r="A282" s="201"/>
      <c r="B282" s="201"/>
      <c r="C282" s="201"/>
      <c r="D282" s="224"/>
      <c r="E282" s="201"/>
      <c r="F282" s="201"/>
      <c r="G282" s="200"/>
      <c r="H282" s="200"/>
      <c r="I282" s="200"/>
      <c r="J282" s="200"/>
      <c r="K282" s="200"/>
      <c r="L282" s="200"/>
      <c r="M282" s="200"/>
      <c r="N282" s="200"/>
      <c r="O282" s="200"/>
      <c r="P282" s="200"/>
      <c r="Q282" s="200"/>
      <c r="R282" s="200"/>
      <c r="S282" s="200"/>
      <c r="T282" s="200"/>
      <c r="U282" s="200"/>
      <c r="V282" s="200"/>
      <c r="W282" s="200"/>
    </row>
    <row r="283" spans="1:23" ht="12.75">
      <c r="A283" s="201"/>
      <c r="B283" s="201"/>
      <c r="C283" s="201"/>
      <c r="D283" s="224"/>
      <c r="E283" s="201"/>
      <c r="F283" s="201"/>
      <c r="G283" s="200"/>
      <c r="H283" s="200"/>
      <c r="I283" s="200"/>
      <c r="J283" s="200"/>
      <c r="K283" s="200"/>
      <c r="L283" s="200"/>
      <c r="M283" s="200"/>
      <c r="N283" s="200"/>
      <c r="O283" s="200"/>
      <c r="P283" s="200"/>
      <c r="Q283" s="200"/>
      <c r="R283" s="200"/>
      <c r="S283" s="200"/>
      <c r="T283" s="200"/>
      <c r="U283" s="200"/>
      <c r="V283" s="200"/>
      <c r="W283" s="200"/>
    </row>
    <row r="284" spans="1:23" ht="12.75">
      <c r="A284" s="201"/>
      <c r="B284" s="201"/>
      <c r="C284" s="201"/>
      <c r="D284" s="224"/>
      <c r="E284" s="201"/>
      <c r="F284" s="201"/>
      <c r="G284" s="200"/>
      <c r="H284" s="200"/>
      <c r="I284" s="200"/>
      <c r="J284" s="200"/>
      <c r="K284" s="200"/>
      <c r="L284" s="200"/>
      <c r="M284" s="200"/>
      <c r="N284" s="200"/>
      <c r="O284" s="200"/>
      <c r="P284" s="200"/>
      <c r="Q284" s="200"/>
      <c r="R284" s="200"/>
      <c r="S284" s="200"/>
      <c r="T284" s="200"/>
      <c r="U284" s="200"/>
      <c r="V284" s="200"/>
      <c r="W284" s="200"/>
    </row>
    <row r="285" spans="1:23" ht="12.75">
      <c r="A285" s="201"/>
      <c r="B285" s="201"/>
      <c r="C285" s="201"/>
      <c r="D285" s="224"/>
      <c r="E285" s="201"/>
      <c r="F285" s="201"/>
      <c r="G285" s="200"/>
      <c r="H285" s="200"/>
      <c r="I285" s="200"/>
      <c r="J285" s="200"/>
      <c r="K285" s="200"/>
      <c r="L285" s="200"/>
      <c r="M285" s="200"/>
      <c r="N285" s="200"/>
      <c r="O285" s="200"/>
      <c r="P285" s="200"/>
      <c r="Q285" s="200"/>
      <c r="R285" s="200"/>
      <c r="S285" s="200"/>
      <c r="T285" s="200"/>
      <c r="U285" s="200"/>
      <c r="V285" s="200"/>
      <c r="W285" s="200"/>
    </row>
    <row r="286" spans="1:23" ht="12.75">
      <c r="A286" s="201"/>
      <c r="B286" s="201"/>
      <c r="C286" s="201"/>
      <c r="D286" s="224"/>
      <c r="E286" s="201"/>
      <c r="F286" s="201"/>
      <c r="G286" s="200"/>
      <c r="H286" s="200"/>
      <c r="I286" s="200"/>
      <c r="J286" s="200"/>
      <c r="K286" s="200"/>
      <c r="L286" s="200"/>
      <c r="M286" s="200"/>
      <c r="N286" s="200"/>
      <c r="O286" s="200"/>
      <c r="P286" s="200"/>
      <c r="Q286" s="200"/>
      <c r="R286" s="200"/>
      <c r="S286" s="200"/>
      <c r="T286" s="200"/>
      <c r="U286" s="200"/>
      <c r="V286" s="200"/>
      <c r="W286" s="200"/>
    </row>
    <row r="287" spans="1:23" ht="12.75">
      <c r="A287" s="201"/>
      <c r="B287" s="201"/>
      <c r="C287" s="201"/>
      <c r="D287" s="224"/>
      <c r="E287" s="201"/>
      <c r="F287" s="201"/>
      <c r="G287" s="200"/>
      <c r="H287" s="200"/>
      <c r="I287" s="200"/>
      <c r="J287" s="200"/>
      <c r="K287" s="200"/>
      <c r="L287" s="200"/>
      <c r="M287" s="200"/>
      <c r="N287" s="200"/>
      <c r="O287" s="200"/>
      <c r="P287" s="200"/>
      <c r="Q287" s="200"/>
      <c r="R287" s="200"/>
      <c r="S287" s="200"/>
      <c r="T287" s="200"/>
      <c r="U287" s="200"/>
      <c r="V287" s="200"/>
      <c r="W287" s="200"/>
    </row>
    <row r="288" spans="1:23" ht="12.75">
      <c r="A288" s="201"/>
      <c r="B288" s="201"/>
      <c r="C288" s="201"/>
      <c r="D288" s="224"/>
      <c r="E288" s="201"/>
      <c r="F288" s="201"/>
      <c r="G288" s="200"/>
      <c r="H288" s="200"/>
      <c r="I288" s="200"/>
      <c r="J288" s="200"/>
      <c r="K288" s="200"/>
      <c r="L288" s="200"/>
      <c r="M288" s="200"/>
      <c r="N288" s="200"/>
      <c r="O288" s="200"/>
      <c r="P288" s="200"/>
      <c r="Q288" s="200"/>
      <c r="R288" s="200"/>
      <c r="S288" s="200"/>
      <c r="T288" s="200"/>
      <c r="U288" s="200"/>
      <c r="V288" s="200"/>
      <c r="W288" s="200"/>
    </row>
    <row r="289" spans="1:23" ht="12.75">
      <c r="A289" s="201"/>
      <c r="B289" s="201"/>
      <c r="C289" s="201"/>
      <c r="D289" s="224"/>
      <c r="E289" s="201"/>
      <c r="F289" s="201"/>
      <c r="G289" s="200"/>
      <c r="H289" s="200"/>
      <c r="I289" s="200"/>
      <c r="J289" s="200"/>
      <c r="K289" s="200"/>
      <c r="L289" s="200"/>
      <c r="M289" s="200"/>
      <c r="N289" s="200"/>
      <c r="O289" s="200"/>
      <c r="P289" s="200"/>
      <c r="Q289" s="200"/>
      <c r="R289" s="200"/>
      <c r="S289" s="200"/>
      <c r="T289" s="200"/>
      <c r="U289" s="200"/>
      <c r="V289" s="200"/>
      <c r="W289" s="200"/>
    </row>
    <row r="290" spans="1:23" ht="12.75">
      <c r="A290" s="201"/>
      <c r="B290" s="201"/>
      <c r="C290" s="201"/>
      <c r="D290" s="224"/>
      <c r="E290" s="201"/>
      <c r="F290" s="201"/>
      <c r="G290" s="200"/>
      <c r="H290" s="200"/>
      <c r="I290" s="200"/>
      <c r="J290" s="200"/>
      <c r="K290" s="200"/>
      <c r="L290" s="200"/>
      <c r="M290" s="200"/>
      <c r="N290" s="200"/>
      <c r="O290" s="200"/>
      <c r="P290" s="200"/>
      <c r="Q290" s="200"/>
      <c r="R290" s="200"/>
      <c r="S290" s="200"/>
      <c r="T290" s="200"/>
      <c r="U290" s="200"/>
      <c r="V290" s="200"/>
      <c r="W290" s="200"/>
    </row>
    <row r="291" spans="1:23" ht="12.75">
      <c r="A291" s="201"/>
      <c r="B291" s="201"/>
      <c r="C291" s="201"/>
      <c r="D291" s="224"/>
      <c r="E291" s="201"/>
      <c r="F291" s="201"/>
      <c r="G291" s="200"/>
      <c r="H291" s="200"/>
      <c r="I291" s="200"/>
      <c r="J291" s="200"/>
      <c r="K291" s="200"/>
      <c r="L291" s="200"/>
      <c r="M291" s="200"/>
      <c r="N291" s="200"/>
      <c r="O291" s="200"/>
      <c r="P291" s="200"/>
      <c r="Q291" s="200"/>
      <c r="R291" s="200"/>
      <c r="S291" s="200"/>
      <c r="T291" s="200"/>
      <c r="U291" s="200"/>
      <c r="V291" s="200"/>
      <c r="W291" s="200"/>
    </row>
    <row r="292" spans="1:23" ht="12.75">
      <c r="A292" s="201"/>
      <c r="B292" s="201"/>
      <c r="C292" s="201"/>
      <c r="D292" s="224"/>
      <c r="E292" s="201"/>
      <c r="F292" s="201"/>
      <c r="G292" s="200"/>
      <c r="H292" s="200"/>
      <c r="I292" s="200"/>
      <c r="J292" s="200"/>
      <c r="K292" s="200"/>
      <c r="L292" s="200"/>
      <c r="M292" s="200"/>
      <c r="N292" s="200"/>
      <c r="O292" s="200"/>
      <c r="P292" s="200"/>
      <c r="Q292" s="200"/>
      <c r="R292" s="200"/>
      <c r="S292" s="200"/>
      <c r="T292" s="200"/>
      <c r="U292" s="200"/>
      <c r="V292" s="200"/>
      <c r="W292" s="200"/>
    </row>
    <row r="293" spans="1:23" ht="12.75">
      <c r="A293" s="201"/>
      <c r="B293" s="201"/>
      <c r="C293" s="201"/>
      <c r="D293" s="224"/>
      <c r="E293" s="201"/>
      <c r="F293" s="201"/>
      <c r="G293" s="200"/>
      <c r="H293" s="200"/>
      <c r="I293" s="200"/>
      <c r="J293" s="200"/>
      <c r="K293" s="200"/>
      <c r="L293" s="200"/>
      <c r="M293" s="200"/>
      <c r="N293" s="200"/>
      <c r="O293" s="200"/>
      <c r="P293" s="200"/>
      <c r="Q293" s="200"/>
      <c r="R293" s="200"/>
      <c r="S293" s="200"/>
      <c r="T293" s="200"/>
      <c r="U293" s="200"/>
      <c r="V293" s="200"/>
      <c r="W293" s="200"/>
    </row>
    <row r="294" spans="1:23" ht="12.75">
      <c r="A294" s="201"/>
      <c r="B294" s="201"/>
      <c r="C294" s="201"/>
      <c r="D294" s="224"/>
      <c r="E294" s="201"/>
      <c r="F294" s="201"/>
      <c r="G294" s="200"/>
      <c r="H294" s="200"/>
      <c r="I294" s="200"/>
      <c r="J294" s="200"/>
      <c r="K294" s="200"/>
      <c r="L294" s="200"/>
      <c r="M294" s="200"/>
      <c r="N294" s="200"/>
      <c r="O294" s="200"/>
      <c r="P294" s="200"/>
      <c r="Q294" s="200"/>
      <c r="R294" s="200"/>
      <c r="S294" s="200"/>
      <c r="T294" s="200"/>
      <c r="U294" s="200"/>
      <c r="V294" s="200"/>
      <c r="W294" s="200"/>
    </row>
    <row r="295" spans="1:23" ht="12.75">
      <c r="A295" s="201"/>
      <c r="B295" s="201"/>
      <c r="C295" s="201"/>
      <c r="D295" s="224"/>
      <c r="E295" s="201"/>
      <c r="F295" s="201"/>
      <c r="G295" s="200"/>
      <c r="H295" s="200"/>
      <c r="I295" s="200"/>
      <c r="J295" s="200"/>
      <c r="K295" s="200"/>
      <c r="L295" s="200"/>
      <c r="M295" s="200"/>
      <c r="N295" s="200"/>
      <c r="O295" s="200"/>
      <c r="P295" s="200"/>
      <c r="Q295" s="200"/>
      <c r="R295" s="200"/>
      <c r="S295" s="200"/>
      <c r="T295" s="200"/>
      <c r="U295" s="200"/>
      <c r="V295" s="200"/>
      <c r="W295" s="200"/>
    </row>
    <row r="296" spans="1:23" ht="12.75">
      <c r="A296" s="201"/>
      <c r="B296" s="201"/>
      <c r="C296" s="201"/>
      <c r="D296" s="224"/>
      <c r="E296" s="201"/>
      <c r="F296" s="201"/>
      <c r="G296" s="200"/>
      <c r="H296" s="200"/>
      <c r="I296" s="200"/>
      <c r="J296" s="200"/>
      <c r="K296" s="200"/>
      <c r="L296" s="200"/>
      <c r="M296" s="200"/>
      <c r="N296" s="200"/>
      <c r="O296" s="200"/>
      <c r="P296" s="200"/>
      <c r="Q296" s="200"/>
      <c r="R296" s="200"/>
      <c r="S296" s="200"/>
      <c r="T296" s="200"/>
      <c r="U296" s="200"/>
      <c r="V296" s="200"/>
      <c r="W296" s="200"/>
    </row>
    <row r="297" spans="1:23" ht="12.75">
      <c r="A297" s="201"/>
      <c r="B297" s="201"/>
      <c r="C297" s="201"/>
      <c r="D297" s="224"/>
      <c r="E297" s="201"/>
      <c r="F297" s="201"/>
      <c r="G297" s="200"/>
      <c r="H297" s="200"/>
      <c r="I297" s="200"/>
      <c r="J297" s="200"/>
      <c r="K297" s="200"/>
      <c r="L297" s="200"/>
      <c r="M297" s="200"/>
      <c r="N297" s="200"/>
      <c r="O297" s="200"/>
      <c r="P297" s="200"/>
      <c r="Q297" s="200"/>
      <c r="R297" s="200"/>
      <c r="S297" s="200"/>
      <c r="T297" s="200"/>
      <c r="U297" s="200"/>
      <c r="V297" s="200"/>
      <c r="W297" s="200"/>
    </row>
    <row r="298" spans="1:23" ht="12.75">
      <c r="A298" s="201"/>
      <c r="B298" s="201"/>
      <c r="C298" s="201"/>
      <c r="D298" s="224"/>
      <c r="E298" s="201"/>
      <c r="F298" s="201"/>
      <c r="G298" s="200"/>
      <c r="H298" s="200"/>
      <c r="I298" s="200"/>
      <c r="J298" s="200"/>
      <c r="K298" s="200"/>
      <c r="L298" s="200"/>
      <c r="M298" s="200"/>
      <c r="N298" s="200"/>
      <c r="O298" s="200"/>
      <c r="P298" s="200"/>
      <c r="Q298" s="200"/>
      <c r="R298" s="200"/>
      <c r="S298" s="200"/>
      <c r="T298" s="200"/>
      <c r="U298" s="200"/>
      <c r="V298" s="200"/>
      <c r="W298" s="200"/>
    </row>
    <row r="299" spans="1:23" ht="12.75">
      <c r="A299" s="201"/>
      <c r="B299" s="201"/>
      <c r="C299" s="201"/>
      <c r="D299" s="224"/>
      <c r="E299" s="201"/>
      <c r="F299" s="201"/>
      <c r="G299" s="200"/>
      <c r="H299" s="200"/>
      <c r="I299" s="200"/>
      <c r="J299" s="200"/>
      <c r="K299" s="200"/>
      <c r="L299" s="200"/>
      <c r="M299" s="200"/>
      <c r="N299" s="200"/>
      <c r="O299" s="200"/>
      <c r="P299" s="200"/>
      <c r="Q299" s="200"/>
      <c r="R299" s="200"/>
      <c r="S299" s="200"/>
      <c r="T299" s="200"/>
      <c r="U299" s="200"/>
      <c r="V299" s="200"/>
      <c r="W299" s="200"/>
    </row>
    <row r="300" spans="1:23" ht="12.75">
      <c r="A300" s="201"/>
      <c r="B300" s="201"/>
      <c r="C300" s="201"/>
      <c r="D300" s="224"/>
      <c r="E300" s="201"/>
      <c r="F300" s="201"/>
      <c r="G300" s="200"/>
      <c r="H300" s="200"/>
      <c r="I300" s="200"/>
      <c r="J300" s="200"/>
      <c r="K300" s="200"/>
      <c r="L300" s="200"/>
      <c r="M300" s="200"/>
      <c r="N300" s="200"/>
      <c r="O300" s="200"/>
      <c r="P300" s="200"/>
      <c r="Q300" s="200"/>
      <c r="R300" s="200"/>
      <c r="S300" s="200"/>
      <c r="T300" s="200"/>
      <c r="U300" s="200"/>
      <c r="V300" s="200"/>
      <c r="W300" s="200"/>
    </row>
    <row r="301" spans="1:23" ht="12.75">
      <c r="A301" s="201"/>
      <c r="B301" s="201"/>
      <c r="C301" s="201"/>
      <c r="D301" s="224"/>
      <c r="E301" s="201"/>
      <c r="F301" s="201"/>
      <c r="G301" s="200"/>
      <c r="H301" s="200"/>
      <c r="I301" s="200"/>
      <c r="J301" s="200"/>
      <c r="K301" s="200"/>
      <c r="L301" s="200"/>
      <c r="M301" s="200"/>
      <c r="N301" s="200"/>
      <c r="O301" s="200"/>
      <c r="P301" s="200"/>
      <c r="Q301" s="200"/>
      <c r="R301" s="200"/>
      <c r="S301" s="200"/>
      <c r="T301" s="200"/>
      <c r="U301" s="200"/>
      <c r="V301" s="200"/>
      <c r="W301" s="200"/>
    </row>
    <row r="302" spans="1:23" ht="12.75">
      <c r="A302" s="201"/>
      <c r="B302" s="201"/>
      <c r="C302" s="201"/>
      <c r="D302" s="224"/>
      <c r="E302" s="201"/>
      <c r="F302" s="201"/>
      <c r="G302" s="200"/>
      <c r="H302" s="200"/>
      <c r="I302" s="200"/>
      <c r="J302" s="200"/>
      <c r="K302" s="200"/>
      <c r="L302" s="200"/>
      <c r="M302" s="200"/>
      <c r="N302" s="200"/>
      <c r="O302" s="200"/>
      <c r="P302" s="200"/>
      <c r="Q302" s="200"/>
      <c r="R302" s="200"/>
      <c r="S302" s="200"/>
      <c r="T302" s="200"/>
      <c r="U302" s="200"/>
      <c r="V302" s="200"/>
      <c r="W302" s="200"/>
    </row>
    <row r="303" spans="1:23" ht="12.75">
      <c r="A303" s="201"/>
      <c r="B303" s="201"/>
      <c r="C303" s="201"/>
      <c r="D303" s="224"/>
      <c r="E303" s="201"/>
      <c r="F303" s="201"/>
      <c r="G303" s="200"/>
      <c r="H303" s="200"/>
      <c r="I303" s="200"/>
      <c r="J303" s="200"/>
      <c r="K303" s="200"/>
      <c r="L303" s="200"/>
      <c r="M303" s="200"/>
      <c r="N303" s="200"/>
      <c r="O303" s="200"/>
      <c r="P303" s="200"/>
      <c r="Q303" s="200"/>
      <c r="R303" s="200"/>
      <c r="S303" s="200"/>
      <c r="T303" s="200"/>
      <c r="U303" s="200"/>
      <c r="V303" s="200"/>
      <c r="W303" s="200"/>
    </row>
    <row r="304" spans="1:23" ht="12.75">
      <c r="A304" s="201"/>
      <c r="B304" s="201"/>
      <c r="C304" s="201"/>
      <c r="D304" s="224"/>
      <c r="E304" s="201"/>
      <c r="F304" s="201"/>
      <c r="G304" s="200"/>
      <c r="H304" s="200"/>
      <c r="I304" s="200"/>
      <c r="J304" s="200"/>
      <c r="K304" s="200"/>
      <c r="L304" s="200"/>
      <c r="M304" s="200"/>
      <c r="N304" s="200"/>
      <c r="O304" s="200"/>
      <c r="P304" s="200"/>
      <c r="Q304" s="200"/>
      <c r="R304" s="200"/>
      <c r="S304" s="200"/>
      <c r="T304" s="200"/>
      <c r="U304" s="200"/>
      <c r="V304" s="200"/>
      <c r="W304" s="200"/>
    </row>
    <row r="305" spans="1:23" ht="12.75">
      <c r="A305" s="201"/>
      <c r="B305" s="201"/>
      <c r="C305" s="201"/>
      <c r="D305" s="224"/>
      <c r="E305" s="201"/>
      <c r="F305" s="201"/>
      <c r="G305" s="200"/>
      <c r="H305" s="200"/>
      <c r="I305" s="200"/>
      <c r="J305" s="200"/>
      <c r="K305" s="200"/>
      <c r="L305" s="200"/>
      <c r="M305" s="200"/>
      <c r="N305" s="200"/>
      <c r="O305" s="200"/>
      <c r="P305" s="200"/>
      <c r="Q305" s="200"/>
      <c r="R305" s="200"/>
      <c r="S305" s="200"/>
      <c r="T305" s="200"/>
      <c r="U305" s="200"/>
      <c r="V305" s="200"/>
      <c r="W305" s="200"/>
    </row>
    <row r="306" spans="1:23" ht="12.75">
      <c r="A306" s="201"/>
      <c r="B306" s="201"/>
      <c r="C306" s="201"/>
      <c r="D306" s="224"/>
      <c r="E306" s="201"/>
      <c r="F306" s="201"/>
      <c r="G306" s="200"/>
      <c r="H306" s="200"/>
      <c r="I306" s="200"/>
      <c r="J306" s="200"/>
      <c r="K306" s="200"/>
      <c r="L306" s="200"/>
      <c r="M306" s="200"/>
      <c r="N306" s="200"/>
      <c r="O306" s="200"/>
      <c r="P306" s="200"/>
      <c r="Q306" s="200"/>
      <c r="R306" s="200"/>
      <c r="S306" s="200"/>
      <c r="T306" s="200"/>
      <c r="U306" s="200"/>
      <c r="V306" s="200"/>
      <c r="W306" s="200"/>
    </row>
    <row r="307" spans="1:23" ht="12.75">
      <c r="A307" s="201"/>
      <c r="B307" s="201"/>
      <c r="C307" s="201"/>
      <c r="D307" s="224"/>
      <c r="E307" s="201"/>
      <c r="F307" s="201"/>
      <c r="G307" s="200"/>
      <c r="H307" s="200"/>
      <c r="I307" s="200"/>
      <c r="J307" s="200"/>
      <c r="K307" s="200"/>
      <c r="L307" s="200"/>
      <c r="M307" s="200"/>
      <c r="N307" s="200"/>
      <c r="O307" s="200"/>
      <c r="P307" s="200"/>
      <c r="Q307" s="200"/>
      <c r="R307" s="200"/>
      <c r="S307" s="200"/>
      <c r="T307" s="200"/>
      <c r="U307" s="200"/>
      <c r="V307" s="200"/>
      <c r="W307" s="200"/>
    </row>
    <row r="308" spans="1:23" ht="12.75">
      <c r="A308" s="201"/>
      <c r="B308" s="201"/>
      <c r="C308" s="201"/>
      <c r="D308" s="224"/>
      <c r="E308" s="201"/>
      <c r="F308" s="201"/>
      <c r="G308" s="200"/>
      <c r="H308" s="200"/>
      <c r="I308" s="200"/>
      <c r="J308" s="200"/>
      <c r="K308" s="200"/>
      <c r="L308" s="200"/>
      <c r="M308" s="200"/>
      <c r="N308" s="200"/>
      <c r="O308" s="200"/>
      <c r="P308" s="200"/>
      <c r="Q308" s="200"/>
      <c r="R308" s="200"/>
      <c r="S308" s="200"/>
      <c r="T308" s="200"/>
      <c r="U308" s="200"/>
      <c r="V308" s="200"/>
      <c r="W308" s="200"/>
    </row>
    <row r="309" spans="1:23" ht="12.75">
      <c r="A309" s="201"/>
      <c r="B309" s="201"/>
      <c r="C309" s="201"/>
      <c r="D309" s="224"/>
      <c r="E309" s="201"/>
      <c r="F309" s="201"/>
      <c r="G309" s="200"/>
      <c r="H309" s="200"/>
      <c r="I309" s="200"/>
      <c r="J309" s="200"/>
      <c r="K309" s="200"/>
      <c r="L309" s="200"/>
      <c r="M309" s="200"/>
      <c r="N309" s="200"/>
      <c r="O309" s="200"/>
      <c r="P309" s="200"/>
      <c r="Q309" s="200"/>
      <c r="R309" s="200"/>
      <c r="S309" s="200"/>
      <c r="T309" s="200"/>
      <c r="U309" s="200"/>
      <c r="V309" s="200"/>
      <c r="W309" s="200"/>
    </row>
    <row r="310" spans="1:23" ht="12.75">
      <c r="A310" s="201"/>
      <c r="B310" s="201"/>
      <c r="C310" s="201"/>
      <c r="D310" s="224"/>
      <c r="E310" s="201"/>
      <c r="F310" s="201"/>
      <c r="G310" s="200"/>
      <c r="H310" s="200"/>
      <c r="I310" s="200"/>
      <c r="J310" s="200"/>
      <c r="K310" s="200"/>
      <c r="L310" s="200"/>
      <c r="M310" s="200"/>
      <c r="N310" s="200"/>
      <c r="O310" s="200"/>
      <c r="P310" s="200"/>
      <c r="Q310" s="200"/>
      <c r="R310" s="200"/>
      <c r="S310" s="200"/>
      <c r="T310" s="200"/>
      <c r="U310" s="200"/>
      <c r="V310" s="200"/>
      <c r="W310" s="200"/>
    </row>
    <row r="311" spans="1:23" ht="12.75">
      <c r="A311" s="201"/>
      <c r="B311" s="201"/>
      <c r="C311" s="201"/>
      <c r="D311" s="224"/>
      <c r="E311" s="201"/>
      <c r="F311" s="201"/>
      <c r="G311" s="200"/>
      <c r="H311" s="200"/>
      <c r="I311" s="200"/>
      <c r="J311" s="200"/>
      <c r="K311" s="200"/>
      <c r="L311" s="200"/>
      <c r="M311" s="200"/>
      <c r="N311" s="200"/>
      <c r="O311" s="200"/>
      <c r="P311" s="200"/>
      <c r="Q311" s="200"/>
      <c r="R311" s="200"/>
      <c r="S311" s="200"/>
      <c r="T311" s="200"/>
      <c r="U311" s="200"/>
      <c r="V311" s="200"/>
      <c r="W311" s="200"/>
    </row>
    <row r="312" spans="1:23" ht="12.75">
      <c r="A312" s="201"/>
      <c r="B312" s="201"/>
      <c r="C312" s="201"/>
      <c r="D312" s="224"/>
      <c r="E312" s="201"/>
      <c r="F312" s="201"/>
      <c r="G312" s="200"/>
      <c r="H312" s="200"/>
      <c r="I312" s="200"/>
      <c r="J312" s="200"/>
      <c r="K312" s="200"/>
      <c r="L312" s="200"/>
      <c r="M312" s="200"/>
      <c r="N312" s="200"/>
      <c r="O312" s="200"/>
      <c r="P312" s="200"/>
      <c r="Q312" s="200"/>
      <c r="R312" s="200"/>
      <c r="S312" s="200"/>
      <c r="T312" s="200"/>
      <c r="U312" s="200"/>
      <c r="V312" s="200"/>
      <c r="W312" s="200"/>
    </row>
    <row r="313" spans="1:23" ht="12.75">
      <c r="A313" s="201"/>
      <c r="B313" s="201"/>
      <c r="C313" s="201"/>
      <c r="D313" s="224"/>
      <c r="E313" s="201"/>
      <c r="F313" s="201"/>
      <c r="G313" s="200"/>
      <c r="H313" s="200"/>
      <c r="I313" s="200"/>
      <c r="J313" s="200"/>
      <c r="K313" s="200"/>
      <c r="L313" s="200"/>
      <c r="M313" s="200"/>
      <c r="N313" s="200"/>
      <c r="O313" s="200"/>
      <c r="P313" s="200"/>
      <c r="Q313" s="200"/>
      <c r="R313" s="200"/>
      <c r="S313" s="200"/>
      <c r="T313" s="200"/>
      <c r="U313" s="200"/>
      <c r="V313" s="200"/>
      <c r="W313" s="200"/>
    </row>
    <row r="314" spans="1:23" ht="12.75">
      <c r="A314" s="201"/>
      <c r="B314" s="201"/>
      <c r="C314" s="201"/>
      <c r="D314" s="224"/>
      <c r="E314" s="201"/>
      <c r="F314" s="201"/>
      <c r="G314" s="200"/>
      <c r="H314" s="200"/>
      <c r="I314" s="200"/>
      <c r="J314" s="200"/>
      <c r="K314" s="200"/>
      <c r="L314" s="200"/>
      <c r="M314" s="200"/>
      <c r="N314" s="200"/>
      <c r="O314" s="200"/>
      <c r="P314" s="200"/>
      <c r="Q314" s="200"/>
      <c r="R314" s="200"/>
      <c r="S314" s="200"/>
      <c r="T314" s="200"/>
      <c r="U314" s="200"/>
      <c r="V314" s="200"/>
      <c r="W314" s="200"/>
    </row>
    <row r="315" spans="1:23" ht="12.75">
      <c r="A315" s="201"/>
      <c r="B315" s="201"/>
      <c r="C315" s="201"/>
      <c r="D315" s="224"/>
      <c r="E315" s="201"/>
      <c r="F315" s="201"/>
      <c r="G315" s="200"/>
      <c r="H315" s="200"/>
      <c r="I315" s="200"/>
      <c r="J315" s="200"/>
      <c r="K315" s="200"/>
      <c r="L315" s="200"/>
      <c r="M315" s="200"/>
      <c r="N315" s="200"/>
      <c r="O315" s="200"/>
      <c r="P315" s="200"/>
      <c r="Q315" s="200"/>
      <c r="R315" s="200"/>
      <c r="S315" s="200"/>
      <c r="T315" s="200"/>
      <c r="U315" s="200"/>
      <c r="V315" s="200"/>
      <c r="W315" s="200"/>
    </row>
    <row r="316" spans="1:23" ht="12.75">
      <c r="A316" s="201"/>
      <c r="B316" s="201"/>
      <c r="C316" s="201"/>
      <c r="D316" s="224"/>
      <c r="E316" s="201"/>
      <c r="F316" s="201"/>
      <c r="G316" s="200"/>
      <c r="H316" s="200"/>
      <c r="I316" s="200"/>
      <c r="J316" s="200"/>
      <c r="K316" s="200"/>
      <c r="L316" s="200"/>
      <c r="M316" s="200"/>
      <c r="N316" s="200"/>
      <c r="O316" s="200"/>
      <c r="P316" s="200"/>
      <c r="Q316" s="200"/>
      <c r="R316" s="200"/>
      <c r="S316" s="200"/>
      <c r="T316" s="200"/>
      <c r="U316" s="200"/>
      <c r="V316" s="200"/>
      <c r="W316" s="200"/>
    </row>
    <row r="317" spans="1:23" ht="12.75">
      <c r="A317" s="201"/>
      <c r="B317" s="201"/>
      <c r="C317" s="201"/>
      <c r="D317" s="224"/>
      <c r="E317" s="201"/>
      <c r="F317" s="201"/>
      <c r="G317" s="200"/>
      <c r="H317" s="200"/>
      <c r="I317" s="200"/>
      <c r="J317" s="200"/>
      <c r="K317" s="200"/>
      <c r="L317" s="200"/>
      <c r="M317" s="200"/>
      <c r="N317" s="200"/>
      <c r="O317" s="200"/>
      <c r="P317" s="200"/>
      <c r="Q317" s="200"/>
      <c r="R317" s="200"/>
      <c r="S317" s="200"/>
      <c r="T317" s="200"/>
      <c r="U317" s="200"/>
      <c r="V317" s="200"/>
      <c r="W317" s="200"/>
    </row>
    <row r="318" spans="1:23" ht="12.75">
      <c r="A318" s="201"/>
      <c r="B318" s="201"/>
      <c r="C318" s="201"/>
      <c r="D318" s="224"/>
      <c r="E318" s="201"/>
      <c r="F318" s="201"/>
      <c r="G318" s="200"/>
      <c r="H318" s="200"/>
      <c r="I318" s="200"/>
      <c r="J318" s="200"/>
      <c r="K318" s="200"/>
      <c r="L318" s="200"/>
      <c r="M318" s="200"/>
      <c r="N318" s="200"/>
      <c r="O318" s="200"/>
      <c r="P318" s="200"/>
      <c r="Q318" s="200"/>
      <c r="R318" s="200"/>
      <c r="S318" s="200"/>
      <c r="T318" s="200"/>
      <c r="U318" s="200"/>
      <c r="V318" s="200"/>
      <c r="W318" s="200"/>
    </row>
    <row r="319" spans="1:23" ht="12.75">
      <c r="A319" s="201"/>
      <c r="B319" s="201"/>
      <c r="C319" s="201"/>
      <c r="D319" s="224"/>
      <c r="E319" s="201"/>
      <c r="F319" s="201"/>
      <c r="G319" s="200"/>
      <c r="H319" s="200"/>
      <c r="I319" s="200"/>
      <c r="J319" s="200"/>
      <c r="K319" s="200"/>
      <c r="L319" s="200"/>
      <c r="M319" s="200"/>
      <c r="N319" s="200"/>
      <c r="O319" s="200"/>
      <c r="P319" s="200"/>
      <c r="Q319" s="200"/>
      <c r="R319" s="200"/>
      <c r="S319" s="200"/>
      <c r="T319" s="200"/>
      <c r="U319" s="200"/>
      <c r="V319" s="200"/>
      <c r="W319" s="200"/>
    </row>
    <row r="320" spans="1:23" ht="12.75">
      <c r="A320" s="201"/>
      <c r="B320" s="201"/>
      <c r="C320" s="201"/>
      <c r="D320" s="224"/>
      <c r="E320" s="201"/>
      <c r="F320" s="201"/>
      <c r="G320" s="200"/>
      <c r="H320" s="200"/>
      <c r="I320" s="200"/>
      <c r="J320" s="200"/>
      <c r="K320" s="200"/>
      <c r="L320" s="200"/>
      <c r="M320" s="200"/>
      <c r="N320" s="200"/>
      <c r="O320" s="200"/>
      <c r="P320" s="200"/>
      <c r="Q320" s="200"/>
      <c r="R320" s="200"/>
      <c r="S320" s="200"/>
      <c r="T320" s="200"/>
      <c r="U320" s="200"/>
      <c r="V320" s="200"/>
      <c r="W320" s="200"/>
    </row>
    <row r="321" spans="1:23" ht="12.75">
      <c r="A321" s="201"/>
      <c r="B321" s="201"/>
      <c r="C321" s="201"/>
      <c r="D321" s="224"/>
      <c r="E321" s="201"/>
      <c r="F321" s="201"/>
      <c r="G321" s="200"/>
      <c r="H321" s="200"/>
      <c r="I321" s="200"/>
      <c r="J321" s="200"/>
      <c r="K321" s="200"/>
      <c r="L321" s="200"/>
      <c r="M321" s="200"/>
      <c r="N321" s="200"/>
      <c r="O321" s="200"/>
      <c r="P321" s="200"/>
      <c r="Q321" s="200"/>
      <c r="R321" s="200"/>
      <c r="S321" s="200"/>
      <c r="T321" s="200"/>
      <c r="U321" s="200"/>
      <c r="V321" s="200"/>
      <c r="W321" s="200"/>
    </row>
    <row r="322" spans="1:23" ht="12.75">
      <c r="A322" s="201"/>
      <c r="B322" s="201"/>
      <c r="C322" s="201"/>
      <c r="D322" s="224"/>
      <c r="E322" s="201"/>
      <c r="F322" s="201"/>
      <c r="G322" s="200"/>
      <c r="H322" s="200"/>
      <c r="I322" s="200"/>
      <c r="J322" s="200"/>
      <c r="K322" s="200"/>
      <c r="L322" s="200"/>
      <c r="M322" s="200"/>
      <c r="N322" s="200"/>
      <c r="O322" s="200"/>
      <c r="P322" s="200"/>
      <c r="Q322" s="200"/>
      <c r="R322" s="200"/>
      <c r="S322" s="200"/>
      <c r="T322" s="200"/>
      <c r="U322" s="200"/>
      <c r="V322" s="200"/>
      <c r="W322" s="200"/>
    </row>
    <row r="323" spans="1:23" ht="12.75">
      <c r="A323" s="201"/>
      <c r="B323" s="201"/>
      <c r="C323" s="201"/>
      <c r="D323" s="224"/>
      <c r="E323" s="201"/>
      <c r="F323" s="201"/>
      <c r="G323" s="200"/>
      <c r="H323" s="200"/>
      <c r="I323" s="200"/>
      <c r="J323" s="200"/>
      <c r="K323" s="200"/>
      <c r="L323" s="200"/>
      <c r="M323" s="200"/>
      <c r="N323" s="200"/>
      <c r="O323" s="200"/>
      <c r="P323" s="200"/>
      <c r="Q323" s="200"/>
      <c r="R323" s="200"/>
      <c r="S323" s="200"/>
      <c r="T323" s="200"/>
      <c r="U323" s="200"/>
      <c r="V323" s="200"/>
      <c r="W323" s="200"/>
    </row>
    <row r="324" spans="1:23" ht="12.75">
      <c r="A324" s="201"/>
      <c r="B324" s="201"/>
      <c r="C324" s="201"/>
      <c r="D324" s="224"/>
      <c r="E324" s="201"/>
      <c r="F324" s="201"/>
      <c r="G324" s="200"/>
      <c r="H324" s="200"/>
      <c r="I324" s="200"/>
      <c r="J324" s="200"/>
      <c r="K324" s="200"/>
      <c r="L324" s="200"/>
      <c r="M324" s="200"/>
      <c r="N324" s="200"/>
      <c r="O324" s="200"/>
      <c r="P324" s="200"/>
      <c r="Q324" s="200"/>
      <c r="R324" s="200"/>
      <c r="S324" s="200"/>
      <c r="T324" s="200"/>
      <c r="U324" s="200"/>
      <c r="V324" s="200"/>
      <c r="W324" s="200"/>
    </row>
    <row r="325" spans="1:23" ht="12.75">
      <c r="A325" s="201"/>
      <c r="B325" s="201"/>
      <c r="C325" s="201"/>
      <c r="D325" s="224"/>
      <c r="E325" s="201"/>
      <c r="F325" s="201"/>
      <c r="G325" s="200"/>
      <c r="H325" s="200"/>
      <c r="I325" s="200"/>
      <c r="J325" s="200"/>
      <c r="K325" s="200"/>
      <c r="L325" s="200"/>
      <c r="M325" s="200"/>
      <c r="N325" s="200"/>
      <c r="O325" s="200"/>
      <c r="P325" s="200"/>
      <c r="Q325" s="200"/>
      <c r="R325" s="200"/>
      <c r="S325" s="200"/>
      <c r="T325" s="200"/>
      <c r="U325" s="200"/>
      <c r="V325" s="200"/>
      <c r="W325" s="200"/>
    </row>
    <row r="326" spans="1:23" ht="12.75">
      <c r="A326" s="201"/>
      <c r="B326" s="201"/>
      <c r="C326" s="201"/>
      <c r="D326" s="224"/>
      <c r="E326" s="201"/>
      <c r="F326" s="201"/>
      <c r="G326" s="200"/>
      <c r="H326" s="200"/>
      <c r="I326" s="200"/>
      <c r="J326" s="200"/>
      <c r="K326" s="200"/>
      <c r="L326" s="200"/>
      <c r="M326" s="200"/>
      <c r="N326" s="200"/>
      <c r="O326" s="200"/>
      <c r="P326" s="200"/>
      <c r="Q326" s="200"/>
      <c r="R326" s="200"/>
      <c r="S326" s="200"/>
      <c r="T326" s="200"/>
      <c r="U326" s="200"/>
      <c r="V326" s="200"/>
      <c r="W326" s="200"/>
    </row>
    <row r="327" spans="1:23" ht="12.75">
      <c r="A327" s="201"/>
      <c r="B327" s="201"/>
      <c r="C327" s="201"/>
      <c r="D327" s="224"/>
      <c r="E327" s="201"/>
      <c r="F327" s="201"/>
      <c r="G327" s="200"/>
      <c r="H327" s="200"/>
      <c r="I327" s="200"/>
      <c r="J327" s="200"/>
      <c r="K327" s="200"/>
      <c r="L327" s="200"/>
      <c r="M327" s="200"/>
      <c r="N327" s="200"/>
      <c r="O327" s="200"/>
      <c r="P327" s="200"/>
      <c r="Q327" s="200"/>
      <c r="R327" s="200"/>
      <c r="S327" s="200"/>
      <c r="T327" s="200"/>
      <c r="U327" s="200"/>
      <c r="V327" s="200"/>
      <c r="W327" s="200"/>
    </row>
    <row r="328" spans="1:23" ht="12.75">
      <c r="A328" s="201"/>
      <c r="B328" s="201"/>
      <c r="C328" s="201"/>
      <c r="D328" s="224"/>
      <c r="E328" s="201"/>
      <c r="F328" s="201"/>
      <c r="G328" s="200"/>
      <c r="H328" s="200"/>
      <c r="I328" s="200"/>
      <c r="J328" s="200"/>
      <c r="K328" s="200"/>
      <c r="L328" s="200"/>
      <c r="M328" s="200"/>
      <c r="N328" s="200"/>
      <c r="O328" s="200"/>
      <c r="P328" s="200"/>
      <c r="Q328" s="200"/>
      <c r="R328" s="200"/>
      <c r="S328" s="200"/>
      <c r="T328" s="200"/>
      <c r="U328" s="200"/>
      <c r="V328" s="200"/>
      <c r="W328" s="200"/>
    </row>
    <row r="329" spans="1:23" ht="12.75">
      <c r="A329" s="201"/>
      <c r="B329" s="201"/>
      <c r="C329" s="201"/>
      <c r="D329" s="224"/>
      <c r="E329" s="201"/>
      <c r="F329" s="201"/>
      <c r="G329" s="200"/>
      <c r="H329" s="200"/>
      <c r="I329" s="200"/>
      <c r="J329" s="200"/>
      <c r="K329" s="200"/>
      <c r="L329" s="200"/>
      <c r="M329" s="200"/>
      <c r="N329" s="200"/>
      <c r="O329" s="200"/>
      <c r="P329" s="200"/>
      <c r="Q329" s="200"/>
      <c r="R329" s="200"/>
      <c r="S329" s="200"/>
      <c r="T329" s="200"/>
      <c r="U329" s="200"/>
      <c r="V329" s="200"/>
      <c r="W329" s="200"/>
    </row>
    <row r="330" spans="1:23" ht="12.75">
      <c r="A330" s="201"/>
      <c r="B330" s="201"/>
      <c r="C330" s="201"/>
      <c r="D330" s="224"/>
      <c r="E330" s="201"/>
      <c r="F330" s="201"/>
      <c r="G330" s="200"/>
      <c r="H330" s="200"/>
      <c r="I330" s="200"/>
      <c r="J330" s="200"/>
      <c r="K330" s="200"/>
      <c r="L330" s="200"/>
      <c r="M330" s="200"/>
      <c r="N330" s="200"/>
      <c r="O330" s="200"/>
      <c r="P330" s="200"/>
      <c r="Q330" s="200"/>
      <c r="R330" s="200"/>
      <c r="S330" s="200"/>
      <c r="T330" s="200"/>
      <c r="U330" s="200"/>
      <c r="V330" s="200"/>
      <c r="W330" s="200"/>
    </row>
    <row r="331" spans="1:23" ht="12.75">
      <c r="A331" s="201"/>
      <c r="B331" s="201"/>
      <c r="C331" s="201"/>
      <c r="D331" s="224"/>
      <c r="E331" s="201"/>
      <c r="F331" s="201"/>
      <c r="G331" s="200"/>
      <c r="H331" s="200"/>
      <c r="I331" s="200"/>
      <c r="J331" s="200"/>
      <c r="K331" s="200"/>
      <c r="L331" s="200"/>
      <c r="M331" s="200"/>
      <c r="N331" s="200"/>
      <c r="O331" s="200"/>
      <c r="P331" s="200"/>
      <c r="Q331" s="200"/>
      <c r="R331" s="200"/>
      <c r="S331" s="200"/>
      <c r="T331" s="200"/>
      <c r="U331" s="200"/>
      <c r="V331" s="200"/>
      <c r="W331" s="200"/>
    </row>
    <row r="332" spans="1:23" ht="12.75">
      <c r="A332" s="201"/>
      <c r="B332" s="201"/>
      <c r="C332" s="201"/>
      <c r="D332" s="224"/>
      <c r="E332" s="201"/>
      <c r="F332" s="201"/>
      <c r="G332" s="200"/>
      <c r="H332" s="200"/>
      <c r="I332" s="200"/>
      <c r="J332" s="200"/>
      <c r="K332" s="200"/>
      <c r="L332" s="200"/>
      <c r="M332" s="200"/>
      <c r="N332" s="200"/>
      <c r="O332" s="200"/>
      <c r="P332" s="200"/>
      <c r="Q332" s="200"/>
      <c r="R332" s="200"/>
      <c r="S332" s="200"/>
      <c r="T332" s="200"/>
      <c r="U332" s="200"/>
      <c r="V332" s="200"/>
      <c r="W332" s="200"/>
    </row>
    <row r="333" spans="1:23" ht="12.75">
      <c r="A333" s="201"/>
      <c r="B333" s="201"/>
      <c r="C333" s="201"/>
      <c r="D333" s="224"/>
      <c r="E333" s="201"/>
      <c r="F333" s="201"/>
      <c r="G333" s="200"/>
      <c r="H333" s="200"/>
      <c r="I333" s="200"/>
      <c r="J333" s="200"/>
      <c r="K333" s="200"/>
      <c r="L333" s="200"/>
      <c r="M333" s="200"/>
      <c r="N333" s="200"/>
      <c r="O333" s="200"/>
      <c r="P333" s="200"/>
      <c r="Q333" s="200"/>
      <c r="R333" s="200"/>
      <c r="S333" s="200"/>
      <c r="T333" s="200"/>
      <c r="U333" s="200"/>
      <c r="V333" s="200"/>
      <c r="W333" s="200"/>
    </row>
    <row r="334" spans="1:23" ht="12.75">
      <c r="A334" s="201"/>
      <c r="B334" s="201"/>
      <c r="C334" s="201"/>
      <c r="D334" s="224"/>
      <c r="E334" s="201"/>
      <c r="F334" s="201"/>
      <c r="G334" s="200"/>
      <c r="H334" s="200"/>
      <c r="I334" s="200"/>
      <c r="J334" s="200"/>
      <c r="K334" s="200"/>
      <c r="L334" s="200"/>
      <c r="M334" s="200"/>
      <c r="N334" s="200"/>
      <c r="O334" s="200"/>
      <c r="P334" s="200"/>
      <c r="Q334" s="200"/>
      <c r="R334" s="200"/>
      <c r="S334" s="200"/>
      <c r="T334" s="200"/>
      <c r="U334" s="200"/>
      <c r="V334" s="200"/>
      <c r="W334" s="200"/>
    </row>
    <row r="335" spans="1:23" ht="12.75">
      <c r="A335" s="201"/>
      <c r="B335" s="201"/>
      <c r="C335" s="201"/>
      <c r="D335" s="224"/>
      <c r="E335" s="201"/>
      <c r="F335" s="201"/>
      <c r="G335" s="200"/>
      <c r="H335" s="200"/>
      <c r="I335" s="200"/>
      <c r="J335" s="200"/>
      <c r="K335" s="200"/>
      <c r="L335" s="200"/>
      <c r="M335" s="200"/>
      <c r="N335" s="200"/>
      <c r="O335" s="200"/>
      <c r="P335" s="200"/>
      <c r="Q335" s="200"/>
      <c r="R335" s="200"/>
      <c r="S335" s="200"/>
      <c r="T335" s="200"/>
      <c r="U335" s="200"/>
      <c r="V335" s="200"/>
      <c r="W335" s="200"/>
    </row>
    <row r="336" spans="1:23" ht="12.75">
      <c r="A336" s="201"/>
      <c r="B336" s="201"/>
      <c r="C336" s="201"/>
      <c r="D336" s="224"/>
      <c r="E336" s="201"/>
      <c r="F336" s="201"/>
      <c r="G336" s="200"/>
      <c r="H336" s="200"/>
      <c r="I336" s="200"/>
      <c r="J336" s="200"/>
      <c r="K336" s="200"/>
      <c r="L336" s="200"/>
      <c r="M336" s="200"/>
      <c r="N336" s="200"/>
      <c r="O336" s="200"/>
      <c r="P336" s="200"/>
      <c r="Q336" s="200"/>
      <c r="R336" s="200"/>
      <c r="S336" s="200"/>
      <c r="T336" s="200"/>
      <c r="U336" s="200"/>
      <c r="V336" s="200"/>
      <c r="W336" s="200"/>
    </row>
    <row r="337" spans="1:23" ht="12.75">
      <c r="A337" s="201"/>
      <c r="B337" s="201"/>
      <c r="C337" s="201"/>
      <c r="D337" s="224"/>
      <c r="E337" s="201"/>
      <c r="F337" s="201"/>
      <c r="G337" s="200"/>
      <c r="H337" s="200"/>
      <c r="I337" s="200"/>
      <c r="J337" s="200"/>
      <c r="K337" s="200"/>
      <c r="L337" s="200"/>
      <c r="M337" s="200"/>
      <c r="N337" s="200"/>
      <c r="O337" s="200"/>
      <c r="P337" s="200"/>
      <c r="Q337" s="200"/>
      <c r="R337" s="200"/>
      <c r="S337" s="200"/>
      <c r="T337" s="200"/>
      <c r="U337" s="200"/>
      <c r="V337" s="200"/>
      <c r="W337" s="200"/>
    </row>
    <row r="338" spans="1:23" ht="12.75">
      <c r="A338" s="201"/>
      <c r="B338" s="201"/>
      <c r="C338" s="201"/>
      <c r="D338" s="224"/>
      <c r="E338" s="201"/>
      <c r="F338" s="201"/>
      <c r="G338" s="200"/>
      <c r="H338" s="200"/>
      <c r="I338" s="200"/>
      <c r="J338" s="200"/>
      <c r="K338" s="200"/>
      <c r="L338" s="200"/>
      <c r="M338" s="200"/>
      <c r="N338" s="200"/>
      <c r="O338" s="200"/>
      <c r="P338" s="200"/>
      <c r="Q338" s="200"/>
      <c r="R338" s="200"/>
      <c r="S338" s="200"/>
      <c r="T338" s="200"/>
      <c r="U338" s="200"/>
      <c r="V338" s="200"/>
      <c r="W338" s="200"/>
    </row>
    <row r="339" spans="1:23" ht="12.75">
      <c r="A339" s="201"/>
      <c r="B339" s="201"/>
      <c r="C339" s="201"/>
      <c r="D339" s="224"/>
      <c r="E339" s="201"/>
      <c r="F339" s="201"/>
      <c r="G339" s="200"/>
      <c r="H339" s="200"/>
      <c r="I339" s="200"/>
      <c r="J339" s="200"/>
      <c r="K339" s="200"/>
      <c r="L339" s="200"/>
      <c r="M339" s="200"/>
      <c r="N339" s="200"/>
      <c r="O339" s="200"/>
      <c r="P339" s="200"/>
      <c r="Q339" s="200"/>
      <c r="R339" s="200"/>
      <c r="S339" s="200"/>
      <c r="T339" s="200"/>
      <c r="U339" s="200"/>
      <c r="V339" s="200"/>
      <c r="W339" s="200"/>
    </row>
    <row r="340" spans="1:23" ht="12.75">
      <c r="A340" s="201"/>
      <c r="B340" s="201"/>
      <c r="C340" s="201"/>
      <c r="D340" s="224"/>
      <c r="E340" s="201"/>
      <c r="F340" s="201"/>
      <c r="G340" s="200"/>
      <c r="H340" s="200"/>
      <c r="I340" s="200"/>
      <c r="J340" s="200"/>
      <c r="K340" s="200"/>
      <c r="L340" s="200"/>
      <c r="M340" s="200"/>
      <c r="N340" s="200"/>
      <c r="O340" s="200"/>
      <c r="P340" s="200"/>
      <c r="Q340" s="200"/>
      <c r="R340" s="200"/>
      <c r="S340" s="200"/>
      <c r="T340" s="200"/>
      <c r="U340" s="200"/>
      <c r="V340" s="200"/>
      <c r="W340" s="200"/>
    </row>
    <row r="341" spans="1:23" ht="12.75">
      <c r="A341" s="201"/>
      <c r="B341" s="201"/>
      <c r="C341" s="201"/>
      <c r="D341" s="224"/>
      <c r="E341" s="201"/>
      <c r="F341" s="201"/>
      <c r="G341" s="200"/>
      <c r="H341" s="200"/>
      <c r="I341" s="200"/>
      <c r="J341" s="200"/>
      <c r="K341" s="200"/>
      <c r="L341" s="200"/>
      <c r="M341" s="200"/>
      <c r="N341" s="200"/>
      <c r="O341" s="200"/>
      <c r="P341" s="200"/>
      <c r="Q341" s="200"/>
      <c r="R341" s="200"/>
      <c r="S341" s="200"/>
      <c r="T341" s="200"/>
      <c r="U341" s="200"/>
      <c r="V341" s="200"/>
      <c r="W341" s="200"/>
    </row>
    <row r="342" spans="1:23" ht="12.75">
      <c r="A342" s="201"/>
      <c r="B342" s="201"/>
      <c r="C342" s="201"/>
      <c r="D342" s="224"/>
      <c r="E342" s="201"/>
      <c r="F342" s="201"/>
      <c r="G342" s="200"/>
      <c r="H342" s="200"/>
      <c r="I342" s="200"/>
      <c r="J342" s="200"/>
      <c r="K342" s="200"/>
      <c r="L342" s="200"/>
      <c r="M342" s="200"/>
      <c r="N342" s="200"/>
      <c r="O342" s="200"/>
      <c r="P342" s="200"/>
      <c r="Q342" s="200"/>
      <c r="R342" s="200"/>
      <c r="S342" s="200"/>
      <c r="T342" s="200"/>
      <c r="U342" s="200"/>
      <c r="V342" s="200"/>
      <c r="W342" s="200"/>
    </row>
    <row r="343" spans="1:23" ht="12.75">
      <c r="A343" s="201"/>
      <c r="B343" s="201"/>
      <c r="C343" s="201"/>
      <c r="D343" s="224"/>
      <c r="E343" s="201"/>
      <c r="F343" s="201"/>
      <c r="G343" s="200"/>
      <c r="H343" s="200"/>
      <c r="I343" s="200"/>
      <c r="J343" s="200"/>
      <c r="K343" s="200"/>
      <c r="L343" s="200"/>
      <c r="M343" s="200"/>
      <c r="N343" s="200"/>
      <c r="O343" s="200"/>
      <c r="P343" s="200"/>
      <c r="Q343" s="200"/>
      <c r="R343" s="200"/>
      <c r="S343" s="200"/>
      <c r="T343" s="200"/>
      <c r="U343" s="200"/>
      <c r="V343" s="200"/>
      <c r="W343" s="200"/>
    </row>
    <row r="344" spans="1:23" ht="12.75">
      <c r="A344" s="201"/>
      <c r="B344" s="201"/>
      <c r="C344" s="201"/>
      <c r="D344" s="224"/>
      <c r="E344" s="201"/>
      <c r="F344" s="201"/>
      <c r="G344" s="200"/>
      <c r="H344" s="200"/>
      <c r="I344" s="200"/>
      <c r="J344" s="200"/>
      <c r="K344" s="200"/>
      <c r="L344" s="200"/>
      <c r="M344" s="200"/>
      <c r="N344" s="200"/>
      <c r="O344" s="200"/>
      <c r="P344" s="200"/>
      <c r="Q344" s="200"/>
      <c r="R344" s="200"/>
      <c r="S344" s="200"/>
      <c r="T344" s="200"/>
      <c r="U344" s="200"/>
      <c r="V344" s="200"/>
      <c r="W344" s="200"/>
    </row>
    <row r="345" spans="1:23" ht="12.75">
      <c r="A345" s="201"/>
      <c r="B345" s="201"/>
      <c r="C345" s="201"/>
      <c r="D345" s="224"/>
      <c r="E345" s="201"/>
      <c r="F345" s="201"/>
      <c r="G345" s="200"/>
      <c r="H345" s="200"/>
      <c r="I345" s="200"/>
      <c r="J345" s="200"/>
      <c r="K345" s="200"/>
      <c r="L345" s="200"/>
      <c r="M345" s="200"/>
      <c r="N345" s="200"/>
      <c r="O345" s="200"/>
      <c r="P345" s="200"/>
      <c r="Q345" s="200"/>
      <c r="R345" s="200"/>
      <c r="S345" s="200"/>
      <c r="T345" s="200"/>
      <c r="U345" s="200"/>
      <c r="V345" s="200"/>
      <c r="W345" s="200"/>
    </row>
    <row r="346" spans="1:23" ht="12.75">
      <c r="A346" s="201"/>
      <c r="B346" s="201"/>
      <c r="C346" s="201"/>
      <c r="D346" s="224"/>
      <c r="E346" s="201"/>
      <c r="F346" s="201"/>
      <c r="G346" s="200"/>
      <c r="H346" s="200"/>
      <c r="I346" s="200"/>
      <c r="J346" s="200"/>
      <c r="K346" s="200"/>
      <c r="L346" s="200"/>
      <c r="M346" s="200"/>
      <c r="N346" s="200"/>
      <c r="O346" s="200"/>
      <c r="P346" s="200"/>
      <c r="Q346" s="200"/>
      <c r="R346" s="200"/>
      <c r="S346" s="200"/>
      <c r="T346" s="200"/>
      <c r="U346" s="200"/>
      <c r="V346" s="200"/>
      <c r="W346" s="200"/>
    </row>
    <row r="347" spans="1:23" ht="12.75">
      <c r="A347" s="201"/>
      <c r="B347" s="201"/>
      <c r="C347" s="201"/>
      <c r="D347" s="224"/>
      <c r="E347" s="201"/>
      <c r="F347" s="201"/>
      <c r="G347" s="200"/>
      <c r="H347" s="200"/>
      <c r="I347" s="200"/>
      <c r="J347" s="200"/>
      <c r="K347" s="200"/>
      <c r="L347" s="200"/>
      <c r="M347" s="200"/>
      <c r="N347" s="200"/>
      <c r="O347" s="200"/>
      <c r="P347" s="200"/>
      <c r="Q347" s="200"/>
      <c r="R347" s="200"/>
      <c r="S347" s="200"/>
      <c r="T347" s="200"/>
      <c r="U347" s="200"/>
      <c r="V347" s="200"/>
      <c r="W347" s="200"/>
    </row>
    <row r="348" spans="1:23" ht="12.75">
      <c r="A348" s="201"/>
      <c r="B348" s="201"/>
      <c r="C348" s="201"/>
      <c r="D348" s="224"/>
      <c r="E348" s="201"/>
      <c r="F348" s="201"/>
      <c r="G348" s="200"/>
      <c r="H348" s="200"/>
      <c r="I348" s="200"/>
      <c r="J348" s="200"/>
      <c r="K348" s="200"/>
      <c r="L348" s="200"/>
      <c r="M348" s="200"/>
      <c r="N348" s="200"/>
      <c r="O348" s="200"/>
      <c r="P348" s="200"/>
      <c r="Q348" s="200"/>
      <c r="R348" s="200"/>
      <c r="S348" s="200"/>
      <c r="T348" s="200"/>
      <c r="U348" s="200"/>
      <c r="V348" s="200"/>
      <c r="W348" s="200"/>
    </row>
    <row r="349" spans="1:23" ht="12.75">
      <c r="A349" s="201"/>
      <c r="B349" s="201"/>
      <c r="C349" s="201"/>
      <c r="D349" s="224"/>
      <c r="E349" s="201"/>
      <c r="F349" s="201"/>
      <c r="G349" s="200"/>
      <c r="H349" s="200"/>
      <c r="I349" s="200"/>
      <c r="J349" s="200"/>
      <c r="K349" s="200"/>
      <c r="L349" s="200"/>
      <c r="M349" s="200"/>
      <c r="N349" s="200"/>
      <c r="O349" s="200"/>
      <c r="P349" s="200"/>
      <c r="Q349" s="200"/>
      <c r="R349" s="200"/>
      <c r="S349" s="200"/>
      <c r="T349" s="200"/>
      <c r="U349" s="200"/>
      <c r="V349" s="200"/>
      <c r="W349" s="200"/>
    </row>
    <row r="350" spans="1:23" ht="12.75">
      <c r="A350" s="201"/>
      <c r="B350" s="201"/>
      <c r="C350" s="201"/>
      <c r="D350" s="224"/>
      <c r="E350" s="201"/>
      <c r="F350" s="201"/>
      <c r="G350" s="200"/>
      <c r="H350" s="200"/>
      <c r="I350" s="200"/>
      <c r="J350" s="200"/>
      <c r="K350" s="200"/>
      <c r="L350" s="200"/>
      <c r="M350" s="200"/>
      <c r="N350" s="200"/>
      <c r="O350" s="200"/>
      <c r="P350" s="200"/>
      <c r="Q350" s="200"/>
      <c r="R350" s="200"/>
      <c r="S350" s="200"/>
      <c r="T350" s="200"/>
      <c r="U350" s="200"/>
      <c r="V350" s="200"/>
      <c r="W350" s="200"/>
    </row>
    <row r="351" spans="1:23" ht="12.75">
      <c r="A351" s="201"/>
      <c r="B351" s="201"/>
      <c r="C351" s="201"/>
      <c r="D351" s="224"/>
      <c r="E351" s="201"/>
      <c r="F351" s="201"/>
      <c r="G351" s="200"/>
      <c r="H351" s="200"/>
      <c r="I351" s="200"/>
      <c r="J351" s="200"/>
      <c r="K351" s="200"/>
      <c r="L351" s="200"/>
      <c r="M351" s="200"/>
      <c r="N351" s="200"/>
      <c r="O351" s="200"/>
      <c r="P351" s="200"/>
      <c r="Q351" s="200"/>
      <c r="R351" s="200"/>
      <c r="S351" s="200"/>
      <c r="T351" s="200"/>
      <c r="U351" s="200"/>
      <c r="V351" s="200"/>
      <c r="W351" s="200"/>
    </row>
    <row r="352" spans="1:23" ht="12.75">
      <c r="A352" s="201"/>
      <c r="B352" s="201"/>
      <c r="C352" s="201"/>
      <c r="D352" s="224"/>
      <c r="E352" s="201"/>
      <c r="F352" s="201"/>
      <c r="G352" s="200"/>
      <c r="H352" s="200"/>
      <c r="I352" s="200"/>
      <c r="J352" s="200"/>
      <c r="K352" s="200"/>
      <c r="L352" s="200"/>
      <c r="M352" s="200"/>
      <c r="N352" s="200"/>
      <c r="O352" s="200"/>
      <c r="P352" s="200"/>
      <c r="Q352" s="200"/>
      <c r="R352" s="200"/>
      <c r="S352" s="200"/>
      <c r="T352" s="200"/>
      <c r="U352" s="200"/>
      <c r="V352" s="200"/>
      <c r="W352" s="200"/>
    </row>
    <row r="353" spans="1:23" ht="12.75">
      <c r="A353" s="201"/>
      <c r="B353" s="201"/>
      <c r="C353" s="201"/>
      <c r="D353" s="224"/>
      <c r="E353" s="201"/>
      <c r="F353" s="201"/>
      <c r="G353" s="200"/>
      <c r="H353" s="200"/>
      <c r="I353" s="200"/>
      <c r="J353" s="200"/>
      <c r="K353" s="200"/>
      <c r="L353" s="200"/>
      <c r="M353" s="200"/>
      <c r="N353" s="200"/>
      <c r="O353" s="200"/>
      <c r="P353" s="200"/>
      <c r="Q353" s="200"/>
      <c r="R353" s="200"/>
      <c r="S353" s="200"/>
      <c r="T353" s="200"/>
      <c r="U353" s="200"/>
      <c r="V353" s="200"/>
      <c r="W353" s="200"/>
    </row>
    <row r="354" spans="1:23" ht="12.75">
      <c r="A354" s="201"/>
      <c r="B354" s="201"/>
      <c r="C354" s="201"/>
      <c r="D354" s="224"/>
      <c r="E354" s="201"/>
      <c r="F354" s="201"/>
      <c r="G354" s="200"/>
      <c r="H354" s="200"/>
      <c r="I354" s="200"/>
      <c r="J354" s="200"/>
      <c r="K354" s="200"/>
      <c r="L354" s="200"/>
      <c r="M354" s="200"/>
      <c r="N354" s="200"/>
      <c r="O354" s="200"/>
      <c r="P354" s="200"/>
      <c r="Q354" s="200"/>
      <c r="R354" s="200"/>
      <c r="S354" s="200"/>
      <c r="T354" s="200"/>
      <c r="U354" s="200"/>
      <c r="V354" s="200"/>
      <c r="W354" s="200"/>
    </row>
    <row r="355" spans="1:23" ht="12.75">
      <c r="A355" s="201"/>
      <c r="B355" s="201"/>
      <c r="C355" s="201"/>
      <c r="D355" s="224"/>
      <c r="E355" s="201"/>
      <c r="F355" s="201"/>
      <c r="G355" s="200"/>
      <c r="H355" s="200"/>
      <c r="I355" s="200"/>
      <c r="J355" s="200"/>
      <c r="K355" s="200"/>
      <c r="L355" s="200"/>
      <c r="M355" s="200"/>
      <c r="N355" s="200"/>
      <c r="O355" s="200"/>
      <c r="P355" s="200"/>
      <c r="Q355" s="200"/>
      <c r="R355" s="200"/>
      <c r="S355" s="200"/>
      <c r="T355" s="200"/>
      <c r="U355" s="200"/>
      <c r="V355" s="200"/>
      <c r="W355" s="200"/>
    </row>
    <row r="356" spans="1:23" ht="12.75">
      <c r="A356" s="201"/>
      <c r="B356" s="201"/>
      <c r="C356" s="201"/>
      <c r="D356" s="224"/>
      <c r="E356" s="201"/>
      <c r="F356" s="201"/>
      <c r="G356" s="200"/>
      <c r="H356" s="200"/>
      <c r="I356" s="200"/>
      <c r="J356" s="200"/>
      <c r="K356" s="200"/>
      <c r="L356" s="200"/>
      <c r="M356" s="200"/>
      <c r="N356" s="200"/>
      <c r="O356" s="200"/>
      <c r="P356" s="200"/>
      <c r="Q356" s="200"/>
      <c r="R356" s="200"/>
      <c r="S356" s="200"/>
      <c r="T356" s="200"/>
      <c r="U356" s="200"/>
      <c r="V356" s="200"/>
      <c r="W356" s="200"/>
    </row>
    <row r="357" spans="1:23" ht="12.75">
      <c r="A357" s="201"/>
      <c r="B357" s="201"/>
      <c r="C357" s="201"/>
      <c r="D357" s="224"/>
      <c r="E357" s="201"/>
      <c r="F357" s="201"/>
      <c r="G357" s="200"/>
      <c r="H357" s="200"/>
      <c r="I357" s="200"/>
      <c r="J357" s="200"/>
      <c r="K357" s="200"/>
      <c r="L357" s="200"/>
      <c r="M357" s="200"/>
      <c r="N357" s="200"/>
      <c r="O357" s="200"/>
      <c r="P357" s="200"/>
      <c r="Q357" s="200"/>
      <c r="R357" s="200"/>
      <c r="S357" s="200"/>
      <c r="T357" s="200"/>
      <c r="U357" s="200"/>
      <c r="V357" s="200"/>
      <c r="W357" s="200"/>
    </row>
    <row r="358" spans="1:23" ht="12.75">
      <c r="A358" s="201"/>
      <c r="B358" s="201"/>
      <c r="C358" s="201"/>
      <c r="D358" s="224"/>
      <c r="E358" s="201"/>
      <c r="F358" s="201"/>
      <c r="G358" s="200"/>
      <c r="H358" s="200"/>
      <c r="I358" s="200"/>
      <c r="J358" s="200"/>
      <c r="K358" s="200"/>
      <c r="L358" s="200"/>
      <c r="M358" s="200"/>
      <c r="N358" s="200"/>
      <c r="O358" s="200"/>
      <c r="P358" s="200"/>
      <c r="Q358" s="200"/>
      <c r="R358" s="200"/>
      <c r="S358" s="200"/>
      <c r="T358" s="200"/>
      <c r="U358" s="200"/>
      <c r="V358" s="200"/>
      <c r="W358" s="200"/>
    </row>
    <row r="359" spans="1:23" ht="12.75">
      <c r="A359" s="201"/>
      <c r="B359" s="201"/>
      <c r="C359" s="201"/>
      <c r="D359" s="224"/>
      <c r="E359" s="201"/>
      <c r="F359" s="201"/>
      <c r="G359" s="200"/>
      <c r="H359" s="200"/>
      <c r="I359" s="200"/>
      <c r="J359" s="200"/>
      <c r="K359" s="200"/>
      <c r="L359" s="200"/>
      <c r="M359" s="200"/>
      <c r="N359" s="200"/>
      <c r="O359" s="200"/>
      <c r="P359" s="200"/>
      <c r="Q359" s="200"/>
      <c r="R359" s="200"/>
      <c r="S359" s="200"/>
      <c r="T359" s="200"/>
      <c r="U359" s="200"/>
      <c r="V359" s="200"/>
      <c r="W359" s="200"/>
    </row>
    <row r="360" spans="1:23" ht="12.75">
      <c r="A360" s="201"/>
      <c r="B360" s="201"/>
      <c r="C360" s="201"/>
      <c r="D360" s="224"/>
      <c r="E360" s="201"/>
      <c r="F360" s="201"/>
      <c r="G360" s="200"/>
      <c r="H360" s="200"/>
      <c r="I360" s="200"/>
      <c r="J360" s="200"/>
      <c r="K360" s="200"/>
      <c r="L360" s="200"/>
      <c r="M360" s="200"/>
      <c r="N360" s="200"/>
      <c r="O360" s="200"/>
      <c r="P360" s="200"/>
      <c r="Q360" s="200"/>
      <c r="R360" s="200"/>
      <c r="S360" s="200"/>
      <c r="T360" s="200"/>
      <c r="U360" s="200"/>
      <c r="V360" s="200"/>
      <c r="W360" s="200"/>
    </row>
    <row r="361" spans="1:23" ht="12.75">
      <c r="A361" s="201"/>
      <c r="B361" s="201"/>
      <c r="C361" s="201"/>
      <c r="D361" s="224"/>
      <c r="E361" s="201"/>
      <c r="F361" s="201"/>
      <c r="G361" s="200"/>
      <c r="H361" s="200"/>
      <c r="I361" s="200"/>
      <c r="J361" s="200"/>
      <c r="K361" s="200"/>
      <c r="L361" s="200"/>
      <c r="M361" s="200"/>
      <c r="N361" s="200"/>
      <c r="O361" s="200"/>
      <c r="P361" s="200"/>
      <c r="Q361" s="200"/>
      <c r="R361" s="200"/>
      <c r="S361" s="200"/>
      <c r="T361" s="200"/>
      <c r="U361" s="200"/>
      <c r="V361" s="200"/>
      <c r="W361" s="200"/>
    </row>
    <row r="362" spans="1:23" ht="12.75">
      <c r="A362" s="201"/>
      <c r="B362" s="201"/>
      <c r="C362" s="201"/>
      <c r="D362" s="224"/>
      <c r="E362" s="201"/>
      <c r="F362" s="201"/>
      <c r="G362" s="200"/>
      <c r="H362" s="200"/>
      <c r="I362" s="200"/>
      <c r="J362" s="200"/>
      <c r="K362" s="200"/>
      <c r="L362" s="200"/>
      <c r="M362" s="200"/>
      <c r="N362" s="200"/>
      <c r="O362" s="200"/>
      <c r="P362" s="200"/>
      <c r="Q362" s="200"/>
      <c r="R362" s="200"/>
      <c r="S362" s="200"/>
      <c r="T362" s="200"/>
      <c r="U362" s="200"/>
      <c r="V362" s="200"/>
      <c r="W362" s="200"/>
    </row>
    <row r="363" spans="1:23" ht="12.75">
      <c r="A363" s="201"/>
      <c r="B363" s="201"/>
      <c r="C363" s="201"/>
      <c r="D363" s="224"/>
      <c r="E363" s="201"/>
      <c r="F363" s="201"/>
      <c r="G363" s="200"/>
      <c r="H363" s="200"/>
      <c r="I363" s="200"/>
      <c r="J363" s="200"/>
      <c r="K363" s="200"/>
      <c r="L363" s="200"/>
      <c r="M363" s="200"/>
      <c r="N363" s="200"/>
      <c r="O363" s="200"/>
      <c r="P363" s="200"/>
      <c r="Q363" s="200"/>
      <c r="R363" s="200"/>
      <c r="S363" s="200"/>
      <c r="T363" s="200"/>
      <c r="U363" s="200"/>
      <c r="V363" s="200"/>
      <c r="W363" s="200"/>
    </row>
    <row r="364" spans="1:23" ht="12.75">
      <c r="A364" s="201"/>
      <c r="B364" s="201"/>
      <c r="C364" s="201"/>
      <c r="D364" s="224"/>
      <c r="E364" s="201"/>
      <c r="F364" s="201"/>
      <c r="G364" s="200"/>
      <c r="H364" s="200"/>
      <c r="I364" s="200"/>
      <c r="J364" s="200"/>
      <c r="K364" s="200"/>
      <c r="L364" s="200"/>
      <c r="M364" s="200"/>
      <c r="N364" s="200"/>
      <c r="O364" s="200"/>
      <c r="P364" s="200"/>
      <c r="Q364" s="200"/>
      <c r="R364" s="200"/>
      <c r="S364" s="200"/>
      <c r="T364" s="200"/>
      <c r="U364" s="200"/>
      <c r="V364" s="200"/>
      <c r="W364" s="200"/>
    </row>
    <row r="365" spans="1:23" ht="12.75">
      <c r="A365" s="201"/>
      <c r="B365" s="201"/>
      <c r="C365" s="201"/>
      <c r="D365" s="224"/>
      <c r="E365" s="201"/>
      <c r="F365" s="201"/>
      <c r="G365" s="200"/>
      <c r="H365" s="200"/>
      <c r="I365" s="200"/>
      <c r="J365" s="200"/>
      <c r="K365" s="200"/>
      <c r="L365" s="200"/>
      <c r="M365" s="200"/>
      <c r="N365" s="200"/>
      <c r="O365" s="200"/>
      <c r="P365" s="200"/>
      <c r="Q365" s="200"/>
      <c r="R365" s="200"/>
      <c r="S365" s="200"/>
      <c r="T365" s="200"/>
      <c r="U365" s="200"/>
      <c r="V365" s="200"/>
      <c r="W365" s="200"/>
    </row>
    <row r="366" spans="1:23" ht="12.75">
      <c r="A366" s="201"/>
      <c r="B366" s="201"/>
      <c r="C366" s="201"/>
      <c r="D366" s="224"/>
      <c r="E366" s="201"/>
      <c r="F366" s="201"/>
      <c r="G366" s="200"/>
      <c r="H366" s="200"/>
      <c r="I366" s="200"/>
      <c r="J366" s="200"/>
      <c r="K366" s="200"/>
      <c r="L366" s="200"/>
      <c r="M366" s="200"/>
      <c r="N366" s="200"/>
      <c r="O366" s="200"/>
      <c r="P366" s="200"/>
      <c r="Q366" s="200"/>
      <c r="R366" s="200"/>
      <c r="S366" s="200"/>
      <c r="T366" s="200"/>
      <c r="U366" s="200"/>
      <c r="V366" s="200"/>
      <c r="W366" s="200"/>
    </row>
    <row r="367" spans="1:23" ht="12.75">
      <c r="A367" s="201"/>
      <c r="B367" s="201"/>
      <c r="C367" s="201"/>
      <c r="D367" s="224"/>
      <c r="E367" s="201"/>
      <c r="F367" s="201"/>
      <c r="G367" s="200"/>
      <c r="H367" s="200"/>
      <c r="I367" s="200"/>
      <c r="J367" s="200"/>
      <c r="K367" s="200"/>
      <c r="L367" s="200"/>
      <c r="M367" s="200"/>
      <c r="N367" s="200"/>
      <c r="O367" s="200"/>
      <c r="P367" s="200"/>
      <c r="Q367" s="200"/>
      <c r="R367" s="200"/>
      <c r="S367" s="200"/>
      <c r="T367" s="200"/>
      <c r="U367" s="200"/>
      <c r="V367" s="200"/>
      <c r="W367" s="200"/>
    </row>
    <row r="368" spans="1:23" ht="12.75">
      <c r="A368" s="201"/>
      <c r="B368" s="201"/>
      <c r="C368" s="201"/>
      <c r="D368" s="224"/>
      <c r="E368" s="201"/>
      <c r="F368" s="201"/>
      <c r="G368" s="200"/>
      <c r="H368" s="200"/>
      <c r="I368" s="200"/>
      <c r="J368" s="200"/>
      <c r="K368" s="200"/>
      <c r="L368" s="200"/>
      <c r="M368" s="200"/>
      <c r="N368" s="200"/>
      <c r="O368" s="200"/>
      <c r="P368" s="200"/>
      <c r="Q368" s="200"/>
      <c r="R368" s="200"/>
      <c r="S368" s="200"/>
      <c r="T368" s="200"/>
      <c r="U368" s="200"/>
      <c r="V368" s="200"/>
      <c r="W368" s="200"/>
    </row>
    <row r="369" spans="1:23" ht="12.75">
      <c r="A369" s="201"/>
      <c r="B369" s="201"/>
      <c r="C369" s="201"/>
      <c r="D369" s="224"/>
      <c r="E369" s="201"/>
      <c r="F369" s="201"/>
      <c r="G369" s="200"/>
      <c r="H369" s="200"/>
      <c r="I369" s="200"/>
      <c r="J369" s="200"/>
      <c r="K369" s="200"/>
      <c r="L369" s="200"/>
      <c r="M369" s="200"/>
      <c r="N369" s="200"/>
      <c r="O369" s="200"/>
      <c r="P369" s="200"/>
      <c r="Q369" s="200"/>
      <c r="R369" s="200"/>
      <c r="S369" s="200"/>
      <c r="T369" s="200"/>
      <c r="U369" s="200"/>
      <c r="V369" s="200"/>
      <c r="W369" s="200"/>
    </row>
    <row r="370" spans="1:23" ht="12.75">
      <c r="A370" s="201"/>
      <c r="B370" s="201"/>
      <c r="C370" s="201"/>
      <c r="D370" s="224"/>
      <c r="E370" s="201"/>
      <c r="F370" s="201"/>
      <c r="G370" s="200"/>
      <c r="H370" s="200"/>
      <c r="I370" s="200"/>
      <c r="J370" s="200"/>
      <c r="K370" s="200"/>
      <c r="L370" s="200"/>
      <c r="M370" s="200"/>
      <c r="N370" s="200"/>
      <c r="O370" s="200"/>
      <c r="P370" s="200"/>
      <c r="Q370" s="200"/>
      <c r="R370" s="200"/>
      <c r="S370" s="200"/>
      <c r="T370" s="200"/>
      <c r="U370" s="200"/>
      <c r="V370" s="200"/>
      <c r="W370" s="200"/>
    </row>
    <row r="371" spans="1:23" ht="12.75">
      <c r="A371" s="201"/>
      <c r="B371" s="201"/>
      <c r="C371" s="201"/>
      <c r="D371" s="224"/>
      <c r="E371" s="201"/>
      <c r="F371" s="201"/>
      <c r="G371" s="200"/>
      <c r="H371" s="200"/>
      <c r="I371" s="200"/>
      <c r="J371" s="200"/>
      <c r="K371" s="200"/>
      <c r="L371" s="200"/>
      <c r="M371" s="200"/>
      <c r="N371" s="200"/>
      <c r="O371" s="200"/>
      <c r="P371" s="200"/>
      <c r="Q371" s="200"/>
      <c r="R371" s="200"/>
      <c r="S371" s="200"/>
      <c r="T371" s="200"/>
      <c r="U371" s="200"/>
      <c r="V371" s="200"/>
      <c r="W371" s="200"/>
    </row>
    <row r="372" spans="1:23" ht="12.75">
      <c r="A372" s="201"/>
      <c r="B372" s="201"/>
      <c r="C372" s="201"/>
      <c r="D372" s="224"/>
      <c r="E372" s="201"/>
      <c r="F372" s="201"/>
      <c r="G372" s="200"/>
      <c r="H372" s="200"/>
      <c r="I372" s="200"/>
      <c r="J372" s="200"/>
      <c r="K372" s="200"/>
      <c r="L372" s="200"/>
      <c r="M372" s="200"/>
      <c r="N372" s="200"/>
      <c r="O372" s="200"/>
      <c r="P372" s="200"/>
      <c r="Q372" s="200"/>
      <c r="R372" s="200"/>
      <c r="S372" s="200"/>
      <c r="T372" s="200"/>
      <c r="U372" s="200"/>
      <c r="V372" s="200"/>
      <c r="W372" s="200"/>
    </row>
    <row r="373" spans="1:23" ht="12.75">
      <c r="A373" s="201"/>
      <c r="B373" s="201"/>
      <c r="C373" s="201"/>
      <c r="D373" s="224"/>
      <c r="E373" s="201"/>
      <c r="F373" s="201"/>
      <c r="G373" s="200"/>
      <c r="H373" s="200"/>
      <c r="I373" s="200"/>
      <c r="J373" s="200"/>
      <c r="K373" s="200"/>
      <c r="L373" s="200"/>
      <c r="M373" s="200"/>
      <c r="N373" s="200"/>
      <c r="O373" s="200"/>
      <c r="P373" s="200"/>
      <c r="Q373" s="200"/>
      <c r="R373" s="200"/>
      <c r="S373" s="200"/>
      <c r="T373" s="200"/>
      <c r="U373" s="200"/>
      <c r="V373" s="200"/>
      <c r="W373" s="200"/>
    </row>
    <row r="374" spans="1:23" ht="12.75">
      <c r="A374" s="201"/>
      <c r="B374" s="201"/>
      <c r="C374" s="201"/>
      <c r="D374" s="224"/>
      <c r="E374" s="201"/>
      <c r="F374" s="201"/>
      <c r="G374" s="200"/>
      <c r="H374" s="200"/>
      <c r="I374" s="200"/>
      <c r="J374" s="200"/>
      <c r="K374" s="200"/>
      <c r="L374" s="200"/>
      <c r="M374" s="200"/>
      <c r="N374" s="200"/>
      <c r="O374" s="200"/>
      <c r="P374" s="200"/>
      <c r="Q374" s="200"/>
      <c r="R374" s="200"/>
      <c r="S374" s="200"/>
      <c r="T374" s="200"/>
      <c r="U374" s="200"/>
      <c r="V374" s="200"/>
      <c r="W374" s="200"/>
    </row>
    <row r="375" spans="1:23" ht="12.75">
      <c r="A375" s="201"/>
      <c r="B375" s="201"/>
      <c r="C375" s="201"/>
      <c r="D375" s="224"/>
      <c r="E375" s="201"/>
      <c r="F375" s="201"/>
      <c r="G375" s="200"/>
      <c r="H375" s="200"/>
      <c r="I375" s="200"/>
      <c r="J375" s="200"/>
      <c r="K375" s="200"/>
      <c r="L375" s="200"/>
      <c r="M375" s="200"/>
      <c r="N375" s="200"/>
      <c r="O375" s="200"/>
      <c r="P375" s="200"/>
      <c r="Q375" s="200"/>
      <c r="R375" s="200"/>
      <c r="S375" s="200"/>
      <c r="T375" s="200"/>
      <c r="U375" s="200"/>
      <c r="V375" s="200"/>
      <c r="W375" s="200"/>
    </row>
    <row r="376" spans="1:23" ht="12.75">
      <c r="A376" s="201"/>
      <c r="B376" s="201"/>
      <c r="C376" s="201"/>
      <c r="D376" s="224"/>
      <c r="E376" s="201"/>
      <c r="F376" s="201"/>
      <c r="G376" s="200"/>
      <c r="H376" s="200"/>
      <c r="I376" s="200"/>
      <c r="J376" s="200"/>
      <c r="K376" s="200"/>
      <c r="L376" s="200"/>
      <c r="M376" s="200"/>
      <c r="N376" s="200"/>
      <c r="O376" s="200"/>
      <c r="P376" s="200"/>
      <c r="Q376" s="200"/>
      <c r="R376" s="200"/>
      <c r="S376" s="200"/>
      <c r="T376" s="200"/>
      <c r="U376" s="200"/>
      <c r="V376" s="200"/>
      <c r="W376" s="200"/>
    </row>
    <row r="377" spans="1:23" ht="12.75">
      <c r="A377" s="201"/>
      <c r="B377" s="201"/>
      <c r="C377" s="201"/>
      <c r="D377" s="224"/>
      <c r="E377" s="201"/>
      <c r="F377" s="201"/>
      <c r="G377" s="200"/>
      <c r="H377" s="200"/>
      <c r="I377" s="200"/>
      <c r="J377" s="200"/>
      <c r="K377" s="200"/>
      <c r="L377" s="200"/>
      <c r="M377" s="200"/>
      <c r="N377" s="200"/>
      <c r="O377" s="200"/>
      <c r="P377" s="200"/>
      <c r="Q377" s="200"/>
      <c r="R377" s="200"/>
      <c r="S377" s="200"/>
      <c r="T377" s="200"/>
      <c r="U377" s="200"/>
      <c r="V377" s="200"/>
      <c r="W377" s="200"/>
    </row>
    <row r="378" spans="1:23" ht="12.75">
      <c r="A378" s="201"/>
      <c r="B378" s="201"/>
      <c r="C378" s="201"/>
      <c r="D378" s="224"/>
      <c r="E378" s="201"/>
      <c r="F378" s="201"/>
      <c r="G378" s="200"/>
      <c r="H378" s="200"/>
      <c r="I378" s="200"/>
      <c r="J378" s="200"/>
      <c r="K378" s="200"/>
      <c r="L378" s="200"/>
      <c r="M378" s="200"/>
      <c r="N378" s="200"/>
      <c r="O378" s="200"/>
      <c r="P378" s="200"/>
      <c r="Q378" s="200"/>
      <c r="R378" s="200"/>
      <c r="S378" s="200"/>
      <c r="T378" s="200"/>
      <c r="U378" s="200"/>
      <c r="V378" s="200"/>
      <c r="W378" s="200"/>
    </row>
    <row r="379" spans="1:23" ht="12.75">
      <c r="A379" s="201"/>
      <c r="B379" s="201"/>
      <c r="C379" s="201"/>
      <c r="D379" s="224"/>
      <c r="E379" s="201"/>
      <c r="F379" s="201"/>
      <c r="G379" s="200"/>
      <c r="H379" s="200"/>
      <c r="I379" s="200"/>
      <c r="J379" s="200"/>
      <c r="K379" s="200"/>
      <c r="L379" s="200"/>
      <c r="M379" s="200"/>
      <c r="N379" s="200"/>
      <c r="O379" s="200"/>
      <c r="P379" s="200"/>
      <c r="Q379" s="200"/>
      <c r="R379" s="200"/>
      <c r="S379" s="200"/>
      <c r="T379" s="200"/>
      <c r="U379" s="200"/>
      <c r="V379" s="200"/>
      <c r="W379" s="200"/>
    </row>
    <row r="380" spans="1:23" ht="12.75">
      <c r="A380" s="201"/>
      <c r="B380" s="201"/>
      <c r="C380" s="201"/>
      <c r="D380" s="224"/>
      <c r="E380" s="201"/>
      <c r="F380" s="201"/>
      <c r="G380" s="200"/>
      <c r="H380" s="200"/>
      <c r="I380" s="200"/>
      <c r="J380" s="200"/>
      <c r="K380" s="200"/>
      <c r="L380" s="200"/>
      <c r="M380" s="200"/>
      <c r="N380" s="200"/>
      <c r="O380" s="200"/>
      <c r="P380" s="200"/>
      <c r="Q380" s="200"/>
      <c r="R380" s="200"/>
      <c r="S380" s="200"/>
      <c r="T380" s="200"/>
      <c r="U380" s="200"/>
      <c r="V380" s="200"/>
      <c r="W380" s="200"/>
    </row>
    <row r="381" spans="1:23" ht="12.75">
      <c r="A381" s="201"/>
      <c r="B381" s="201"/>
      <c r="C381" s="201"/>
      <c r="D381" s="224"/>
      <c r="E381" s="201"/>
      <c r="F381" s="201"/>
      <c r="G381" s="200"/>
      <c r="H381" s="200"/>
      <c r="I381" s="200"/>
      <c r="J381" s="200"/>
      <c r="K381" s="200"/>
      <c r="L381" s="200"/>
      <c r="M381" s="200"/>
      <c r="N381" s="200"/>
      <c r="O381" s="200"/>
      <c r="P381" s="200"/>
      <c r="Q381" s="200"/>
      <c r="R381" s="200"/>
      <c r="S381" s="200"/>
      <c r="T381" s="200"/>
      <c r="U381" s="200"/>
      <c r="V381" s="200"/>
      <c r="W381" s="200"/>
    </row>
    <row r="382" spans="1:23" ht="12.75">
      <c r="A382" s="201"/>
      <c r="B382" s="201"/>
      <c r="C382" s="201"/>
      <c r="D382" s="224"/>
      <c r="E382" s="201"/>
      <c r="F382" s="201"/>
      <c r="G382" s="200"/>
      <c r="H382" s="200"/>
      <c r="I382" s="200"/>
      <c r="J382" s="200"/>
      <c r="K382" s="200"/>
      <c r="L382" s="200"/>
      <c r="M382" s="200"/>
      <c r="N382" s="200"/>
      <c r="O382" s="200"/>
      <c r="P382" s="200"/>
      <c r="Q382" s="200"/>
      <c r="R382" s="200"/>
      <c r="S382" s="200"/>
      <c r="T382" s="200"/>
      <c r="U382" s="200"/>
      <c r="V382" s="200"/>
      <c r="W382" s="200"/>
    </row>
    <row r="383" spans="1:23" ht="12.75">
      <c r="A383" s="201"/>
      <c r="B383" s="201"/>
      <c r="C383" s="201"/>
      <c r="D383" s="224"/>
      <c r="E383" s="201"/>
      <c r="F383" s="201"/>
      <c r="G383" s="200"/>
      <c r="H383" s="200"/>
      <c r="I383" s="200"/>
      <c r="J383" s="200"/>
      <c r="K383" s="200"/>
      <c r="L383" s="200"/>
      <c r="M383" s="200"/>
      <c r="N383" s="200"/>
      <c r="O383" s="200"/>
      <c r="P383" s="200"/>
      <c r="Q383" s="200"/>
      <c r="R383" s="200"/>
      <c r="S383" s="200"/>
      <c r="T383" s="200"/>
      <c r="U383" s="200"/>
      <c r="V383" s="200"/>
      <c r="W383" s="200"/>
    </row>
    <row r="384" spans="1:23" ht="12.75">
      <c r="A384" s="201"/>
      <c r="B384" s="201"/>
      <c r="C384" s="201"/>
      <c r="D384" s="224"/>
      <c r="E384" s="201"/>
      <c r="F384" s="201"/>
      <c r="G384" s="200"/>
      <c r="H384" s="200"/>
      <c r="I384" s="200"/>
      <c r="J384" s="200"/>
      <c r="K384" s="200"/>
      <c r="L384" s="200"/>
      <c r="M384" s="200"/>
      <c r="N384" s="200"/>
      <c r="O384" s="200"/>
      <c r="P384" s="200"/>
      <c r="Q384" s="200"/>
      <c r="R384" s="200"/>
      <c r="S384" s="200"/>
      <c r="T384" s="200"/>
      <c r="U384" s="200"/>
      <c r="V384" s="200"/>
      <c r="W384" s="200"/>
    </row>
    <row r="385" spans="1:23" ht="12.75">
      <c r="A385" s="201"/>
      <c r="B385" s="201"/>
      <c r="C385" s="201"/>
      <c r="D385" s="224"/>
      <c r="E385" s="201"/>
      <c r="F385" s="201"/>
      <c r="G385" s="200"/>
      <c r="H385" s="200"/>
      <c r="I385" s="200"/>
      <c r="J385" s="200"/>
      <c r="K385" s="200"/>
      <c r="L385" s="200"/>
      <c r="M385" s="200"/>
      <c r="N385" s="200"/>
      <c r="O385" s="200"/>
      <c r="P385" s="200"/>
      <c r="Q385" s="200"/>
      <c r="R385" s="200"/>
      <c r="S385" s="200"/>
      <c r="T385" s="200"/>
      <c r="U385" s="200"/>
      <c r="V385" s="200"/>
      <c r="W385" s="200"/>
    </row>
    <row r="386" spans="1:23" ht="12.75">
      <c r="A386" s="201"/>
      <c r="B386" s="201"/>
      <c r="C386" s="201"/>
      <c r="D386" s="224"/>
      <c r="E386" s="201"/>
      <c r="F386" s="201"/>
      <c r="G386" s="200"/>
      <c r="H386" s="200"/>
      <c r="I386" s="200"/>
      <c r="J386" s="200"/>
      <c r="K386" s="200"/>
      <c r="L386" s="200"/>
      <c r="M386" s="200"/>
      <c r="N386" s="200"/>
      <c r="O386" s="200"/>
      <c r="P386" s="200"/>
      <c r="Q386" s="200"/>
      <c r="R386" s="200"/>
      <c r="S386" s="200"/>
      <c r="T386" s="200"/>
      <c r="U386" s="200"/>
      <c r="V386" s="200"/>
      <c r="W386" s="200"/>
    </row>
    <row r="387" spans="1:23" ht="12.75">
      <c r="A387" s="201"/>
      <c r="B387" s="201"/>
      <c r="C387" s="201"/>
      <c r="D387" s="224"/>
      <c r="E387" s="201"/>
      <c r="F387" s="201"/>
      <c r="G387" s="200"/>
      <c r="H387" s="200"/>
      <c r="I387" s="200"/>
      <c r="J387" s="200"/>
      <c r="K387" s="200"/>
      <c r="L387" s="200"/>
      <c r="M387" s="200"/>
      <c r="N387" s="200"/>
      <c r="O387" s="200"/>
      <c r="P387" s="200"/>
      <c r="Q387" s="200"/>
      <c r="R387" s="200"/>
      <c r="S387" s="200"/>
      <c r="T387" s="200"/>
      <c r="U387" s="200"/>
      <c r="V387" s="200"/>
      <c r="W387" s="200"/>
    </row>
    <row r="388" spans="1:23" ht="12.75">
      <c r="A388" s="201"/>
      <c r="B388" s="201"/>
      <c r="C388" s="201"/>
      <c r="D388" s="224"/>
      <c r="E388" s="201"/>
      <c r="F388" s="201"/>
      <c r="G388" s="200"/>
      <c r="H388" s="200"/>
      <c r="I388" s="200"/>
      <c r="J388" s="200"/>
      <c r="K388" s="200"/>
      <c r="L388" s="200"/>
      <c r="M388" s="200"/>
      <c r="N388" s="200"/>
      <c r="O388" s="200"/>
      <c r="P388" s="200"/>
      <c r="Q388" s="200"/>
      <c r="R388" s="200"/>
      <c r="S388" s="200"/>
      <c r="T388" s="200"/>
      <c r="U388" s="200"/>
      <c r="V388" s="200"/>
      <c r="W388" s="200"/>
    </row>
    <row r="389" spans="1:23" ht="12.75">
      <c r="A389" s="201"/>
      <c r="B389" s="201"/>
      <c r="C389" s="201"/>
      <c r="D389" s="224"/>
      <c r="E389" s="201"/>
      <c r="F389" s="201"/>
      <c r="G389" s="200"/>
      <c r="H389" s="200"/>
      <c r="I389" s="200"/>
      <c r="J389" s="200"/>
      <c r="K389" s="200"/>
      <c r="L389" s="200"/>
      <c r="M389" s="200"/>
      <c r="N389" s="200"/>
      <c r="O389" s="200"/>
      <c r="P389" s="200"/>
      <c r="Q389" s="200"/>
      <c r="R389" s="200"/>
      <c r="S389" s="200"/>
      <c r="T389" s="200"/>
      <c r="U389" s="200"/>
      <c r="V389" s="200"/>
      <c r="W389" s="200"/>
    </row>
    <row r="390" spans="1:23" ht="12.75">
      <c r="A390" s="201"/>
      <c r="B390" s="201"/>
      <c r="C390" s="201"/>
      <c r="D390" s="224"/>
      <c r="E390" s="201"/>
      <c r="F390" s="201"/>
      <c r="G390" s="200"/>
      <c r="H390" s="200"/>
      <c r="I390" s="200"/>
      <c r="J390" s="200"/>
      <c r="K390" s="200"/>
      <c r="L390" s="200"/>
      <c r="M390" s="200"/>
      <c r="N390" s="200"/>
      <c r="O390" s="200"/>
      <c r="P390" s="200"/>
      <c r="Q390" s="200"/>
      <c r="R390" s="200"/>
      <c r="S390" s="200"/>
      <c r="T390" s="200"/>
      <c r="U390" s="200"/>
      <c r="V390" s="200"/>
      <c r="W390" s="200"/>
    </row>
    <row r="391" spans="1:23" ht="12.75">
      <c r="A391" s="201"/>
      <c r="B391" s="201"/>
      <c r="C391" s="201"/>
      <c r="D391" s="224"/>
      <c r="E391" s="201"/>
      <c r="F391" s="201"/>
      <c r="G391" s="200"/>
      <c r="H391" s="200"/>
      <c r="I391" s="200"/>
      <c r="J391" s="200"/>
      <c r="K391" s="200"/>
      <c r="L391" s="200"/>
      <c r="M391" s="200"/>
      <c r="N391" s="200"/>
      <c r="O391" s="200"/>
      <c r="P391" s="200"/>
      <c r="Q391" s="200"/>
      <c r="R391" s="200"/>
      <c r="S391" s="200"/>
      <c r="T391" s="200"/>
      <c r="U391" s="200"/>
      <c r="V391" s="200"/>
      <c r="W391" s="200"/>
    </row>
    <row r="392" spans="1:23" ht="12.75">
      <c r="A392" s="201"/>
      <c r="B392" s="201"/>
      <c r="C392" s="201"/>
      <c r="D392" s="224"/>
      <c r="E392" s="201"/>
      <c r="F392" s="201"/>
      <c r="G392" s="200"/>
      <c r="H392" s="200"/>
      <c r="I392" s="200"/>
      <c r="J392" s="200"/>
      <c r="K392" s="200"/>
      <c r="L392" s="200"/>
      <c r="M392" s="200"/>
      <c r="N392" s="200"/>
      <c r="O392" s="200"/>
      <c r="P392" s="200"/>
      <c r="Q392" s="200"/>
      <c r="R392" s="200"/>
      <c r="S392" s="200"/>
      <c r="T392" s="200"/>
      <c r="U392" s="200"/>
      <c r="V392" s="200"/>
      <c r="W392" s="200"/>
    </row>
    <row r="393" spans="1:23" ht="12.75">
      <c r="A393" s="201"/>
      <c r="B393" s="201"/>
      <c r="C393" s="201"/>
      <c r="D393" s="224"/>
      <c r="E393" s="201"/>
      <c r="F393" s="201"/>
      <c r="G393" s="200"/>
      <c r="H393" s="200"/>
      <c r="I393" s="200"/>
      <c r="J393" s="200"/>
      <c r="K393" s="200"/>
      <c r="L393" s="200"/>
      <c r="M393" s="200"/>
      <c r="N393" s="200"/>
      <c r="O393" s="200"/>
      <c r="P393" s="200"/>
      <c r="Q393" s="200"/>
      <c r="R393" s="200"/>
      <c r="S393" s="200"/>
      <c r="T393" s="200"/>
      <c r="U393" s="200"/>
      <c r="V393" s="200"/>
      <c r="W393" s="200"/>
    </row>
    <row r="394" spans="1:23" ht="12.75">
      <c r="A394" s="201"/>
      <c r="B394" s="201"/>
      <c r="C394" s="201"/>
      <c r="D394" s="224"/>
      <c r="E394" s="201"/>
      <c r="F394" s="201"/>
      <c r="G394" s="200"/>
      <c r="H394" s="200"/>
      <c r="I394" s="200"/>
      <c r="J394" s="200"/>
      <c r="K394" s="200"/>
      <c r="L394" s="200"/>
      <c r="M394" s="200"/>
      <c r="N394" s="200"/>
      <c r="O394" s="200"/>
      <c r="P394" s="200"/>
      <c r="Q394" s="200"/>
      <c r="R394" s="200"/>
      <c r="S394" s="200"/>
      <c r="T394" s="200"/>
      <c r="U394" s="200"/>
      <c r="V394" s="200"/>
      <c r="W394" s="200"/>
    </row>
    <row r="395" spans="1:23" ht="12.75">
      <c r="A395" s="201"/>
      <c r="B395" s="201"/>
      <c r="C395" s="201"/>
      <c r="D395" s="224"/>
      <c r="E395" s="201"/>
      <c r="F395" s="201"/>
      <c r="G395" s="200"/>
      <c r="H395" s="200"/>
      <c r="I395" s="200"/>
      <c r="J395" s="200"/>
      <c r="K395" s="200"/>
      <c r="L395" s="200"/>
      <c r="M395" s="200"/>
      <c r="N395" s="200"/>
      <c r="O395" s="200"/>
      <c r="P395" s="200"/>
      <c r="Q395" s="200"/>
      <c r="R395" s="200"/>
      <c r="S395" s="200"/>
      <c r="T395" s="200"/>
      <c r="U395" s="200"/>
      <c r="V395" s="200"/>
      <c r="W395" s="200"/>
    </row>
    <row r="396" spans="1:23" ht="12.75">
      <c r="A396" s="201"/>
      <c r="B396" s="201"/>
      <c r="C396" s="201"/>
      <c r="D396" s="224"/>
      <c r="E396" s="201"/>
      <c r="F396" s="201"/>
      <c r="G396" s="200"/>
      <c r="H396" s="200"/>
      <c r="I396" s="200"/>
      <c r="J396" s="200"/>
      <c r="K396" s="200"/>
      <c r="L396" s="200"/>
      <c r="M396" s="200"/>
      <c r="N396" s="200"/>
      <c r="O396" s="200"/>
      <c r="P396" s="200"/>
      <c r="Q396" s="200"/>
      <c r="R396" s="200"/>
      <c r="S396" s="200"/>
      <c r="T396" s="200"/>
      <c r="U396" s="200"/>
      <c r="V396" s="200"/>
      <c r="W396" s="200"/>
    </row>
    <row r="397" spans="1:23" ht="12.75">
      <c r="A397" s="201"/>
      <c r="B397" s="201"/>
      <c r="C397" s="201"/>
      <c r="D397" s="224"/>
      <c r="E397" s="201"/>
      <c r="F397" s="201"/>
      <c r="G397" s="200"/>
      <c r="H397" s="200"/>
      <c r="I397" s="200"/>
      <c r="J397" s="200"/>
      <c r="K397" s="200"/>
      <c r="L397" s="200"/>
      <c r="M397" s="200"/>
      <c r="N397" s="200"/>
      <c r="O397" s="200"/>
      <c r="P397" s="200"/>
      <c r="Q397" s="200"/>
      <c r="R397" s="200"/>
      <c r="S397" s="200"/>
      <c r="T397" s="200"/>
      <c r="U397" s="200"/>
      <c r="V397" s="200"/>
      <c r="W397" s="200"/>
    </row>
    <row r="398" spans="1:23" ht="12.75">
      <c r="A398" s="201"/>
      <c r="B398" s="201"/>
      <c r="C398" s="201"/>
      <c r="D398" s="224"/>
      <c r="E398" s="201"/>
      <c r="F398" s="201"/>
      <c r="G398" s="200"/>
      <c r="H398" s="200"/>
      <c r="I398" s="200"/>
      <c r="J398" s="200"/>
      <c r="K398" s="200"/>
      <c r="L398" s="200"/>
      <c r="M398" s="200"/>
      <c r="N398" s="200"/>
      <c r="O398" s="200"/>
      <c r="P398" s="200"/>
      <c r="Q398" s="200"/>
      <c r="R398" s="200"/>
      <c r="S398" s="200"/>
      <c r="T398" s="200"/>
      <c r="U398" s="200"/>
      <c r="V398" s="200"/>
      <c r="W398" s="200"/>
    </row>
    <row r="399" spans="1:23" ht="12.75">
      <c r="A399" s="201"/>
      <c r="B399" s="201"/>
      <c r="C399" s="201"/>
      <c r="D399" s="224"/>
      <c r="E399" s="201"/>
      <c r="F399" s="201"/>
      <c r="G399" s="200"/>
      <c r="H399" s="200"/>
      <c r="I399" s="200"/>
      <c r="J399" s="200"/>
      <c r="K399" s="200"/>
      <c r="L399" s="200"/>
      <c r="M399" s="200"/>
      <c r="N399" s="200"/>
      <c r="O399" s="200"/>
      <c r="P399" s="200"/>
      <c r="Q399" s="200"/>
      <c r="R399" s="200"/>
      <c r="S399" s="200"/>
      <c r="T399" s="200"/>
      <c r="U399" s="200"/>
      <c r="V399" s="200"/>
      <c r="W399" s="200"/>
    </row>
    <row r="400" spans="1:23" ht="12.75">
      <c r="A400" s="201"/>
      <c r="B400" s="201"/>
      <c r="C400" s="201"/>
      <c r="D400" s="224"/>
      <c r="E400" s="201"/>
      <c r="F400" s="201"/>
      <c r="G400" s="200"/>
      <c r="H400" s="200"/>
      <c r="I400" s="200"/>
      <c r="J400" s="200"/>
      <c r="K400" s="200"/>
      <c r="L400" s="200"/>
      <c r="M400" s="200"/>
      <c r="N400" s="200"/>
      <c r="O400" s="200"/>
      <c r="P400" s="200"/>
      <c r="Q400" s="200"/>
      <c r="R400" s="200"/>
      <c r="S400" s="200"/>
      <c r="T400" s="200"/>
      <c r="U400" s="200"/>
      <c r="V400" s="200"/>
      <c r="W400" s="200"/>
    </row>
    <row r="401" spans="1:23" ht="12.75">
      <c r="A401" s="201"/>
      <c r="B401" s="201"/>
      <c r="C401" s="201"/>
      <c r="D401" s="224"/>
      <c r="E401" s="201"/>
      <c r="F401" s="201"/>
      <c r="G401" s="200"/>
      <c r="H401" s="200"/>
      <c r="I401" s="200"/>
      <c r="J401" s="200"/>
      <c r="K401" s="200"/>
      <c r="L401" s="200"/>
      <c r="M401" s="200"/>
      <c r="N401" s="200"/>
      <c r="O401" s="200"/>
      <c r="P401" s="200"/>
      <c r="Q401" s="200"/>
      <c r="R401" s="200"/>
      <c r="S401" s="200"/>
      <c r="T401" s="200"/>
      <c r="U401" s="200"/>
      <c r="V401" s="200"/>
      <c r="W401" s="200"/>
    </row>
    <row r="402" spans="1:23" ht="12.75">
      <c r="A402" s="201"/>
      <c r="B402" s="201"/>
      <c r="C402" s="201"/>
      <c r="D402" s="224"/>
      <c r="E402" s="201"/>
      <c r="F402" s="201"/>
      <c r="G402" s="200"/>
      <c r="H402" s="200"/>
      <c r="I402" s="200"/>
      <c r="J402" s="200"/>
      <c r="K402" s="200"/>
      <c r="L402" s="200"/>
      <c r="M402" s="200"/>
      <c r="N402" s="200"/>
      <c r="O402" s="200"/>
      <c r="P402" s="200"/>
      <c r="Q402" s="200"/>
      <c r="R402" s="200"/>
      <c r="S402" s="200"/>
      <c r="T402" s="200"/>
      <c r="U402" s="200"/>
      <c r="V402" s="200"/>
      <c r="W402" s="200"/>
    </row>
    <row r="403" spans="1:23" ht="12.75">
      <c r="A403" s="201"/>
      <c r="B403" s="201"/>
      <c r="C403" s="201"/>
      <c r="D403" s="224"/>
      <c r="E403" s="201"/>
      <c r="F403" s="201"/>
      <c r="G403" s="200"/>
      <c r="H403" s="200"/>
      <c r="I403" s="200"/>
      <c r="J403" s="200"/>
      <c r="K403" s="200"/>
      <c r="L403" s="200"/>
      <c r="M403" s="200"/>
      <c r="N403" s="200"/>
      <c r="O403" s="200"/>
      <c r="P403" s="200"/>
      <c r="Q403" s="200"/>
      <c r="R403" s="200"/>
      <c r="S403" s="200"/>
      <c r="T403" s="200"/>
      <c r="U403" s="200"/>
      <c r="V403" s="200"/>
      <c r="W403" s="200"/>
    </row>
    <row r="404" spans="1:23" ht="12.75">
      <c r="A404" s="201"/>
      <c r="B404" s="201"/>
      <c r="C404" s="201"/>
      <c r="D404" s="224"/>
      <c r="E404" s="201"/>
      <c r="F404" s="201"/>
      <c r="G404" s="200"/>
      <c r="H404" s="200"/>
      <c r="I404" s="200"/>
      <c r="J404" s="200"/>
      <c r="K404" s="200"/>
      <c r="L404" s="200"/>
      <c r="M404" s="200"/>
      <c r="N404" s="200"/>
      <c r="O404" s="200"/>
      <c r="P404" s="200"/>
      <c r="Q404" s="200"/>
      <c r="R404" s="200"/>
      <c r="S404" s="200"/>
      <c r="T404" s="200"/>
      <c r="U404" s="200"/>
      <c r="V404" s="200"/>
      <c r="W404" s="200"/>
    </row>
    <row r="405" spans="1:23" ht="12.75">
      <c r="A405" s="201"/>
      <c r="B405" s="201"/>
      <c r="C405" s="201"/>
      <c r="D405" s="224"/>
      <c r="E405" s="201"/>
      <c r="F405" s="201"/>
      <c r="G405" s="200"/>
      <c r="H405" s="200"/>
      <c r="I405" s="200"/>
      <c r="J405" s="200"/>
      <c r="K405" s="200"/>
      <c r="L405" s="200"/>
      <c r="M405" s="200"/>
      <c r="N405" s="200"/>
      <c r="O405" s="200"/>
      <c r="P405" s="200"/>
      <c r="Q405" s="200"/>
      <c r="R405" s="200"/>
      <c r="S405" s="200"/>
      <c r="T405" s="200"/>
      <c r="U405" s="200"/>
      <c r="V405" s="200"/>
      <c r="W405" s="200"/>
    </row>
    <row r="406" spans="1:23" ht="12.75">
      <c r="A406" s="201"/>
      <c r="B406" s="201"/>
      <c r="C406" s="201"/>
      <c r="D406" s="224"/>
      <c r="E406" s="201"/>
      <c r="F406" s="201"/>
      <c r="G406" s="200"/>
      <c r="H406" s="200"/>
      <c r="I406" s="200"/>
      <c r="J406" s="200"/>
      <c r="K406" s="200"/>
      <c r="L406" s="200"/>
      <c r="M406" s="200"/>
      <c r="N406" s="200"/>
      <c r="O406" s="200"/>
      <c r="P406" s="200"/>
      <c r="Q406" s="200"/>
      <c r="R406" s="200"/>
      <c r="S406" s="200"/>
      <c r="T406" s="200"/>
      <c r="U406" s="200"/>
      <c r="V406" s="200"/>
      <c r="W406" s="200"/>
    </row>
    <row r="407" spans="1:23" ht="12.75">
      <c r="A407" s="201"/>
      <c r="B407" s="201"/>
      <c r="C407" s="201"/>
      <c r="D407" s="224"/>
      <c r="E407" s="201"/>
      <c r="F407" s="201"/>
      <c r="G407" s="200"/>
      <c r="H407" s="200"/>
      <c r="I407" s="200"/>
      <c r="J407" s="200"/>
      <c r="K407" s="200"/>
      <c r="L407" s="200"/>
      <c r="M407" s="200"/>
      <c r="N407" s="200"/>
      <c r="O407" s="200"/>
      <c r="P407" s="200"/>
      <c r="Q407" s="200"/>
      <c r="R407" s="200"/>
      <c r="S407" s="200"/>
      <c r="T407" s="200"/>
      <c r="U407" s="200"/>
      <c r="V407" s="200"/>
      <c r="W407" s="200"/>
    </row>
    <row r="408" spans="1:23" ht="12.75">
      <c r="A408" s="201"/>
      <c r="B408" s="201"/>
      <c r="C408" s="201"/>
      <c r="D408" s="224"/>
      <c r="E408" s="201"/>
      <c r="F408" s="201"/>
      <c r="G408" s="200"/>
      <c r="H408" s="200"/>
      <c r="I408" s="200"/>
      <c r="J408" s="200"/>
      <c r="K408" s="200"/>
      <c r="L408" s="200"/>
      <c r="M408" s="200"/>
      <c r="N408" s="200"/>
      <c r="O408" s="200"/>
      <c r="P408" s="200"/>
      <c r="Q408" s="200"/>
      <c r="R408" s="200"/>
      <c r="S408" s="200"/>
      <c r="T408" s="200"/>
      <c r="U408" s="200"/>
      <c r="V408" s="200"/>
      <c r="W408" s="200"/>
    </row>
    <row r="409" spans="1:23" ht="12.75">
      <c r="A409" s="201"/>
      <c r="B409" s="201"/>
      <c r="C409" s="201"/>
      <c r="D409" s="224"/>
      <c r="E409" s="201"/>
      <c r="F409" s="201"/>
      <c r="G409" s="200"/>
      <c r="H409" s="200"/>
      <c r="I409" s="200"/>
      <c r="J409" s="200"/>
      <c r="K409" s="200"/>
      <c r="L409" s="200"/>
      <c r="M409" s="200"/>
      <c r="N409" s="200"/>
      <c r="O409" s="200"/>
      <c r="P409" s="200"/>
      <c r="Q409" s="200"/>
      <c r="R409" s="200"/>
      <c r="S409" s="200"/>
      <c r="T409" s="200"/>
      <c r="U409" s="200"/>
      <c r="V409" s="200"/>
      <c r="W409" s="200"/>
    </row>
    <row r="410" spans="1:23" ht="12.75">
      <c r="A410" s="201"/>
      <c r="B410" s="201"/>
      <c r="C410" s="201"/>
      <c r="D410" s="224"/>
      <c r="E410" s="201"/>
      <c r="F410" s="201"/>
      <c r="G410" s="200"/>
      <c r="H410" s="200"/>
      <c r="I410" s="200"/>
      <c r="J410" s="200"/>
      <c r="K410" s="200"/>
      <c r="L410" s="200"/>
      <c r="M410" s="200"/>
      <c r="N410" s="200"/>
      <c r="O410" s="200"/>
      <c r="P410" s="200"/>
      <c r="Q410" s="200"/>
      <c r="R410" s="200"/>
      <c r="S410" s="200"/>
      <c r="T410" s="200"/>
      <c r="U410" s="200"/>
      <c r="V410" s="200"/>
      <c r="W410" s="200"/>
    </row>
    <row r="411" spans="1:23" ht="12.75">
      <c r="A411" s="201"/>
      <c r="B411" s="201"/>
      <c r="C411" s="201"/>
      <c r="D411" s="224"/>
      <c r="E411" s="201"/>
      <c r="F411" s="201"/>
      <c r="G411" s="200"/>
      <c r="H411" s="200"/>
      <c r="I411" s="200"/>
      <c r="J411" s="200"/>
      <c r="K411" s="200"/>
      <c r="L411" s="200"/>
      <c r="M411" s="200"/>
      <c r="N411" s="200"/>
      <c r="O411" s="200"/>
      <c r="P411" s="200"/>
      <c r="Q411" s="200"/>
      <c r="R411" s="200"/>
      <c r="S411" s="200"/>
      <c r="T411" s="200"/>
      <c r="U411" s="200"/>
      <c r="V411" s="200"/>
      <c r="W411" s="200"/>
    </row>
    <row r="412" spans="1:23" ht="12.75">
      <c r="A412" s="201"/>
      <c r="B412" s="201"/>
      <c r="C412" s="201"/>
      <c r="D412" s="224"/>
      <c r="E412" s="201"/>
      <c r="F412" s="201"/>
      <c r="G412" s="200"/>
      <c r="H412" s="200"/>
      <c r="I412" s="200"/>
      <c r="J412" s="200"/>
      <c r="K412" s="200"/>
      <c r="L412" s="200"/>
      <c r="M412" s="200"/>
      <c r="N412" s="200"/>
      <c r="O412" s="200"/>
      <c r="P412" s="200"/>
      <c r="Q412" s="200"/>
      <c r="R412" s="200"/>
      <c r="S412" s="200"/>
      <c r="T412" s="200"/>
      <c r="U412" s="200"/>
      <c r="V412" s="200"/>
      <c r="W412" s="200"/>
    </row>
    <row r="413" spans="1:23" ht="12.75">
      <c r="A413" s="201"/>
      <c r="B413" s="201"/>
      <c r="C413" s="201"/>
      <c r="D413" s="224"/>
      <c r="E413" s="201"/>
      <c r="F413" s="201"/>
      <c r="G413" s="200"/>
      <c r="H413" s="200"/>
      <c r="I413" s="200"/>
      <c r="J413" s="200"/>
      <c r="K413" s="200"/>
      <c r="L413" s="200"/>
      <c r="M413" s="200"/>
      <c r="N413" s="200"/>
      <c r="O413" s="200"/>
      <c r="P413" s="200"/>
      <c r="Q413" s="200"/>
      <c r="R413" s="200"/>
      <c r="S413" s="200"/>
      <c r="T413" s="200"/>
      <c r="U413" s="200"/>
      <c r="V413" s="200"/>
      <c r="W413" s="200"/>
    </row>
    <row r="414" spans="1:23" ht="12.75">
      <c r="A414" s="201"/>
      <c r="B414" s="201"/>
      <c r="C414" s="201"/>
      <c r="D414" s="224"/>
      <c r="E414" s="201"/>
      <c r="F414" s="201"/>
      <c r="G414" s="200"/>
      <c r="H414" s="200"/>
      <c r="I414" s="200"/>
      <c r="J414" s="200"/>
      <c r="K414" s="200"/>
      <c r="L414" s="200"/>
      <c r="M414" s="200"/>
      <c r="N414" s="200"/>
      <c r="O414" s="200"/>
      <c r="P414" s="200"/>
      <c r="Q414" s="200"/>
      <c r="R414" s="200"/>
      <c r="S414" s="200"/>
      <c r="T414" s="200"/>
      <c r="U414" s="200"/>
      <c r="V414" s="200"/>
      <c r="W414" s="200"/>
    </row>
    <row r="415" spans="1:23" ht="12.75">
      <c r="A415" s="201"/>
      <c r="B415" s="201"/>
      <c r="C415" s="201"/>
      <c r="D415" s="224"/>
      <c r="E415" s="201"/>
      <c r="F415" s="201"/>
      <c r="G415" s="200"/>
      <c r="H415" s="200"/>
      <c r="I415" s="200"/>
      <c r="J415" s="200"/>
      <c r="K415" s="200"/>
      <c r="L415" s="200"/>
      <c r="M415" s="200"/>
      <c r="N415" s="200"/>
      <c r="O415" s="200"/>
      <c r="P415" s="200"/>
      <c r="Q415" s="200"/>
      <c r="R415" s="200"/>
      <c r="S415" s="200"/>
      <c r="T415" s="200"/>
      <c r="U415" s="200"/>
      <c r="V415" s="200"/>
      <c r="W415" s="200"/>
    </row>
    <row r="416" spans="1:23" ht="12.75">
      <c r="A416" s="201"/>
      <c r="B416" s="201"/>
      <c r="C416" s="201"/>
      <c r="D416" s="224"/>
      <c r="E416" s="201"/>
      <c r="F416" s="201"/>
      <c r="G416" s="200"/>
      <c r="H416" s="200"/>
      <c r="I416" s="200"/>
      <c r="J416" s="200"/>
      <c r="K416" s="200"/>
      <c r="L416" s="200"/>
      <c r="M416" s="200"/>
      <c r="N416" s="200"/>
      <c r="O416" s="200"/>
      <c r="P416" s="200"/>
      <c r="Q416" s="200"/>
      <c r="R416" s="200"/>
      <c r="S416" s="200"/>
      <c r="T416" s="200"/>
      <c r="U416" s="200"/>
      <c r="V416" s="200"/>
      <c r="W416" s="200"/>
    </row>
    <row r="417" spans="1:23" ht="12.75">
      <c r="A417" s="201"/>
      <c r="B417" s="201"/>
      <c r="C417" s="201"/>
      <c r="D417" s="224"/>
      <c r="E417" s="201"/>
      <c r="F417" s="201"/>
      <c r="G417" s="200"/>
      <c r="H417" s="200"/>
      <c r="I417" s="200"/>
      <c r="J417" s="200"/>
      <c r="K417" s="200"/>
      <c r="L417" s="200"/>
      <c r="M417" s="200"/>
      <c r="N417" s="200"/>
      <c r="O417" s="200"/>
      <c r="P417" s="200"/>
      <c r="Q417" s="200"/>
      <c r="R417" s="200"/>
      <c r="S417" s="200"/>
      <c r="T417" s="200"/>
      <c r="U417" s="200"/>
      <c r="V417" s="200"/>
      <c r="W417" s="200"/>
    </row>
    <row r="418" spans="1:23" ht="12.75">
      <c r="A418" s="201"/>
      <c r="B418" s="201"/>
      <c r="C418" s="201"/>
      <c r="D418" s="224"/>
      <c r="E418" s="201"/>
      <c r="F418" s="201"/>
      <c r="G418" s="200"/>
      <c r="H418" s="200"/>
      <c r="I418" s="200"/>
      <c r="J418" s="200"/>
      <c r="K418" s="200"/>
      <c r="L418" s="200"/>
      <c r="M418" s="200"/>
      <c r="N418" s="200"/>
      <c r="O418" s="200"/>
      <c r="P418" s="200"/>
      <c r="Q418" s="200"/>
      <c r="R418" s="200"/>
      <c r="S418" s="200"/>
      <c r="T418" s="200"/>
      <c r="U418" s="200"/>
      <c r="V418" s="200"/>
      <c r="W418" s="200"/>
    </row>
    <row r="419" spans="1:23" ht="12.75">
      <c r="A419" s="201"/>
      <c r="B419" s="201"/>
      <c r="C419" s="201"/>
      <c r="D419" s="224"/>
      <c r="E419" s="201"/>
      <c r="F419" s="201"/>
      <c r="G419" s="200"/>
      <c r="H419" s="200"/>
      <c r="I419" s="200"/>
      <c r="J419" s="200"/>
      <c r="K419" s="200"/>
      <c r="L419" s="200"/>
      <c r="M419" s="200"/>
      <c r="N419" s="200"/>
      <c r="O419" s="200"/>
      <c r="P419" s="200"/>
      <c r="Q419" s="200"/>
      <c r="R419" s="200"/>
      <c r="S419" s="200"/>
      <c r="T419" s="200"/>
      <c r="U419" s="200"/>
      <c r="V419" s="200"/>
      <c r="W419" s="200"/>
    </row>
    <row r="420" spans="1:23" ht="12.75">
      <c r="A420" s="201"/>
      <c r="B420" s="201"/>
      <c r="C420" s="201"/>
      <c r="D420" s="224"/>
      <c r="E420" s="201"/>
      <c r="F420" s="201"/>
      <c r="G420" s="200"/>
      <c r="H420" s="200"/>
      <c r="I420" s="200"/>
      <c r="J420" s="200"/>
      <c r="K420" s="200"/>
      <c r="L420" s="200"/>
      <c r="M420" s="200"/>
      <c r="N420" s="200"/>
      <c r="O420" s="200"/>
      <c r="P420" s="200"/>
      <c r="Q420" s="200"/>
      <c r="R420" s="200"/>
      <c r="S420" s="200"/>
      <c r="T420" s="200"/>
      <c r="U420" s="200"/>
      <c r="V420" s="200"/>
      <c r="W420" s="200"/>
    </row>
    <row r="421" spans="1:23" ht="12.75">
      <c r="A421" s="201"/>
      <c r="B421" s="201"/>
      <c r="C421" s="201"/>
      <c r="D421" s="224"/>
      <c r="E421" s="201"/>
      <c r="F421" s="201"/>
      <c r="G421" s="200"/>
      <c r="H421" s="200"/>
      <c r="I421" s="200"/>
      <c r="J421" s="200"/>
      <c r="K421" s="200"/>
      <c r="L421" s="200"/>
      <c r="M421" s="200"/>
      <c r="N421" s="200"/>
      <c r="O421" s="200"/>
      <c r="P421" s="200"/>
      <c r="Q421" s="200"/>
      <c r="R421" s="200"/>
      <c r="S421" s="200"/>
      <c r="T421" s="200"/>
      <c r="U421" s="200"/>
      <c r="V421" s="200"/>
      <c r="W421" s="200"/>
    </row>
    <row r="422" spans="1:23" ht="12.75">
      <c r="A422" s="201"/>
      <c r="B422" s="201"/>
      <c r="C422" s="201"/>
      <c r="D422" s="224"/>
      <c r="E422" s="201"/>
      <c r="F422" s="201"/>
      <c r="G422" s="200"/>
      <c r="H422" s="200"/>
      <c r="I422" s="200"/>
      <c r="J422" s="200"/>
      <c r="K422" s="200"/>
      <c r="L422" s="200"/>
      <c r="M422" s="200"/>
      <c r="N422" s="200"/>
      <c r="O422" s="200"/>
      <c r="P422" s="200"/>
      <c r="Q422" s="200"/>
      <c r="R422" s="200"/>
      <c r="S422" s="200"/>
      <c r="T422" s="200"/>
      <c r="U422" s="200"/>
      <c r="V422" s="200"/>
      <c r="W422" s="200"/>
    </row>
    <row r="423" spans="1:23" ht="12.75">
      <c r="A423" s="201"/>
      <c r="B423" s="201"/>
      <c r="C423" s="201"/>
      <c r="D423" s="224"/>
      <c r="E423" s="201"/>
      <c r="F423" s="201"/>
      <c r="G423" s="200"/>
      <c r="H423" s="200"/>
      <c r="I423" s="200"/>
      <c r="J423" s="200"/>
      <c r="K423" s="200"/>
      <c r="L423" s="200"/>
      <c r="M423" s="200"/>
      <c r="N423" s="200"/>
      <c r="O423" s="200"/>
      <c r="P423" s="200"/>
      <c r="Q423" s="200"/>
      <c r="R423" s="200"/>
      <c r="S423" s="200"/>
      <c r="T423" s="200"/>
      <c r="U423" s="200"/>
      <c r="V423" s="200"/>
      <c r="W423" s="200"/>
    </row>
    <row r="424" spans="1:23" ht="12.75">
      <c r="A424" s="201"/>
      <c r="B424" s="201"/>
      <c r="C424" s="201"/>
      <c r="D424" s="224"/>
      <c r="E424" s="201"/>
      <c r="F424" s="201"/>
      <c r="G424" s="200"/>
      <c r="H424" s="200"/>
      <c r="I424" s="200"/>
      <c r="J424" s="200"/>
      <c r="K424" s="200"/>
      <c r="L424" s="200"/>
      <c r="M424" s="200"/>
      <c r="N424" s="200"/>
      <c r="O424" s="200"/>
      <c r="P424" s="200"/>
      <c r="Q424" s="200"/>
      <c r="R424" s="200"/>
      <c r="S424" s="200"/>
      <c r="T424" s="200"/>
      <c r="U424" s="200"/>
      <c r="V424" s="200"/>
      <c r="W424" s="200"/>
    </row>
    <row r="425" spans="1:23" ht="12.75">
      <c r="A425" s="201"/>
      <c r="B425" s="201"/>
      <c r="C425" s="201"/>
      <c r="D425" s="224"/>
      <c r="E425" s="201"/>
      <c r="F425" s="201"/>
      <c r="G425" s="200"/>
      <c r="H425" s="200"/>
      <c r="I425" s="200"/>
      <c r="J425" s="200"/>
      <c r="K425" s="200"/>
      <c r="L425" s="200"/>
      <c r="M425" s="200"/>
      <c r="N425" s="200"/>
      <c r="O425" s="200"/>
      <c r="P425" s="200"/>
      <c r="Q425" s="200"/>
      <c r="R425" s="200"/>
      <c r="S425" s="200"/>
      <c r="T425" s="200"/>
      <c r="U425" s="200"/>
      <c r="V425" s="200"/>
      <c r="W425" s="200"/>
    </row>
    <row r="426" spans="1:23" ht="12.75">
      <c r="A426" s="201"/>
      <c r="B426" s="201"/>
      <c r="C426" s="201"/>
      <c r="D426" s="224"/>
      <c r="E426" s="201"/>
      <c r="F426" s="201"/>
      <c r="G426" s="200"/>
      <c r="H426" s="200"/>
      <c r="I426" s="200"/>
      <c r="J426" s="200"/>
      <c r="K426" s="200"/>
      <c r="L426" s="200"/>
      <c r="M426" s="200"/>
      <c r="N426" s="200"/>
      <c r="O426" s="200"/>
      <c r="P426" s="200"/>
      <c r="Q426" s="200"/>
      <c r="R426" s="200"/>
      <c r="S426" s="200"/>
      <c r="T426" s="200"/>
      <c r="U426" s="200"/>
      <c r="V426" s="200"/>
      <c r="W426" s="200"/>
    </row>
    <row r="427" spans="1:23" ht="12.75">
      <c r="A427" s="201"/>
      <c r="B427" s="201"/>
      <c r="C427" s="201"/>
      <c r="D427" s="224"/>
      <c r="E427" s="201"/>
      <c r="F427" s="201"/>
      <c r="G427" s="200"/>
      <c r="H427" s="200"/>
      <c r="I427" s="200"/>
      <c r="J427" s="200"/>
      <c r="K427" s="200"/>
      <c r="L427" s="200"/>
      <c r="M427" s="200"/>
      <c r="N427" s="200"/>
      <c r="O427" s="200"/>
      <c r="P427" s="200"/>
      <c r="Q427" s="200"/>
      <c r="R427" s="200"/>
      <c r="S427" s="200"/>
      <c r="T427" s="200"/>
      <c r="U427" s="200"/>
      <c r="V427" s="200"/>
      <c r="W427" s="200"/>
    </row>
    <row r="428" spans="1:23" ht="12.75">
      <c r="A428" s="201"/>
      <c r="B428" s="201"/>
      <c r="C428" s="201"/>
      <c r="D428" s="224"/>
      <c r="E428" s="201"/>
      <c r="F428" s="201"/>
      <c r="G428" s="200"/>
      <c r="H428" s="200"/>
      <c r="I428" s="200"/>
      <c r="J428" s="200"/>
      <c r="K428" s="200"/>
      <c r="L428" s="200"/>
      <c r="M428" s="200"/>
      <c r="N428" s="200"/>
      <c r="O428" s="200"/>
      <c r="P428" s="200"/>
      <c r="Q428" s="200"/>
      <c r="R428" s="200"/>
      <c r="S428" s="200"/>
      <c r="T428" s="200"/>
      <c r="U428" s="200"/>
      <c r="V428" s="200"/>
      <c r="W428" s="200"/>
    </row>
    <row r="429" spans="1:23" ht="12.75">
      <c r="A429" s="201"/>
      <c r="B429" s="201"/>
      <c r="C429" s="201"/>
      <c r="D429" s="224"/>
      <c r="E429" s="201"/>
      <c r="F429" s="201"/>
      <c r="G429" s="200"/>
      <c r="H429" s="200"/>
      <c r="I429" s="200"/>
      <c r="J429" s="200"/>
      <c r="K429" s="200"/>
      <c r="L429" s="200"/>
      <c r="M429" s="200"/>
      <c r="N429" s="200"/>
      <c r="O429" s="200"/>
      <c r="P429" s="200"/>
      <c r="Q429" s="200"/>
      <c r="R429" s="200"/>
      <c r="S429" s="200"/>
      <c r="T429" s="200"/>
      <c r="U429" s="200"/>
      <c r="V429" s="200"/>
      <c r="W429" s="200"/>
    </row>
    <row r="430" spans="1:23" ht="12.75">
      <c r="A430" s="201"/>
      <c r="B430" s="201"/>
      <c r="C430" s="201"/>
      <c r="D430" s="224"/>
      <c r="E430" s="201"/>
      <c r="F430" s="201"/>
      <c r="G430" s="200"/>
      <c r="H430" s="200"/>
      <c r="I430" s="200"/>
      <c r="J430" s="200"/>
      <c r="K430" s="200"/>
      <c r="L430" s="200"/>
      <c r="M430" s="200"/>
      <c r="N430" s="200"/>
      <c r="O430" s="200"/>
      <c r="P430" s="200"/>
      <c r="Q430" s="200"/>
      <c r="R430" s="200"/>
      <c r="S430" s="200"/>
      <c r="T430" s="200"/>
      <c r="U430" s="200"/>
      <c r="V430" s="200"/>
      <c r="W430" s="200"/>
    </row>
    <row r="431" spans="1:23" ht="12.75">
      <c r="A431" s="201"/>
      <c r="B431" s="201"/>
      <c r="C431" s="201"/>
      <c r="D431" s="224"/>
      <c r="E431" s="201"/>
      <c r="F431" s="201"/>
      <c r="G431" s="200"/>
      <c r="H431" s="200"/>
      <c r="I431" s="200"/>
      <c r="J431" s="200"/>
      <c r="K431" s="200"/>
      <c r="L431" s="200"/>
      <c r="M431" s="200"/>
      <c r="N431" s="200"/>
      <c r="O431" s="200"/>
      <c r="P431" s="200"/>
      <c r="Q431" s="200"/>
      <c r="R431" s="200"/>
      <c r="S431" s="200"/>
      <c r="T431" s="200"/>
      <c r="U431" s="200"/>
      <c r="V431" s="200"/>
      <c r="W431" s="200"/>
    </row>
    <row r="432" spans="1:23" ht="12.75">
      <c r="A432" s="201"/>
      <c r="B432" s="201"/>
      <c r="C432" s="201"/>
      <c r="D432" s="224"/>
      <c r="E432" s="201"/>
      <c r="F432" s="201"/>
      <c r="G432" s="200"/>
      <c r="H432" s="200"/>
      <c r="I432" s="200"/>
      <c r="J432" s="200"/>
      <c r="K432" s="200"/>
      <c r="L432" s="200"/>
      <c r="M432" s="200"/>
      <c r="N432" s="200"/>
      <c r="O432" s="200"/>
      <c r="P432" s="200"/>
      <c r="Q432" s="200"/>
      <c r="R432" s="200"/>
      <c r="S432" s="200"/>
      <c r="T432" s="200"/>
      <c r="U432" s="200"/>
      <c r="V432" s="200"/>
      <c r="W432" s="200"/>
    </row>
    <row r="433" spans="1:23" ht="12.75">
      <c r="A433" s="201"/>
      <c r="B433" s="201"/>
      <c r="C433" s="201"/>
      <c r="D433" s="224"/>
      <c r="E433" s="201"/>
      <c r="F433" s="201"/>
      <c r="G433" s="200"/>
      <c r="H433" s="200"/>
      <c r="I433" s="200"/>
      <c r="J433" s="200"/>
      <c r="K433" s="200"/>
      <c r="L433" s="200"/>
      <c r="M433" s="200"/>
      <c r="N433" s="200"/>
      <c r="O433" s="200"/>
      <c r="P433" s="200"/>
      <c r="Q433" s="200"/>
      <c r="R433" s="200"/>
      <c r="S433" s="200"/>
      <c r="T433" s="200"/>
      <c r="U433" s="200"/>
      <c r="V433" s="200"/>
      <c r="W433" s="200"/>
    </row>
    <row r="434" spans="1:23" ht="12.75">
      <c r="A434" s="201"/>
      <c r="B434" s="201"/>
      <c r="C434" s="201"/>
      <c r="D434" s="224"/>
      <c r="E434" s="201"/>
      <c r="F434" s="201"/>
      <c r="G434" s="200"/>
      <c r="H434" s="200"/>
      <c r="I434" s="200"/>
      <c r="J434" s="200"/>
      <c r="K434" s="200"/>
      <c r="L434" s="200"/>
      <c r="M434" s="200"/>
      <c r="N434" s="200"/>
      <c r="O434" s="200"/>
      <c r="P434" s="200"/>
      <c r="Q434" s="200"/>
      <c r="R434" s="200"/>
      <c r="S434" s="200"/>
      <c r="T434" s="200"/>
      <c r="U434" s="200"/>
      <c r="V434" s="200"/>
      <c r="W434" s="200"/>
    </row>
    <row r="435" spans="1:23" ht="12.75">
      <c r="A435" s="201"/>
      <c r="B435" s="201"/>
      <c r="C435" s="201"/>
      <c r="D435" s="224"/>
      <c r="E435" s="201"/>
      <c r="F435" s="201"/>
      <c r="G435" s="200"/>
      <c r="H435" s="200"/>
      <c r="I435" s="200"/>
      <c r="J435" s="200"/>
      <c r="K435" s="200"/>
      <c r="L435" s="200"/>
      <c r="M435" s="200"/>
      <c r="N435" s="200"/>
      <c r="O435" s="200"/>
      <c r="P435" s="200"/>
      <c r="Q435" s="200"/>
      <c r="R435" s="200"/>
      <c r="S435" s="200"/>
      <c r="T435" s="200"/>
      <c r="U435" s="200"/>
      <c r="V435" s="200"/>
      <c r="W435" s="200"/>
    </row>
    <row r="436" spans="1:23" ht="12.75">
      <c r="A436" s="201"/>
      <c r="B436" s="201"/>
      <c r="C436" s="201"/>
      <c r="D436" s="224"/>
      <c r="E436" s="201"/>
      <c r="F436" s="201"/>
      <c r="G436" s="200"/>
      <c r="H436" s="200"/>
      <c r="I436" s="200"/>
      <c r="J436" s="200"/>
      <c r="K436" s="200"/>
      <c r="L436" s="200"/>
      <c r="M436" s="200"/>
      <c r="N436" s="200"/>
      <c r="O436" s="200"/>
      <c r="P436" s="200"/>
      <c r="Q436" s="200"/>
      <c r="R436" s="200"/>
      <c r="S436" s="200"/>
      <c r="T436" s="200"/>
      <c r="U436" s="200"/>
      <c r="V436" s="200"/>
      <c r="W436" s="200"/>
    </row>
    <row r="437" spans="1:23" ht="12.75">
      <c r="A437" s="201"/>
      <c r="B437" s="201"/>
      <c r="C437" s="201"/>
      <c r="D437" s="224"/>
      <c r="E437" s="201"/>
      <c r="F437" s="201"/>
      <c r="G437" s="200"/>
      <c r="H437" s="200"/>
      <c r="I437" s="200"/>
      <c r="J437" s="200"/>
      <c r="K437" s="200"/>
      <c r="L437" s="200"/>
      <c r="M437" s="200"/>
      <c r="N437" s="200"/>
      <c r="O437" s="200"/>
      <c r="P437" s="200"/>
      <c r="Q437" s="200"/>
      <c r="R437" s="200"/>
      <c r="S437" s="200"/>
      <c r="T437" s="200"/>
      <c r="U437" s="200"/>
      <c r="V437" s="200"/>
      <c r="W437" s="200"/>
    </row>
    <row r="438" spans="1:23" ht="12.75">
      <c r="A438" s="201"/>
      <c r="B438" s="201"/>
      <c r="C438" s="201"/>
      <c r="D438" s="224"/>
      <c r="E438" s="201"/>
      <c r="F438" s="201"/>
      <c r="G438" s="200"/>
      <c r="H438" s="200"/>
      <c r="I438" s="200"/>
      <c r="J438" s="200"/>
      <c r="K438" s="200"/>
      <c r="L438" s="200"/>
      <c r="M438" s="200"/>
      <c r="N438" s="200"/>
      <c r="O438" s="200"/>
      <c r="P438" s="200"/>
      <c r="Q438" s="200"/>
      <c r="R438" s="200"/>
      <c r="S438" s="200"/>
      <c r="T438" s="200"/>
      <c r="U438" s="200"/>
      <c r="V438" s="200"/>
      <c r="W438" s="200"/>
    </row>
    <row r="439" spans="1:23" ht="12.75">
      <c r="A439" s="201"/>
      <c r="B439" s="201"/>
      <c r="C439" s="201"/>
      <c r="D439" s="224"/>
      <c r="E439" s="201"/>
      <c r="F439" s="201"/>
      <c r="G439" s="200"/>
      <c r="H439" s="200"/>
      <c r="I439" s="200"/>
      <c r="J439" s="200"/>
      <c r="K439" s="200"/>
      <c r="L439" s="200"/>
      <c r="M439" s="200"/>
      <c r="N439" s="200"/>
      <c r="O439" s="200"/>
      <c r="P439" s="200"/>
      <c r="Q439" s="200"/>
      <c r="R439" s="200"/>
      <c r="S439" s="200"/>
      <c r="T439" s="200"/>
      <c r="U439" s="200"/>
      <c r="V439" s="200"/>
      <c r="W439" s="200"/>
    </row>
    <row r="440" spans="1:23" ht="12.75">
      <c r="A440" s="201"/>
      <c r="B440" s="201"/>
      <c r="C440" s="201"/>
      <c r="D440" s="224"/>
      <c r="E440" s="201"/>
      <c r="F440" s="201"/>
      <c r="G440" s="200"/>
      <c r="H440" s="200"/>
      <c r="I440" s="200"/>
      <c r="J440" s="200"/>
      <c r="K440" s="200"/>
      <c r="L440" s="200"/>
      <c r="M440" s="200"/>
      <c r="N440" s="200"/>
      <c r="O440" s="200"/>
      <c r="P440" s="200"/>
      <c r="Q440" s="200"/>
      <c r="R440" s="200"/>
      <c r="S440" s="200"/>
      <c r="T440" s="200"/>
      <c r="U440" s="200"/>
      <c r="V440" s="200"/>
      <c r="W440" s="200"/>
    </row>
    <row r="441" spans="1:23" ht="12.75">
      <c r="A441" s="201"/>
      <c r="B441" s="201"/>
      <c r="C441" s="201"/>
      <c r="D441" s="224"/>
      <c r="E441" s="201"/>
      <c r="F441" s="201"/>
      <c r="G441" s="200"/>
      <c r="H441" s="200"/>
      <c r="I441" s="200"/>
      <c r="J441" s="200"/>
      <c r="K441" s="200"/>
      <c r="L441" s="200"/>
      <c r="M441" s="200"/>
      <c r="N441" s="200"/>
      <c r="O441" s="200"/>
      <c r="P441" s="200"/>
      <c r="Q441" s="200"/>
      <c r="R441" s="200"/>
      <c r="S441" s="200"/>
      <c r="T441" s="200"/>
      <c r="U441" s="200"/>
      <c r="V441" s="200"/>
      <c r="W441" s="200"/>
    </row>
    <row r="442" spans="1:23" ht="12.75">
      <c r="A442" s="201"/>
      <c r="B442" s="201"/>
      <c r="C442" s="201"/>
      <c r="D442" s="224"/>
      <c r="E442" s="201"/>
      <c r="F442" s="201"/>
      <c r="G442" s="200"/>
      <c r="H442" s="200"/>
      <c r="I442" s="200"/>
      <c r="J442" s="200"/>
      <c r="K442" s="200"/>
      <c r="L442" s="200"/>
      <c r="M442" s="200"/>
      <c r="N442" s="200"/>
      <c r="O442" s="200"/>
      <c r="P442" s="200"/>
      <c r="Q442" s="200"/>
      <c r="R442" s="200"/>
      <c r="S442" s="200"/>
      <c r="T442" s="200"/>
      <c r="U442" s="200"/>
      <c r="V442" s="200"/>
      <c r="W442" s="200"/>
    </row>
    <row r="443" spans="1:23" ht="12.75">
      <c r="A443" s="201"/>
      <c r="B443" s="201"/>
      <c r="C443" s="201"/>
      <c r="D443" s="224"/>
      <c r="E443" s="201"/>
      <c r="F443" s="201"/>
      <c r="G443" s="200"/>
      <c r="H443" s="200"/>
      <c r="I443" s="200"/>
      <c r="J443" s="200"/>
      <c r="K443" s="200"/>
      <c r="L443" s="200"/>
      <c r="M443" s="200"/>
      <c r="N443" s="200"/>
      <c r="O443" s="200"/>
      <c r="P443" s="200"/>
      <c r="Q443" s="200"/>
      <c r="R443" s="200"/>
      <c r="S443" s="200"/>
      <c r="T443" s="200"/>
      <c r="U443" s="200"/>
      <c r="V443" s="200"/>
      <c r="W443" s="200"/>
    </row>
    <row r="444" spans="1:23" ht="12.75">
      <c r="A444" s="201"/>
      <c r="B444" s="201"/>
      <c r="C444" s="201"/>
      <c r="D444" s="224"/>
      <c r="E444" s="201"/>
      <c r="F444" s="201"/>
      <c r="G444" s="200"/>
      <c r="H444" s="200"/>
      <c r="I444" s="200"/>
      <c r="J444" s="200"/>
      <c r="K444" s="200"/>
      <c r="L444" s="200"/>
      <c r="M444" s="200"/>
      <c r="N444" s="200"/>
      <c r="O444" s="200"/>
      <c r="P444" s="200"/>
      <c r="Q444" s="200"/>
      <c r="R444" s="200"/>
      <c r="S444" s="200"/>
      <c r="T444" s="200"/>
      <c r="U444" s="200"/>
      <c r="V444" s="200"/>
      <c r="W444" s="200"/>
    </row>
    <row r="445" spans="1:23" ht="12.75">
      <c r="A445" s="201"/>
      <c r="B445" s="201"/>
      <c r="C445" s="201"/>
      <c r="D445" s="224"/>
      <c r="E445" s="201"/>
      <c r="F445" s="201"/>
      <c r="G445" s="200"/>
      <c r="H445" s="200"/>
      <c r="I445" s="200"/>
      <c r="J445" s="200"/>
      <c r="K445" s="200"/>
      <c r="L445" s="200"/>
      <c r="M445" s="200"/>
      <c r="N445" s="200"/>
      <c r="O445" s="200"/>
      <c r="P445" s="200"/>
      <c r="Q445" s="200"/>
      <c r="R445" s="200"/>
      <c r="S445" s="200"/>
      <c r="T445" s="200"/>
      <c r="U445" s="200"/>
      <c r="V445" s="200"/>
      <c r="W445" s="200"/>
    </row>
    <row r="446" spans="1:23" ht="12.75">
      <c r="A446" s="201"/>
      <c r="B446" s="201"/>
      <c r="C446" s="201"/>
      <c r="D446" s="224"/>
      <c r="E446" s="201"/>
      <c r="F446" s="201"/>
      <c r="G446" s="200"/>
      <c r="H446" s="200"/>
      <c r="I446" s="200"/>
      <c r="J446" s="200"/>
      <c r="K446" s="200"/>
      <c r="L446" s="200"/>
      <c r="M446" s="200"/>
      <c r="N446" s="200"/>
      <c r="O446" s="200"/>
      <c r="P446" s="200"/>
      <c r="Q446" s="200"/>
      <c r="R446" s="200"/>
      <c r="S446" s="200"/>
      <c r="T446" s="200"/>
      <c r="U446" s="200"/>
      <c r="V446" s="200"/>
      <c r="W446" s="200"/>
    </row>
    <row r="447" spans="1:23" ht="12.75">
      <c r="A447" s="201"/>
      <c r="B447" s="201"/>
      <c r="C447" s="201"/>
      <c r="D447" s="224"/>
      <c r="E447" s="201"/>
      <c r="F447" s="201"/>
      <c r="G447" s="200"/>
      <c r="H447" s="200"/>
      <c r="I447" s="200"/>
      <c r="J447" s="200"/>
      <c r="K447" s="200"/>
      <c r="L447" s="200"/>
      <c r="M447" s="200"/>
      <c r="N447" s="200"/>
      <c r="O447" s="200"/>
      <c r="P447" s="200"/>
      <c r="Q447" s="200"/>
      <c r="R447" s="200"/>
      <c r="S447" s="200"/>
      <c r="T447" s="200"/>
      <c r="U447" s="200"/>
      <c r="V447" s="200"/>
      <c r="W447" s="200"/>
    </row>
    <row r="448" spans="1:23" ht="12.75">
      <c r="A448" s="201"/>
      <c r="B448" s="201"/>
      <c r="C448" s="201"/>
      <c r="D448" s="224"/>
      <c r="E448" s="201"/>
      <c r="F448" s="201"/>
      <c r="G448" s="200"/>
      <c r="H448" s="200"/>
      <c r="I448" s="200"/>
      <c r="J448" s="200"/>
      <c r="K448" s="200"/>
      <c r="L448" s="200"/>
      <c r="M448" s="200"/>
      <c r="N448" s="200"/>
      <c r="O448" s="200"/>
      <c r="P448" s="200"/>
      <c r="Q448" s="200"/>
      <c r="R448" s="200"/>
      <c r="S448" s="200"/>
      <c r="T448" s="200"/>
      <c r="U448" s="200"/>
      <c r="V448" s="200"/>
      <c r="W448" s="200"/>
    </row>
    <row r="449" spans="1:23" ht="12.75">
      <c r="A449" s="201"/>
      <c r="B449" s="201"/>
      <c r="C449" s="201"/>
      <c r="D449" s="224"/>
      <c r="E449" s="201"/>
      <c r="F449" s="201"/>
      <c r="G449" s="200"/>
      <c r="H449" s="200"/>
      <c r="I449" s="200"/>
      <c r="J449" s="200"/>
      <c r="K449" s="200"/>
      <c r="L449" s="200"/>
      <c r="M449" s="200"/>
      <c r="N449" s="200"/>
      <c r="O449" s="200"/>
      <c r="P449" s="200"/>
      <c r="Q449" s="200"/>
      <c r="R449" s="200"/>
      <c r="S449" s="200"/>
      <c r="T449" s="200"/>
      <c r="U449" s="200"/>
      <c r="V449" s="200"/>
      <c r="W449" s="200"/>
    </row>
    <row r="450" spans="1:23" ht="12.75">
      <c r="A450" s="201"/>
      <c r="B450" s="201"/>
      <c r="C450" s="201"/>
      <c r="D450" s="224"/>
      <c r="E450" s="201"/>
      <c r="F450" s="201"/>
      <c r="G450" s="200"/>
      <c r="H450" s="200"/>
      <c r="I450" s="200"/>
      <c r="J450" s="200"/>
      <c r="K450" s="200"/>
      <c r="L450" s="200"/>
      <c r="M450" s="200"/>
      <c r="N450" s="200"/>
      <c r="O450" s="200"/>
      <c r="P450" s="200"/>
      <c r="Q450" s="200"/>
      <c r="R450" s="200"/>
      <c r="S450" s="200"/>
      <c r="T450" s="200"/>
      <c r="U450" s="200"/>
      <c r="V450" s="200"/>
      <c r="W450" s="200"/>
    </row>
    <row r="451" spans="1:23" ht="12.75">
      <c r="A451" s="201"/>
      <c r="B451" s="201"/>
      <c r="C451" s="201"/>
      <c r="D451" s="224"/>
      <c r="E451" s="201"/>
      <c r="F451" s="201"/>
      <c r="G451" s="200"/>
      <c r="H451" s="200"/>
      <c r="I451" s="200"/>
      <c r="J451" s="200"/>
      <c r="K451" s="200"/>
      <c r="L451" s="200"/>
      <c r="M451" s="200"/>
      <c r="N451" s="200"/>
      <c r="O451" s="200"/>
      <c r="P451" s="200"/>
      <c r="Q451" s="200"/>
      <c r="R451" s="200"/>
      <c r="S451" s="200"/>
      <c r="T451" s="200"/>
      <c r="U451" s="200"/>
      <c r="V451" s="200"/>
      <c r="W451" s="200"/>
    </row>
    <row r="452" spans="1:23" ht="12.75">
      <c r="A452" s="201"/>
      <c r="B452" s="201"/>
      <c r="C452" s="201"/>
      <c r="D452" s="224"/>
      <c r="E452" s="201"/>
      <c r="F452" s="201"/>
      <c r="G452" s="200"/>
      <c r="H452" s="200"/>
      <c r="I452" s="200"/>
      <c r="J452" s="200"/>
      <c r="K452" s="200"/>
      <c r="L452" s="200"/>
      <c r="M452" s="200"/>
      <c r="N452" s="200"/>
      <c r="O452" s="200"/>
      <c r="P452" s="200"/>
      <c r="Q452" s="200"/>
      <c r="R452" s="200"/>
      <c r="S452" s="200"/>
      <c r="T452" s="200"/>
      <c r="U452" s="200"/>
      <c r="V452" s="200"/>
      <c r="W452" s="200"/>
    </row>
    <row r="453" spans="1:23" ht="12.75">
      <c r="A453" s="201"/>
      <c r="B453" s="201"/>
      <c r="C453" s="201"/>
      <c r="D453" s="224"/>
      <c r="E453" s="201"/>
      <c r="F453" s="201"/>
      <c r="G453" s="200"/>
      <c r="H453" s="200"/>
      <c r="I453" s="200"/>
      <c r="J453" s="200"/>
      <c r="K453" s="200"/>
      <c r="L453" s="200"/>
      <c r="M453" s="200"/>
      <c r="N453" s="200"/>
      <c r="O453" s="200"/>
      <c r="P453" s="200"/>
      <c r="Q453" s="200"/>
      <c r="R453" s="200"/>
      <c r="S453" s="200"/>
      <c r="T453" s="200"/>
      <c r="U453" s="200"/>
      <c r="V453" s="200"/>
      <c r="W453" s="200"/>
    </row>
    <row r="454" spans="1:23" ht="12.75">
      <c r="A454" s="201"/>
      <c r="B454" s="201"/>
      <c r="C454" s="201"/>
      <c r="D454" s="224"/>
      <c r="E454" s="201"/>
      <c r="F454" s="201"/>
      <c r="G454" s="200"/>
      <c r="H454" s="200"/>
      <c r="I454" s="200"/>
      <c r="J454" s="200"/>
      <c r="K454" s="200"/>
      <c r="L454" s="200"/>
      <c r="M454" s="200"/>
      <c r="N454" s="200"/>
      <c r="O454" s="200"/>
      <c r="P454" s="200"/>
      <c r="Q454" s="200"/>
      <c r="R454" s="200"/>
      <c r="S454" s="200"/>
      <c r="T454" s="200"/>
      <c r="U454" s="200"/>
      <c r="V454" s="200"/>
      <c r="W454" s="200"/>
    </row>
    <row r="455" spans="1:23" ht="12.75">
      <c r="A455" s="201"/>
      <c r="B455" s="201"/>
      <c r="C455" s="201"/>
      <c r="D455" s="224"/>
      <c r="E455" s="201"/>
      <c r="F455" s="201"/>
      <c r="G455" s="200"/>
      <c r="H455" s="200"/>
      <c r="I455" s="200"/>
      <c r="J455" s="200"/>
      <c r="K455" s="200"/>
      <c r="L455" s="200"/>
      <c r="M455" s="200"/>
      <c r="N455" s="200"/>
      <c r="O455" s="200"/>
      <c r="P455" s="200"/>
      <c r="Q455" s="200"/>
      <c r="R455" s="200"/>
      <c r="S455" s="200"/>
      <c r="T455" s="200"/>
      <c r="U455" s="200"/>
      <c r="V455" s="200"/>
      <c r="W455" s="200"/>
    </row>
    <row r="456" spans="1:23" ht="12.75">
      <c r="A456" s="201"/>
      <c r="B456" s="201"/>
      <c r="C456" s="201"/>
      <c r="D456" s="224"/>
      <c r="E456" s="201"/>
      <c r="F456" s="201"/>
      <c r="G456" s="200"/>
      <c r="H456" s="200"/>
      <c r="I456" s="200"/>
      <c r="J456" s="200"/>
      <c r="K456" s="200"/>
      <c r="L456" s="200"/>
      <c r="M456" s="200"/>
      <c r="N456" s="200"/>
      <c r="O456" s="200"/>
      <c r="P456" s="200"/>
      <c r="Q456" s="200"/>
      <c r="R456" s="200"/>
      <c r="S456" s="200"/>
      <c r="T456" s="200"/>
      <c r="U456" s="200"/>
      <c r="V456" s="200"/>
      <c r="W456" s="200"/>
    </row>
    <row r="457" spans="1:23" ht="12.75">
      <c r="A457" s="201"/>
      <c r="B457" s="201"/>
      <c r="C457" s="201"/>
      <c r="D457" s="224"/>
      <c r="E457" s="201"/>
      <c r="F457" s="201"/>
      <c r="G457" s="200"/>
      <c r="H457" s="200"/>
      <c r="I457" s="200"/>
      <c r="J457" s="200"/>
      <c r="K457" s="200"/>
      <c r="L457" s="200"/>
      <c r="M457" s="200"/>
      <c r="N457" s="200"/>
      <c r="O457" s="200"/>
      <c r="P457" s="200"/>
      <c r="Q457" s="200"/>
      <c r="R457" s="200"/>
      <c r="S457" s="200"/>
      <c r="T457" s="200"/>
      <c r="U457" s="200"/>
      <c r="V457" s="200"/>
      <c r="W457" s="200"/>
    </row>
    <row r="458" spans="1:23" ht="12.75">
      <c r="A458" s="201"/>
      <c r="B458" s="201"/>
      <c r="C458" s="201"/>
      <c r="D458" s="224"/>
      <c r="E458" s="201"/>
      <c r="F458" s="201"/>
      <c r="G458" s="200"/>
      <c r="H458" s="200"/>
      <c r="I458" s="200"/>
      <c r="J458" s="200"/>
      <c r="K458" s="200"/>
      <c r="L458" s="200"/>
      <c r="M458" s="200"/>
      <c r="N458" s="200"/>
      <c r="O458" s="200"/>
      <c r="P458" s="200"/>
      <c r="Q458" s="200"/>
      <c r="R458" s="200"/>
      <c r="S458" s="200"/>
      <c r="T458" s="200"/>
      <c r="U458" s="200"/>
      <c r="V458" s="200"/>
      <c r="W458" s="200"/>
    </row>
    <row r="459" spans="1:23" ht="12.75">
      <c r="A459" s="201"/>
      <c r="B459" s="201"/>
      <c r="C459" s="201"/>
      <c r="D459" s="224"/>
      <c r="E459" s="201"/>
      <c r="F459" s="201"/>
      <c r="G459" s="200"/>
      <c r="H459" s="200"/>
      <c r="I459" s="200"/>
      <c r="J459" s="200"/>
      <c r="K459" s="200"/>
      <c r="L459" s="200"/>
      <c r="M459" s="200"/>
      <c r="N459" s="200"/>
      <c r="O459" s="200"/>
      <c r="P459" s="200"/>
      <c r="Q459" s="200"/>
      <c r="R459" s="200"/>
      <c r="S459" s="200"/>
      <c r="T459" s="200"/>
      <c r="U459" s="200"/>
      <c r="V459" s="200"/>
      <c r="W459" s="200"/>
    </row>
    <row r="460" spans="1:23" ht="12.75">
      <c r="A460" s="201"/>
      <c r="B460" s="201"/>
      <c r="C460" s="201"/>
      <c r="D460" s="224"/>
      <c r="E460" s="201"/>
      <c r="F460" s="201"/>
      <c r="G460" s="200"/>
      <c r="H460" s="200"/>
      <c r="I460" s="200"/>
      <c r="J460" s="200"/>
      <c r="K460" s="200"/>
      <c r="L460" s="200"/>
      <c r="M460" s="200"/>
      <c r="N460" s="200"/>
      <c r="O460" s="200"/>
      <c r="P460" s="200"/>
      <c r="Q460" s="200"/>
      <c r="R460" s="200"/>
      <c r="S460" s="200"/>
      <c r="T460" s="200"/>
      <c r="U460" s="200"/>
      <c r="V460" s="200"/>
      <c r="W460" s="200"/>
    </row>
    <row r="461" spans="1:23" ht="12.75">
      <c r="A461" s="201"/>
      <c r="B461" s="201"/>
      <c r="C461" s="201"/>
      <c r="D461" s="224"/>
      <c r="E461" s="201"/>
      <c r="F461" s="201"/>
      <c r="G461" s="200"/>
      <c r="H461" s="200"/>
      <c r="I461" s="200"/>
      <c r="J461" s="200"/>
      <c r="K461" s="200"/>
      <c r="L461" s="200"/>
      <c r="M461" s="200"/>
      <c r="N461" s="200"/>
      <c r="O461" s="200"/>
      <c r="P461" s="200"/>
      <c r="Q461" s="200"/>
      <c r="R461" s="200"/>
      <c r="S461" s="200"/>
      <c r="T461" s="200"/>
      <c r="U461" s="200"/>
      <c r="V461" s="200"/>
      <c r="W461" s="200"/>
    </row>
    <row r="462" spans="1:23" ht="12.75">
      <c r="A462" s="201"/>
      <c r="B462" s="201"/>
      <c r="C462" s="201"/>
      <c r="D462" s="224"/>
      <c r="E462" s="201"/>
      <c r="F462" s="201"/>
      <c r="G462" s="200"/>
      <c r="H462" s="200"/>
      <c r="I462" s="200"/>
      <c r="J462" s="200"/>
      <c r="K462" s="200"/>
      <c r="L462" s="200"/>
      <c r="M462" s="200"/>
      <c r="N462" s="200"/>
      <c r="O462" s="200"/>
      <c r="P462" s="200"/>
      <c r="Q462" s="200"/>
      <c r="R462" s="200"/>
      <c r="S462" s="200"/>
      <c r="T462" s="200"/>
      <c r="U462" s="200"/>
      <c r="V462" s="200"/>
      <c r="W462" s="200"/>
    </row>
    <row r="463" spans="1:23" ht="12.75">
      <c r="A463" s="201"/>
      <c r="B463" s="201"/>
      <c r="C463" s="201"/>
      <c r="D463" s="224"/>
      <c r="E463" s="201"/>
      <c r="F463" s="201"/>
      <c r="G463" s="200"/>
      <c r="H463" s="200"/>
      <c r="I463" s="200"/>
      <c r="J463" s="200"/>
      <c r="K463" s="200"/>
      <c r="L463" s="200"/>
      <c r="M463" s="200"/>
      <c r="N463" s="200"/>
      <c r="O463" s="200"/>
      <c r="P463" s="200"/>
      <c r="Q463" s="200"/>
      <c r="R463" s="200"/>
      <c r="S463" s="200"/>
      <c r="T463" s="200"/>
      <c r="U463" s="200"/>
      <c r="V463" s="200"/>
      <c r="W463" s="200"/>
    </row>
    <row r="464" spans="1:23" ht="12.75">
      <c r="A464" s="201"/>
      <c r="B464" s="201"/>
      <c r="C464" s="201"/>
      <c r="D464" s="224"/>
      <c r="E464" s="201"/>
      <c r="F464" s="201"/>
      <c r="G464" s="200"/>
      <c r="H464" s="200"/>
      <c r="I464" s="200"/>
      <c r="J464" s="200"/>
      <c r="K464" s="200"/>
      <c r="L464" s="200"/>
      <c r="M464" s="200"/>
      <c r="N464" s="200"/>
      <c r="O464" s="200"/>
      <c r="P464" s="200"/>
      <c r="Q464" s="200"/>
      <c r="R464" s="200"/>
      <c r="S464" s="200"/>
      <c r="T464" s="200"/>
      <c r="U464" s="200"/>
      <c r="V464" s="200"/>
      <c r="W464" s="200"/>
    </row>
    <row r="465" spans="1:23" ht="12.75">
      <c r="A465" s="201"/>
      <c r="B465" s="201"/>
      <c r="C465" s="201"/>
      <c r="D465" s="224"/>
      <c r="E465" s="201"/>
      <c r="F465" s="201"/>
      <c r="G465" s="200"/>
      <c r="H465" s="200"/>
      <c r="I465" s="200"/>
      <c r="J465" s="200"/>
      <c r="K465" s="200"/>
      <c r="L465" s="200"/>
      <c r="M465" s="200"/>
      <c r="N465" s="200"/>
      <c r="O465" s="200"/>
      <c r="P465" s="200"/>
      <c r="Q465" s="200"/>
      <c r="R465" s="200"/>
      <c r="S465" s="200"/>
      <c r="T465" s="200"/>
      <c r="U465" s="200"/>
      <c r="V465" s="200"/>
      <c r="W465" s="200"/>
    </row>
    <row r="466" spans="1:23" ht="12.75">
      <c r="A466" s="201"/>
      <c r="B466" s="201"/>
      <c r="C466" s="201"/>
      <c r="D466" s="224"/>
      <c r="E466" s="201"/>
      <c r="F466" s="201"/>
      <c r="G466" s="200"/>
      <c r="H466" s="200"/>
      <c r="I466" s="200"/>
      <c r="J466" s="200"/>
      <c r="K466" s="200"/>
      <c r="L466" s="200"/>
      <c r="M466" s="200"/>
      <c r="N466" s="200"/>
      <c r="O466" s="200"/>
      <c r="P466" s="200"/>
      <c r="Q466" s="200"/>
      <c r="R466" s="200"/>
      <c r="S466" s="200"/>
      <c r="T466" s="200"/>
      <c r="U466" s="200"/>
      <c r="V466" s="200"/>
      <c r="W466" s="200"/>
    </row>
    <row r="467" spans="1:23" ht="12.75">
      <c r="A467" s="201"/>
      <c r="B467" s="201"/>
      <c r="C467" s="201"/>
      <c r="D467" s="224"/>
      <c r="E467" s="201"/>
      <c r="F467" s="201"/>
      <c r="G467" s="200"/>
      <c r="H467" s="200"/>
      <c r="I467" s="200"/>
      <c r="J467" s="200"/>
      <c r="K467" s="200"/>
      <c r="L467" s="200"/>
      <c r="M467" s="200"/>
      <c r="N467" s="200"/>
      <c r="O467" s="200"/>
      <c r="P467" s="200"/>
      <c r="Q467" s="200"/>
      <c r="R467" s="200"/>
      <c r="S467" s="200"/>
      <c r="T467" s="200"/>
      <c r="U467" s="200"/>
      <c r="V467" s="200"/>
      <c r="W467" s="200"/>
    </row>
    <row r="468" spans="1:23" ht="12.75">
      <c r="A468" s="201"/>
      <c r="B468" s="201"/>
      <c r="C468" s="201"/>
      <c r="D468" s="224"/>
      <c r="E468" s="201"/>
      <c r="F468" s="201"/>
      <c r="G468" s="200"/>
      <c r="H468" s="200"/>
      <c r="I468" s="200"/>
      <c r="J468" s="200"/>
      <c r="K468" s="200"/>
      <c r="L468" s="200"/>
      <c r="M468" s="200"/>
      <c r="N468" s="200"/>
      <c r="O468" s="200"/>
      <c r="P468" s="200"/>
      <c r="Q468" s="200"/>
      <c r="R468" s="200"/>
      <c r="S468" s="200"/>
      <c r="T468" s="200"/>
      <c r="U468" s="200"/>
      <c r="V468" s="200"/>
      <c r="W468" s="200"/>
    </row>
    <row r="469" spans="1:23" ht="12.75">
      <c r="A469" s="201"/>
      <c r="B469" s="201"/>
      <c r="C469" s="201"/>
      <c r="D469" s="224"/>
      <c r="E469" s="201"/>
      <c r="F469" s="201"/>
      <c r="G469" s="200"/>
      <c r="H469" s="200"/>
      <c r="I469" s="200"/>
      <c r="J469" s="200"/>
      <c r="K469" s="200"/>
      <c r="L469" s="200"/>
      <c r="M469" s="200"/>
      <c r="N469" s="200"/>
      <c r="O469" s="200"/>
      <c r="P469" s="200"/>
      <c r="Q469" s="200"/>
      <c r="R469" s="200"/>
      <c r="S469" s="200"/>
      <c r="T469" s="200"/>
      <c r="U469" s="200"/>
      <c r="V469" s="200"/>
      <c r="W469" s="200"/>
    </row>
    <row r="470" spans="1:23" ht="12.75">
      <c r="A470" s="201"/>
      <c r="B470" s="201"/>
      <c r="C470" s="201"/>
      <c r="D470" s="224"/>
      <c r="E470" s="201"/>
      <c r="F470" s="201"/>
      <c r="G470" s="200"/>
      <c r="H470" s="200"/>
      <c r="I470" s="200"/>
      <c r="J470" s="200"/>
      <c r="K470" s="200"/>
      <c r="L470" s="200"/>
      <c r="M470" s="200"/>
      <c r="N470" s="200"/>
      <c r="O470" s="200"/>
      <c r="P470" s="200"/>
      <c r="Q470" s="200"/>
      <c r="R470" s="200"/>
      <c r="S470" s="200"/>
      <c r="T470" s="200"/>
      <c r="U470" s="200"/>
      <c r="V470" s="200"/>
      <c r="W470" s="200"/>
    </row>
    <row r="471" spans="1:23" ht="12.75">
      <c r="A471" s="201"/>
      <c r="B471" s="201"/>
      <c r="C471" s="201"/>
      <c r="D471" s="224"/>
      <c r="E471" s="201"/>
      <c r="F471" s="201"/>
      <c r="G471" s="200"/>
      <c r="H471" s="200"/>
      <c r="I471" s="200"/>
      <c r="J471" s="200"/>
      <c r="K471" s="200"/>
      <c r="L471" s="200"/>
      <c r="M471" s="200"/>
      <c r="N471" s="200"/>
      <c r="O471" s="200"/>
      <c r="P471" s="200"/>
      <c r="Q471" s="200"/>
      <c r="R471" s="200"/>
      <c r="S471" s="200"/>
      <c r="T471" s="200"/>
      <c r="U471" s="200"/>
      <c r="V471" s="200"/>
      <c r="W471" s="200"/>
    </row>
    <row r="472" spans="1:23" ht="12.75">
      <c r="A472" s="201"/>
      <c r="B472" s="201"/>
      <c r="C472" s="201"/>
      <c r="D472" s="224"/>
      <c r="E472" s="201"/>
      <c r="F472" s="201"/>
      <c r="G472" s="200"/>
      <c r="H472" s="200"/>
      <c r="I472" s="200"/>
      <c r="J472" s="200"/>
      <c r="K472" s="200"/>
      <c r="L472" s="200"/>
      <c r="M472" s="200"/>
      <c r="N472" s="200"/>
      <c r="O472" s="200"/>
      <c r="P472" s="200"/>
      <c r="Q472" s="200"/>
      <c r="R472" s="200"/>
      <c r="S472" s="200"/>
      <c r="T472" s="200"/>
      <c r="U472" s="200"/>
      <c r="V472" s="200"/>
      <c r="W472" s="200"/>
    </row>
    <row r="473" spans="1:23" ht="12.75">
      <c r="A473" s="201"/>
      <c r="B473" s="201"/>
      <c r="C473" s="201"/>
      <c r="D473" s="224"/>
      <c r="E473" s="201"/>
      <c r="F473" s="201"/>
      <c r="G473" s="200"/>
      <c r="H473" s="200"/>
      <c r="I473" s="200"/>
      <c r="J473" s="200"/>
      <c r="K473" s="200"/>
      <c r="L473" s="200"/>
      <c r="M473" s="200"/>
      <c r="N473" s="200"/>
      <c r="O473" s="200"/>
      <c r="P473" s="200"/>
      <c r="Q473" s="200"/>
      <c r="R473" s="200"/>
      <c r="S473" s="200"/>
      <c r="T473" s="200"/>
      <c r="U473" s="200"/>
      <c r="V473" s="200"/>
      <c r="W473" s="200"/>
    </row>
    <row r="474" spans="1:23" ht="12.75">
      <c r="A474" s="201"/>
      <c r="B474" s="201"/>
      <c r="C474" s="201"/>
      <c r="D474" s="224"/>
      <c r="E474" s="201"/>
      <c r="F474" s="201"/>
      <c r="G474" s="200"/>
      <c r="H474" s="200"/>
      <c r="I474" s="200"/>
      <c r="J474" s="200"/>
      <c r="K474" s="200"/>
      <c r="L474" s="200"/>
      <c r="M474" s="200"/>
      <c r="N474" s="200"/>
      <c r="O474" s="200"/>
      <c r="P474" s="200"/>
      <c r="Q474" s="200"/>
      <c r="R474" s="200"/>
      <c r="S474" s="200"/>
      <c r="T474" s="200"/>
      <c r="U474" s="200"/>
      <c r="V474" s="200"/>
      <c r="W474" s="200"/>
    </row>
    <row r="475" spans="1:23" ht="12.75">
      <c r="A475" s="201"/>
      <c r="B475" s="201"/>
      <c r="C475" s="201"/>
      <c r="D475" s="224"/>
      <c r="E475" s="201"/>
      <c r="F475" s="201"/>
      <c r="G475" s="200"/>
      <c r="H475" s="200"/>
      <c r="I475" s="200"/>
      <c r="J475" s="200"/>
      <c r="K475" s="200"/>
      <c r="L475" s="200"/>
      <c r="M475" s="200"/>
      <c r="N475" s="200"/>
      <c r="O475" s="200"/>
      <c r="P475" s="200"/>
      <c r="Q475" s="200"/>
      <c r="R475" s="200"/>
      <c r="S475" s="200"/>
      <c r="T475" s="200"/>
      <c r="U475" s="200"/>
      <c r="V475" s="200"/>
      <c r="W475" s="200"/>
    </row>
    <row r="476" spans="1:23" ht="12.75">
      <c r="A476" s="201"/>
      <c r="B476" s="201"/>
      <c r="C476" s="201"/>
      <c r="D476" s="224"/>
      <c r="E476" s="201"/>
      <c r="F476" s="201"/>
      <c r="G476" s="200"/>
      <c r="H476" s="200"/>
      <c r="I476" s="200"/>
      <c r="J476" s="200"/>
      <c r="K476" s="200"/>
      <c r="L476" s="200"/>
      <c r="M476" s="200"/>
      <c r="N476" s="200"/>
      <c r="O476" s="200"/>
      <c r="P476" s="200"/>
      <c r="Q476" s="200"/>
      <c r="R476" s="200"/>
      <c r="S476" s="200"/>
      <c r="T476" s="200"/>
      <c r="U476" s="200"/>
      <c r="V476" s="200"/>
      <c r="W476" s="200"/>
    </row>
    <row r="477" spans="1:23" ht="12.75">
      <c r="A477" s="201"/>
      <c r="B477" s="201"/>
      <c r="C477" s="201"/>
      <c r="D477" s="224"/>
      <c r="E477" s="201"/>
      <c r="F477" s="201"/>
      <c r="G477" s="200"/>
      <c r="H477" s="200"/>
      <c r="I477" s="200"/>
      <c r="J477" s="200"/>
      <c r="K477" s="200"/>
      <c r="L477" s="200"/>
      <c r="M477" s="200"/>
      <c r="N477" s="200"/>
      <c r="O477" s="200"/>
      <c r="P477" s="200"/>
      <c r="Q477" s="200"/>
      <c r="R477" s="200"/>
      <c r="S477" s="200"/>
      <c r="T477" s="200"/>
      <c r="U477" s="200"/>
      <c r="V477" s="200"/>
      <c r="W477" s="200"/>
    </row>
    <row r="478" spans="1:23" ht="12.75">
      <c r="A478" s="201"/>
      <c r="B478" s="201"/>
      <c r="C478" s="201"/>
      <c r="D478" s="224"/>
      <c r="E478" s="201"/>
      <c r="F478" s="201"/>
      <c r="G478" s="200"/>
      <c r="H478" s="200"/>
      <c r="I478" s="200"/>
      <c r="J478" s="200"/>
      <c r="K478" s="200"/>
      <c r="L478" s="200"/>
      <c r="M478" s="200"/>
      <c r="N478" s="200"/>
      <c r="O478" s="200"/>
      <c r="P478" s="200"/>
      <c r="Q478" s="200"/>
      <c r="R478" s="200"/>
      <c r="S478" s="200"/>
      <c r="T478" s="200"/>
      <c r="U478" s="200"/>
      <c r="V478" s="200"/>
      <c r="W478" s="200"/>
    </row>
    <row r="479" spans="1:23" ht="12.75">
      <c r="A479" s="201"/>
      <c r="B479" s="201"/>
      <c r="C479" s="201"/>
      <c r="D479" s="224"/>
      <c r="E479" s="201"/>
      <c r="F479" s="201"/>
      <c r="G479" s="200"/>
      <c r="H479" s="200"/>
      <c r="I479" s="200"/>
      <c r="J479" s="200"/>
      <c r="K479" s="200"/>
      <c r="L479" s="200"/>
      <c r="M479" s="200"/>
      <c r="N479" s="200"/>
      <c r="O479" s="200"/>
      <c r="P479" s="200"/>
      <c r="Q479" s="200"/>
      <c r="R479" s="200"/>
      <c r="S479" s="200"/>
      <c r="T479" s="200"/>
      <c r="U479" s="200"/>
      <c r="V479" s="200"/>
      <c r="W479" s="200"/>
    </row>
    <row r="480" spans="1:23" ht="12.75">
      <c r="A480" s="201"/>
      <c r="B480" s="201"/>
      <c r="C480" s="201"/>
      <c r="D480" s="224"/>
      <c r="E480" s="201"/>
      <c r="F480" s="201"/>
      <c r="G480" s="200"/>
      <c r="H480" s="200"/>
      <c r="I480" s="200"/>
      <c r="J480" s="200"/>
      <c r="K480" s="200"/>
      <c r="L480" s="200"/>
      <c r="M480" s="200"/>
      <c r="N480" s="200"/>
      <c r="O480" s="200"/>
      <c r="P480" s="200"/>
      <c r="Q480" s="200"/>
      <c r="R480" s="200"/>
      <c r="S480" s="200"/>
      <c r="T480" s="200"/>
      <c r="U480" s="200"/>
      <c r="V480" s="200"/>
      <c r="W480" s="200"/>
    </row>
    <row r="481" spans="1:23" ht="12.75">
      <c r="A481" s="201"/>
      <c r="B481" s="201"/>
      <c r="C481" s="201"/>
      <c r="D481" s="224"/>
      <c r="E481" s="201"/>
      <c r="F481" s="201"/>
      <c r="G481" s="200"/>
      <c r="H481" s="200"/>
      <c r="I481" s="200"/>
      <c r="J481" s="200"/>
      <c r="K481" s="200"/>
      <c r="L481" s="200"/>
      <c r="M481" s="200"/>
      <c r="N481" s="200"/>
      <c r="O481" s="200"/>
      <c r="P481" s="200"/>
      <c r="Q481" s="200"/>
      <c r="R481" s="200"/>
      <c r="S481" s="200"/>
      <c r="T481" s="200"/>
      <c r="U481" s="200"/>
      <c r="V481" s="200"/>
      <c r="W481" s="200"/>
    </row>
    <row r="482" spans="1:23" ht="12.75">
      <c r="A482" s="201"/>
      <c r="B482" s="201"/>
      <c r="C482" s="201"/>
      <c r="D482" s="224"/>
      <c r="E482" s="201"/>
      <c r="F482" s="201"/>
      <c r="G482" s="200"/>
      <c r="H482" s="200"/>
      <c r="I482" s="200"/>
      <c r="J482" s="200"/>
      <c r="K482" s="200"/>
      <c r="L482" s="200"/>
      <c r="M482" s="200"/>
      <c r="N482" s="200"/>
      <c r="O482" s="200"/>
      <c r="P482" s="200"/>
      <c r="Q482" s="200"/>
      <c r="R482" s="200"/>
      <c r="S482" s="200"/>
      <c r="T482" s="200"/>
      <c r="U482" s="200"/>
      <c r="V482" s="200"/>
      <c r="W482" s="200"/>
    </row>
    <row r="483" spans="1:23" ht="12.75">
      <c r="A483" s="201"/>
      <c r="B483" s="201"/>
      <c r="C483" s="201"/>
      <c r="D483" s="224"/>
      <c r="E483" s="201"/>
      <c r="F483" s="201"/>
      <c r="G483" s="200"/>
      <c r="H483" s="200"/>
      <c r="I483" s="200"/>
      <c r="J483" s="200"/>
      <c r="K483" s="200"/>
      <c r="L483" s="200"/>
      <c r="M483" s="200"/>
      <c r="N483" s="200"/>
      <c r="O483" s="200"/>
      <c r="P483" s="200"/>
      <c r="Q483" s="200"/>
      <c r="R483" s="200"/>
      <c r="S483" s="200"/>
      <c r="T483" s="200"/>
      <c r="U483" s="200"/>
      <c r="V483" s="200"/>
      <c r="W483" s="200"/>
    </row>
    <row r="484" spans="1:23" ht="12.75">
      <c r="A484" s="201"/>
      <c r="B484" s="201"/>
      <c r="C484" s="201"/>
      <c r="D484" s="224"/>
      <c r="E484" s="201"/>
      <c r="F484" s="201"/>
      <c r="G484" s="200"/>
      <c r="H484" s="200"/>
      <c r="I484" s="200"/>
      <c r="J484" s="200"/>
      <c r="K484" s="200"/>
      <c r="L484" s="200"/>
      <c r="M484" s="200"/>
      <c r="N484" s="200"/>
      <c r="O484" s="200"/>
      <c r="P484" s="200"/>
      <c r="Q484" s="200"/>
      <c r="R484" s="200"/>
      <c r="S484" s="200"/>
      <c r="T484" s="200"/>
      <c r="U484" s="200"/>
      <c r="V484" s="200"/>
      <c r="W484" s="200"/>
    </row>
    <row r="485" spans="1:23" ht="12.75">
      <c r="A485" s="201"/>
      <c r="B485" s="201"/>
      <c r="C485" s="201"/>
      <c r="D485" s="224"/>
      <c r="E485" s="201"/>
      <c r="F485" s="201"/>
      <c r="G485" s="200"/>
      <c r="H485" s="200"/>
      <c r="I485" s="200"/>
      <c r="J485" s="200"/>
      <c r="K485" s="200"/>
      <c r="L485" s="200"/>
      <c r="M485" s="200"/>
      <c r="N485" s="200"/>
      <c r="O485" s="200"/>
      <c r="P485" s="200"/>
      <c r="Q485" s="200"/>
      <c r="R485" s="200"/>
      <c r="S485" s="200"/>
      <c r="T485" s="200"/>
      <c r="U485" s="200"/>
      <c r="V485" s="200"/>
      <c r="W485" s="200"/>
    </row>
    <row r="486" spans="1:23" ht="12.75">
      <c r="A486" s="201"/>
      <c r="B486" s="201"/>
      <c r="C486" s="201"/>
      <c r="D486" s="224"/>
      <c r="E486" s="201"/>
      <c r="F486" s="201"/>
      <c r="G486" s="200"/>
      <c r="H486" s="200"/>
      <c r="I486" s="200"/>
      <c r="J486" s="200"/>
      <c r="K486" s="200"/>
      <c r="L486" s="200"/>
      <c r="M486" s="200"/>
      <c r="N486" s="200"/>
      <c r="O486" s="200"/>
      <c r="P486" s="200"/>
      <c r="Q486" s="200"/>
      <c r="R486" s="200"/>
      <c r="S486" s="200"/>
      <c r="T486" s="200"/>
      <c r="U486" s="200"/>
      <c r="V486" s="200"/>
      <c r="W486" s="200"/>
    </row>
    <row r="487" spans="1:23" ht="12.75">
      <c r="A487" s="201"/>
      <c r="B487" s="201"/>
      <c r="C487" s="201"/>
      <c r="D487" s="224"/>
      <c r="E487" s="201"/>
      <c r="F487" s="201"/>
      <c r="G487" s="200"/>
      <c r="H487" s="200"/>
      <c r="I487" s="200"/>
      <c r="J487" s="200"/>
      <c r="K487" s="200"/>
      <c r="L487" s="200"/>
      <c r="M487" s="200"/>
      <c r="N487" s="200"/>
      <c r="O487" s="200"/>
      <c r="P487" s="200"/>
      <c r="Q487" s="200"/>
      <c r="R487" s="200"/>
      <c r="S487" s="200"/>
      <c r="T487" s="200"/>
      <c r="U487" s="200"/>
      <c r="V487" s="200"/>
      <c r="W487" s="200"/>
    </row>
    <row r="488" spans="1:23" ht="12.75">
      <c r="A488" s="201"/>
      <c r="B488" s="201"/>
      <c r="C488" s="201"/>
      <c r="D488" s="224"/>
      <c r="E488" s="201"/>
      <c r="F488" s="201"/>
      <c r="G488" s="200"/>
      <c r="H488" s="200"/>
      <c r="I488" s="200"/>
      <c r="J488" s="200"/>
      <c r="K488" s="200"/>
      <c r="L488" s="200"/>
      <c r="M488" s="200"/>
      <c r="N488" s="200"/>
      <c r="O488" s="200"/>
      <c r="P488" s="200"/>
      <c r="Q488" s="200"/>
      <c r="R488" s="200"/>
      <c r="S488" s="200"/>
      <c r="T488" s="200"/>
      <c r="U488" s="200"/>
      <c r="V488" s="200"/>
      <c r="W488" s="200"/>
    </row>
    <row r="489" spans="1:23" ht="12.75">
      <c r="A489" s="201"/>
      <c r="B489" s="201"/>
      <c r="C489" s="201"/>
      <c r="D489" s="224"/>
      <c r="E489" s="201"/>
      <c r="F489" s="201"/>
      <c r="G489" s="200"/>
      <c r="H489" s="200"/>
      <c r="I489" s="200"/>
      <c r="J489" s="200"/>
      <c r="K489" s="200"/>
      <c r="L489" s="200"/>
      <c r="M489" s="200"/>
      <c r="N489" s="200"/>
      <c r="O489" s="200"/>
      <c r="P489" s="200"/>
      <c r="Q489" s="200"/>
      <c r="R489" s="200"/>
      <c r="S489" s="200"/>
      <c r="T489" s="200"/>
      <c r="U489" s="200"/>
      <c r="V489" s="200"/>
      <c r="W489" s="200"/>
    </row>
    <row r="490" spans="1:23" ht="12.75">
      <c r="A490" s="201"/>
      <c r="B490" s="201"/>
      <c r="C490" s="201"/>
      <c r="D490" s="224"/>
      <c r="E490" s="201"/>
      <c r="F490" s="201"/>
      <c r="G490" s="200"/>
      <c r="H490" s="200"/>
      <c r="I490" s="200"/>
      <c r="J490" s="200"/>
      <c r="K490" s="200"/>
      <c r="L490" s="200"/>
      <c r="M490" s="200"/>
      <c r="N490" s="200"/>
      <c r="O490" s="200"/>
      <c r="P490" s="200"/>
      <c r="Q490" s="200"/>
      <c r="R490" s="200"/>
      <c r="S490" s="200"/>
      <c r="T490" s="200"/>
      <c r="U490" s="200"/>
      <c r="V490" s="200"/>
      <c r="W490" s="200"/>
    </row>
    <row r="491" spans="1:23" ht="12.75">
      <c r="A491" s="201"/>
      <c r="B491" s="201"/>
      <c r="C491" s="201"/>
      <c r="D491" s="224"/>
      <c r="E491" s="201"/>
      <c r="F491" s="201"/>
      <c r="G491" s="200"/>
      <c r="H491" s="200"/>
      <c r="I491" s="200"/>
      <c r="J491" s="200"/>
      <c r="K491" s="200"/>
      <c r="L491" s="200"/>
      <c r="M491" s="200"/>
      <c r="N491" s="200"/>
      <c r="O491" s="200"/>
      <c r="P491" s="200"/>
      <c r="Q491" s="200"/>
      <c r="R491" s="200"/>
      <c r="S491" s="200"/>
      <c r="T491" s="200"/>
      <c r="U491" s="200"/>
      <c r="V491" s="200"/>
      <c r="W491" s="200"/>
    </row>
    <row r="492" spans="1:23" ht="12.75">
      <c r="A492" s="201"/>
      <c r="B492" s="201"/>
      <c r="C492" s="201"/>
      <c r="D492" s="224"/>
      <c r="E492" s="201"/>
      <c r="F492" s="201"/>
      <c r="G492" s="200"/>
      <c r="H492" s="200"/>
      <c r="I492" s="200"/>
      <c r="J492" s="200"/>
      <c r="K492" s="200"/>
      <c r="L492" s="200"/>
      <c r="M492" s="200"/>
      <c r="N492" s="200"/>
      <c r="O492" s="200"/>
      <c r="P492" s="200"/>
      <c r="Q492" s="200"/>
      <c r="R492" s="200"/>
      <c r="S492" s="200"/>
      <c r="T492" s="200"/>
      <c r="U492" s="200"/>
      <c r="V492" s="200"/>
      <c r="W492" s="200"/>
    </row>
    <row r="493" spans="1:23" ht="12.75">
      <c r="A493" s="201"/>
      <c r="B493" s="201"/>
      <c r="C493" s="201"/>
      <c r="D493" s="224"/>
      <c r="E493" s="201"/>
      <c r="F493" s="201"/>
      <c r="G493" s="200"/>
      <c r="H493" s="200"/>
      <c r="I493" s="200"/>
      <c r="J493" s="200"/>
      <c r="K493" s="200"/>
      <c r="L493" s="200"/>
      <c r="M493" s="200"/>
      <c r="N493" s="200"/>
      <c r="O493" s="200"/>
      <c r="P493" s="200"/>
      <c r="Q493" s="200"/>
      <c r="R493" s="200"/>
      <c r="S493" s="200"/>
      <c r="T493" s="200"/>
      <c r="U493" s="200"/>
      <c r="V493" s="200"/>
      <c r="W493" s="200"/>
    </row>
    <row r="494" spans="1:23" ht="12.75">
      <c r="A494" s="201"/>
      <c r="B494" s="201"/>
      <c r="C494" s="201"/>
      <c r="D494" s="224"/>
      <c r="E494" s="201"/>
      <c r="F494" s="201"/>
      <c r="G494" s="200"/>
      <c r="H494" s="200"/>
      <c r="I494" s="200"/>
      <c r="J494" s="200"/>
      <c r="K494" s="200"/>
      <c r="L494" s="200"/>
      <c r="M494" s="200"/>
      <c r="N494" s="200"/>
      <c r="O494" s="200"/>
      <c r="P494" s="200"/>
      <c r="Q494" s="200"/>
      <c r="R494" s="200"/>
      <c r="S494" s="200"/>
      <c r="T494" s="200"/>
      <c r="U494" s="200"/>
      <c r="V494" s="200"/>
      <c r="W494" s="200"/>
    </row>
    <row r="495" spans="1:23" ht="12.75">
      <c r="A495" s="201"/>
      <c r="B495" s="201"/>
      <c r="C495" s="201"/>
      <c r="D495" s="224"/>
      <c r="E495" s="201"/>
      <c r="F495" s="201"/>
      <c r="G495" s="200"/>
      <c r="H495" s="200"/>
      <c r="I495" s="200"/>
      <c r="J495" s="200"/>
      <c r="K495" s="200"/>
      <c r="L495" s="200"/>
      <c r="M495" s="200"/>
      <c r="N495" s="200"/>
      <c r="O495" s="200"/>
      <c r="P495" s="200"/>
      <c r="Q495" s="200"/>
      <c r="R495" s="200"/>
      <c r="S495" s="200"/>
      <c r="T495" s="200"/>
      <c r="U495" s="200"/>
      <c r="V495" s="200"/>
      <c r="W495" s="200"/>
    </row>
    <row r="496" spans="1:23" ht="12.75">
      <c r="A496" s="201"/>
      <c r="B496" s="201"/>
      <c r="C496" s="201"/>
      <c r="D496" s="224"/>
      <c r="E496" s="201"/>
      <c r="F496" s="201"/>
      <c r="G496" s="200"/>
      <c r="H496" s="200"/>
      <c r="I496" s="200"/>
      <c r="J496" s="200"/>
      <c r="K496" s="200"/>
      <c r="L496" s="200"/>
      <c r="M496" s="200"/>
      <c r="N496" s="200"/>
      <c r="O496" s="200"/>
      <c r="P496" s="200"/>
      <c r="Q496" s="200"/>
      <c r="R496" s="200"/>
      <c r="S496" s="200"/>
      <c r="T496" s="200"/>
      <c r="U496" s="200"/>
      <c r="V496" s="200"/>
      <c r="W496" s="200"/>
    </row>
    <row r="497" spans="1:23" ht="12.75">
      <c r="A497" s="201"/>
      <c r="B497" s="201"/>
      <c r="C497" s="201"/>
      <c r="D497" s="224"/>
      <c r="E497" s="201"/>
      <c r="F497" s="201"/>
      <c r="G497" s="200"/>
      <c r="H497" s="200"/>
      <c r="I497" s="200"/>
      <c r="J497" s="200"/>
      <c r="K497" s="200"/>
      <c r="L497" s="200"/>
      <c r="M497" s="200"/>
      <c r="N497" s="200"/>
      <c r="O497" s="200"/>
      <c r="P497" s="200"/>
      <c r="Q497" s="200"/>
      <c r="R497" s="200"/>
      <c r="S497" s="200"/>
      <c r="T497" s="200"/>
      <c r="U497" s="200"/>
      <c r="V497" s="200"/>
      <c r="W497" s="200"/>
    </row>
    <row r="498" spans="1:23" ht="12.75">
      <c r="A498" s="201"/>
      <c r="B498" s="201"/>
      <c r="C498" s="201"/>
      <c r="D498" s="224"/>
      <c r="E498" s="201"/>
      <c r="F498" s="201"/>
      <c r="G498" s="200"/>
      <c r="H498" s="200"/>
      <c r="I498" s="200"/>
      <c r="J498" s="200"/>
      <c r="K498" s="200"/>
      <c r="L498" s="200"/>
      <c r="M498" s="200"/>
      <c r="N498" s="200"/>
      <c r="O498" s="200"/>
      <c r="P498" s="200"/>
      <c r="Q498" s="200"/>
      <c r="R498" s="200"/>
      <c r="S498" s="200"/>
      <c r="T498" s="200"/>
      <c r="U498" s="200"/>
      <c r="V498" s="200"/>
      <c r="W498" s="200"/>
    </row>
    <row r="499" spans="1:23" ht="12.75">
      <c r="A499" s="201"/>
      <c r="B499" s="201"/>
      <c r="C499" s="201"/>
      <c r="D499" s="224"/>
      <c r="E499" s="201"/>
      <c r="F499" s="201"/>
      <c r="G499" s="200"/>
      <c r="H499" s="200"/>
      <c r="I499" s="200"/>
      <c r="J499" s="200"/>
      <c r="K499" s="200"/>
      <c r="L499" s="200"/>
      <c r="M499" s="200"/>
      <c r="N499" s="200"/>
      <c r="O499" s="200"/>
      <c r="P499" s="200"/>
      <c r="Q499" s="200"/>
      <c r="R499" s="200"/>
      <c r="S499" s="200"/>
      <c r="T499" s="200"/>
      <c r="U499" s="200"/>
      <c r="V499" s="200"/>
      <c r="W499" s="200"/>
    </row>
    <row r="500" spans="1:23" ht="12.75">
      <c r="A500" s="201"/>
      <c r="B500" s="201"/>
      <c r="C500" s="201"/>
      <c r="D500" s="224"/>
      <c r="E500" s="201"/>
      <c r="F500" s="201"/>
      <c r="G500" s="200"/>
      <c r="H500" s="200"/>
      <c r="I500" s="200"/>
      <c r="J500" s="200"/>
      <c r="K500" s="200"/>
      <c r="L500" s="200"/>
      <c r="M500" s="200"/>
      <c r="N500" s="200"/>
      <c r="O500" s="200"/>
      <c r="P500" s="200"/>
      <c r="Q500" s="200"/>
      <c r="R500" s="200"/>
      <c r="S500" s="200"/>
      <c r="T500" s="200"/>
      <c r="U500" s="200"/>
      <c r="V500" s="200"/>
      <c r="W500" s="200"/>
    </row>
    <row r="501" spans="1:23" ht="12.75">
      <c r="A501" s="201"/>
      <c r="B501" s="201"/>
      <c r="C501" s="201"/>
      <c r="D501" s="224"/>
      <c r="E501" s="201"/>
      <c r="F501" s="201"/>
      <c r="G501" s="200"/>
      <c r="H501" s="200"/>
      <c r="I501" s="200"/>
      <c r="J501" s="200"/>
      <c r="K501" s="200"/>
      <c r="L501" s="200"/>
      <c r="M501" s="200"/>
      <c r="N501" s="200"/>
      <c r="O501" s="200"/>
      <c r="P501" s="200"/>
      <c r="Q501" s="200"/>
      <c r="R501" s="200"/>
      <c r="S501" s="200"/>
      <c r="T501" s="200"/>
      <c r="U501" s="200"/>
      <c r="V501" s="200"/>
      <c r="W501" s="200"/>
    </row>
    <row r="502" spans="1:23" ht="12.75">
      <c r="A502" s="201"/>
      <c r="B502" s="201"/>
      <c r="C502" s="201"/>
      <c r="D502" s="224"/>
      <c r="E502" s="201"/>
      <c r="F502" s="201"/>
      <c r="G502" s="200"/>
      <c r="H502" s="200"/>
      <c r="I502" s="200"/>
      <c r="J502" s="200"/>
      <c r="K502" s="200"/>
      <c r="L502" s="200"/>
      <c r="M502" s="200"/>
      <c r="N502" s="200"/>
      <c r="O502" s="200"/>
      <c r="P502" s="200"/>
      <c r="Q502" s="200"/>
      <c r="R502" s="200"/>
      <c r="S502" s="200"/>
      <c r="T502" s="200"/>
      <c r="U502" s="200"/>
      <c r="V502" s="200"/>
      <c r="W502" s="200"/>
    </row>
    <row r="503" spans="1:23" ht="12.75">
      <c r="A503" s="201"/>
      <c r="B503" s="201"/>
      <c r="C503" s="201"/>
      <c r="D503" s="224"/>
      <c r="E503" s="201"/>
      <c r="F503" s="201"/>
      <c r="G503" s="200"/>
      <c r="H503" s="200"/>
      <c r="I503" s="200"/>
      <c r="J503" s="200"/>
      <c r="K503" s="200"/>
      <c r="L503" s="200"/>
      <c r="M503" s="200"/>
      <c r="N503" s="200"/>
      <c r="O503" s="200"/>
      <c r="P503" s="200"/>
      <c r="Q503" s="200"/>
      <c r="R503" s="200"/>
      <c r="S503" s="200"/>
      <c r="T503" s="200"/>
      <c r="U503" s="200"/>
      <c r="V503" s="200"/>
      <c r="W503" s="200"/>
    </row>
    <row r="504" spans="1:23" ht="12.75">
      <c r="A504" s="201"/>
      <c r="B504" s="201"/>
      <c r="C504" s="201"/>
      <c r="D504" s="224"/>
      <c r="E504" s="201"/>
      <c r="F504" s="201"/>
      <c r="G504" s="200"/>
      <c r="H504" s="200"/>
      <c r="I504" s="200"/>
      <c r="J504" s="200"/>
      <c r="K504" s="200"/>
      <c r="L504" s="200"/>
      <c r="M504" s="200"/>
      <c r="N504" s="200"/>
      <c r="O504" s="200"/>
      <c r="P504" s="200"/>
      <c r="Q504" s="200"/>
      <c r="R504" s="200"/>
      <c r="S504" s="200"/>
      <c r="T504" s="200"/>
      <c r="U504" s="200"/>
      <c r="V504" s="200"/>
      <c r="W504" s="200"/>
    </row>
    <row r="505" spans="1:23" ht="12.75">
      <c r="A505" s="201"/>
      <c r="B505" s="201"/>
      <c r="C505" s="201"/>
      <c r="D505" s="224"/>
      <c r="E505" s="201"/>
      <c r="F505" s="201"/>
      <c r="G505" s="200"/>
      <c r="H505" s="200"/>
      <c r="I505" s="200"/>
      <c r="J505" s="200"/>
      <c r="K505" s="200"/>
      <c r="L505" s="200"/>
      <c r="M505" s="200"/>
      <c r="N505" s="200"/>
      <c r="O505" s="200"/>
      <c r="P505" s="200"/>
      <c r="Q505" s="200"/>
      <c r="R505" s="200"/>
      <c r="S505" s="200"/>
      <c r="T505" s="200"/>
      <c r="U505" s="200"/>
      <c r="V505" s="200"/>
      <c r="W505" s="200"/>
    </row>
    <row r="506" spans="1:23" ht="12.75">
      <c r="A506" s="201"/>
      <c r="B506" s="201"/>
      <c r="C506" s="201"/>
      <c r="D506" s="224"/>
      <c r="E506" s="201"/>
      <c r="F506" s="201"/>
      <c r="G506" s="200"/>
      <c r="H506" s="200"/>
      <c r="I506" s="200"/>
      <c r="J506" s="200"/>
      <c r="K506" s="200"/>
      <c r="L506" s="200"/>
      <c r="M506" s="200"/>
      <c r="N506" s="200"/>
      <c r="O506" s="200"/>
      <c r="P506" s="200"/>
      <c r="Q506" s="200"/>
      <c r="R506" s="200"/>
      <c r="S506" s="200"/>
      <c r="T506" s="200"/>
      <c r="U506" s="200"/>
      <c r="V506" s="200"/>
      <c r="W506" s="200"/>
    </row>
    <row r="507" spans="1:23" ht="12.75">
      <c r="A507" s="201"/>
      <c r="B507" s="201"/>
      <c r="C507" s="201"/>
      <c r="D507" s="224"/>
      <c r="E507" s="201"/>
      <c r="F507" s="201"/>
      <c r="G507" s="200"/>
      <c r="H507" s="200"/>
      <c r="I507" s="200"/>
      <c r="J507" s="200"/>
      <c r="K507" s="200"/>
      <c r="L507" s="200"/>
      <c r="M507" s="200"/>
      <c r="N507" s="200"/>
      <c r="O507" s="200"/>
      <c r="P507" s="200"/>
      <c r="Q507" s="200"/>
      <c r="R507" s="200"/>
      <c r="S507" s="200"/>
      <c r="T507" s="200"/>
      <c r="U507" s="200"/>
      <c r="V507" s="200"/>
      <c r="W507" s="200"/>
    </row>
    <row r="508" spans="1:23" ht="12.75">
      <c r="A508" s="201"/>
      <c r="B508" s="201"/>
      <c r="C508" s="201"/>
      <c r="D508" s="224"/>
      <c r="E508" s="201"/>
      <c r="F508" s="201"/>
      <c r="G508" s="200"/>
      <c r="H508" s="200"/>
      <c r="I508" s="200"/>
      <c r="J508" s="200"/>
      <c r="K508" s="200"/>
      <c r="L508" s="200"/>
      <c r="M508" s="200"/>
      <c r="N508" s="200"/>
      <c r="O508" s="200"/>
      <c r="P508" s="200"/>
      <c r="Q508" s="200"/>
      <c r="R508" s="200"/>
      <c r="S508" s="200"/>
      <c r="T508" s="200"/>
      <c r="U508" s="200"/>
      <c r="V508" s="200"/>
      <c r="W508" s="200"/>
    </row>
    <row r="509" spans="1:23" ht="12.75">
      <c r="A509" s="201"/>
      <c r="B509" s="201"/>
      <c r="C509" s="201"/>
      <c r="D509" s="224"/>
      <c r="E509" s="201"/>
      <c r="F509" s="201"/>
      <c r="G509" s="200"/>
      <c r="H509" s="200"/>
      <c r="I509" s="200"/>
      <c r="J509" s="200"/>
      <c r="K509" s="200"/>
      <c r="L509" s="200"/>
      <c r="M509" s="200"/>
      <c r="N509" s="200"/>
      <c r="O509" s="200"/>
      <c r="P509" s="200"/>
      <c r="Q509" s="200"/>
      <c r="R509" s="200"/>
      <c r="S509" s="200"/>
      <c r="T509" s="200"/>
      <c r="U509" s="200"/>
      <c r="V509" s="200"/>
      <c r="W509" s="200"/>
    </row>
    <row r="510" spans="1:23" ht="12.75">
      <c r="A510" s="201"/>
      <c r="B510" s="201"/>
      <c r="C510" s="201"/>
      <c r="D510" s="224"/>
      <c r="E510" s="201"/>
      <c r="F510" s="201"/>
      <c r="G510" s="200"/>
      <c r="H510" s="200"/>
      <c r="I510" s="200"/>
      <c r="J510" s="200"/>
      <c r="K510" s="200"/>
      <c r="L510" s="200"/>
      <c r="M510" s="200"/>
      <c r="N510" s="200"/>
      <c r="O510" s="200"/>
      <c r="P510" s="200"/>
      <c r="Q510" s="200"/>
      <c r="R510" s="200"/>
      <c r="S510" s="200"/>
      <c r="T510" s="200"/>
      <c r="U510" s="200"/>
      <c r="V510" s="200"/>
      <c r="W510" s="200"/>
    </row>
    <row r="511" spans="1:23" ht="12.75">
      <c r="A511" s="201"/>
      <c r="B511" s="201"/>
      <c r="C511" s="201"/>
      <c r="D511" s="224"/>
      <c r="E511" s="201"/>
      <c r="F511" s="201"/>
      <c r="G511" s="200"/>
      <c r="H511" s="200"/>
      <c r="I511" s="200"/>
      <c r="J511" s="200"/>
      <c r="K511" s="200"/>
      <c r="L511" s="200"/>
      <c r="M511" s="200"/>
      <c r="N511" s="200"/>
      <c r="O511" s="200"/>
      <c r="P511" s="200"/>
      <c r="Q511" s="200"/>
      <c r="R511" s="200"/>
      <c r="S511" s="200"/>
      <c r="T511" s="200"/>
      <c r="U511" s="200"/>
      <c r="V511" s="200"/>
      <c r="W511" s="200"/>
    </row>
    <row r="512" spans="1:23" ht="12.75">
      <c r="A512" s="201"/>
      <c r="B512" s="201"/>
      <c r="C512" s="201"/>
      <c r="D512" s="224"/>
      <c r="E512" s="201"/>
      <c r="F512" s="201"/>
      <c r="G512" s="200"/>
      <c r="H512" s="200"/>
      <c r="I512" s="200"/>
      <c r="J512" s="200"/>
      <c r="K512" s="200"/>
      <c r="L512" s="200"/>
      <c r="M512" s="200"/>
      <c r="N512" s="200"/>
      <c r="O512" s="200"/>
      <c r="P512" s="200"/>
      <c r="Q512" s="200"/>
      <c r="R512" s="200"/>
      <c r="S512" s="200"/>
      <c r="T512" s="200"/>
      <c r="U512" s="200"/>
      <c r="V512" s="200"/>
      <c r="W512" s="200"/>
    </row>
    <row r="513" spans="1:23" ht="12.75">
      <c r="A513" s="201"/>
      <c r="B513" s="201"/>
      <c r="C513" s="201"/>
      <c r="D513" s="224"/>
      <c r="E513" s="201"/>
      <c r="F513" s="201"/>
      <c r="G513" s="200"/>
      <c r="H513" s="200"/>
      <c r="I513" s="200"/>
      <c r="J513" s="200"/>
      <c r="K513" s="200"/>
      <c r="L513" s="200"/>
      <c r="M513" s="200"/>
      <c r="N513" s="200"/>
      <c r="O513" s="200"/>
      <c r="P513" s="200"/>
      <c r="Q513" s="200"/>
      <c r="R513" s="200"/>
      <c r="S513" s="200"/>
      <c r="T513" s="200"/>
      <c r="U513" s="200"/>
      <c r="V513" s="200"/>
      <c r="W513" s="200"/>
    </row>
    <row r="514" spans="1:23" ht="12.75">
      <c r="A514" s="201"/>
      <c r="B514" s="201"/>
      <c r="C514" s="201"/>
      <c r="D514" s="224"/>
      <c r="E514" s="201"/>
      <c r="F514" s="201"/>
      <c r="G514" s="200"/>
      <c r="H514" s="200"/>
      <c r="I514" s="200"/>
      <c r="J514" s="200"/>
      <c r="K514" s="200"/>
      <c r="L514" s="200"/>
      <c r="M514" s="200"/>
      <c r="N514" s="200"/>
      <c r="O514" s="200"/>
      <c r="P514" s="200"/>
      <c r="Q514" s="200"/>
      <c r="R514" s="200"/>
      <c r="S514" s="200"/>
      <c r="T514" s="200"/>
      <c r="U514" s="200"/>
      <c r="V514" s="200"/>
      <c r="W514" s="200"/>
    </row>
    <row r="515" spans="1:23" ht="12.75">
      <c r="A515" s="201"/>
      <c r="B515" s="201"/>
      <c r="C515" s="201"/>
      <c r="D515" s="224"/>
      <c r="E515" s="201"/>
      <c r="F515" s="201"/>
      <c r="G515" s="200"/>
      <c r="H515" s="200"/>
      <c r="I515" s="200"/>
      <c r="J515" s="200"/>
      <c r="K515" s="200"/>
      <c r="L515" s="200"/>
      <c r="M515" s="200"/>
      <c r="N515" s="200"/>
      <c r="O515" s="200"/>
      <c r="P515" s="200"/>
      <c r="Q515" s="200"/>
      <c r="R515" s="200"/>
      <c r="S515" s="200"/>
      <c r="T515" s="200"/>
      <c r="U515" s="200"/>
      <c r="V515" s="200"/>
      <c r="W515" s="200"/>
    </row>
    <row r="516" spans="1:23" ht="12.75">
      <c r="A516" s="201"/>
      <c r="B516" s="201"/>
      <c r="C516" s="201"/>
      <c r="D516" s="224"/>
      <c r="E516" s="201"/>
      <c r="F516" s="201"/>
      <c r="G516" s="200"/>
      <c r="H516" s="200"/>
      <c r="I516" s="200"/>
      <c r="J516" s="200"/>
      <c r="K516" s="200"/>
      <c r="L516" s="200"/>
      <c r="M516" s="200"/>
      <c r="N516" s="200"/>
      <c r="O516" s="200"/>
      <c r="P516" s="200"/>
      <c r="Q516" s="200"/>
      <c r="R516" s="200"/>
      <c r="S516" s="200"/>
      <c r="T516" s="200"/>
      <c r="U516" s="200"/>
      <c r="V516" s="200"/>
      <c r="W516" s="200"/>
    </row>
    <row r="517" spans="1:23" ht="12.75">
      <c r="A517" s="201"/>
      <c r="B517" s="201"/>
      <c r="C517" s="201"/>
      <c r="D517" s="224"/>
      <c r="E517" s="201"/>
      <c r="F517" s="201"/>
      <c r="G517" s="200"/>
      <c r="H517" s="200"/>
      <c r="I517" s="200"/>
      <c r="J517" s="200"/>
      <c r="K517" s="200"/>
      <c r="L517" s="200"/>
      <c r="M517" s="200"/>
      <c r="N517" s="200"/>
      <c r="O517" s="200"/>
      <c r="P517" s="200"/>
      <c r="Q517" s="200"/>
      <c r="R517" s="200"/>
      <c r="S517" s="200"/>
      <c r="T517" s="200"/>
      <c r="U517" s="200"/>
      <c r="V517" s="200"/>
      <c r="W517" s="200"/>
    </row>
    <row r="518" spans="1:23" ht="12.75">
      <c r="A518" s="201"/>
      <c r="B518" s="201"/>
      <c r="C518" s="201"/>
      <c r="D518" s="224"/>
      <c r="E518" s="201"/>
      <c r="F518" s="201"/>
      <c r="G518" s="200"/>
      <c r="H518" s="200"/>
      <c r="I518" s="200"/>
      <c r="J518" s="200"/>
      <c r="K518" s="200"/>
      <c r="L518" s="200"/>
      <c r="M518" s="200"/>
      <c r="N518" s="200"/>
      <c r="O518" s="200"/>
      <c r="P518" s="200"/>
      <c r="Q518" s="200"/>
      <c r="R518" s="200"/>
      <c r="S518" s="200"/>
      <c r="T518" s="200"/>
      <c r="U518" s="200"/>
      <c r="V518" s="200"/>
      <c r="W518" s="200"/>
    </row>
    <row r="519" spans="1:23" ht="12.75">
      <c r="A519" s="201"/>
      <c r="B519" s="201"/>
      <c r="C519" s="201"/>
      <c r="D519" s="224"/>
      <c r="E519" s="201"/>
      <c r="F519" s="201"/>
      <c r="G519" s="200"/>
      <c r="H519" s="200"/>
      <c r="I519" s="200"/>
      <c r="J519" s="200"/>
      <c r="K519" s="200"/>
      <c r="L519" s="200"/>
      <c r="M519" s="200"/>
      <c r="N519" s="200"/>
      <c r="O519" s="200"/>
      <c r="P519" s="200"/>
      <c r="Q519" s="200"/>
      <c r="R519" s="200"/>
      <c r="S519" s="200"/>
      <c r="T519" s="200"/>
      <c r="U519" s="200"/>
      <c r="V519" s="200"/>
      <c r="W519" s="200"/>
    </row>
    <row r="520" spans="1:23" ht="12.75">
      <c r="A520" s="201"/>
      <c r="B520" s="201"/>
      <c r="C520" s="201"/>
      <c r="D520" s="224"/>
      <c r="E520" s="201"/>
      <c r="F520" s="201"/>
      <c r="G520" s="200"/>
      <c r="H520" s="200"/>
      <c r="I520" s="200"/>
      <c r="J520" s="200"/>
      <c r="K520" s="200"/>
      <c r="L520" s="200"/>
      <c r="M520" s="200"/>
      <c r="N520" s="200"/>
      <c r="O520" s="200"/>
      <c r="P520" s="200"/>
      <c r="Q520" s="200"/>
      <c r="R520" s="200"/>
      <c r="S520" s="200"/>
      <c r="T520" s="200"/>
      <c r="U520" s="200"/>
      <c r="V520" s="200"/>
      <c r="W520" s="200"/>
    </row>
    <row r="521" spans="1:23" ht="12.75">
      <c r="A521" s="201"/>
      <c r="B521" s="201"/>
      <c r="C521" s="201"/>
      <c r="D521" s="224"/>
      <c r="E521" s="201"/>
      <c r="F521" s="201"/>
      <c r="G521" s="200"/>
      <c r="H521" s="200"/>
      <c r="I521" s="200"/>
      <c r="J521" s="200"/>
      <c r="K521" s="200"/>
      <c r="L521" s="200"/>
      <c r="M521" s="200"/>
      <c r="N521" s="200"/>
      <c r="O521" s="200"/>
      <c r="P521" s="200"/>
      <c r="Q521" s="200"/>
      <c r="R521" s="200"/>
      <c r="S521" s="200"/>
      <c r="T521" s="200"/>
      <c r="U521" s="200"/>
      <c r="V521" s="200"/>
      <c r="W521" s="200"/>
    </row>
    <row r="522" spans="1:23" ht="12.75">
      <c r="A522" s="201"/>
      <c r="B522" s="201"/>
      <c r="C522" s="201"/>
      <c r="D522" s="224"/>
      <c r="E522" s="201"/>
      <c r="F522" s="201"/>
      <c r="G522" s="200"/>
      <c r="H522" s="200"/>
      <c r="I522" s="200"/>
      <c r="J522" s="200"/>
      <c r="K522" s="200"/>
      <c r="L522" s="200"/>
      <c r="M522" s="200"/>
      <c r="N522" s="200"/>
      <c r="O522" s="200"/>
      <c r="P522" s="200"/>
      <c r="Q522" s="200"/>
      <c r="R522" s="200"/>
      <c r="S522" s="200"/>
      <c r="T522" s="200"/>
      <c r="U522" s="200"/>
      <c r="V522" s="200"/>
      <c r="W522" s="200"/>
    </row>
    <row r="523" spans="1:23" ht="12.75">
      <c r="A523" s="201"/>
      <c r="B523" s="201"/>
      <c r="C523" s="201"/>
      <c r="D523" s="224"/>
      <c r="E523" s="201"/>
      <c r="F523" s="201"/>
      <c r="G523" s="200"/>
      <c r="H523" s="200"/>
      <c r="I523" s="200"/>
      <c r="J523" s="200"/>
      <c r="K523" s="200"/>
      <c r="L523" s="200"/>
      <c r="M523" s="200"/>
      <c r="N523" s="200"/>
      <c r="O523" s="200"/>
      <c r="P523" s="200"/>
      <c r="Q523" s="200"/>
      <c r="R523" s="200"/>
      <c r="S523" s="200"/>
      <c r="T523" s="200"/>
      <c r="U523" s="200"/>
      <c r="V523" s="200"/>
      <c r="W523" s="200"/>
    </row>
    <row r="524" spans="1:23" ht="12.75">
      <c r="A524" s="201"/>
      <c r="B524" s="201"/>
      <c r="C524" s="201"/>
      <c r="D524" s="224"/>
      <c r="E524" s="201"/>
      <c r="F524" s="201"/>
      <c r="G524" s="200"/>
      <c r="H524" s="200"/>
      <c r="I524" s="200"/>
      <c r="J524" s="200"/>
      <c r="K524" s="200"/>
      <c r="L524" s="200"/>
      <c r="M524" s="200"/>
      <c r="N524" s="200"/>
      <c r="O524" s="200"/>
      <c r="P524" s="200"/>
      <c r="Q524" s="200"/>
      <c r="R524" s="200"/>
      <c r="S524" s="200"/>
      <c r="T524" s="200"/>
      <c r="U524" s="200"/>
      <c r="V524" s="200"/>
      <c r="W524" s="200"/>
    </row>
    <row r="525" spans="1:23" ht="12.75">
      <c r="A525" s="201"/>
      <c r="B525" s="201"/>
      <c r="C525" s="201"/>
      <c r="D525" s="224"/>
      <c r="E525" s="201"/>
      <c r="F525" s="201"/>
      <c r="G525" s="200"/>
      <c r="H525" s="200"/>
      <c r="I525" s="200"/>
      <c r="J525" s="200"/>
      <c r="K525" s="200"/>
      <c r="L525" s="200"/>
      <c r="M525" s="200"/>
      <c r="N525" s="200"/>
      <c r="O525" s="200"/>
      <c r="P525" s="200"/>
      <c r="Q525" s="200"/>
      <c r="R525" s="200"/>
      <c r="S525" s="200"/>
      <c r="T525" s="200"/>
      <c r="U525" s="200"/>
      <c r="V525" s="200"/>
      <c r="W525" s="200"/>
    </row>
    <row r="526" spans="1:23" ht="12.75">
      <c r="A526" s="201"/>
      <c r="B526" s="201"/>
      <c r="C526" s="201"/>
      <c r="D526" s="224"/>
      <c r="E526" s="201"/>
      <c r="F526" s="201"/>
      <c r="G526" s="200"/>
      <c r="H526" s="200"/>
      <c r="I526" s="200"/>
      <c r="J526" s="200"/>
      <c r="K526" s="200"/>
      <c r="L526" s="200"/>
      <c r="M526" s="200"/>
      <c r="N526" s="200"/>
      <c r="O526" s="200"/>
      <c r="P526" s="200"/>
      <c r="Q526" s="200"/>
      <c r="R526" s="200"/>
      <c r="S526" s="200"/>
      <c r="T526" s="200"/>
      <c r="U526" s="200"/>
      <c r="V526" s="200"/>
      <c r="W526" s="200"/>
    </row>
    <row r="527" spans="1:23" ht="12.75">
      <c r="A527" s="201"/>
      <c r="B527" s="201"/>
      <c r="C527" s="201"/>
      <c r="D527" s="224"/>
      <c r="E527" s="201"/>
      <c r="F527" s="201"/>
      <c r="G527" s="200"/>
      <c r="H527" s="200"/>
      <c r="I527" s="200"/>
      <c r="J527" s="200"/>
      <c r="K527" s="200"/>
      <c r="L527" s="200"/>
      <c r="M527" s="200"/>
      <c r="N527" s="200"/>
      <c r="O527" s="200"/>
      <c r="P527" s="200"/>
      <c r="Q527" s="200"/>
      <c r="R527" s="200"/>
      <c r="S527" s="200"/>
      <c r="T527" s="200"/>
      <c r="U527" s="200"/>
      <c r="V527" s="200"/>
      <c r="W527" s="200"/>
    </row>
    <row r="528" spans="1:23" ht="12.75">
      <c r="A528" s="201"/>
      <c r="B528" s="201"/>
      <c r="C528" s="201"/>
      <c r="D528" s="224"/>
      <c r="E528" s="201"/>
      <c r="F528" s="201"/>
      <c r="G528" s="200"/>
      <c r="H528" s="200"/>
      <c r="I528" s="200"/>
      <c r="J528" s="200"/>
      <c r="K528" s="200"/>
      <c r="L528" s="200"/>
      <c r="M528" s="200"/>
      <c r="N528" s="200"/>
      <c r="O528" s="200"/>
      <c r="P528" s="200"/>
      <c r="Q528" s="200"/>
      <c r="R528" s="200"/>
      <c r="S528" s="200"/>
      <c r="T528" s="200"/>
      <c r="U528" s="200"/>
      <c r="V528" s="200"/>
      <c r="W528" s="200"/>
    </row>
    <row r="529" spans="1:23" ht="12.75">
      <c r="A529" s="201"/>
      <c r="B529" s="201"/>
      <c r="C529" s="201"/>
      <c r="D529" s="224"/>
      <c r="E529" s="201"/>
      <c r="F529" s="201"/>
      <c r="G529" s="200"/>
      <c r="H529" s="200"/>
      <c r="I529" s="200"/>
      <c r="J529" s="200"/>
      <c r="K529" s="200"/>
      <c r="L529" s="200"/>
      <c r="M529" s="200"/>
      <c r="N529" s="200"/>
      <c r="O529" s="200"/>
      <c r="P529" s="200"/>
      <c r="Q529" s="200"/>
      <c r="R529" s="200"/>
      <c r="S529" s="200"/>
      <c r="T529" s="200"/>
      <c r="U529" s="200"/>
      <c r="V529" s="200"/>
      <c r="W529" s="200"/>
    </row>
    <row r="530" spans="1:23" ht="12.75">
      <c r="A530" s="201"/>
      <c r="B530" s="201"/>
      <c r="C530" s="201"/>
      <c r="D530" s="224"/>
      <c r="E530" s="201"/>
      <c r="F530" s="201"/>
      <c r="G530" s="200"/>
      <c r="H530" s="200"/>
      <c r="I530" s="200"/>
      <c r="J530" s="200"/>
      <c r="K530" s="200"/>
      <c r="L530" s="200"/>
      <c r="M530" s="200"/>
      <c r="N530" s="200"/>
      <c r="O530" s="200"/>
      <c r="P530" s="200"/>
      <c r="Q530" s="200"/>
      <c r="R530" s="200"/>
      <c r="S530" s="200"/>
      <c r="T530" s="200"/>
      <c r="U530" s="200"/>
      <c r="V530" s="200"/>
      <c r="W530" s="200"/>
    </row>
    <row r="531" spans="1:23" ht="12.75">
      <c r="A531" s="201"/>
      <c r="B531" s="201"/>
      <c r="C531" s="201"/>
      <c r="D531" s="224"/>
      <c r="E531" s="201"/>
      <c r="F531" s="201"/>
      <c r="G531" s="200"/>
      <c r="H531" s="200"/>
      <c r="I531" s="200"/>
      <c r="J531" s="200"/>
      <c r="K531" s="200"/>
      <c r="L531" s="200"/>
      <c r="M531" s="200"/>
      <c r="N531" s="200"/>
      <c r="O531" s="200"/>
      <c r="P531" s="200"/>
      <c r="Q531" s="200"/>
      <c r="R531" s="200"/>
      <c r="S531" s="200"/>
      <c r="T531" s="200"/>
      <c r="U531" s="200"/>
      <c r="V531" s="200"/>
      <c r="W531" s="200"/>
    </row>
    <row r="532" spans="1:23" ht="12.75">
      <c r="A532" s="201"/>
      <c r="B532" s="201"/>
      <c r="C532" s="201"/>
      <c r="D532" s="224"/>
      <c r="E532" s="201"/>
      <c r="F532" s="201"/>
      <c r="G532" s="200"/>
      <c r="H532" s="200"/>
      <c r="I532" s="200"/>
      <c r="J532" s="200"/>
      <c r="K532" s="200"/>
      <c r="L532" s="200"/>
      <c r="M532" s="200"/>
      <c r="N532" s="200"/>
      <c r="O532" s="200"/>
      <c r="P532" s="200"/>
      <c r="Q532" s="200"/>
      <c r="R532" s="200"/>
      <c r="S532" s="200"/>
      <c r="T532" s="200"/>
      <c r="U532" s="200"/>
      <c r="V532" s="200"/>
      <c r="W532" s="200"/>
    </row>
    <row r="533" spans="1:23" ht="12.75">
      <c r="A533" s="201"/>
      <c r="B533" s="201"/>
      <c r="C533" s="201"/>
      <c r="D533" s="224"/>
      <c r="E533" s="201"/>
      <c r="F533" s="201"/>
      <c r="G533" s="200"/>
      <c r="H533" s="200"/>
      <c r="I533" s="200"/>
      <c r="J533" s="200"/>
      <c r="K533" s="200"/>
      <c r="L533" s="200"/>
      <c r="M533" s="200"/>
      <c r="N533" s="200"/>
      <c r="O533" s="200"/>
      <c r="P533" s="200"/>
      <c r="Q533" s="200"/>
      <c r="R533" s="200"/>
      <c r="S533" s="200"/>
      <c r="T533" s="200"/>
      <c r="U533" s="200"/>
      <c r="V533" s="200"/>
      <c r="W533" s="200"/>
    </row>
    <row r="534" spans="1:23" ht="12.75">
      <c r="A534" s="201"/>
      <c r="B534" s="201"/>
      <c r="C534" s="201"/>
      <c r="D534" s="224"/>
      <c r="E534" s="201"/>
      <c r="F534" s="201"/>
      <c r="G534" s="200"/>
      <c r="H534" s="200"/>
      <c r="I534" s="200"/>
      <c r="J534" s="200"/>
      <c r="K534" s="200"/>
      <c r="L534" s="200"/>
      <c r="M534" s="200"/>
      <c r="N534" s="200"/>
      <c r="O534" s="200"/>
      <c r="P534" s="200"/>
      <c r="Q534" s="200"/>
      <c r="R534" s="200"/>
      <c r="S534" s="200"/>
      <c r="T534" s="200"/>
      <c r="U534" s="200"/>
      <c r="V534" s="200"/>
      <c r="W534" s="200"/>
    </row>
    <row r="535" spans="1:23" ht="12.75">
      <c r="A535" s="201"/>
      <c r="B535" s="201"/>
      <c r="C535" s="201"/>
      <c r="D535" s="224"/>
      <c r="E535" s="201"/>
      <c r="F535" s="201"/>
      <c r="G535" s="200"/>
      <c r="H535" s="200"/>
      <c r="I535" s="200"/>
      <c r="J535" s="200"/>
      <c r="K535" s="200"/>
      <c r="L535" s="200"/>
      <c r="M535" s="200"/>
      <c r="N535" s="200"/>
      <c r="O535" s="200"/>
      <c r="P535" s="200"/>
      <c r="Q535" s="200"/>
      <c r="R535" s="200"/>
      <c r="S535" s="200"/>
      <c r="T535" s="200"/>
      <c r="U535" s="200"/>
      <c r="V535" s="200"/>
      <c r="W535" s="200"/>
    </row>
    <row r="536" spans="1:23" ht="12.75">
      <c r="A536" s="201"/>
      <c r="B536" s="201"/>
      <c r="C536" s="201"/>
      <c r="D536" s="224"/>
      <c r="E536" s="201"/>
      <c r="F536" s="201"/>
      <c r="G536" s="200"/>
      <c r="H536" s="200"/>
      <c r="I536" s="200"/>
      <c r="J536" s="200"/>
      <c r="K536" s="200"/>
      <c r="L536" s="200"/>
      <c r="M536" s="200"/>
      <c r="N536" s="200"/>
      <c r="O536" s="200"/>
      <c r="P536" s="200"/>
      <c r="Q536" s="200"/>
      <c r="R536" s="200"/>
      <c r="S536" s="200"/>
      <c r="T536" s="200"/>
      <c r="U536" s="200"/>
      <c r="V536" s="200"/>
      <c r="W536" s="200"/>
    </row>
    <row r="537" spans="1:23" ht="12.75">
      <c r="A537" s="201"/>
      <c r="B537" s="201"/>
      <c r="C537" s="201"/>
      <c r="D537" s="224"/>
      <c r="E537" s="201"/>
      <c r="F537" s="201"/>
      <c r="G537" s="200"/>
      <c r="H537" s="200"/>
      <c r="I537" s="200"/>
      <c r="J537" s="200"/>
      <c r="K537" s="200"/>
      <c r="L537" s="200"/>
      <c r="M537" s="200"/>
      <c r="N537" s="200"/>
      <c r="O537" s="200"/>
      <c r="P537" s="200"/>
      <c r="Q537" s="200"/>
      <c r="R537" s="200"/>
      <c r="S537" s="200"/>
      <c r="T537" s="200"/>
      <c r="U537" s="200"/>
      <c r="V537" s="200"/>
      <c r="W537" s="200"/>
    </row>
    <row r="538" spans="1:23" ht="12.75">
      <c r="A538" s="201"/>
      <c r="B538" s="201"/>
      <c r="C538" s="201"/>
      <c r="D538" s="224"/>
      <c r="E538" s="201"/>
      <c r="F538" s="201"/>
      <c r="G538" s="200"/>
      <c r="H538" s="200"/>
      <c r="I538" s="200"/>
      <c r="J538" s="200"/>
      <c r="K538" s="200"/>
      <c r="L538" s="200"/>
      <c r="M538" s="200"/>
      <c r="N538" s="200"/>
      <c r="O538" s="200"/>
      <c r="P538" s="200"/>
      <c r="Q538" s="200"/>
      <c r="R538" s="200"/>
      <c r="S538" s="200"/>
      <c r="T538" s="200"/>
      <c r="U538" s="200"/>
      <c r="V538" s="200"/>
      <c r="W538" s="200"/>
    </row>
    <row r="539" spans="1:23" ht="12.75">
      <c r="A539" s="201"/>
      <c r="B539" s="201"/>
      <c r="C539" s="201"/>
      <c r="D539" s="224"/>
      <c r="E539" s="201"/>
      <c r="F539" s="201"/>
      <c r="G539" s="200"/>
      <c r="H539" s="200"/>
      <c r="I539" s="200"/>
      <c r="J539" s="200"/>
      <c r="K539" s="200"/>
      <c r="L539" s="200"/>
      <c r="M539" s="200"/>
      <c r="N539" s="200"/>
      <c r="O539" s="200"/>
      <c r="P539" s="200"/>
      <c r="Q539" s="200"/>
      <c r="R539" s="200"/>
      <c r="S539" s="200"/>
      <c r="T539" s="200"/>
      <c r="U539" s="200"/>
      <c r="V539" s="200"/>
      <c r="W539" s="200"/>
    </row>
    <row r="540" spans="1:23" ht="12.75">
      <c r="A540" s="201"/>
      <c r="B540" s="201"/>
      <c r="C540" s="201"/>
      <c r="D540" s="224"/>
      <c r="E540" s="201"/>
      <c r="F540" s="201"/>
      <c r="G540" s="200"/>
      <c r="H540" s="200"/>
      <c r="I540" s="200"/>
      <c r="J540" s="200"/>
      <c r="K540" s="200"/>
      <c r="L540" s="200"/>
      <c r="M540" s="200"/>
      <c r="N540" s="200"/>
      <c r="O540" s="200"/>
      <c r="P540" s="200"/>
      <c r="Q540" s="200"/>
      <c r="R540" s="200"/>
      <c r="S540" s="200"/>
      <c r="T540" s="200"/>
      <c r="U540" s="200"/>
      <c r="V540" s="200"/>
      <c r="W540" s="200"/>
    </row>
    <row r="541" spans="1:23" ht="12.75">
      <c r="A541" s="201"/>
      <c r="B541" s="201"/>
      <c r="C541" s="201"/>
      <c r="D541" s="224"/>
      <c r="E541" s="201"/>
      <c r="F541" s="201"/>
      <c r="G541" s="200"/>
      <c r="H541" s="200"/>
      <c r="I541" s="200"/>
      <c r="J541" s="200"/>
      <c r="K541" s="200"/>
      <c r="L541" s="200"/>
      <c r="M541" s="200"/>
      <c r="N541" s="200"/>
      <c r="O541" s="200"/>
      <c r="P541" s="200"/>
      <c r="Q541" s="200"/>
      <c r="R541" s="200"/>
      <c r="S541" s="200"/>
      <c r="T541" s="200"/>
      <c r="U541" s="200"/>
      <c r="V541" s="200"/>
      <c r="W541" s="200"/>
    </row>
    <row r="542" spans="1:23" ht="12.75">
      <c r="A542" s="201"/>
      <c r="B542" s="201"/>
      <c r="C542" s="201"/>
      <c r="D542" s="224"/>
      <c r="E542" s="201"/>
      <c r="F542" s="201"/>
      <c r="G542" s="200"/>
      <c r="H542" s="200"/>
      <c r="I542" s="200"/>
      <c r="J542" s="200"/>
      <c r="K542" s="200"/>
      <c r="L542" s="200"/>
      <c r="M542" s="200"/>
      <c r="N542" s="200"/>
      <c r="O542" s="200"/>
      <c r="P542" s="200"/>
      <c r="Q542" s="200"/>
      <c r="R542" s="200"/>
      <c r="S542" s="200"/>
      <c r="T542" s="200"/>
      <c r="U542" s="200"/>
      <c r="V542" s="200"/>
      <c r="W542" s="200"/>
    </row>
    <row r="543" spans="1:23" ht="12.75">
      <c r="A543" s="201"/>
      <c r="B543" s="201"/>
      <c r="C543" s="201"/>
      <c r="D543" s="224"/>
      <c r="E543" s="201"/>
      <c r="F543" s="201"/>
      <c r="G543" s="200"/>
      <c r="H543" s="200"/>
      <c r="I543" s="200"/>
      <c r="J543" s="200"/>
      <c r="K543" s="200"/>
      <c r="L543" s="200"/>
      <c r="M543" s="200"/>
      <c r="N543" s="200"/>
      <c r="O543" s="200"/>
      <c r="P543" s="200"/>
      <c r="Q543" s="200"/>
      <c r="R543" s="200"/>
      <c r="S543" s="200"/>
      <c r="T543" s="200"/>
      <c r="U543" s="200"/>
      <c r="V543" s="200"/>
      <c r="W543" s="200"/>
    </row>
    <row r="544" spans="1:23" ht="12.75">
      <c r="A544" s="201"/>
      <c r="B544" s="201"/>
      <c r="C544" s="201"/>
      <c r="D544" s="224"/>
      <c r="E544" s="201"/>
      <c r="F544" s="201"/>
      <c r="G544" s="200"/>
      <c r="H544" s="200"/>
      <c r="I544" s="200"/>
      <c r="J544" s="200"/>
      <c r="K544" s="200"/>
      <c r="L544" s="200"/>
      <c r="M544" s="200"/>
      <c r="N544" s="200"/>
      <c r="O544" s="200"/>
      <c r="P544" s="200"/>
      <c r="Q544" s="200"/>
      <c r="R544" s="200"/>
      <c r="S544" s="200"/>
      <c r="T544" s="200"/>
      <c r="U544" s="200"/>
      <c r="V544" s="200"/>
      <c r="W544" s="200"/>
    </row>
    <row r="545" spans="1:23" ht="12.75">
      <c r="A545" s="201"/>
      <c r="B545" s="201"/>
      <c r="C545" s="201"/>
      <c r="D545" s="224"/>
      <c r="E545" s="201"/>
      <c r="F545" s="201"/>
      <c r="G545" s="200"/>
      <c r="H545" s="200"/>
      <c r="I545" s="200"/>
      <c r="J545" s="200"/>
      <c r="K545" s="200"/>
      <c r="L545" s="200"/>
      <c r="M545" s="200"/>
      <c r="N545" s="200"/>
      <c r="O545" s="200"/>
      <c r="P545" s="200"/>
      <c r="Q545" s="200"/>
      <c r="R545" s="200"/>
      <c r="S545" s="200"/>
      <c r="T545" s="200"/>
      <c r="U545" s="200"/>
      <c r="V545" s="200"/>
      <c r="W545" s="200"/>
    </row>
    <row r="546" spans="1:23" ht="12.75">
      <c r="A546" s="201"/>
      <c r="B546" s="201"/>
      <c r="C546" s="201"/>
      <c r="D546" s="224"/>
      <c r="E546" s="201"/>
      <c r="F546" s="201"/>
      <c r="G546" s="200"/>
      <c r="H546" s="200"/>
      <c r="I546" s="200"/>
      <c r="J546" s="200"/>
      <c r="K546" s="200"/>
      <c r="L546" s="200"/>
      <c r="M546" s="200"/>
      <c r="N546" s="200"/>
      <c r="O546" s="200"/>
      <c r="P546" s="200"/>
      <c r="Q546" s="200"/>
      <c r="R546" s="200"/>
      <c r="S546" s="200"/>
      <c r="T546" s="200"/>
      <c r="U546" s="200"/>
      <c r="V546" s="200"/>
      <c r="W546" s="200"/>
    </row>
    <row r="547" spans="1:23" ht="12.75">
      <c r="A547" s="201"/>
      <c r="B547" s="201"/>
      <c r="C547" s="201"/>
      <c r="D547" s="224"/>
      <c r="E547" s="201"/>
      <c r="F547" s="201"/>
      <c r="G547" s="200"/>
      <c r="H547" s="200"/>
      <c r="I547" s="200"/>
      <c r="J547" s="200"/>
      <c r="K547" s="200"/>
      <c r="L547" s="200"/>
      <c r="M547" s="200"/>
      <c r="N547" s="200"/>
      <c r="O547" s="200"/>
      <c r="P547" s="200"/>
      <c r="Q547" s="200"/>
      <c r="R547" s="200"/>
      <c r="S547" s="200"/>
      <c r="T547" s="200"/>
      <c r="U547" s="200"/>
      <c r="V547" s="200"/>
      <c r="W547" s="200"/>
    </row>
    <row r="548" spans="1:23" ht="12.75">
      <c r="A548" s="201"/>
      <c r="B548" s="201"/>
      <c r="C548" s="201"/>
      <c r="D548" s="224"/>
      <c r="E548" s="201"/>
      <c r="F548" s="201"/>
      <c r="G548" s="200"/>
      <c r="H548" s="200"/>
      <c r="I548" s="200"/>
      <c r="J548" s="200"/>
      <c r="K548" s="200"/>
      <c r="L548" s="200"/>
      <c r="M548" s="200"/>
      <c r="N548" s="200"/>
      <c r="O548" s="200"/>
      <c r="P548" s="200"/>
      <c r="Q548" s="200"/>
      <c r="R548" s="200"/>
      <c r="S548" s="200"/>
      <c r="T548" s="200"/>
      <c r="U548" s="200"/>
      <c r="V548" s="200"/>
      <c r="W548" s="200"/>
    </row>
    <row r="549" spans="1:23" ht="12.75">
      <c r="A549" s="201"/>
      <c r="B549" s="201"/>
      <c r="C549" s="201"/>
      <c r="D549" s="224"/>
      <c r="E549" s="201"/>
      <c r="F549" s="201"/>
      <c r="G549" s="200"/>
      <c r="H549" s="200"/>
      <c r="I549" s="200"/>
      <c r="J549" s="200"/>
      <c r="K549" s="200"/>
      <c r="L549" s="200"/>
      <c r="M549" s="200"/>
      <c r="N549" s="200"/>
      <c r="O549" s="200"/>
      <c r="P549" s="200"/>
      <c r="Q549" s="200"/>
      <c r="R549" s="200"/>
      <c r="S549" s="200"/>
      <c r="T549" s="200"/>
      <c r="U549" s="200"/>
      <c r="V549" s="200"/>
      <c r="W549" s="200"/>
    </row>
    <row r="550" spans="1:23" ht="12.75">
      <c r="A550" s="201"/>
      <c r="B550" s="201"/>
      <c r="C550" s="201"/>
      <c r="D550" s="224"/>
      <c r="E550" s="201"/>
      <c r="F550" s="201"/>
      <c r="G550" s="200"/>
      <c r="H550" s="200"/>
      <c r="I550" s="200"/>
      <c r="J550" s="200"/>
      <c r="K550" s="200"/>
      <c r="L550" s="200"/>
      <c r="M550" s="200"/>
      <c r="N550" s="200"/>
      <c r="O550" s="200"/>
      <c r="P550" s="200"/>
      <c r="Q550" s="200"/>
      <c r="R550" s="200"/>
      <c r="S550" s="200"/>
      <c r="T550" s="200"/>
      <c r="U550" s="200"/>
      <c r="V550" s="200"/>
      <c r="W550" s="200"/>
    </row>
    <row r="551" spans="1:23" ht="12.75">
      <c r="A551" s="201"/>
      <c r="B551" s="201"/>
      <c r="C551" s="201"/>
      <c r="D551" s="224"/>
      <c r="E551" s="201"/>
      <c r="F551" s="201"/>
      <c r="G551" s="200"/>
      <c r="H551" s="200"/>
      <c r="I551" s="200"/>
      <c r="J551" s="200"/>
      <c r="K551" s="200"/>
      <c r="L551" s="200"/>
      <c r="M551" s="200"/>
      <c r="N551" s="200"/>
      <c r="O551" s="200"/>
      <c r="P551" s="200"/>
      <c r="Q551" s="200"/>
      <c r="R551" s="200"/>
      <c r="S551" s="200"/>
      <c r="T551" s="200"/>
      <c r="U551" s="200"/>
      <c r="V551" s="200"/>
      <c r="W551" s="200"/>
    </row>
    <row r="552" spans="1:23" ht="12.75">
      <c r="A552" s="201"/>
      <c r="B552" s="201"/>
      <c r="C552" s="201"/>
      <c r="D552" s="224"/>
      <c r="E552" s="201"/>
      <c r="F552" s="201"/>
      <c r="G552" s="200"/>
      <c r="H552" s="200"/>
      <c r="I552" s="200"/>
      <c r="J552" s="200"/>
      <c r="K552" s="200"/>
      <c r="L552" s="200"/>
      <c r="M552" s="200"/>
      <c r="N552" s="200"/>
      <c r="O552" s="200"/>
      <c r="P552" s="200"/>
      <c r="Q552" s="200"/>
      <c r="R552" s="200"/>
      <c r="S552" s="200"/>
      <c r="T552" s="200"/>
      <c r="U552" s="200"/>
      <c r="V552" s="200"/>
      <c r="W552" s="200"/>
    </row>
    <row r="553" spans="1:23" ht="12.75">
      <c r="A553" s="201"/>
      <c r="B553" s="201"/>
      <c r="C553" s="201"/>
      <c r="D553" s="224"/>
      <c r="E553" s="201"/>
      <c r="F553" s="201"/>
      <c r="G553" s="200"/>
      <c r="H553" s="200"/>
      <c r="I553" s="200"/>
      <c r="J553" s="200"/>
      <c r="K553" s="200"/>
      <c r="L553" s="200"/>
      <c r="M553" s="200"/>
      <c r="N553" s="200"/>
      <c r="O553" s="200"/>
      <c r="P553" s="200"/>
      <c r="Q553" s="200"/>
      <c r="R553" s="200"/>
      <c r="S553" s="200"/>
      <c r="T553" s="200"/>
      <c r="U553" s="200"/>
      <c r="V553" s="200"/>
      <c r="W553" s="200"/>
    </row>
    <row r="554" spans="1:23" ht="12.75">
      <c r="A554" s="201"/>
      <c r="B554" s="201"/>
      <c r="C554" s="201"/>
      <c r="D554" s="224"/>
      <c r="E554" s="201"/>
      <c r="F554" s="201"/>
      <c r="G554" s="200"/>
      <c r="H554" s="200"/>
      <c r="I554" s="200"/>
      <c r="J554" s="200"/>
      <c r="K554" s="200"/>
      <c r="L554" s="200"/>
      <c r="M554" s="200"/>
      <c r="N554" s="200"/>
      <c r="O554" s="200"/>
      <c r="P554" s="200"/>
      <c r="Q554" s="200"/>
      <c r="R554" s="200"/>
      <c r="S554" s="200"/>
      <c r="T554" s="200"/>
      <c r="U554" s="200"/>
      <c r="V554" s="200"/>
      <c r="W554" s="200"/>
    </row>
    <row r="555" spans="1:23" ht="12.75">
      <c r="A555" s="201"/>
      <c r="B555" s="201"/>
      <c r="C555" s="201"/>
      <c r="D555" s="224"/>
      <c r="E555" s="201"/>
      <c r="F555" s="201"/>
      <c r="G555" s="200"/>
      <c r="H555" s="200"/>
      <c r="I555" s="200"/>
      <c r="J555" s="200"/>
      <c r="K555" s="200"/>
      <c r="L555" s="200"/>
      <c r="M555" s="200"/>
      <c r="N555" s="200"/>
      <c r="O555" s="200"/>
      <c r="P555" s="200"/>
      <c r="Q555" s="200"/>
      <c r="R555" s="200"/>
      <c r="S555" s="200"/>
      <c r="T555" s="200"/>
      <c r="U555" s="200"/>
      <c r="V555" s="200"/>
      <c r="W555" s="200"/>
    </row>
    <row r="556" spans="1:23" ht="12.75">
      <c r="A556" s="201"/>
      <c r="B556" s="201"/>
      <c r="C556" s="201"/>
      <c r="D556" s="224"/>
      <c r="E556" s="201"/>
      <c r="F556" s="201"/>
      <c r="G556" s="200"/>
      <c r="H556" s="200"/>
      <c r="I556" s="200"/>
      <c r="J556" s="200"/>
      <c r="K556" s="200"/>
      <c r="L556" s="200"/>
      <c r="M556" s="200"/>
      <c r="N556" s="200"/>
      <c r="O556" s="200"/>
      <c r="P556" s="200"/>
      <c r="Q556" s="200"/>
      <c r="R556" s="200"/>
      <c r="S556" s="200"/>
      <c r="T556" s="200"/>
      <c r="U556" s="200"/>
      <c r="V556" s="200"/>
      <c r="W556" s="200"/>
    </row>
    <row r="557" spans="1:23" ht="12.75">
      <c r="A557" s="201"/>
      <c r="B557" s="201"/>
      <c r="C557" s="201"/>
      <c r="D557" s="224"/>
      <c r="E557" s="201"/>
      <c r="F557" s="201"/>
      <c r="G557" s="200"/>
      <c r="H557" s="200"/>
      <c r="I557" s="200"/>
      <c r="J557" s="200"/>
      <c r="K557" s="200"/>
      <c r="L557" s="200"/>
      <c r="M557" s="200"/>
      <c r="N557" s="200"/>
      <c r="O557" s="200"/>
      <c r="P557" s="200"/>
      <c r="Q557" s="200"/>
      <c r="R557" s="200"/>
      <c r="S557" s="200"/>
      <c r="T557" s="200"/>
      <c r="U557" s="200"/>
      <c r="V557" s="200"/>
      <c r="W557" s="200"/>
    </row>
    <row r="558" spans="1:23" ht="12.75">
      <c r="A558" s="201"/>
      <c r="B558" s="201"/>
      <c r="C558" s="201"/>
      <c r="D558" s="224"/>
      <c r="E558" s="201"/>
      <c r="F558" s="201"/>
      <c r="G558" s="200"/>
      <c r="H558" s="200"/>
      <c r="I558" s="200"/>
      <c r="J558" s="200"/>
      <c r="K558" s="200"/>
      <c r="L558" s="200"/>
      <c r="M558" s="200"/>
      <c r="N558" s="200"/>
      <c r="O558" s="200"/>
      <c r="P558" s="200"/>
      <c r="Q558" s="200"/>
      <c r="R558" s="200"/>
      <c r="S558" s="200"/>
      <c r="T558" s="200"/>
      <c r="U558" s="200"/>
      <c r="V558" s="200"/>
      <c r="W558" s="200"/>
    </row>
    <row r="559" spans="1:23" ht="12.75">
      <c r="A559" s="201"/>
      <c r="B559" s="201"/>
      <c r="C559" s="201"/>
      <c r="D559" s="224"/>
      <c r="E559" s="201"/>
      <c r="F559" s="201"/>
      <c r="G559" s="200"/>
      <c r="H559" s="200"/>
      <c r="I559" s="200"/>
      <c r="J559" s="200"/>
      <c r="K559" s="200"/>
      <c r="L559" s="200"/>
      <c r="M559" s="200"/>
      <c r="N559" s="200"/>
      <c r="O559" s="200"/>
      <c r="P559" s="200"/>
      <c r="Q559" s="200"/>
      <c r="R559" s="200"/>
      <c r="S559" s="200"/>
      <c r="T559" s="200"/>
      <c r="U559" s="200"/>
      <c r="V559" s="200"/>
      <c r="W559" s="200"/>
    </row>
    <row r="560" spans="1:23" ht="12.75">
      <c r="A560" s="201"/>
      <c r="B560" s="201"/>
      <c r="C560" s="201"/>
      <c r="D560" s="224"/>
      <c r="E560" s="201"/>
      <c r="F560" s="201"/>
      <c r="G560" s="200"/>
      <c r="H560" s="200"/>
      <c r="I560" s="200"/>
      <c r="J560" s="200"/>
      <c r="K560" s="200"/>
      <c r="L560" s="200"/>
      <c r="M560" s="200"/>
      <c r="N560" s="200"/>
      <c r="O560" s="200"/>
      <c r="P560" s="200"/>
      <c r="Q560" s="200"/>
      <c r="R560" s="200"/>
      <c r="S560" s="200"/>
      <c r="T560" s="200"/>
      <c r="U560" s="200"/>
      <c r="V560" s="200"/>
      <c r="W560" s="200"/>
    </row>
    <row r="561" spans="1:23" ht="12.75">
      <c r="A561" s="201"/>
      <c r="B561" s="201"/>
      <c r="C561" s="201"/>
      <c r="D561" s="224"/>
      <c r="E561" s="201"/>
      <c r="F561" s="201"/>
      <c r="G561" s="200"/>
      <c r="H561" s="200"/>
      <c r="I561" s="200"/>
      <c r="J561" s="200"/>
      <c r="K561" s="200"/>
      <c r="L561" s="200"/>
      <c r="M561" s="200"/>
      <c r="N561" s="200"/>
      <c r="O561" s="200"/>
      <c r="P561" s="200"/>
      <c r="Q561" s="200"/>
      <c r="R561" s="200"/>
      <c r="S561" s="200"/>
      <c r="T561" s="200"/>
      <c r="U561" s="200"/>
      <c r="V561" s="200"/>
      <c r="W561" s="200"/>
    </row>
    <row r="562" spans="1:23" ht="12.75">
      <c r="A562" s="201"/>
      <c r="B562" s="201"/>
      <c r="C562" s="201"/>
      <c r="D562" s="224"/>
      <c r="E562" s="201"/>
      <c r="F562" s="201"/>
      <c r="G562" s="200"/>
      <c r="H562" s="200"/>
      <c r="I562" s="200"/>
      <c r="J562" s="200"/>
      <c r="K562" s="200"/>
      <c r="L562" s="200"/>
      <c r="M562" s="200"/>
      <c r="N562" s="200"/>
      <c r="O562" s="200"/>
      <c r="P562" s="200"/>
      <c r="Q562" s="200"/>
      <c r="R562" s="200"/>
      <c r="S562" s="200"/>
      <c r="T562" s="200"/>
      <c r="U562" s="200"/>
      <c r="V562" s="200"/>
      <c r="W562" s="200"/>
    </row>
    <row r="563" spans="1:23" ht="12.75">
      <c r="A563" s="201"/>
      <c r="B563" s="201"/>
      <c r="C563" s="201"/>
      <c r="D563" s="224"/>
      <c r="E563" s="201"/>
      <c r="F563" s="201"/>
      <c r="G563" s="200"/>
      <c r="H563" s="200"/>
      <c r="I563" s="200"/>
      <c r="J563" s="200"/>
      <c r="K563" s="200"/>
      <c r="L563" s="200"/>
      <c r="M563" s="200"/>
      <c r="N563" s="200"/>
      <c r="O563" s="200"/>
      <c r="P563" s="200"/>
      <c r="Q563" s="200"/>
      <c r="R563" s="200"/>
      <c r="S563" s="200"/>
      <c r="T563" s="200"/>
      <c r="U563" s="200"/>
      <c r="V563" s="200"/>
      <c r="W563" s="200"/>
    </row>
    <row r="564" spans="1:23" ht="12.75">
      <c r="A564" s="201"/>
      <c r="B564" s="201"/>
      <c r="C564" s="201"/>
      <c r="D564" s="224"/>
      <c r="E564" s="201"/>
      <c r="F564" s="201"/>
      <c r="G564" s="200"/>
      <c r="H564" s="200"/>
      <c r="I564" s="200"/>
      <c r="J564" s="200"/>
      <c r="K564" s="200"/>
      <c r="L564" s="200"/>
      <c r="M564" s="200"/>
      <c r="N564" s="200"/>
      <c r="O564" s="200"/>
      <c r="P564" s="200"/>
      <c r="Q564" s="200"/>
      <c r="R564" s="200"/>
      <c r="S564" s="200"/>
      <c r="T564" s="200"/>
      <c r="U564" s="200"/>
      <c r="V564" s="200"/>
      <c r="W564" s="200"/>
    </row>
    <row r="565" spans="1:23" ht="12.75">
      <c r="A565" s="201"/>
      <c r="B565" s="201"/>
      <c r="C565" s="201"/>
      <c r="D565" s="224"/>
      <c r="E565" s="201"/>
      <c r="F565" s="201"/>
      <c r="G565" s="200"/>
      <c r="H565" s="200"/>
      <c r="I565" s="200"/>
      <c r="J565" s="200"/>
      <c r="K565" s="200"/>
      <c r="L565" s="200"/>
      <c r="M565" s="200"/>
      <c r="N565" s="200"/>
      <c r="O565" s="200"/>
      <c r="P565" s="200"/>
      <c r="Q565" s="200"/>
      <c r="R565" s="200"/>
      <c r="S565" s="200"/>
      <c r="T565" s="200"/>
      <c r="U565" s="200"/>
      <c r="V565" s="200"/>
      <c r="W565" s="200"/>
    </row>
    <row r="566" spans="1:23" ht="12.75">
      <c r="A566" s="201"/>
      <c r="B566" s="201"/>
      <c r="C566" s="201"/>
      <c r="D566" s="224"/>
      <c r="E566" s="201"/>
      <c r="F566" s="201"/>
      <c r="G566" s="200"/>
      <c r="H566" s="200"/>
      <c r="I566" s="200"/>
      <c r="J566" s="200"/>
      <c r="K566" s="200"/>
      <c r="L566" s="200"/>
      <c r="M566" s="200"/>
      <c r="N566" s="200"/>
      <c r="O566" s="200"/>
      <c r="P566" s="200"/>
      <c r="Q566" s="200"/>
      <c r="R566" s="200"/>
      <c r="S566" s="200"/>
      <c r="T566" s="200"/>
      <c r="U566" s="200"/>
      <c r="V566" s="200"/>
      <c r="W566" s="200"/>
    </row>
    <row r="567" spans="1:23" ht="12.75">
      <c r="A567" s="201"/>
      <c r="B567" s="201"/>
      <c r="C567" s="201"/>
      <c r="D567" s="224"/>
      <c r="E567" s="201"/>
      <c r="F567" s="201"/>
      <c r="G567" s="200"/>
      <c r="H567" s="200"/>
      <c r="I567" s="200"/>
      <c r="J567" s="200"/>
      <c r="K567" s="200"/>
      <c r="L567" s="200"/>
      <c r="M567" s="200"/>
      <c r="N567" s="200"/>
      <c r="O567" s="200"/>
      <c r="P567" s="200"/>
      <c r="Q567" s="200"/>
      <c r="R567" s="200"/>
      <c r="S567" s="200"/>
      <c r="T567" s="200"/>
      <c r="U567" s="200"/>
      <c r="V567" s="200"/>
      <c r="W567" s="200"/>
    </row>
    <row r="568" spans="1:23" ht="12.75">
      <c r="A568" s="201"/>
      <c r="B568" s="201"/>
      <c r="C568" s="201"/>
      <c r="D568" s="224"/>
      <c r="E568" s="201"/>
      <c r="F568" s="201"/>
      <c r="G568" s="200"/>
      <c r="H568" s="200"/>
      <c r="I568" s="200"/>
      <c r="J568" s="200"/>
      <c r="K568" s="200"/>
      <c r="L568" s="200"/>
      <c r="M568" s="200"/>
      <c r="N568" s="200"/>
      <c r="O568" s="200"/>
      <c r="P568" s="200"/>
      <c r="Q568" s="200"/>
      <c r="R568" s="200"/>
      <c r="S568" s="200"/>
      <c r="T568" s="200"/>
      <c r="U568" s="200"/>
      <c r="V568" s="200"/>
      <c r="W568" s="200"/>
    </row>
    <row r="569" spans="1:23" ht="12.75">
      <c r="A569" s="201"/>
      <c r="B569" s="201"/>
      <c r="C569" s="201"/>
      <c r="D569" s="224"/>
      <c r="E569" s="201"/>
      <c r="F569" s="201"/>
      <c r="G569" s="200"/>
      <c r="H569" s="200"/>
      <c r="I569" s="200"/>
      <c r="J569" s="200"/>
      <c r="K569" s="200"/>
      <c r="L569" s="200"/>
      <c r="M569" s="200"/>
      <c r="N569" s="200"/>
      <c r="O569" s="200"/>
      <c r="P569" s="200"/>
      <c r="Q569" s="200"/>
      <c r="R569" s="200"/>
      <c r="S569" s="200"/>
      <c r="T569" s="200"/>
      <c r="U569" s="200"/>
      <c r="V569" s="200"/>
      <c r="W569" s="200"/>
    </row>
    <row r="570" spans="1:23" ht="12.75">
      <c r="A570" s="201"/>
      <c r="B570" s="201"/>
      <c r="C570" s="201"/>
      <c r="D570" s="224"/>
      <c r="E570" s="201"/>
      <c r="F570" s="201"/>
      <c r="G570" s="200"/>
      <c r="H570" s="200"/>
      <c r="I570" s="200"/>
      <c r="J570" s="200"/>
      <c r="K570" s="200"/>
      <c r="L570" s="200"/>
      <c r="M570" s="200"/>
      <c r="N570" s="200"/>
      <c r="O570" s="200"/>
      <c r="P570" s="200"/>
      <c r="Q570" s="200"/>
      <c r="R570" s="200"/>
      <c r="S570" s="200"/>
      <c r="T570" s="200"/>
      <c r="U570" s="200"/>
      <c r="V570" s="200"/>
      <c r="W570" s="200"/>
    </row>
    <row r="571" spans="1:23" ht="12.75">
      <c r="A571" s="201"/>
      <c r="B571" s="201"/>
      <c r="C571" s="201"/>
      <c r="D571" s="224"/>
      <c r="E571" s="201"/>
      <c r="F571" s="201"/>
      <c r="G571" s="200"/>
      <c r="H571" s="200"/>
      <c r="I571" s="200"/>
      <c r="J571" s="200"/>
      <c r="K571" s="200"/>
      <c r="L571" s="200"/>
      <c r="M571" s="200"/>
      <c r="N571" s="200"/>
      <c r="O571" s="200"/>
      <c r="P571" s="200"/>
      <c r="Q571" s="200"/>
      <c r="R571" s="200"/>
      <c r="S571" s="200"/>
      <c r="T571" s="200"/>
      <c r="U571" s="200"/>
      <c r="V571" s="200"/>
      <c r="W571" s="200"/>
    </row>
  </sheetData>
  <autoFilter ref="A1:L63" xr:uid="{00000000-0009-0000-0000-00000E000000}">
    <filterColumn colId="8">
      <filters>
        <filter val="PICS MUN"/>
      </filters>
    </filterColumn>
  </autoFilter>
  <dataValidations count="2">
    <dataValidation type="list" allowBlank="1" showErrorMessage="1" sqref="K2:K63" xr:uid="{00000000-0002-0000-0E00-000000000000}">
      <formula1>"Online,Offline"</formula1>
    </dataValidation>
    <dataValidation type="list" allowBlank="1" showErrorMessage="1" sqref="J2:J63" xr:uid="{00000000-0002-0000-0E00-000001000000}">
      <formula1>"Yes,No"</formula1>
    </dataValidation>
  </dataValidations>
  <printOptions horizontalCentered="1" gridLines="1"/>
  <pageMargins left="0.25" right="0.25" top="0.75" bottom="0.75" header="0" footer="0"/>
  <pageSetup paperSize="6" fitToHeight="0" pageOrder="overThenDown" orientation="landscape" cellComments="atEnd"/>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outlinePr summaryBelow="0" summaryRight="0"/>
    <pageSetUpPr fitToPage="1"/>
  </sheetPr>
  <dimension ref="A1:L643"/>
  <sheetViews>
    <sheetView showGridLines="0" workbookViewId="0">
      <pane xSplit="5" topLeftCell="F1" activePane="topRight" state="frozen"/>
      <selection pane="topRight" activeCell="G2" sqref="G2"/>
    </sheetView>
  </sheetViews>
  <sheetFormatPr defaultColWidth="12.5703125" defaultRowHeight="15.75" customHeight="1"/>
  <cols>
    <col min="1" max="1" width="7.42578125" customWidth="1"/>
    <col min="2" max="2" width="19.85546875" customWidth="1"/>
    <col min="3" max="3" width="17.42578125" customWidth="1"/>
    <col min="4" max="4" width="8.85546875" customWidth="1"/>
    <col min="5" max="5" width="63.85546875" customWidth="1"/>
    <col min="6" max="6" width="30.85546875" customWidth="1"/>
    <col min="7" max="7" width="16.5703125" customWidth="1"/>
    <col min="8" max="10" width="16.5703125" hidden="1" customWidth="1"/>
    <col min="11" max="11" width="29" customWidth="1"/>
    <col min="12" max="12" width="15.85546875" customWidth="1"/>
  </cols>
  <sheetData>
    <row r="1" spans="1:12" ht="12.75">
      <c r="A1" s="89"/>
      <c r="B1" s="2" t="s">
        <v>2</v>
      </c>
      <c r="C1" s="3" t="s">
        <v>1</v>
      </c>
      <c r="D1" s="1" t="s">
        <v>0</v>
      </c>
      <c r="E1" s="2" t="s">
        <v>1730</v>
      </c>
      <c r="F1" s="2" t="s">
        <v>1728</v>
      </c>
      <c r="G1" s="3" t="s">
        <v>14</v>
      </c>
      <c r="H1" s="2" t="s">
        <v>640</v>
      </c>
      <c r="I1" s="2" t="s">
        <v>641</v>
      </c>
      <c r="J1" s="2" t="s">
        <v>642</v>
      </c>
      <c r="K1" s="2" t="s">
        <v>7</v>
      </c>
      <c r="L1" s="2" t="s">
        <v>1747</v>
      </c>
    </row>
    <row r="2" spans="1:12" ht="12.75">
      <c r="A2" s="6">
        <v>1</v>
      </c>
      <c r="B2" s="15" t="s">
        <v>57</v>
      </c>
      <c r="C2" s="15" t="s">
        <v>191</v>
      </c>
      <c r="D2" s="6" t="s">
        <v>1767</v>
      </c>
      <c r="E2" s="14" t="s">
        <v>26</v>
      </c>
      <c r="F2" s="202" t="s">
        <v>26</v>
      </c>
      <c r="G2" s="15" t="s">
        <v>31</v>
      </c>
      <c r="H2" s="92">
        <v>45255</v>
      </c>
      <c r="I2" s="13">
        <v>9.4640299999999993</v>
      </c>
      <c r="J2" s="13">
        <v>125.57594</v>
      </c>
      <c r="K2" s="13" t="s">
        <v>22</v>
      </c>
      <c r="L2" s="13" t="s">
        <v>2011</v>
      </c>
    </row>
    <row r="3" spans="1:12" ht="12.75">
      <c r="A3" s="6">
        <v>2</v>
      </c>
      <c r="B3" s="15" t="s">
        <v>57</v>
      </c>
      <c r="C3" s="15" t="s">
        <v>212</v>
      </c>
      <c r="D3" s="6" t="s">
        <v>1767</v>
      </c>
      <c r="E3" s="14" t="s">
        <v>61</v>
      </c>
      <c r="F3" s="525" t="s">
        <v>1784</v>
      </c>
      <c r="G3" s="15" t="s">
        <v>65</v>
      </c>
      <c r="H3" s="92">
        <v>45246</v>
      </c>
      <c r="I3" s="13">
        <v>9.4632009999999998</v>
      </c>
      <c r="J3" s="13">
        <v>125.57586000000001</v>
      </c>
      <c r="K3" s="13" t="s">
        <v>22</v>
      </c>
      <c r="L3" s="13" t="s">
        <v>2011</v>
      </c>
    </row>
    <row r="4" spans="1:12" ht="12.75">
      <c r="A4" s="6">
        <v>3</v>
      </c>
      <c r="B4" s="15" t="s">
        <v>57</v>
      </c>
      <c r="C4" s="15" t="s">
        <v>212</v>
      </c>
      <c r="D4" s="6" t="s">
        <v>1767</v>
      </c>
      <c r="E4" s="14" t="s">
        <v>87</v>
      </c>
      <c r="F4" s="511"/>
      <c r="G4" s="15" t="s">
        <v>65</v>
      </c>
      <c r="H4" s="92">
        <v>45246</v>
      </c>
      <c r="I4" s="13">
        <v>9.4632009999999998</v>
      </c>
      <c r="J4" s="13">
        <v>125.57586000000001</v>
      </c>
      <c r="K4" s="13" t="s">
        <v>22</v>
      </c>
      <c r="L4" s="13" t="s">
        <v>2011</v>
      </c>
    </row>
    <row r="5" spans="1:12" ht="12.75">
      <c r="A5" s="6">
        <v>4</v>
      </c>
      <c r="B5" s="15" t="s">
        <v>57</v>
      </c>
      <c r="C5" s="15" t="s">
        <v>212</v>
      </c>
      <c r="D5" s="6" t="s">
        <v>1767</v>
      </c>
      <c r="E5" s="14" t="s">
        <v>91</v>
      </c>
      <c r="F5" s="512"/>
      <c r="G5" s="15" t="s">
        <v>65</v>
      </c>
      <c r="H5" s="92">
        <v>45246</v>
      </c>
      <c r="I5" s="13">
        <v>9.4632009999999998</v>
      </c>
      <c r="J5" s="13">
        <v>125.57586000000001</v>
      </c>
      <c r="K5" s="13" t="s">
        <v>22</v>
      </c>
      <c r="L5" s="13" t="s">
        <v>2011</v>
      </c>
    </row>
    <row r="6" spans="1:12" ht="12.75">
      <c r="A6" s="6">
        <v>5</v>
      </c>
      <c r="B6" s="15" t="s">
        <v>57</v>
      </c>
      <c r="C6" s="15" t="s">
        <v>212</v>
      </c>
      <c r="D6" s="6" t="s">
        <v>1767</v>
      </c>
      <c r="E6" s="14" t="s">
        <v>96</v>
      </c>
      <c r="F6" s="202" t="s">
        <v>96</v>
      </c>
      <c r="G6" s="15" t="s">
        <v>99</v>
      </c>
      <c r="H6" s="92">
        <v>45255</v>
      </c>
      <c r="I6" s="13">
        <v>9.4626529999999995</v>
      </c>
      <c r="J6" s="13">
        <v>125.576849</v>
      </c>
      <c r="K6" s="13" t="s">
        <v>22</v>
      </c>
      <c r="L6" s="13" t="s">
        <v>2011</v>
      </c>
    </row>
    <row r="7" spans="1:12" ht="12.75">
      <c r="A7" s="6">
        <v>6</v>
      </c>
      <c r="B7" s="15" t="s">
        <v>57</v>
      </c>
      <c r="C7" s="15" t="s">
        <v>212</v>
      </c>
      <c r="D7" s="6" t="s">
        <v>1767</v>
      </c>
      <c r="E7" s="14" t="s">
        <v>102</v>
      </c>
      <c r="F7" s="202" t="s">
        <v>102</v>
      </c>
      <c r="G7" s="15" t="s">
        <v>103</v>
      </c>
      <c r="H7" s="92">
        <v>45255</v>
      </c>
      <c r="I7" s="13">
        <v>9.4641950000000001</v>
      </c>
      <c r="J7" s="13">
        <v>125.576086</v>
      </c>
      <c r="K7" s="13" t="s">
        <v>22</v>
      </c>
      <c r="L7" s="13" t="s">
        <v>2011</v>
      </c>
    </row>
    <row r="8" spans="1:12" ht="12.75">
      <c r="A8" s="6">
        <v>7</v>
      </c>
      <c r="B8" s="15" t="s">
        <v>117</v>
      </c>
      <c r="C8" s="15" t="s">
        <v>191</v>
      </c>
      <c r="D8" s="6" t="s">
        <v>1767</v>
      </c>
      <c r="E8" s="14" t="s">
        <v>105</v>
      </c>
      <c r="F8" s="525" t="s">
        <v>108</v>
      </c>
      <c r="G8" s="15" t="s">
        <v>65</v>
      </c>
      <c r="H8" s="92">
        <v>45245</v>
      </c>
      <c r="I8" s="13">
        <v>9.6080570000000005</v>
      </c>
      <c r="J8" s="13">
        <v>125.640231</v>
      </c>
      <c r="K8" s="13" t="s">
        <v>22</v>
      </c>
      <c r="L8" s="13" t="s">
        <v>2011</v>
      </c>
    </row>
    <row r="9" spans="1:12" ht="12.75">
      <c r="A9" s="6">
        <v>8</v>
      </c>
      <c r="B9" s="15" t="s">
        <v>117</v>
      </c>
      <c r="C9" s="15" t="s">
        <v>191</v>
      </c>
      <c r="D9" s="6" t="s">
        <v>1767</v>
      </c>
      <c r="E9" s="14" t="s">
        <v>120</v>
      </c>
      <c r="F9" s="511"/>
      <c r="G9" s="15" t="s">
        <v>65</v>
      </c>
      <c r="H9" s="92">
        <v>45245</v>
      </c>
      <c r="I9" s="13">
        <v>9.6080570000000005</v>
      </c>
      <c r="J9" s="13">
        <v>125.640231</v>
      </c>
      <c r="K9" s="13" t="s">
        <v>22</v>
      </c>
      <c r="L9" s="13" t="s">
        <v>2011</v>
      </c>
    </row>
    <row r="10" spans="1:12" ht="12.75">
      <c r="A10" s="6">
        <v>9</v>
      </c>
      <c r="B10" s="15" t="s">
        <v>117</v>
      </c>
      <c r="C10" s="15" t="s">
        <v>191</v>
      </c>
      <c r="D10" s="6" t="s">
        <v>1767</v>
      </c>
      <c r="E10" s="14" t="s">
        <v>124</v>
      </c>
      <c r="F10" s="512"/>
      <c r="G10" s="15" t="s">
        <v>65</v>
      </c>
      <c r="H10" s="92">
        <v>45245</v>
      </c>
      <c r="I10" s="13">
        <v>9.6080570000000005</v>
      </c>
      <c r="J10" s="13">
        <v>125.640231</v>
      </c>
      <c r="K10" s="13" t="s">
        <v>22</v>
      </c>
      <c r="L10" s="13" t="s">
        <v>2011</v>
      </c>
    </row>
    <row r="11" spans="1:12" ht="12.75">
      <c r="A11" s="6">
        <v>10</v>
      </c>
      <c r="B11" s="15" t="s">
        <v>117</v>
      </c>
      <c r="C11" s="15" t="s">
        <v>191</v>
      </c>
      <c r="D11" s="6" t="s">
        <v>1767</v>
      </c>
      <c r="E11" s="14" t="s">
        <v>130</v>
      </c>
      <c r="F11" s="202" t="s">
        <v>130</v>
      </c>
      <c r="G11" s="15" t="s">
        <v>31</v>
      </c>
      <c r="H11" s="92">
        <v>45257</v>
      </c>
      <c r="I11" s="13">
        <v>9.6088850000000008</v>
      </c>
      <c r="J11" s="13">
        <v>125.640559</v>
      </c>
      <c r="K11" s="13" t="s">
        <v>22</v>
      </c>
      <c r="L11" s="13" t="s">
        <v>2011</v>
      </c>
    </row>
    <row r="12" spans="1:12" ht="12.75">
      <c r="A12" s="6">
        <v>11</v>
      </c>
      <c r="B12" s="15" t="s">
        <v>117</v>
      </c>
      <c r="C12" s="15" t="s">
        <v>191</v>
      </c>
      <c r="D12" s="6" t="s">
        <v>1767</v>
      </c>
      <c r="E12" s="50" t="s">
        <v>234</v>
      </c>
      <c r="F12" s="525" t="s">
        <v>234</v>
      </c>
      <c r="G12" s="15" t="s">
        <v>128</v>
      </c>
      <c r="H12" s="92">
        <v>45265</v>
      </c>
      <c r="I12" s="13">
        <v>9.6137576760000005</v>
      </c>
      <c r="J12" s="13">
        <v>125.636044</v>
      </c>
      <c r="K12" s="13" t="s">
        <v>22</v>
      </c>
      <c r="L12" s="13" t="s">
        <v>2011</v>
      </c>
    </row>
    <row r="13" spans="1:12" ht="12.75">
      <c r="A13" s="6">
        <v>12</v>
      </c>
      <c r="B13" s="15" t="s">
        <v>117</v>
      </c>
      <c r="C13" s="15" t="s">
        <v>191</v>
      </c>
      <c r="D13" s="6" t="s">
        <v>1767</v>
      </c>
      <c r="E13" s="14" t="s">
        <v>131</v>
      </c>
      <c r="F13" s="512"/>
      <c r="G13" s="15" t="s">
        <v>103</v>
      </c>
      <c r="H13" s="92">
        <v>45257</v>
      </c>
      <c r="I13" s="13">
        <v>9.6085552760000006</v>
      </c>
      <c r="J13" s="13">
        <v>125.640615</v>
      </c>
      <c r="K13" s="13" t="s">
        <v>22</v>
      </c>
      <c r="L13" s="13" t="s">
        <v>2011</v>
      </c>
    </row>
    <row r="14" spans="1:12" ht="12.75">
      <c r="A14" s="6">
        <v>13</v>
      </c>
      <c r="B14" s="15" t="s">
        <v>136</v>
      </c>
      <c r="C14" s="15" t="s">
        <v>251</v>
      </c>
      <c r="D14" s="6" t="s">
        <v>1767</v>
      </c>
      <c r="E14" s="14" t="s">
        <v>133</v>
      </c>
      <c r="F14" s="525" t="s">
        <v>1882</v>
      </c>
      <c r="G14" s="15" t="s">
        <v>65</v>
      </c>
      <c r="H14" s="92">
        <v>45233</v>
      </c>
      <c r="I14" s="13">
        <v>9.5739180000000008</v>
      </c>
      <c r="J14" s="13">
        <v>125.73276</v>
      </c>
      <c r="K14" s="13" t="s">
        <v>22</v>
      </c>
      <c r="L14" s="13" t="s">
        <v>2011</v>
      </c>
    </row>
    <row r="15" spans="1:12" ht="12.75">
      <c r="A15" s="6">
        <v>14</v>
      </c>
      <c r="B15" s="15" t="s">
        <v>136</v>
      </c>
      <c r="C15" s="15" t="s">
        <v>251</v>
      </c>
      <c r="D15" s="6" t="s">
        <v>1767</v>
      </c>
      <c r="E15" s="14" t="s">
        <v>138</v>
      </c>
      <c r="F15" s="512"/>
      <c r="G15" s="15" t="s">
        <v>65</v>
      </c>
      <c r="H15" s="92">
        <v>45236</v>
      </c>
      <c r="I15" s="13">
        <v>9.5739180000000008</v>
      </c>
      <c r="J15" s="13">
        <v>125.73276</v>
      </c>
      <c r="K15" s="13" t="s">
        <v>22</v>
      </c>
      <c r="L15" s="13" t="s">
        <v>2011</v>
      </c>
    </row>
    <row r="16" spans="1:12" ht="25.5">
      <c r="A16" s="6">
        <v>15</v>
      </c>
      <c r="B16" s="15" t="s">
        <v>136</v>
      </c>
      <c r="C16" s="15" t="s">
        <v>251</v>
      </c>
      <c r="D16" s="6" t="s">
        <v>1767</v>
      </c>
      <c r="E16" s="14" t="s">
        <v>145</v>
      </c>
      <c r="F16" s="96" t="s">
        <v>145</v>
      </c>
      <c r="G16" s="15" t="s">
        <v>65</v>
      </c>
      <c r="H16" s="92">
        <v>45239</v>
      </c>
      <c r="I16" s="13">
        <v>9.5735050000000008</v>
      </c>
      <c r="J16" s="13">
        <v>125.732704</v>
      </c>
      <c r="K16" s="13" t="s">
        <v>22</v>
      </c>
      <c r="L16" s="13" t="s">
        <v>2011</v>
      </c>
    </row>
    <row r="17" spans="1:12" ht="12.75">
      <c r="A17" s="6">
        <v>16</v>
      </c>
      <c r="B17" s="15" t="s">
        <v>136</v>
      </c>
      <c r="C17" s="15" t="s">
        <v>251</v>
      </c>
      <c r="D17" s="6" t="s">
        <v>1767</v>
      </c>
      <c r="E17" s="14" t="s">
        <v>147</v>
      </c>
      <c r="F17" s="202" t="s">
        <v>147</v>
      </c>
      <c r="G17" s="15" t="s">
        <v>103</v>
      </c>
      <c r="H17" s="92">
        <v>45258</v>
      </c>
      <c r="I17" s="13">
        <v>9.5738990000000008</v>
      </c>
      <c r="J17" s="13">
        <v>125.73335</v>
      </c>
      <c r="K17" s="13" t="s">
        <v>22</v>
      </c>
      <c r="L17" s="13" t="s">
        <v>2011</v>
      </c>
    </row>
    <row r="18" spans="1:12" ht="12.75">
      <c r="A18" s="6">
        <v>17</v>
      </c>
      <c r="B18" s="15" t="s">
        <v>136</v>
      </c>
      <c r="C18" s="15" t="s">
        <v>251</v>
      </c>
      <c r="D18" s="6" t="s">
        <v>1767</v>
      </c>
      <c r="E18" s="14" t="s">
        <v>150</v>
      </c>
      <c r="F18" s="202" t="s">
        <v>150</v>
      </c>
      <c r="G18" s="15" t="s">
        <v>151</v>
      </c>
      <c r="H18" s="92">
        <v>45258</v>
      </c>
      <c r="I18" s="13">
        <v>9.5722498080000005</v>
      </c>
      <c r="J18" s="13">
        <v>125.73289</v>
      </c>
      <c r="K18" s="13" t="s">
        <v>22</v>
      </c>
      <c r="L18" s="13" t="s">
        <v>2011</v>
      </c>
    </row>
    <row r="19" spans="1:12" ht="12.75">
      <c r="A19" s="6">
        <v>18</v>
      </c>
      <c r="B19" s="15" t="s">
        <v>136</v>
      </c>
      <c r="C19" s="15" t="s">
        <v>283</v>
      </c>
      <c r="D19" s="6" t="s">
        <v>1767</v>
      </c>
      <c r="E19" s="14" t="s">
        <v>154</v>
      </c>
      <c r="F19" s="202" t="s">
        <v>154</v>
      </c>
      <c r="G19" s="15" t="s">
        <v>155</v>
      </c>
      <c r="H19" s="92">
        <v>45258</v>
      </c>
      <c r="I19" s="13">
        <v>9.5767249999999997</v>
      </c>
      <c r="J19" s="13">
        <v>125.731375</v>
      </c>
      <c r="K19" s="13" t="s">
        <v>22</v>
      </c>
      <c r="L19" s="13" t="s">
        <v>2011</v>
      </c>
    </row>
    <row r="20" spans="1:12" ht="12.75">
      <c r="A20" s="6">
        <v>19</v>
      </c>
      <c r="B20" s="8" t="s">
        <v>167</v>
      </c>
      <c r="C20" s="8" t="s">
        <v>290</v>
      </c>
      <c r="D20" s="6" t="s">
        <v>1767</v>
      </c>
      <c r="E20" s="11" t="s">
        <v>159</v>
      </c>
      <c r="F20" s="525" t="s">
        <v>160</v>
      </c>
      <c r="G20" s="15" t="s">
        <v>65</v>
      </c>
      <c r="H20" s="92">
        <v>45247</v>
      </c>
      <c r="I20" s="13">
        <v>9.5953529999999994</v>
      </c>
      <c r="J20" s="13">
        <v>125.69732999999999</v>
      </c>
      <c r="K20" s="13" t="s">
        <v>22</v>
      </c>
      <c r="L20" s="13" t="s">
        <v>2011</v>
      </c>
    </row>
    <row r="21" spans="1:12" ht="12.75">
      <c r="A21" s="6">
        <v>20</v>
      </c>
      <c r="B21" s="8" t="s">
        <v>167</v>
      </c>
      <c r="C21" s="8" t="s">
        <v>290</v>
      </c>
      <c r="D21" s="6" t="s">
        <v>1767</v>
      </c>
      <c r="E21" s="11" t="s">
        <v>169</v>
      </c>
      <c r="F21" s="511"/>
      <c r="G21" s="15" t="s">
        <v>65</v>
      </c>
      <c r="H21" s="92">
        <v>45247</v>
      </c>
      <c r="I21" s="13">
        <v>9.5953529999999994</v>
      </c>
      <c r="J21" s="13">
        <v>125.69732999999999</v>
      </c>
      <c r="K21" s="13" t="s">
        <v>22</v>
      </c>
      <c r="L21" s="13" t="s">
        <v>2011</v>
      </c>
    </row>
    <row r="22" spans="1:12" ht="12.75">
      <c r="A22" s="6">
        <v>21</v>
      </c>
      <c r="B22" s="8" t="s">
        <v>167</v>
      </c>
      <c r="C22" s="8" t="s">
        <v>290</v>
      </c>
      <c r="D22" s="6" t="s">
        <v>1767</v>
      </c>
      <c r="E22" s="11" t="s">
        <v>174</v>
      </c>
      <c r="F22" s="512"/>
      <c r="G22" s="15" t="s">
        <v>65</v>
      </c>
      <c r="H22" s="92">
        <v>45247</v>
      </c>
      <c r="I22" s="13">
        <v>9.5953529999999994</v>
      </c>
      <c r="J22" s="13">
        <v>125.69732999999999</v>
      </c>
      <c r="K22" s="13" t="s">
        <v>22</v>
      </c>
      <c r="L22" s="13" t="s">
        <v>2011</v>
      </c>
    </row>
    <row r="23" spans="1:12" ht="12.75">
      <c r="A23" s="6">
        <v>22</v>
      </c>
      <c r="B23" s="8" t="s">
        <v>167</v>
      </c>
      <c r="C23" s="8" t="s">
        <v>290</v>
      </c>
      <c r="D23" s="6" t="s">
        <v>1767</v>
      </c>
      <c r="E23" s="11" t="s">
        <v>177</v>
      </c>
      <c r="F23" s="202" t="s">
        <v>177</v>
      </c>
      <c r="G23" s="15" t="s">
        <v>103</v>
      </c>
      <c r="H23" s="92">
        <v>45256</v>
      </c>
      <c r="I23" s="13">
        <v>9.5959573850000002</v>
      </c>
      <c r="J23" s="13">
        <v>125.698106</v>
      </c>
      <c r="K23" s="13" t="s">
        <v>22</v>
      </c>
      <c r="L23" s="13" t="s">
        <v>2011</v>
      </c>
    </row>
    <row r="24" spans="1:12" ht="12.75">
      <c r="A24" s="6">
        <v>23</v>
      </c>
      <c r="B24" s="8" t="s">
        <v>167</v>
      </c>
      <c r="C24" s="8" t="s">
        <v>140</v>
      </c>
      <c r="D24" s="6" t="s">
        <v>1767</v>
      </c>
      <c r="E24" s="11" t="s">
        <v>181</v>
      </c>
      <c r="F24" s="96" t="s">
        <v>1957</v>
      </c>
      <c r="G24" s="15" t="s">
        <v>65</v>
      </c>
      <c r="H24" s="92">
        <v>45256</v>
      </c>
      <c r="I24" s="13">
        <v>9.5958871979999998</v>
      </c>
      <c r="J24" s="13">
        <v>125.697434</v>
      </c>
      <c r="K24" s="13" t="s">
        <v>22</v>
      </c>
      <c r="L24" s="13" t="s">
        <v>2011</v>
      </c>
    </row>
    <row r="25" spans="1:12" ht="12.75">
      <c r="A25" s="6">
        <v>24</v>
      </c>
      <c r="B25" s="8" t="s">
        <v>167</v>
      </c>
      <c r="C25" s="8" t="s">
        <v>290</v>
      </c>
      <c r="D25" s="6" t="s">
        <v>1767</v>
      </c>
      <c r="E25" s="11" t="s">
        <v>184</v>
      </c>
      <c r="F25" s="202" t="s">
        <v>184</v>
      </c>
      <c r="G25" s="15" t="s">
        <v>155</v>
      </c>
      <c r="H25" s="92">
        <v>45256</v>
      </c>
      <c r="I25" s="13">
        <v>9.593778855</v>
      </c>
      <c r="J25" s="13">
        <v>125.699009</v>
      </c>
      <c r="K25" s="13" t="s">
        <v>22</v>
      </c>
      <c r="L25" s="13" t="s">
        <v>2011</v>
      </c>
    </row>
    <row r="26" spans="1:12" ht="12.75">
      <c r="A26" s="6">
        <v>25</v>
      </c>
      <c r="B26" s="8" t="s">
        <v>198</v>
      </c>
      <c r="C26" s="8" t="s">
        <v>327</v>
      </c>
      <c r="D26" s="6" t="s">
        <v>1767</v>
      </c>
      <c r="E26" s="11" t="s">
        <v>188</v>
      </c>
      <c r="F26" s="96" t="s">
        <v>190</v>
      </c>
      <c r="G26" s="15" t="s">
        <v>65</v>
      </c>
      <c r="H26" s="92">
        <v>45255</v>
      </c>
      <c r="I26" s="13">
        <v>9.5406747420000002</v>
      </c>
      <c r="J26" s="13">
        <v>125.522983</v>
      </c>
      <c r="K26" s="13" t="s">
        <v>22</v>
      </c>
      <c r="L26" s="13" t="s">
        <v>2011</v>
      </c>
    </row>
    <row r="27" spans="1:12" ht="12.75">
      <c r="A27" s="6">
        <v>26</v>
      </c>
      <c r="B27" s="8" t="s">
        <v>198</v>
      </c>
      <c r="C27" s="8" t="s">
        <v>327</v>
      </c>
      <c r="D27" s="6" t="s">
        <v>1767</v>
      </c>
      <c r="E27" s="11" t="s">
        <v>201</v>
      </c>
      <c r="F27" s="525" t="s">
        <v>583</v>
      </c>
      <c r="G27" s="15" t="s">
        <v>65</v>
      </c>
      <c r="H27" s="92">
        <v>45255</v>
      </c>
      <c r="I27" s="13">
        <v>9.5404671749999999</v>
      </c>
      <c r="J27" s="13">
        <v>125.52278800000001</v>
      </c>
      <c r="K27" s="13" t="s">
        <v>22</v>
      </c>
      <c r="L27" s="13" t="s">
        <v>2011</v>
      </c>
    </row>
    <row r="28" spans="1:12" ht="12.75">
      <c r="A28" s="6">
        <v>27</v>
      </c>
      <c r="B28" s="8" t="s">
        <v>198</v>
      </c>
      <c r="C28" s="8" t="s">
        <v>327</v>
      </c>
      <c r="D28" s="6" t="s">
        <v>1767</v>
      </c>
      <c r="E28" s="11" t="s">
        <v>203</v>
      </c>
      <c r="F28" s="512"/>
      <c r="G28" s="15" t="s">
        <v>65</v>
      </c>
      <c r="H28" s="92">
        <v>45255</v>
      </c>
      <c r="I28" s="13">
        <v>9.5404671749999999</v>
      </c>
      <c r="J28" s="13">
        <v>125.52278800000001</v>
      </c>
      <c r="K28" s="13" t="s">
        <v>22</v>
      </c>
      <c r="L28" s="13" t="s">
        <v>2011</v>
      </c>
    </row>
    <row r="29" spans="1:12" ht="12.75">
      <c r="A29" s="6">
        <v>28</v>
      </c>
      <c r="B29" s="8" t="s">
        <v>198</v>
      </c>
      <c r="C29" s="8" t="s">
        <v>345</v>
      </c>
      <c r="D29" s="6" t="s">
        <v>1767</v>
      </c>
      <c r="E29" s="11" t="s">
        <v>205</v>
      </c>
      <c r="F29" s="202" t="s">
        <v>205</v>
      </c>
      <c r="G29" s="15" t="s">
        <v>207</v>
      </c>
      <c r="H29" s="92">
        <v>45256</v>
      </c>
      <c r="I29" s="13">
        <v>9.535276498</v>
      </c>
      <c r="J29" s="13">
        <v>125.523989</v>
      </c>
      <c r="K29" s="13" t="s">
        <v>22</v>
      </c>
      <c r="L29" s="13" t="s">
        <v>2011</v>
      </c>
    </row>
    <row r="30" spans="1:12" ht="12.75">
      <c r="A30" s="6">
        <v>29</v>
      </c>
      <c r="B30" s="8" t="s">
        <v>198</v>
      </c>
      <c r="C30" s="8" t="s">
        <v>327</v>
      </c>
      <c r="D30" s="6" t="s">
        <v>1767</v>
      </c>
      <c r="E30" s="11" t="s">
        <v>208</v>
      </c>
      <c r="F30" s="202" t="s">
        <v>208</v>
      </c>
      <c r="G30" s="15" t="s">
        <v>103</v>
      </c>
      <c r="H30" s="92">
        <v>45267</v>
      </c>
      <c r="I30" s="13">
        <v>9.5404892950000004</v>
      </c>
      <c r="J30" s="13">
        <v>125.523382</v>
      </c>
      <c r="K30" s="13" t="s">
        <v>22</v>
      </c>
      <c r="L30" s="13" t="s">
        <v>2011</v>
      </c>
    </row>
    <row r="31" spans="1:12" ht="12.75">
      <c r="A31" s="6">
        <v>30</v>
      </c>
      <c r="B31" s="8" t="s">
        <v>198</v>
      </c>
      <c r="C31" s="8" t="s">
        <v>327</v>
      </c>
      <c r="D31" s="6" t="s">
        <v>1767</v>
      </c>
      <c r="E31" s="11" t="s">
        <v>209</v>
      </c>
      <c r="F31" s="96" t="s">
        <v>2028</v>
      </c>
      <c r="G31" s="15" t="s">
        <v>155</v>
      </c>
      <c r="H31" s="92">
        <v>45257</v>
      </c>
      <c r="I31" s="13">
        <v>9.5359444440000001</v>
      </c>
      <c r="J31" s="13">
        <v>125.523819</v>
      </c>
      <c r="K31" s="13" t="s">
        <v>22</v>
      </c>
      <c r="L31" s="13" t="s">
        <v>2011</v>
      </c>
    </row>
    <row r="32" spans="1:12" ht="12.75">
      <c r="A32" s="6">
        <v>31</v>
      </c>
      <c r="B32" s="8" t="s">
        <v>198</v>
      </c>
      <c r="C32" s="8" t="s">
        <v>356</v>
      </c>
      <c r="D32" s="6" t="s">
        <v>1767</v>
      </c>
      <c r="E32" s="20" t="s">
        <v>363</v>
      </c>
      <c r="F32" s="96" t="s">
        <v>358</v>
      </c>
      <c r="G32" s="15" t="s">
        <v>155</v>
      </c>
      <c r="H32" s="92">
        <v>45562</v>
      </c>
      <c r="I32" s="13">
        <v>9.5420627800000002</v>
      </c>
      <c r="J32" s="13">
        <v>125.5224181</v>
      </c>
      <c r="K32" s="13" t="s">
        <v>22</v>
      </c>
      <c r="L32" s="13" t="s">
        <v>2011</v>
      </c>
    </row>
    <row r="33" spans="1:12" ht="12.75">
      <c r="A33" s="6">
        <v>32</v>
      </c>
      <c r="B33" s="8" t="s">
        <v>216</v>
      </c>
      <c r="C33" s="8" t="s">
        <v>376</v>
      </c>
      <c r="D33" s="6" t="s">
        <v>1767</v>
      </c>
      <c r="E33" s="11" t="s">
        <v>213</v>
      </c>
      <c r="F33" s="525" t="s">
        <v>214</v>
      </c>
      <c r="G33" s="15" t="s">
        <v>65</v>
      </c>
      <c r="H33" s="92">
        <v>45244</v>
      </c>
      <c r="I33" s="13">
        <v>9.6564809999999994</v>
      </c>
      <c r="J33" s="13">
        <v>125.602485</v>
      </c>
      <c r="K33" s="13" t="s">
        <v>22</v>
      </c>
      <c r="L33" s="13" t="s">
        <v>2011</v>
      </c>
    </row>
    <row r="34" spans="1:12" ht="12.75">
      <c r="A34" s="6">
        <v>33</v>
      </c>
      <c r="B34" s="8" t="s">
        <v>216</v>
      </c>
      <c r="C34" s="8" t="s">
        <v>376</v>
      </c>
      <c r="D34" s="6" t="s">
        <v>1767</v>
      </c>
      <c r="E34" s="11" t="s">
        <v>218</v>
      </c>
      <c r="F34" s="511"/>
      <c r="G34" s="15" t="s">
        <v>65</v>
      </c>
      <c r="H34" s="92">
        <v>45244</v>
      </c>
      <c r="I34" s="13">
        <v>9.6564809999999994</v>
      </c>
      <c r="J34" s="13">
        <v>125.602485</v>
      </c>
      <c r="K34" s="13" t="s">
        <v>22</v>
      </c>
      <c r="L34" s="13" t="s">
        <v>2011</v>
      </c>
    </row>
    <row r="35" spans="1:12" ht="12.75">
      <c r="A35" s="6">
        <v>34</v>
      </c>
      <c r="B35" s="8" t="s">
        <v>216</v>
      </c>
      <c r="C35" s="8" t="s">
        <v>376</v>
      </c>
      <c r="D35" s="6" t="s">
        <v>1767</v>
      </c>
      <c r="E35" s="11" t="s">
        <v>220</v>
      </c>
      <c r="F35" s="512"/>
      <c r="G35" s="15" t="s">
        <v>65</v>
      </c>
      <c r="H35" s="92">
        <v>45244</v>
      </c>
      <c r="I35" s="13">
        <v>9.6564809999999994</v>
      </c>
      <c r="J35" s="13">
        <v>125.602485</v>
      </c>
      <c r="K35" s="13" t="s">
        <v>22</v>
      </c>
      <c r="L35" s="13" t="s">
        <v>2011</v>
      </c>
    </row>
    <row r="36" spans="1:12" ht="12.75">
      <c r="A36" s="6">
        <v>35</v>
      </c>
      <c r="B36" s="8" t="s">
        <v>216</v>
      </c>
      <c r="C36" s="8" t="s">
        <v>356</v>
      </c>
      <c r="D36" s="6" t="s">
        <v>1767</v>
      </c>
      <c r="E36" s="11" t="s">
        <v>221</v>
      </c>
      <c r="F36" s="96" t="s">
        <v>2076</v>
      </c>
      <c r="G36" s="15" t="s">
        <v>155</v>
      </c>
      <c r="H36" s="92">
        <v>45244</v>
      </c>
      <c r="I36" s="13">
        <v>9.6567349999999994</v>
      </c>
      <c r="J36" s="13">
        <v>125.59986600000001</v>
      </c>
      <c r="K36" s="13" t="s">
        <v>22</v>
      </c>
      <c r="L36" s="13" t="s">
        <v>2011</v>
      </c>
    </row>
    <row r="37" spans="1:12" ht="12.75">
      <c r="A37" s="6">
        <v>36</v>
      </c>
      <c r="B37" s="8" t="s">
        <v>216</v>
      </c>
      <c r="C37" s="8" t="s">
        <v>376</v>
      </c>
      <c r="D37" s="6" t="s">
        <v>1767</v>
      </c>
      <c r="E37" s="11" t="s">
        <v>223</v>
      </c>
      <c r="F37" s="202" t="s">
        <v>223</v>
      </c>
      <c r="G37" s="15" t="s">
        <v>31</v>
      </c>
      <c r="H37" s="92">
        <v>45244</v>
      </c>
      <c r="I37" s="13">
        <v>9.6584730000000008</v>
      </c>
      <c r="J37" s="13">
        <v>125.60086699999999</v>
      </c>
      <c r="K37" s="13" t="s">
        <v>22</v>
      </c>
      <c r="L37" s="13" t="s">
        <v>2011</v>
      </c>
    </row>
    <row r="38" spans="1:12" ht="12.75">
      <c r="A38" s="6">
        <v>37</v>
      </c>
      <c r="B38" s="8" t="s">
        <v>216</v>
      </c>
      <c r="C38" s="8" t="s">
        <v>376</v>
      </c>
      <c r="D38" s="6" t="s">
        <v>1767</v>
      </c>
      <c r="E38" s="11" t="s">
        <v>225</v>
      </c>
      <c r="F38" s="202" t="s">
        <v>225</v>
      </c>
      <c r="G38" s="15" t="s">
        <v>103</v>
      </c>
      <c r="H38" s="92">
        <v>45257</v>
      </c>
      <c r="I38" s="13">
        <v>9.6566426849999996</v>
      </c>
      <c r="J38" s="13">
        <v>125.60230199999999</v>
      </c>
      <c r="K38" s="13" t="s">
        <v>22</v>
      </c>
      <c r="L38" s="13" t="s">
        <v>2011</v>
      </c>
    </row>
    <row r="39" spans="1:12" ht="12.75">
      <c r="A39" s="6">
        <v>38</v>
      </c>
      <c r="B39" s="8" t="s">
        <v>229</v>
      </c>
      <c r="C39" s="8" t="s">
        <v>191</v>
      </c>
      <c r="D39" s="6" t="s">
        <v>1767</v>
      </c>
      <c r="E39" s="11" t="s">
        <v>226</v>
      </c>
      <c r="F39" s="525" t="s">
        <v>2079</v>
      </c>
      <c r="G39" s="15" t="s">
        <v>65</v>
      </c>
      <c r="H39" s="92">
        <v>45261</v>
      </c>
      <c r="I39" s="13">
        <v>9.7767267130000004</v>
      </c>
      <c r="J39" s="13">
        <v>125.421119</v>
      </c>
      <c r="K39" s="13" t="s">
        <v>22</v>
      </c>
      <c r="L39" s="13" t="s">
        <v>2011</v>
      </c>
    </row>
    <row r="40" spans="1:12" ht="12.75">
      <c r="A40" s="6">
        <v>39</v>
      </c>
      <c r="B40" s="8" t="s">
        <v>229</v>
      </c>
      <c r="C40" s="8" t="s">
        <v>191</v>
      </c>
      <c r="D40" s="6" t="s">
        <v>1767</v>
      </c>
      <c r="E40" s="11" t="s">
        <v>233</v>
      </c>
      <c r="F40" s="512"/>
      <c r="G40" s="15" t="s">
        <v>65</v>
      </c>
      <c r="H40" s="92">
        <v>45261</v>
      </c>
      <c r="I40" s="13">
        <v>9.7767267130000004</v>
      </c>
      <c r="J40" s="13">
        <v>125.421119</v>
      </c>
      <c r="K40" s="13" t="s">
        <v>22</v>
      </c>
      <c r="L40" s="13" t="s">
        <v>2011</v>
      </c>
    </row>
    <row r="41" spans="1:12" ht="12.75">
      <c r="A41" s="6">
        <v>40</v>
      </c>
      <c r="B41" s="8" t="s">
        <v>229</v>
      </c>
      <c r="C41" s="8" t="s">
        <v>191</v>
      </c>
      <c r="D41" s="6" t="s">
        <v>1767</v>
      </c>
      <c r="E41" s="11" t="s">
        <v>236</v>
      </c>
      <c r="F41" s="202" t="s">
        <v>236</v>
      </c>
      <c r="G41" s="15" t="s">
        <v>238</v>
      </c>
      <c r="H41" s="92">
        <v>45261</v>
      </c>
      <c r="I41" s="13">
        <v>9.7765506000000002</v>
      </c>
      <c r="J41" s="13">
        <v>125.421609</v>
      </c>
      <c r="K41" s="13" t="s">
        <v>22</v>
      </c>
      <c r="L41" s="13" t="s">
        <v>2011</v>
      </c>
    </row>
    <row r="42" spans="1:12" ht="12.75">
      <c r="A42" s="6">
        <v>41</v>
      </c>
      <c r="B42" s="8" t="s">
        <v>229</v>
      </c>
      <c r="C42" s="8" t="s">
        <v>191</v>
      </c>
      <c r="D42" s="6" t="s">
        <v>1767</v>
      </c>
      <c r="E42" s="11" t="s">
        <v>243</v>
      </c>
      <c r="F42" s="202" t="s">
        <v>243</v>
      </c>
      <c r="G42" s="15" t="s">
        <v>238</v>
      </c>
      <c r="H42" s="92">
        <v>45261</v>
      </c>
      <c r="I42" s="13">
        <v>9.7768519999999999</v>
      </c>
      <c r="J42" s="13">
        <v>125.421207</v>
      </c>
      <c r="K42" s="13" t="s">
        <v>22</v>
      </c>
      <c r="L42" s="13" t="s">
        <v>2011</v>
      </c>
    </row>
    <row r="43" spans="1:12" ht="12.75">
      <c r="A43" s="6">
        <v>42</v>
      </c>
      <c r="B43" s="8" t="s">
        <v>229</v>
      </c>
      <c r="C43" s="8" t="s">
        <v>191</v>
      </c>
      <c r="D43" s="6" t="s">
        <v>1767</v>
      </c>
      <c r="E43" s="11" t="s">
        <v>246</v>
      </c>
      <c r="F43" s="202" t="s">
        <v>246</v>
      </c>
      <c r="G43" s="15" t="s">
        <v>103</v>
      </c>
      <c r="H43" s="92">
        <v>45265</v>
      </c>
      <c r="I43" s="13">
        <v>9.7785509820000005</v>
      </c>
      <c r="J43" s="13">
        <v>125.42179299999999</v>
      </c>
      <c r="K43" s="13" t="s">
        <v>22</v>
      </c>
      <c r="L43" s="13" t="s">
        <v>2011</v>
      </c>
    </row>
    <row r="44" spans="1:12" ht="25.5">
      <c r="A44" s="6">
        <v>43</v>
      </c>
      <c r="B44" s="8" t="s">
        <v>229</v>
      </c>
      <c r="C44" s="8" t="s">
        <v>403</v>
      </c>
      <c r="D44" s="6" t="s">
        <v>1767</v>
      </c>
      <c r="E44" s="11" t="s">
        <v>248</v>
      </c>
      <c r="F44" s="202" t="s">
        <v>248</v>
      </c>
      <c r="G44" s="15" t="s">
        <v>207</v>
      </c>
      <c r="H44" s="92">
        <v>45265</v>
      </c>
      <c r="I44" s="13">
        <v>9.7753305610000005</v>
      </c>
      <c r="J44" s="13">
        <v>125.424452</v>
      </c>
      <c r="K44" s="13" t="s">
        <v>22</v>
      </c>
      <c r="L44" s="13" t="s">
        <v>2011</v>
      </c>
    </row>
    <row r="45" spans="1:12" ht="12.75">
      <c r="A45" s="6">
        <v>44</v>
      </c>
      <c r="B45" s="8" t="s">
        <v>257</v>
      </c>
      <c r="C45" s="8" t="s">
        <v>405</v>
      </c>
      <c r="D45" s="6" t="s">
        <v>1767</v>
      </c>
      <c r="E45" s="11" t="s">
        <v>252</v>
      </c>
      <c r="F45" s="525" t="s">
        <v>2083</v>
      </c>
      <c r="G45" s="15" t="s">
        <v>65</v>
      </c>
      <c r="H45" s="92">
        <v>45256</v>
      </c>
      <c r="I45" s="13">
        <v>9.6578099999999996</v>
      </c>
      <c r="J45" s="13">
        <v>125.528361</v>
      </c>
      <c r="K45" s="13" t="s">
        <v>22</v>
      </c>
      <c r="L45" s="13" t="s">
        <v>2011</v>
      </c>
    </row>
    <row r="46" spans="1:12" ht="12.75">
      <c r="A46" s="6">
        <v>45</v>
      </c>
      <c r="B46" s="8" t="s">
        <v>257</v>
      </c>
      <c r="C46" s="8" t="s">
        <v>405</v>
      </c>
      <c r="D46" s="6" t="s">
        <v>1767</v>
      </c>
      <c r="E46" s="11" t="s">
        <v>262</v>
      </c>
      <c r="F46" s="512"/>
      <c r="G46" s="15" t="s">
        <v>65</v>
      </c>
      <c r="H46" s="92">
        <v>45256</v>
      </c>
      <c r="I46" s="13">
        <v>9.6578099999999996</v>
      </c>
      <c r="J46" s="13">
        <v>125.528361</v>
      </c>
      <c r="K46" s="13" t="s">
        <v>22</v>
      </c>
      <c r="L46" s="13" t="s">
        <v>2011</v>
      </c>
    </row>
    <row r="47" spans="1:12" ht="12.75">
      <c r="A47" s="6">
        <v>46</v>
      </c>
      <c r="B47" s="8" t="s">
        <v>257</v>
      </c>
      <c r="C47" s="8" t="s">
        <v>405</v>
      </c>
      <c r="D47" s="6" t="s">
        <v>1767</v>
      </c>
      <c r="E47" s="11" t="s">
        <v>266</v>
      </c>
      <c r="F47" s="202" t="s">
        <v>266</v>
      </c>
      <c r="G47" s="15" t="s">
        <v>31</v>
      </c>
      <c r="H47" s="92">
        <v>45256</v>
      </c>
      <c r="I47" s="13">
        <v>9.6578742020000004</v>
      </c>
      <c r="J47" s="13">
        <v>125.52857299999999</v>
      </c>
      <c r="K47" s="13" t="s">
        <v>22</v>
      </c>
      <c r="L47" s="13" t="s">
        <v>2011</v>
      </c>
    </row>
    <row r="48" spans="1:12" ht="25.5">
      <c r="A48" s="6">
        <v>47</v>
      </c>
      <c r="B48" s="8" t="s">
        <v>257</v>
      </c>
      <c r="C48" s="8" t="s">
        <v>405</v>
      </c>
      <c r="D48" s="6" t="s">
        <v>1767</v>
      </c>
      <c r="E48" s="11" t="s">
        <v>270</v>
      </c>
      <c r="F48" s="202" t="s">
        <v>270</v>
      </c>
      <c r="G48" s="15" t="s">
        <v>271</v>
      </c>
      <c r="H48" s="92">
        <v>45260</v>
      </c>
      <c r="I48" s="13">
        <v>9.6573385799999993</v>
      </c>
      <c r="J48" s="13">
        <v>125.52869</v>
      </c>
      <c r="K48" s="13" t="s">
        <v>22</v>
      </c>
      <c r="L48" s="13" t="s">
        <v>2011</v>
      </c>
    </row>
    <row r="49" spans="1:12" ht="12.75">
      <c r="A49" s="6">
        <v>48</v>
      </c>
      <c r="B49" s="8" t="s">
        <v>257</v>
      </c>
      <c r="C49" s="8" t="s">
        <v>405</v>
      </c>
      <c r="D49" s="6" t="s">
        <v>1767</v>
      </c>
      <c r="E49" s="11" t="s">
        <v>272</v>
      </c>
      <c r="F49" s="202" t="s">
        <v>272</v>
      </c>
      <c r="G49" s="15" t="s">
        <v>103</v>
      </c>
      <c r="H49" s="92">
        <v>45267</v>
      </c>
      <c r="I49" s="13">
        <v>9.6578510729999998</v>
      </c>
      <c r="J49" s="13">
        <v>125.528133</v>
      </c>
      <c r="K49" s="13" t="s">
        <v>22</v>
      </c>
      <c r="L49" s="13" t="s">
        <v>2011</v>
      </c>
    </row>
    <row r="50" spans="1:12" ht="12.75">
      <c r="A50" s="6">
        <v>49</v>
      </c>
      <c r="B50" s="8" t="s">
        <v>257</v>
      </c>
      <c r="C50" s="8" t="s">
        <v>405</v>
      </c>
      <c r="D50" s="6" t="s">
        <v>1767</v>
      </c>
      <c r="E50" s="11" t="s">
        <v>274</v>
      </c>
      <c r="F50" s="202" t="s">
        <v>274</v>
      </c>
      <c r="G50" s="15" t="s">
        <v>155</v>
      </c>
      <c r="H50" s="92">
        <v>45260</v>
      </c>
      <c r="I50" s="13">
        <v>9.6577760000000001</v>
      </c>
      <c r="J50" s="13">
        <v>125.527168</v>
      </c>
      <c r="K50" s="13" t="s">
        <v>22</v>
      </c>
      <c r="L50" s="13" t="s">
        <v>2011</v>
      </c>
    </row>
    <row r="51" spans="1:12" ht="12.75">
      <c r="A51" s="6">
        <v>50</v>
      </c>
      <c r="B51" s="8" t="s">
        <v>291</v>
      </c>
      <c r="C51" s="8" t="s">
        <v>411</v>
      </c>
      <c r="D51" s="6" t="s">
        <v>1767</v>
      </c>
      <c r="E51" s="11" t="s">
        <v>280</v>
      </c>
      <c r="F51" s="525" t="s">
        <v>2090</v>
      </c>
      <c r="G51" s="15" t="s">
        <v>65</v>
      </c>
      <c r="H51" s="92">
        <v>45259</v>
      </c>
      <c r="I51" s="13">
        <v>9.6979403959999999</v>
      </c>
      <c r="J51" s="13">
        <v>125.58390199999999</v>
      </c>
      <c r="K51" s="13" t="s">
        <v>22</v>
      </c>
      <c r="L51" s="13" t="s">
        <v>2011</v>
      </c>
    </row>
    <row r="52" spans="1:12" ht="12.75">
      <c r="A52" s="6">
        <v>51</v>
      </c>
      <c r="B52" s="8" t="s">
        <v>291</v>
      </c>
      <c r="C52" s="8" t="s">
        <v>411</v>
      </c>
      <c r="D52" s="6" t="s">
        <v>1767</v>
      </c>
      <c r="E52" s="11" t="s">
        <v>298</v>
      </c>
      <c r="F52" s="511"/>
      <c r="G52" s="15" t="s">
        <v>65</v>
      </c>
      <c r="H52" s="92">
        <v>45259</v>
      </c>
      <c r="I52" s="13">
        <v>9.6979403959999999</v>
      </c>
      <c r="J52" s="13">
        <v>125.58390199999999</v>
      </c>
      <c r="K52" s="13" t="s">
        <v>22</v>
      </c>
      <c r="L52" s="13" t="s">
        <v>2011</v>
      </c>
    </row>
    <row r="53" spans="1:12" ht="12.75">
      <c r="A53" s="6">
        <v>52</v>
      </c>
      <c r="B53" s="8" t="s">
        <v>291</v>
      </c>
      <c r="C53" s="8" t="s">
        <v>411</v>
      </c>
      <c r="D53" s="6" t="s">
        <v>1767</v>
      </c>
      <c r="E53" s="11" t="s">
        <v>302</v>
      </c>
      <c r="F53" s="512"/>
      <c r="G53" s="15" t="s">
        <v>65</v>
      </c>
      <c r="H53" s="92">
        <v>45259</v>
      </c>
      <c r="I53" s="13">
        <v>9.6979403959999999</v>
      </c>
      <c r="J53" s="13">
        <v>125.58390199999999</v>
      </c>
      <c r="K53" s="13" t="s">
        <v>22</v>
      </c>
      <c r="L53" s="13" t="s">
        <v>2011</v>
      </c>
    </row>
    <row r="54" spans="1:12" ht="12.75">
      <c r="A54" s="6">
        <v>53</v>
      </c>
      <c r="B54" s="8" t="s">
        <v>291</v>
      </c>
      <c r="C54" s="8" t="s">
        <v>411</v>
      </c>
      <c r="D54" s="6" t="s">
        <v>1767</v>
      </c>
      <c r="E54" s="11" t="s">
        <v>305</v>
      </c>
      <c r="F54" s="202" t="s">
        <v>305</v>
      </c>
      <c r="G54" s="15" t="s">
        <v>31</v>
      </c>
      <c r="H54" s="92">
        <v>45259</v>
      </c>
      <c r="I54" s="13">
        <v>9.6971539999999994</v>
      </c>
      <c r="J54" s="13">
        <v>125.58359</v>
      </c>
      <c r="K54" s="13" t="s">
        <v>22</v>
      </c>
      <c r="L54" s="13" t="s">
        <v>2011</v>
      </c>
    </row>
    <row r="55" spans="1:12" ht="12.75">
      <c r="A55" s="6">
        <v>54</v>
      </c>
      <c r="B55" s="8" t="s">
        <v>291</v>
      </c>
      <c r="C55" s="8" t="s">
        <v>411</v>
      </c>
      <c r="D55" s="6" t="s">
        <v>1767</v>
      </c>
      <c r="E55" s="11" t="s">
        <v>312</v>
      </c>
      <c r="F55" s="202" t="s">
        <v>312</v>
      </c>
      <c r="G55" s="15" t="s">
        <v>103</v>
      </c>
      <c r="H55" s="92">
        <v>45259</v>
      </c>
      <c r="I55" s="13">
        <v>9.6976480200000008</v>
      </c>
      <c r="J55" s="13">
        <v>125.583485</v>
      </c>
      <c r="K55" s="13" t="s">
        <v>22</v>
      </c>
      <c r="L55" s="13" t="s">
        <v>2011</v>
      </c>
    </row>
    <row r="56" spans="1:12" ht="12.75">
      <c r="A56" s="6">
        <v>55</v>
      </c>
      <c r="B56" s="8" t="s">
        <v>291</v>
      </c>
      <c r="C56" s="8" t="s">
        <v>411</v>
      </c>
      <c r="D56" s="6" t="s">
        <v>1767</v>
      </c>
      <c r="E56" s="11" t="s">
        <v>315</v>
      </c>
      <c r="F56" s="202" t="s">
        <v>315</v>
      </c>
      <c r="G56" s="15" t="s">
        <v>155</v>
      </c>
      <c r="H56" s="92">
        <v>45259</v>
      </c>
      <c r="I56" s="13">
        <v>9.6991980959999999</v>
      </c>
      <c r="J56" s="13">
        <v>125.585379</v>
      </c>
      <c r="K56" s="13" t="s">
        <v>22</v>
      </c>
      <c r="L56" s="13" t="s">
        <v>2011</v>
      </c>
    </row>
    <row r="57" spans="1:12" ht="12.75">
      <c r="A57" s="6">
        <v>56</v>
      </c>
      <c r="B57" s="8" t="s">
        <v>325</v>
      </c>
      <c r="C57" s="8" t="s">
        <v>415</v>
      </c>
      <c r="D57" s="6" t="s">
        <v>1767</v>
      </c>
      <c r="E57" s="11" t="s">
        <v>319</v>
      </c>
      <c r="F57" s="525" t="s">
        <v>613</v>
      </c>
      <c r="G57" s="15" t="s">
        <v>65</v>
      </c>
      <c r="H57" s="92">
        <v>45240</v>
      </c>
      <c r="I57" s="13">
        <v>9.5538950000000007</v>
      </c>
      <c r="J57" s="13">
        <v>125.56960599999999</v>
      </c>
      <c r="K57" s="13" t="s">
        <v>22</v>
      </c>
      <c r="L57" s="13" t="s">
        <v>2011</v>
      </c>
    </row>
    <row r="58" spans="1:12" ht="12.75">
      <c r="A58" s="6">
        <v>57</v>
      </c>
      <c r="B58" s="8" t="s">
        <v>325</v>
      </c>
      <c r="C58" s="8" t="s">
        <v>415</v>
      </c>
      <c r="D58" s="6" t="s">
        <v>1767</v>
      </c>
      <c r="E58" s="11" t="s">
        <v>328</v>
      </c>
      <c r="F58" s="512"/>
      <c r="G58" s="15" t="s">
        <v>65</v>
      </c>
      <c r="H58" s="92">
        <v>45240</v>
      </c>
      <c r="I58" s="13">
        <v>9.5538950000000007</v>
      </c>
      <c r="J58" s="13">
        <v>125.56960599999999</v>
      </c>
      <c r="K58" s="13" t="s">
        <v>22</v>
      </c>
      <c r="L58" s="13" t="s">
        <v>2011</v>
      </c>
    </row>
    <row r="59" spans="1:12" ht="12.75">
      <c r="A59" s="6">
        <v>58</v>
      </c>
      <c r="B59" s="8" t="s">
        <v>325</v>
      </c>
      <c r="C59" s="8" t="s">
        <v>415</v>
      </c>
      <c r="D59" s="6" t="s">
        <v>1767</v>
      </c>
      <c r="E59" s="7" t="s">
        <v>332</v>
      </c>
      <c r="F59" s="96" t="s">
        <v>2095</v>
      </c>
      <c r="G59" s="13" t="s">
        <v>207</v>
      </c>
      <c r="H59" s="92">
        <v>45240</v>
      </c>
      <c r="I59" s="13">
        <v>9.5538950000000007</v>
      </c>
      <c r="J59" s="13">
        <v>125.56960599999999</v>
      </c>
      <c r="K59" s="13" t="s">
        <v>22</v>
      </c>
      <c r="L59" s="13" t="s">
        <v>2011</v>
      </c>
    </row>
    <row r="60" spans="1:12" ht="12.75">
      <c r="A60" s="6">
        <v>59</v>
      </c>
      <c r="B60" s="8" t="s">
        <v>325</v>
      </c>
      <c r="C60" s="8" t="s">
        <v>415</v>
      </c>
      <c r="D60" s="6" t="s">
        <v>1767</v>
      </c>
      <c r="E60" s="11" t="s">
        <v>336</v>
      </c>
      <c r="F60" s="96" t="s">
        <v>2096</v>
      </c>
      <c r="G60" s="15" t="s">
        <v>155</v>
      </c>
      <c r="H60" s="92">
        <v>45258</v>
      </c>
      <c r="I60" s="13">
        <v>9.5539050000000003</v>
      </c>
      <c r="J60" s="13">
        <v>125.567421</v>
      </c>
      <c r="K60" s="13" t="s">
        <v>22</v>
      </c>
      <c r="L60" s="13" t="s">
        <v>2011</v>
      </c>
    </row>
    <row r="61" spans="1:12" ht="12.75">
      <c r="A61" s="6">
        <v>60</v>
      </c>
      <c r="B61" s="8" t="s">
        <v>325</v>
      </c>
      <c r="C61" s="8" t="s">
        <v>415</v>
      </c>
      <c r="D61" s="6" t="s">
        <v>1767</v>
      </c>
      <c r="E61" s="11" t="s">
        <v>340</v>
      </c>
      <c r="F61" s="202" t="s">
        <v>340</v>
      </c>
      <c r="G61" s="15" t="s">
        <v>31</v>
      </c>
      <c r="H61" s="92">
        <v>45258</v>
      </c>
      <c r="I61" s="13">
        <v>9.553910514</v>
      </c>
      <c r="J61" s="13">
        <v>125.569897</v>
      </c>
      <c r="K61" s="13" t="s">
        <v>22</v>
      </c>
      <c r="L61" s="13" t="s">
        <v>2011</v>
      </c>
    </row>
    <row r="62" spans="1:12" ht="12.75">
      <c r="A62" s="6">
        <v>61</v>
      </c>
      <c r="B62" s="8" t="s">
        <v>325</v>
      </c>
      <c r="C62" s="8" t="s">
        <v>415</v>
      </c>
      <c r="D62" s="6" t="s">
        <v>1767</v>
      </c>
      <c r="E62" s="11" t="s">
        <v>344</v>
      </c>
      <c r="F62" s="202" t="s">
        <v>344</v>
      </c>
      <c r="G62" s="15" t="s">
        <v>103</v>
      </c>
      <c r="H62" s="92">
        <v>45267</v>
      </c>
      <c r="I62" s="13">
        <v>9.5541936060000001</v>
      </c>
      <c r="J62" s="13">
        <v>125.56947</v>
      </c>
      <c r="K62" s="13" t="s">
        <v>22</v>
      </c>
      <c r="L62" s="13" t="s">
        <v>2011</v>
      </c>
    </row>
    <row r="63" spans="1:12" ht="12.75">
      <c r="A63" s="6">
        <v>62</v>
      </c>
      <c r="B63" s="8" t="s">
        <v>268</v>
      </c>
      <c r="C63" s="8" t="s">
        <v>40</v>
      </c>
      <c r="D63" s="6" t="s">
        <v>1767</v>
      </c>
      <c r="E63" s="11" t="s">
        <v>42</v>
      </c>
      <c r="F63" s="525" t="s">
        <v>348</v>
      </c>
      <c r="G63" s="15" t="s">
        <v>351</v>
      </c>
      <c r="H63" s="92">
        <v>45257</v>
      </c>
      <c r="I63" s="13">
        <v>9.7852057030000008</v>
      </c>
      <c r="J63" s="13">
        <v>125.487904</v>
      </c>
      <c r="K63" s="13" t="s">
        <v>22</v>
      </c>
      <c r="L63" s="13" t="s">
        <v>2011</v>
      </c>
    </row>
    <row r="64" spans="1:12" ht="12.75">
      <c r="A64" s="6">
        <v>63</v>
      </c>
      <c r="B64" s="8" t="s">
        <v>268</v>
      </c>
      <c r="C64" s="8" t="s">
        <v>40</v>
      </c>
      <c r="D64" s="6" t="s">
        <v>1767</v>
      </c>
      <c r="E64" s="11" t="s">
        <v>43</v>
      </c>
      <c r="F64" s="512"/>
      <c r="G64" s="15" t="s">
        <v>351</v>
      </c>
      <c r="H64" s="92">
        <v>45257</v>
      </c>
      <c r="I64" s="13">
        <v>9.7852057030000008</v>
      </c>
      <c r="J64" s="13">
        <v>125.487904</v>
      </c>
      <c r="K64" s="13" t="s">
        <v>22</v>
      </c>
      <c r="L64" s="13" t="s">
        <v>2011</v>
      </c>
    </row>
    <row r="65" spans="1:12" ht="12.75">
      <c r="A65" s="6">
        <v>64</v>
      </c>
      <c r="B65" s="8" t="s">
        <v>268</v>
      </c>
      <c r="C65" s="8" t="s">
        <v>40</v>
      </c>
      <c r="D65" s="6" t="s">
        <v>1767</v>
      </c>
      <c r="E65" s="11" t="s">
        <v>56</v>
      </c>
      <c r="F65" s="96" t="s">
        <v>2105</v>
      </c>
      <c r="G65" s="15" t="s">
        <v>155</v>
      </c>
      <c r="H65" s="92">
        <v>45257</v>
      </c>
      <c r="I65" s="13">
        <v>9.7853638370000002</v>
      </c>
      <c r="J65" s="13">
        <v>125.487532</v>
      </c>
      <c r="K65" s="13" t="s">
        <v>22</v>
      </c>
      <c r="L65" s="13" t="s">
        <v>2011</v>
      </c>
    </row>
    <row r="66" spans="1:12" ht="25.5">
      <c r="A66" s="6">
        <v>65</v>
      </c>
      <c r="B66" s="8" t="s">
        <v>268</v>
      </c>
      <c r="C66" s="8" t="s">
        <v>40</v>
      </c>
      <c r="D66" s="6" t="s">
        <v>1767</v>
      </c>
      <c r="E66" s="7" t="s">
        <v>423</v>
      </c>
      <c r="F66" s="96" t="s">
        <v>371</v>
      </c>
      <c r="G66" s="15" t="s">
        <v>31</v>
      </c>
      <c r="H66" s="92">
        <v>45257</v>
      </c>
      <c r="I66" s="13">
        <v>9.7855176270000008</v>
      </c>
      <c r="J66" s="13">
        <v>125.487695</v>
      </c>
      <c r="K66" s="13" t="s">
        <v>22</v>
      </c>
      <c r="L66" s="13" t="s">
        <v>2011</v>
      </c>
    </row>
    <row r="67" spans="1:12" ht="25.5">
      <c r="A67" s="6">
        <v>66</v>
      </c>
      <c r="B67" s="8" t="s">
        <v>268</v>
      </c>
      <c r="C67" s="8" t="s">
        <v>40</v>
      </c>
      <c r="D67" s="6" t="s">
        <v>1767</v>
      </c>
      <c r="E67" s="11" t="s">
        <v>51</v>
      </c>
      <c r="F67" s="96" t="s">
        <v>2110</v>
      </c>
      <c r="G67" s="15" t="s">
        <v>374</v>
      </c>
      <c r="H67" s="92">
        <v>45257</v>
      </c>
      <c r="I67" s="13">
        <v>9.7862818039999997</v>
      </c>
      <c r="J67" s="13">
        <v>125.48858</v>
      </c>
      <c r="K67" s="13" t="s">
        <v>22</v>
      </c>
      <c r="L67" s="13" t="s">
        <v>2011</v>
      </c>
    </row>
    <row r="68" spans="1:12" ht="12.75">
      <c r="A68" s="6">
        <v>67</v>
      </c>
      <c r="B68" s="8" t="s">
        <v>268</v>
      </c>
      <c r="C68" s="8" t="s">
        <v>40</v>
      </c>
      <c r="D68" s="6" t="s">
        <v>1767</v>
      </c>
      <c r="E68" s="11" t="s">
        <v>41</v>
      </c>
      <c r="F68" s="96" t="s">
        <v>2111</v>
      </c>
      <c r="G68" s="15" t="s">
        <v>271</v>
      </c>
      <c r="H68" s="92">
        <v>45257</v>
      </c>
      <c r="I68" s="13">
        <v>9.7858248559999996</v>
      </c>
      <c r="J68" s="13">
        <v>125.48851000000001</v>
      </c>
      <c r="K68" s="13" t="s">
        <v>22</v>
      </c>
      <c r="L68" s="13" t="s">
        <v>2011</v>
      </c>
    </row>
    <row r="69" spans="1:12" ht="12.75">
      <c r="A69" s="6">
        <v>68</v>
      </c>
      <c r="B69" s="8" t="s">
        <v>268</v>
      </c>
      <c r="C69" s="8" t="s">
        <v>29</v>
      </c>
      <c r="D69" s="6" t="s">
        <v>1767</v>
      </c>
      <c r="E69" s="70" t="s">
        <v>33</v>
      </c>
      <c r="F69" s="525" t="s">
        <v>425</v>
      </c>
      <c r="G69" s="15" t="s">
        <v>155</v>
      </c>
      <c r="H69" s="92">
        <v>45484</v>
      </c>
      <c r="I69" s="13">
        <v>9.7919999999999998</v>
      </c>
      <c r="J69" s="13">
        <v>125.484514</v>
      </c>
      <c r="K69" s="13" t="s">
        <v>22</v>
      </c>
      <c r="L69" s="13" t="s">
        <v>2011</v>
      </c>
    </row>
    <row r="70" spans="1:12" ht="12.75">
      <c r="A70" s="6">
        <v>69</v>
      </c>
      <c r="B70" s="8" t="s">
        <v>268</v>
      </c>
      <c r="C70" s="8" t="s">
        <v>29</v>
      </c>
      <c r="D70" s="6" t="s">
        <v>1767</v>
      </c>
      <c r="E70" s="70" t="s">
        <v>429</v>
      </c>
      <c r="F70" s="512"/>
      <c r="G70" s="15" t="s">
        <v>31</v>
      </c>
      <c r="H70" s="92">
        <v>45485</v>
      </c>
      <c r="I70" s="13">
        <v>9.7921404279999997</v>
      </c>
      <c r="J70" s="13">
        <v>125.48480139999999</v>
      </c>
      <c r="K70" s="13" t="s">
        <v>22</v>
      </c>
      <c r="L70" s="13" t="s">
        <v>2011</v>
      </c>
    </row>
    <row r="71" spans="1:12" ht="12.75">
      <c r="A71" s="6">
        <v>70</v>
      </c>
      <c r="B71" s="8" t="s">
        <v>381</v>
      </c>
      <c r="C71" s="8" t="s">
        <v>140</v>
      </c>
      <c r="D71" s="6" t="s">
        <v>1767</v>
      </c>
      <c r="E71" s="11" t="s">
        <v>378</v>
      </c>
      <c r="F71" s="525" t="s">
        <v>2068</v>
      </c>
      <c r="G71" s="15" t="s">
        <v>65</v>
      </c>
      <c r="H71" s="92">
        <v>45262</v>
      </c>
      <c r="I71" s="13">
        <v>9.6183148900000006</v>
      </c>
      <c r="J71" s="13">
        <v>125.401832</v>
      </c>
      <c r="K71" s="13" t="s">
        <v>22</v>
      </c>
      <c r="L71" s="13" t="s">
        <v>2011</v>
      </c>
    </row>
    <row r="72" spans="1:12" ht="12.75">
      <c r="A72" s="6">
        <v>71</v>
      </c>
      <c r="B72" s="8" t="s">
        <v>381</v>
      </c>
      <c r="C72" s="8" t="s">
        <v>140</v>
      </c>
      <c r="D72" s="6" t="s">
        <v>1767</v>
      </c>
      <c r="E72" s="11" t="s">
        <v>383</v>
      </c>
      <c r="F72" s="511"/>
      <c r="G72" s="15" t="s">
        <v>65</v>
      </c>
      <c r="H72" s="92">
        <v>45262</v>
      </c>
      <c r="I72" s="13">
        <v>9.6183148900000006</v>
      </c>
      <c r="J72" s="13">
        <v>125.401832</v>
      </c>
      <c r="K72" s="13" t="s">
        <v>22</v>
      </c>
      <c r="L72" s="13" t="s">
        <v>2011</v>
      </c>
    </row>
    <row r="73" spans="1:12" ht="12.75">
      <c r="A73" s="6">
        <v>72</v>
      </c>
      <c r="B73" s="8" t="s">
        <v>381</v>
      </c>
      <c r="C73" s="8" t="s">
        <v>140</v>
      </c>
      <c r="D73" s="6" t="s">
        <v>1767</v>
      </c>
      <c r="E73" s="11" t="s">
        <v>385</v>
      </c>
      <c r="F73" s="511"/>
      <c r="G73" s="15" t="s">
        <v>65</v>
      </c>
      <c r="H73" s="92">
        <v>45262</v>
      </c>
      <c r="I73" s="13">
        <v>9.6183148900000006</v>
      </c>
      <c r="J73" s="13">
        <v>125.401832</v>
      </c>
      <c r="K73" s="13" t="s">
        <v>22</v>
      </c>
      <c r="L73" s="13" t="s">
        <v>2011</v>
      </c>
    </row>
    <row r="74" spans="1:12" ht="12.75">
      <c r="A74" s="6">
        <v>73</v>
      </c>
      <c r="B74" s="8" t="s">
        <v>381</v>
      </c>
      <c r="C74" s="8" t="s">
        <v>140</v>
      </c>
      <c r="D74" s="6" t="s">
        <v>1767</v>
      </c>
      <c r="E74" s="11" t="s">
        <v>387</v>
      </c>
      <c r="F74" s="511"/>
      <c r="G74" s="15" t="s">
        <v>155</v>
      </c>
      <c r="H74" s="92">
        <v>45262</v>
      </c>
      <c r="I74" s="13">
        <v>9.6167219999999993</v>
      </c>
      <c r="J74" s="13">
        <v>125.40130000000001</v>
      </c>
      <c r="K74" s="13" t="s">
        <v>22</v>
      </c>
      <c r="L74" s="13" t="s">
        <v>2011</v>
      </c>
    </row>
    <row r="75" spans="1:12" ht="12.75">
      <c r="A75" s="6">
        <v>74</v>
      </c>
      <c r="B75" s="8" t="s">
        <v>381</v>
      </c>
      <c r="C75" s="8" t="s">
        <v>140</v>
      </c>
      <c r="D75" s="6" t="s">
        <v>1767</v>
      </c>
      <c r="E75" s="11" t="s">
        <v>390</v>
      </c>
      <c r="F75" s="511"/>
      <c r="G75" s="15" t="s">
        <v>103</v>
      </c>
      <c r="H75" s="92">
        <v>45262</v>
      </c>
      <c r="I75" s="13">
        <v>9.6187816060000007</v>
      </c>
      <c r="J75" s="13">
        <v>125.40195300000001</v>
      </c>
      <c r="K75" s="13" t="s">
        <v>22</v>
      </c>
      <c r="L75" s="13" t="s">
        <v>2011</v>
      </c>
    </row>
    <row r="76" spans="1:12" ht="12.75">
      <c r="A76" s="6">
        <v>75</v>
      </c>
      <c r="B76" s="8" t="s">
        <v>381</v>
      </c>
      <c r="C76" s="8" t="s">
        <v>140</v>
      </c>
      <c r="D76" s="6" t="s">
        <v>1767</v>
      </c>
      <c r="E76" s="11" t="s">
        <v>391</v>
      </c>
      <c r="F76" s="512"/>
      <c r="G76" s="15" t="s">
        <v>31</v>
      </c>
      <c r="H76" s="92">
        <v>45262</v>
      </c>
      <c r="I76" s="13">
        <v>9.6191619999999993</v>
      </c>
      <c r="J76" s="13">
        <v>125.40141800000001</v>
      </c>
      <c r="K76" s="13" t="s">
        <v>22</v>
      </c>
      <c r="L76" s="13" t="s">
        <v>2011</v>
      </c>
    </row>
    <row r="77" spans="1:12" ht="12.75">
      <c r="A77" s="6">
        <v>76</v>
      </c>
      <c r="B77" s="8" t="s">
        <v>13</v>
      </c>
      <c r="C77" s="8" t="s">
        <v>15</v>
      </c>
      <c r="D77" s="6" t="s">
        <v>2119</v>
      </c>
      <c r="E77" s="11" t="s">
        <v>21</v>
      </c>
      <c r="F77" s="525" t="s">
        <v>2120</v>
      </c>
      <c r="G77" s="15" t="s">
        <v>65</v>
      </c>
      <c r="H77" s="92">
        <v>45215</v>
      </c>
      <c r="I77" s="13">
        <v>10.018162999999999</v>
      </c>
      <c r="J77" s="13">
        <v>126.073989</v>
      </c>
      <c r="K77" s="13" t="s">
        <v>22</v>
      </c>
      <c r="L77" s="13" t="s">
        <v>2011</v>
      </c>
    </row>
    <row r="78" spans="1:12" ht="12.75">
      <c r="A78" s="6">
        <v>77</v>
      </c>
      <c r="B78" s="8" t="s">
        <v>13</v>
      </c>
      <c r="C78" s="8" t="s">
        <v>15</v>
      </c>
      <c r="D78" s="6" t="s">
        <v>2119</v>
      </c>
      <c r="E78" s="11" t="s">
        <v>44</v>
      </c>
      <c r="F78" s="511"/>
      <c r="G78" s="15" t="s">
        <v>65</v>
      </c>
      <c r="H78" s="92">
        <v>45215</v>
      </c>
      <c r="I78" s="13">
        <v>10.018162999999999</v>
      </c>
      <c r="J78" s="13">
        <v>126.073989</v>
      </c>
      <c r="K78" s="13" t="s">
        <v>22</v>
      </c>
      <c r="L78" s="13" t="s">
        <v>2011</v>
      </c>
    </row>
    <row r="79" spans="1:12" ht="12.75">
      <c r="A79" s="6">
        <v>78</v>
      </c>
      <c r="B79" s="8" t="s">
        <v>13</v>
      </c>
      <c r="C79" s="8" t="s">
        <v>15</v>
      </c>
      <c r="D79" s="6" t="s">
        <v>2119</v>
      </c>
      <c r="E79" s="11" t="s">
        <v>49</v>
      </c>
      <c r="F79" s="511"/>
      <c r="G79" s="15" t="s">
        <v>65</v>
      </c>
      <c r="H79" s="92">
        <v>45215</v>
      </c>
      <c r="I79" s="13">
        <v>10.018162999999999</v>
      </c>
      <c r="J79" s="13">
        <v>126.073989</v>
      </c>
      <c r="K79" s="13" t="s">
        <v>22</v>
      </c>
      <c r="L79" s="13" t="s">
        <v>2011</v>
      </c>
    </row>
    <row r="80" spans="1:12" ht="12.75">
      <c r="A80" s="6">
        <v>79</v>
      </c>
      <c r="B80" s="8" t="s">
        <v>13</v>
      </c>
      <c r="C80" s="8" t="s">
        <v>15</v>
      </c>
      <c r="D80" s="6" t="s">
        <v>2119</v>
      </c>
      <c r="E80" s="11" t="s">
        <v>53</v>
      </c>
      <c r="F80" s="511"/>
      <c r="G80" s="15" t="s">
        <v>238</v>
      </c>
      <c r="H80" s="92">
        <v>45215</v>
      </c>
      <c r="I80" s="13">
        <v>10.018060999999999</v>
      </c>
      <c r="J80" s="13">
        <v>126.074361</v>
      </c>
      <c r="K80" s="13" t="s">
        <v>22</v>
      </c>
      <c r="L80" s="13" t="s">
        <v>2011</v>
      </c>
    </row>
    <row r="81" spans="1:12" ht="12.75">
      <c r="A81" s="6">
        <v>80</v>
      </c>
      <c r="B81" s="8" t="s">
        <v>13</v>
      </c>
      <c r="C81" s="8" t="s">
        <v>15</v>
      </c>
      <c r="D81" s="6" t="s">
        <v>2119</v>
      </c>
      <c r="E81" s="11" t="s">
        <v>58</v>
      </c>
      <c r="F81" s="511"/>
      <c r="G81" s="15" t="s">
        <v>103</v>
      </c>
      <c r="H81" s="92">
        <v>45215</v>
      </c>
      <c r="I81" s="13">
        <v>10.018311000000001</v>
      </c>
      <c r="J81" s="13">
        <v>126.074175</v>
      </c>
      <c r="K81" s="13" t="s">
        <v>22</v>
      </c>
      <c r="L81" s="13" t="s">
        <v>2011</v>
      </c>
    </row>
    <row r="82" spans="1:12" ht="12.75">
      <c r="A82" s="6">
        <v>81</v>
      </c>
      <c r="B82" s="8" t="s">
        <v>13</v>
      </c>
      <c r="C82" s="8" t="s">
        <v>15</v>
      </c>
      <c r="D82" s="6" t="s">
        <v>2119</v>
      </c>
      <c r="E82" s="11" t="s">
        <v>60</v>
      </c>
      <c r="F82" s="511"/>
      <c r="G82" s="15" t="s">
        <v>31</v>
      </c>
      <c r="H82" s="92">
        <v>45215</v>
      </c>
      <c r="I82" s="13">
        <v>10.018596000000001</v>
      </c>
      <c r="J82" s="13">
        <v>126.07436</v>
      </c>
      <c r="K82" s="13" t="s">
        <v>22</v>
      </c>
      <c r="L82" s="13" t="s">
        <v>2011</v>
      </c>
    </row>
    <row r="83" spans="1:12" ht="12.75">
      <c r="A83" s="6">
        <v>82</v>
      </c>
      <c r="B83" s="8" t="s">
        <v>13</v>
      </c>
      <c r="C83" s="8" t="s">
        <v>15</v>
      </c>
      <c r="D83" s="6" t="s">
        <v>2119</v>
      </c>
      <c r="E83" s="20" t="s">
        <v>64</v>
      </c>
      <c r="F83" s="512"/>
      <c r="G83" s="15" t="s">
        <v>155</v>
      </c>
      <c r="H83" s="92">
        <v>45567</v>
      </c>
      <c r="I83" s="13" t="s">
        <v>690</v>
      </c>
      <c r="J83" s="13" t="s">
        <v>691</v>
      </c>
      <c r="K83" s="13" t="s">
        <v>22</v>
      </c>
      <c r="L83" s="13" t="s">
        <v>2011</v>
      </c>
    </row>
    <row r="84" spans="1:12" ht="12.75">
      <c r="A84" s="6">
        <v>83</v>
      </c>
      <c r="B84" s="8" t="s">
        <v>67</v>
      </c>
      <c r="C84" s="8" t="s">
        <v>68</v>
      </c>
      <c r="D84" s="6" t="s">
        <v>2119</v>
      </c>
      <c r="E84" s="11" t="s">
        <v>70</v>
      </c>
      <c r="F84" s="96" t="s">
        <v>2128</v>
      </c>
      <c r="G84" s="15" t="s">
        <v>65</v>
      </c>
      <c r="H84" s="92">
        <v>45226</v>
      </c>
      <c r="I84" s="13">
        <v>9.7563359999999992</v>
      </c>
      <c r="J84" s="13">
        <v>126.053104</v>
      </c>
      <c r="K84" s="13" t="s">
        <v>22</v>
      </c>
      <c r="L84" s="13" t="s">
        <v>2011</v>
      </c>
    </row>
    <row r="85" spans="1:12" ht="12.75">
      <c r="A85" s="6">
        <v>84</v>
      </c>
      <c r="B85" s="8" t="s">
        <v>67</v>
      </c>
      <c r="C85" s="8" t="s">
        <v>68</v>
      </c>
      <c r="D85" s="6" t="s">
        <v>2119</v>
      </c>
      <c r="E85" s="11" t="s">
        <v>73</v>
      </c>
      <c r="F85" s="525" t="s">
        <v>2129</v>
      </c>
      <c r="G85" s="15" t="s">
        <v>65</v>
      </c>
      <c r="H85" s="92">
        <v>45226</v>
      </c>
      <c r="I85" s="13">
        <v>9.7571670000000008</v>
      </c>
      <c r="J85" s="13">
        <v>126.052707</v>
      </c>
      <c r="K85" s="13" t="s">
        <v>22</v>
      </c>
      <c r="L85" s="13" t="s">
        <v>2011</v>
      </c>
    </row>
    <row r="86" spans="1:12" ht="12.75">
      <c r="A86" s="6">
        <v>85</v>
      </c>
      <c r="B86" s="8" t="s">
        <v>67</v>
      </c>
      <c r="C86" s="8" t="s">
        <v>68</v>
      </c>
      <c r="D86" s="6" t="s">
        <v>2119</v>
      </c>
      <c r="E86" s="11" t="s">
        <v>74</v>
      </c>
      <c r="F86" s="512"/>
      <c r="G86" s="15" t="s">
        <v>238</v>
      </c>
      <c r="H86" s="92">
        <v>45226</v>
      </c>
      <c r="I86" s="13">
        <v>9.7569649999999992</v>
      </c>
      <c r="J86" s="13">
        <v>126.052666</v>
      </c>
      <c r="K86" s="13" t="s">
        <v>22</v>
      </c>
      <c r="L86" s="13" t="s">
        <v>2011</v>
      </c>
    </row>
    <row r="87" spans="1:12" ht="12.75">
      <c r="A87" s="6">
        <v>86</v>
      </c>
      <c r="B87" s="8" t="s">
        <v>67</v>
      </c>
      <c r="C87" s="8" t="s">
        <v>76</v>
      </c>
      <c r="D87" s="6" t="s">
        <v>2119</v>
      </c>
      <c r="E87" s="11" t="s">
        <v>77</v>
      </c>
      <c r="F87" s="96" t="s">
        <v>2130</v>
      </c>
      <c r="G87" s="15" t="s">
        <v>99</v>
      </c>
      <c r="H87" s="92">
        <v>45226</v>
      </c>
      <c r="I87" s="13">
        <v>9.7555820000000004</v>
      </c>
      <c r="J87" s="13">
        <v>126.050471</v>
      </c>
      <c r="K87" s="13" t="s">
        <v>22</v>
      </c>
      <c r="L87" s="13" t="s">
        <v>2011</v>
      </c>
    </row>
    <row r="88" spans="1:12" ht="12.75">
      <c r="A88" s="6">
        <v>87</v>
      </c>
      <c r="B88" s="8" t="s">
        <v>67</v>
      </c>
      <c r="C88" s="8" t="s">
        <v>76</v>
      </c>
      <c r="D88" s="6" t="s">
        <v>2119</v>
      </c>
      <c r="E88" s="11" t="s">
        <v>78</v>
      </c>
      <c r="F88" s="597" t="s">
        <v>78</v>
      </c>
      <c r="G88" s="15" t="s">
        <v>408</v>
      </c>
      <c r="H88" s="92">
        <v>45226</v>
      </c>
      <c r="I88" s="13">
        <v>9.7550779999999992</v>
      </c>
      <c r="J88" s="13">
        <v>126.050397</v>
      </c>
      <c r="K88" s="13" t="s">
        <v>22</v>
      </c>
      <c r="L88" s="13" t="s">
        <v>2011</v>
      </c>
    </row>
    <row r="89" spans="1:12" ht="12.75">
      <c r="A89" s="6">
        <v>88</v>
      </c>
      <c r="B89" s="8" t="s">
        <v>67</v>
      </c>
      <c r="C89" s="8" t="s">
        <v>68</v>
      </c>
      <c r="D89" s="6" t="s">
        <v>2119</v>
      </c>
      <c r="E89" s="11" t="s">
        <v>80</v>
      </c>
      <c r="F89" s="512"/>
      <c r="G89" s="15" t="s">
        <v>103</v>
      </c>
      <c r="H89" s="92">
        <v>45226</v>
      </c>
      <c r="I89" s="13">
        <v>9.7543509999999998</v>
      </c>
      <c r="J89" s="13">
        <v>126.051422</v>
      </c>
      <c r="K89" s="13" t="s">
        <v>22</v>
      </c>
      <c r="L89" s="13" t="s">
        <v>2011</v>
      </c>
    </row>
    <row r="90" spans="1:12" ht="12.75">
      <c r="A90" s="6">
        <v>89</v>
      </c>
      <c r="B90" s="8" t="s">
        <v>81</v>
      </c>
      <c r="C90" s="8" t="s">
        <v>82</v>
      </c>
      <c r="D90" s="6" t="s">
        <v>2119</v>
      </c>
      <c r="E90" s="11" t="s">
        <v>85</v>
      </c>
      <c r="F90" s="525" t="s">
        <v>2131</v>
      </c>
      <c r="G90" s="15" t="s">
        <v>65</v>
      </c>
      <c r="H90" s="92">
        <v>45237</v>
      </c>
      <c r="I90" s="13">
        <v>9.8820940000000004</v>
      </c>
      <c r="J90" s="13">
        <v>125.984093</v>
      </c>
      <c r="K90" s="13" t="s">
        <v>22</v>
      </c>
      <c r="L90" s="13" t="s">
        <v>2011</v>
      </c>
    </row>
    <row r="91" spans="1:12" ht="12.75">
      <c r="A91" s="6">
        <v>90</v>
      </c>
      <c r="B91" s="8" t="s">
        <v>81</v>
      </c>
      <c r="C91" s="8" t="s">
        <v>82</v>
      </c>
      <c r="D91" s="6" t="s">
        <v>2119</v>
      </c>
      <c r="E91" s="11" t="s">
        <v>86</v>
      </c>
      <c r="F91" s="512"/>
      <c r="G91" s="15" t="s">
        <v>65</v>
      </c>
      <c r="H91" s="92">
        <v>45237</v>
      </c>
      <c r="I91" s="13">
        <v>9.8696429999999999</v>
      </c>
      <c r="J91" s="13">
        <v>125.97028</v>
      </c>
      <c r="K91" s="13" t="s">
        <v>22</v>
      </c>
      <c r="L91" s="13" t="s">
        <v>2011</v>
      </c>
    </row>
    <row r="92" spans="1:12" ht="12.75">
      <c r="A92" s="6">
        <v>91</v>
      </c>
      <c r="B92" s="8" t="s">
        <v>81</v>
      </c>
      <c r="C92" s="8" t="s">
        <v>82</v>
      </c>
      <c r="D92" s="6" t="s">
        <v>2119</v>
      </c>
      <c r="E92" s="11" t="s">
        <v>88</v>
      </c>
      <c r="F92" s="525" t="s">
        <v>2133</v>
      </c>
      <c r="G92" s="15" t="s">
        <v>65</v>
      </c>
      <c r="H92" s="92">
        <v>45237</v>
      </c>
      <c r="I92" s="13">
        <v>9.8696429999999999</v>
      </c>
      <c r="J92" s="13">
        <v>125.97028</v>
      </c>
      <c r="K92" s="13" t="s">
        <v>22</v>
      </c>
      <c r="L92" s="13" t="s">
        <v>2011</v>
      </c>
    </row>
    <row r="93" spans="1:12" ht="12.75">
      <c r="A93" s="6">
        <v>92</v>
      </c>
      <c r="B93" s="8" t="s">
        <v>81</v>
      </c>
      <c r="C93" s="8" t="s">
        <v>82</v>
      </c>
      <c r="D93" s="6" t="s">
        <v>2119</v>
      </c>
      <c r="E93" s="11" t="s">
        <v>90</v>
      </c>
      <c r="F93" s="512"/>
      <c r="G93" s="15" t="s">
        <v>65</v>
      </c>
      <c r="H93" s="92">
        <v>45245</v>
      </c>
      <c r="I93" s="13">
        <v>9.8690429999999996</v>
      </c>
      <c r="J93" s="13">
        <v>125.970156</v>
      </c>
      <c r="K93" s="13" t="s">
        <v>22</v>
      </c>
      <c r="L93" s="13" t="s">
        <v>2011</v>
      </c>
    </row>
    <row r="94" spans="1:12" ht="12.75">
      <c r="A94" s="6">
        <v>93</v>
      </c>
      <c r="B94" s="8" t="s">
        <v>81</v>
      </c>
      <c r="C94" s="8" t="s">
        <v>82</v>
      </c>
      <c r="D94" s="6" t="s">
        <v>2119</v>
      </c>
      <c r="E94" s="11" t="s">
        <v>92</v>
      </c>
      <c r="F94" s="597" t="s">
        <v>94</v>
      </c>
      <c r="G94" s="15" t="s">
        <v>31</v>
      </c>
      <c r="H94" s="92">
        <v>45237</v>
      </c>
      <c r="I94" s="13">
        <v>9.8711490000000008</v>
      </c>
      <c r="J94" s="13">
        <v>125.972757</v>
      </c>
      <c r="K94" s="13" t="s">
        <v>22</v>
      </c>
      <c r="L94" s="13" t="s">
        <v>2011</v>
      </c>
    </row>
    <row r="95" spans="1:12" ht="12.75">
      <c r="A95" s="6">
        <v>94</v>
      </c>
      <c r="B95" s="8" t="s">
        <v>81</v>
      </c>
      <c r="C95" s="8" t="s">
        <v>82</v>
      </c>
      <c r="D95" s="6" t="s">
        <v>2119</v>
      </c>
      <c r="E95" s="11" t="s">
        <v>94</v>
      </c>
      <c r="F95" s="512"/>
      <c r="G95" s="15" t="s">
        <v>238</v>
      </c>
      <c r="H95" s="92">
        <v>45237</v>
      </c>
      <c r="I95" s="13">
        <v>9.8827259999999999</v>
      </c>
      <c r="J95" s="13">
        <v>125.983636</v>
      </c>
      <c r="K95" s="13" t="s">
        <v>22</v>
      </c>
      <c r="L95" s="13" t="s">
        <v>2011</v>
      </c>
    </row>
    <row r="96" spans="1:12" ht="12.75">
      <c r="A96" s="6">
        <v>95</v>
      </c>
      <c r="B96" s="8" t="s">
        <v>79</v>
      </c>
      <c r="C96" s="8" t="s">
        <v>97</v>
      </c>
      <c r="D96" s="6" t="s">
        <v>2119</v>
      </c>
      <c r="E96" s="11" t="s">
        <v>100</v>
      </c>
      <c r="F96" s="525" t="s">
        <v>98</v>
      </c>
      <c r="G96" s="15" t="s">
        <v>65</v>
      </c>
      <c r="H96" s="92">
        <v>45211</v>
      </c>
      <c r="I96" s="13">
        <v>9.7823740000000008</v>
      </c>
      <c r="J96" s="13">
        <v>126.15665799999999</v>
      </c>
      <c r="K96" s="13" t="s">
        <v>22</v>
      </c>
      <c r="L96" s="13" t="s">
        <v>2011</v>
      </c>
    </row>
    <row r="97" spans="1:12" ht="12.75">
      <c r="A97" s="6">
        <v>96</v>
      </c>
      <c r="B97" s="8" t="s">
        <v>79</v>
      </c>
      <c r="C97" s="8" t="s">
        <v>97</v>
      </c>
      <c r="D97" s="6" t="s">
        <v>2119</v>
      </c>
      <c r="E97" s="11" t="s">
        <v>101</v>
      </c>
      <c r="F97" s="511"/>
      <c r="G97" s="15" t="s">
        <v>65</v>
      </c>
      <c r="H97" s="92">
        <v>45211</v>
      </c>
      <c r="I97" s="13">
        <v>9.7822689999999994</v>
      </c>
      <c r="J97" s="13">
        <v>126.156454</v>
      </c>
      <c r="K97" s="13" t="s">
        <v>22</v>
      </c>
      <c r="L97" s="13" t="s">
        <v>2011</v>
      </c>
    </row>
    <row r="98" spans="1:12" ht="12.75">
      <c r="A98" s="6">
        <v>97</v>
      </c>
      <c r="B98" s="8" t="s">
        <v>79</v>
      </c>
      <c r="C98" s="8" t="s">
        <v>97</v>
      </c>
      <c r="D98" s="6" t="s">
        <v>2119</v>
      </c>
      <c r="E98" s="11" t="s">
        <v>104</v>
      </c>
      <c r="F98" s="512"/>
      <c r="G98" s="15" t="s">
        <v>65</v>
      </c>
      <c r="H98" s="92">
        <v>45211</v>
      </c>
      <c r="I98" s="13">
        <v>9.7823740000000008</v>
      </c>
      <c r="J98" s="13">
        <v>126.15665799999999</v>
      </c>
      <c r="K98" s="13" t="s">
        <v>22</v>
      </c>
      <c r="L98" s="13" t="s">
        <v>2011</v>
      </c>
    </row>
    <row r="99" spans="1:12" ht="25.5">
      <c r="A99" s="6">
        <v>98</v>
      </c>
      <c r="B99" s="8" t="s">
        <v>79</v>
      </c>
      <c r="C99" s="8" t="s">
        <v>97</v>
      </c>
      <c r="D99" s="6" t="s">
        <v>2119</v>
      </c>
      <c r="E99" s="11" t="s">
        <v>107</v>
      </c>
      <c r="F99" s="202" t="s">
        <v>107</v>
      </c>
      <c r="G99" s="15" t="s">
        <v>238</v>
      </c>
      <c r="H99" s="92">
        <v>45211</v>
      </c>
      <c r="I99" s="13">
        <v>9.7811629999999994</v>
      </c>
      <c r="J99" s="13">
        <v>126.156639</v>
      </c>
      <c r="K99" s="13" t="s">
        <v>22</v>
      </c>
      <c r="L99" s="13" t="s">
        <v>2011</v>
      </c>
    </row>
    <row r="100" spans="1:12" ht="12.75">
      <c r="A100" s="6">
        <v>99</v>
      </c>
      <c r="B100" s="8" t="s">
        <v>79</v>
      </c>
      <c r="C100" s="8" t="s">
        <v>97</v>
      </c>
      <c r="D100" s="6" t="s">
        <v>2119</v>
      </c>
      <c r="E100" s="11" t="s">
        <v>109</v>
      </c>
      <c r="F100" s="202" t="s">
        <v>109</v>
      </c>
      <c r="G100" s="15" t="s">
        <v>103</v>
      </c>
      <c r="H100" s="92">
        <v>45211</v>
      </c>
      <c r="I100" s="13">
        <v>9.7825399999999991</v>
      </c>
      <c r="J100" s="13">
        <v>126.15658000000001</v>
      </c>
      <c r="K100" s="13" t="s">
        <v>22</v>
      </c>
      <c r="L100" s="13" t="s">
        <v>2011</v>
      </c>
    </row>
    <row r="101" spans="1:12" ht="12.75">
      <c r="A101" s="6">
        <v>100</v>
      </c>
      <c r="B101" s="8" t="s">
        <v>79</v>
      </c>
      <c r="C101" s="8" t="s">
        <v>97</v>
      </c>
      <c r="D101" s="6" t="s">
        <v>2119</v>
      </c>
      <c r="E101" s="11" t="s">
        <v>111</v>
      </c>
      <c r="F101" s="202" t="s">
        <v>111</v>
      </c>
      <c r="G101" s="15" t="s">
        <v>31</v>
      </c>
      <c r="H101" s="92">
        <v>45211</v>
      </c>
      <c r="I101" s="13">
        <v>9.781663</v>
      </c>
      <c r="J101" s="13">
        <v>126.156935</v>
      </c>
      <c r="K101" s="13" t="s">
        <v>22</v>
      </c>
      <c r="L101" s="13" t="s">
        <v>2011</v>
      </c>
    </row>
    <row r="102" spans="1:12" ht="12.75">
      <c r="A102" s="6">
        <v>101</v>
      </c>
      <c r="B102" s="8" t="s">
        <v>113</v>
      </c>
      <c r="C102" s="8" t="s">
        <v>114</v>
      </c>
      <c r="D102" s="6" t="s">
        <v>2119</v>
      </c>
      <c r="E102" s="11" t="s">
        <v>116</v>
      </c>
      <c r="F102" s="525" t="s">
        <v>2142</v>
      </c>
      <c r="G102" s="15" t="s">
        <v>65</v>
      </c>
      <c r="H102" s="92">
        <v>45212</v>
      </c>
      <c r="I102" s="13">
        <v>9.8644020000000001</v>
      </c>
      <c r="J102" s="13">
        <v>126.100433</v>
      </c>
      <c r="K102" s="13" t="s">
        <v>22</v>
      </c>
      <c r="L102" s="13" t="s">
        <v>2011</v>
      </c>
    </row>
    <row r="103" spans="1:12" ht="12.75">
      <c r="A103" s="6">
        <v>102</v>
      </c>
      <c r="B103" s="8" t="s">
        <v>113</v>
      </c>
      <c r="C103" s="8" t="s">
        <v>114</v>
      </c>
      <c r="D103" s="6" t="s">
        <v>2119</v>
      </c>
      <c r="E103" s="11" t="s">
        <v>119</v>
      </c>
      <c r="F103" s="511"/>
      <c r="G103" s="15" t="s">
        <v>238</v>
      </c>
      <c r="H103" s="92">
        <v>45212</v>
      </c>
      <c r="I103" s="13">
        <v>9.8644479999999994</v>
      </c>
      <c r="J103" s="13">
        <v>126.100222</v>
      </c>
      <c r="K103" s="13" t="s">
        <v>22</v>
      </c>
      <c r="L103" s="13" t="s">
        <v>2011</v>
      </c>
    </row>
    <row r="104" spans="1:12" ht="12.75">
      <c r="A104" s="6">
        <v>103</v>
      </c>
      <c r="B104" s="8" t="s">
        <v>113</v>
      </c>
      <c r="C104" s="8" t="s">
        <v>114</v>
      </c>
      <c r="D104" s="6" t="s">
        <v>2119</v>
      </c>
      <c r="E104" s="11" t="s">
        <v>121</v>
      </c>
      <c r="F104" s="511"/>
      <c r="G104" s="15" t="s">
        <v>238</v>
      </c>
      <c r="H104" s="92">
        <v>45212</v>
      </c>
      <c r="I104" s="13">
        <v>9.8641930000000002</v>
      </c>
      <c r="J104" s="13">
        <v>126.100151</v>
      </c>
      <c r="K104" s="13" t="s">
        <v>22</v>
      </c>
      <c r="L104" s="13" t="s">
        <v>2011</v>
      </c>
    </row>
    <row r="105" spans="1:12" ht="12.75">
      <c r="A105" s="6">
        <v>104</v>
      </c>
      <c r="B105" s="8" t="s">
        <v>113</v>
      </c>
      <c r="C105" s="8" t="s">
        <v>114</v>
      </c>
      <c r="D105" s="6" t="s">
        <v>2119</v>
      </c>
      <c r="E105" s="11" t="s">
        <v>123</v>
      </c>
      <c r="F105" s="511"/>
      <c r="G105" s="15" t="s">
        <v>103</v>
      </c>
      <c r="H105" s="92">
        <v>45212</v>
      </c>
      <c r="I105" s="13">
        <v>9.8641930000000002</v>
      </c>
      <c r="J105" s="13">
        <v>126.100151</v>
      </c>
      <c r="K105" s="13" t="s">
        <v>22</v>
      </c>
      <c r="L105" s="13" t="s">
        <v>2011</v>
      </c>
    </row>
    <row r="106" spans="1:12" ht="12.75">
      <c r="A106" s="6">
        <v>105</v>
      </c>
      <c r="B106" s="8" t="s">
        <v>113</v>
      </c>
      <c r="C106" s="8" t="s">
        <v>114</v>
      </c>
      <c r="D106" s="6" t="s">
        <v>2119</v>
      </c>
      <c r="E106" s="11" t="s">
        <v>125</v>
      </c>
      <c r="F106" s="511"/>
      <c r="G106" s="15" t="s">
        <v>31</v>
      </c>
      <c r="H106" s="92">
        <v>45212</v>
      </c>
      <c r="I106" s="13">
        <v>9.8639559999999999</v>
      </c>
      <c r="J106" s="13">
        <v>126.1003</v>
      </c>
      <c r="K106" s="13" t="s">
        <v>22</v>
      </c>
      <c r="L106" s="13" t="s">
        <v>2011</v>
      </c>
    </row>
    <row r="107" spans="1:12" ht="12.75">
      <c r="A107" s="6">
        <v>106</v>
      </c>
      <c r="B107" s="8" t="s">
        <v>113</v>
      </c>
      <c r="C107" s="8" t="s">
        <v>114</v>
      </c>
      <c r="D107" s="6" t="s">
        <v>2119</v>
      </c>
      <c r="E107" s="11" t="s">
        <v>127</v>
      </c>
      <c r="F107" s="511"/>
      <c r="G107" s="15" t="s">
        <v>155</v>
      </c>
      <c r="H107" s="92">
        <v>45212</v>
      </c>
      <c r="I107" s="13">
        <v>9.8628359999999997</v>
      </c>
      <c r="J107" s="13">
        <v>126.09936500000001</v>
      </c>
      <c r="K107" s="13" t="s">
        <v>22</v>
      </c>
      <c r="L107" s="13" t="s">
        <v>2011</v>
      </c>
    </row>
    <row r="108" spans="1:12" ht="12.75">
      <c r="A108" s="6">
        <v>107</v>
      </c>
      <c r="B108" s="8" t="s">
        <v>113</v>
      </c>
      <c r="C108" s="8" t="s">
        <v>114</v>
      </c>
      <c r="D108" s="6" t="s">
        <v>2119</v>
      </c>
      <c r="E108" s="20" t="s">
        <v>132</v>
      </c>
      <c r="F108" s="512"/>
      <c r="G108" s="15" t="s">
        <v>491</v>
      </c>
      <c r="H108" s="92">
        <v>45671</v>
      </c>
      <c r="I108" s="13">
        <v>9.8645649300000002</v>
      </c>
      <c r="J108" s="13">
        <v>126.1006359</v>
      </c>
      <c r="K108" s="13" t="s">
        <v>22</v>
      </c>
      <c r="L108" s="13" t="s">
        <v>2011</v>
      </c>
    </row>
    <row r="109" spans="1:12" ht="12.75">
      <c r="A109" s="6">
        <v>108</v>
      </c>
      <c r="B109" s="8" t="s">
        <v>140</v>
      </c>
      <c r="C109" s="8" t="s">
        <v>141</v>
      </c>
      <c r="D109" s="6" t="s">
        <v>2119</v>
      </c>
      <c r="E109" s="11" t="s">
        <v>146</v>
      </c>
      <c r="F109" s="525" t="s">
        <v>2150</v>
      </c>
      <c r="G109" s="15" t="s">
        <v>65</v>
      </c>
      <c r="H109" s="92">
        <v>45227</v>
      </c>
      <c r="I109" s="13">
        <v>9.9366299999999992</v>
      </c>
      <c r="J109" s="13">
        <v>126.08703199999999</v>
      </c>
      <c r="K109" s="13" t="s">
        <v>22</v>
      </c>
      <c r="L109" s="13" t="s">
        <v>2011</v>
      </c>
    </row>
    <row r="110" spans="1:12" ht="12.75">
      <c r="A110" s="6">
        <v>109</v>
      </c>
      <c r="B110" s="8" t="s">
        <v>140</v>
      </c>
      <c r="C110" s="8" t="s">
        <v>141</v>
      </c>
      <c r="D110" s="6" t="s">
        <v>2119</v>
      </c>
      <c r="E110" s="11" t="s">
        <v>148</v>
      </c>
      <c r="F110" s="511"/>
      <c r="G110" s="15" t="s">
        <v>65</v>
      </c>
      <c r="H110" s="92">
        <v>45227</v>
      </c>
      <c r="I110" s="13">
        <v>9.9366299999999992</v>
      </c>
      <c r="J110" s="13">
        <v>126.08703199999999</v>
      </c>
      <c r="K110" s="13" t="s">
        <v>22</v>
      </c>
      <c r="L110" s="13" t="s">
        <v>2011</v>
      </c>
    </row>
    <row r="111" spans="1:12" ht="12.75">
      <c r="A111" s="6">
        <v>110</v>
      </c>
      <c r="B111" s="8" t="s">
        <v>140</v>
      </c>
      <c r="C111" s="8" t="s">
        <v>141</v>
      </c>
      <c r="D111" s="6" t="s">
        <v>2119</v>
      </c>
      <c r="E111" s="11" t="s">
        <v>153</v>
      </c>
      <c r="F111" s="511"/>
      <c r="G111" s="15" t="s">
        <v>31</v>
      </c>
      <c r="H111" s="92">
        <v>45227</v>
      </c>
      <c r="I111" s="13">
        <v>9.9365480000000002</v>
      </c>
      <c r="J111" s="13">
        <v>126.08649800000001</v>
      </c>
      <c r="K111" s="13" t="s">
        <v>22</v>
      </c>
      <c r="L111" s="13" t="s">
        <v>2011</v>
      </c>
    </row>
    <row r="112" spans="1:12" ht="12.75">
      <c r="A112" s="6">
        <v>111</v>
      </c>
      <c r="B112" s="8" t="s">
        <v>140</v>
      </c>
      <c r="C112" s="8" t="s">
        <v>141</v>
      </c>
      <c r="D112" s="6" t="s">
        <v>2119</v>
      </c>
      <c r="E112" s="11" t="s">
        <v>158</v>
      </c>
      <c r="F112" s="511"/>
      <c r="G112" s="15" t="s">
        <v>238</v>
      </c>
      <c r="H112" s="92">
        <v>45227</v>
      </c>
      <c r="I112" s="13">
        <v>9.9364369999999997</v>
      </c>
      <c r="J112" s="13">
        <v>126.08668</v>
      </c>
      <c r="K112" s="13" t="s">
        <v>22</v>
      </c>
      <c r="L112" s="13" t="s">
        <v>2011</v>
      </c>
    </row>
    <row r="113" spans="1:12" ht="12.75">
      <c r="A113" s="6">
        <v>112</v>
      </c>
      <c r="B113" s="8" t="s">
        <v>140</v>
      </c>
      <c r="C113" s="8" t="s">
        <v>141</v>
      </c>
      <c r="D113" s="6" t="s">
        <v>2119</v>
      </c>
      <c r="E113" s="11" t="s">
        <v>157</v>
      </c>
      <c r="F113" s="511"/>
      <c r="G113" s="15" t="s">
        <v>31</v>
      </c>
      <c r="H113" s="92">
        <v>45235</v>
      </c>
      <c r="I113" s="13">
        <v>9.9372220000000002</v>
      </c>
      <c r="J113" s="13">
        <v>126.08669399999999</v>
      </c>
      <c r="K113" s="13" t="s">
        <v>22</v>
      </c>
      <c r="L113" s="13" t="s">
        <v>2011</v>
      </c>
    </row>
    <row r="114" spans="1:12" ht="12.75">
      <c r="A114" s="6">
        <v>113</v>
      </c>
      <c r="B114" s="8" t="s">
        <v>140</v>
      </c>
      <c r="C114" s="8" t="s">
        <v>141</v>
      </c>
      <c r="D114" s="6" t="s">
        <v>2119</v>
      </c>
      <c r="E114" s="11" t="s">
        <v>164</v>
      </c>
      <c r="F114" s="511"/>
      <c r="G114" s="15" t="s">
        <v>103</v>
      </c>
      <c r="H114" s="92">
        <v>45227</v>
      </c>
      <c r="I114" s="13">
        <v>9.9379679999999997</v>
      </c>
      <c r="J114" s="13">
        <v>126.08846800000001</v>
      </c>
      <c r="K114" s="13" t="s">
        <v>22</v>
      </c>
      <c r="L114" s="13" t="s">
        <v>2011</v>
      </c>
    </row>
    <row r="115" spans="1:12" ht="12.75">
      <c r="A115" s="6">
        <v>114</v>
      </c>
      <c r="B115" s="8" t="s">
        <v>140</v>
      </c>
      <c r="C115" s="8" t="s">
        <v>141</v>
      </c>
      <c r="D115" s="6" t="s">
        <v>2119</v>
      </c>
      <c r="E115" s="20" t="s">
        <v>168</v>
      </c>
      <c r="F115" s="512"/>
      <c r="G115" s="15" t="s">
        <v>491</v>
      </c>
      <c r="H115" s="92">
        <v>45670</v>
      </c>
      <c r="I115" s="13">
        <v>9.9367263399999999</v>
      </c>
      <c r="J115" s="13">
        <v>126.08706239999999</v>
      </c>
      <c r="K115" s="13" t="s">
        <v>22</v>
      </c>
      <c r="L115" s="13" t="s">
        <v>2011</v>
      </c>
    </row>
    <row r="116" spans="1:12" ht="12.75">
      <c r="A116" s="6">
        <v>115</v>
      </c>
      <c r="B116" s="8" t="s">
        <v>165</v>
      </c>
      <c r="C116" s="8" t="s">
        <v>172</v>
      </c>
      <c r="D116" s="6" t="s">
        <v>2119</v>
      </c>
      <c r="E116" s="11" t="s">
        <v>175</v>
      </c>
      <c r="F116" s="525" t="s">
        <v>173</v>
      </c>
      <c r="G116" s="15" t="s">
        <v>65</v>
      </c>
      <c r="H116" s="92">
        <v>45235</v>
      </c>
      <c r="I116" s="13">
        <v>9.9595330000000004</v>
      </c>
      <c r="J116" s="13">
        <v>126.007548</v>
      </c>
      <c r="K116" s="13" t="s">
        <v>22</v>
      </c>
      <c r="L116" s="13" t="s">
        <v>2011</v>
      </c>
    </row>
    <row r="117" spans="1:12" ht="12.75">
      <c r="A117" s="6">
        <v>116</v>
      </c>
      <c r="B117" s="8" t="s">
        <v>165</v>
      </c>
      <c r="C117" s="8" t="s">
        <v>172</v>
      </c>
      <c r="D117" s="6" t="s">
        <v>2119</v>
      </c>
      <c r="E117" s="11" t="s">
        <v>178</v>
      </c>
      <c r="F117" s="511"/>
      <c r="G117" s="15" t="s">
        <v>65</v>
      </c>
      <c r="H117" s="92">
        <v>45235</v>
      </c>
      <c r="I117" s="13">
        <v>9.9764300000000006</v>
      </c>
      <c r="J117" s="13">
        <v>126.02217400000001</v>
      </c>
      <c r="K117" s="13" t="s">
        <v>22</v>
      </c>
      <c r="L117" s="13" t="s">
        <v>2011</v>
      </c>
    </row>
    <row r="118" spans="1:12" ht="12.75">
      <c r="A118" s="6">
        <v>117</v>
      </c>
      <c r="B118" s="8" t="s">
        <v>165</v>
      </c>
      <c r="C118" s="8" t="s">
        <v>172</v>
      </c>
      <c r="D118" s="6" t="s">
        <v>2119</v>
      </c>
      <c r="E118" s="11" t="s">
        <v>180</v>
      </c>
      <c r="F118" s="512"/>
      <c r="G118" s="15" t="s">
        <v>65</v>
      </c>
      <c r="H118" s="92">
        <v>45235</v>
      </c>
      <c r="I118" s="13">
        <v>9.9595330000000004</v>
      </c>
      <c r="J118" s="13">
        <v>126.007548</v>
      </c>
      <c r="K118" s="13" t="s">
        <v>22</v>
      </c>
      <c r="L118" s="13" t="s">
        <v>2011</v>
      </c>
    </row>
    <row r="119" spans="1:12" ht="38.25">
      <c r="A119" s="6">
        <v>118</v>
      </c>
      <c r="B119" s="8" t="s">
        <v>165</v>
      </c>
      <c r="C119" s="8" t="s">
        <v>183</v>
      </c>
      <c r="D119" s="6" t="s">
        <v>2119</v>
      </c>
      <c r="E119" s="11" t="s">
        <v>187</v>
      </c>
      <c r="F119" s="96" t="s">
        <v>187</v>
      </c>
      <c r="G119" s="15" t="s">
        <v>65</v>
      </c>
      <c r="H119" s="92">
        <v>45235</v>
      </c>
      <c r="I119" s="13">
        <v>9.9595330000000004</v>
      </c>
      <c r="J119" s="13">
        <v>126.007548</v>
      </c>
      <c r="K119" s="13" t="s">
        <v>22</v>
      </c>
      <c r="L119" s="13" t="s">
        <v>2011</v>
      </c>
    </row>
    <row r="120" spans="1:12" ht="12.75">
      <c r="A120" s="6">
        <v>119</v>
      </c>
      <c r="B120" s="8" t="s">
        <v>165</v>
      </c>
      <c r="C120" s="8" t="s">
        <v>172</v>
      </c>
      <c r="D120" s="6" t="s">
        <v>2119</v>
      </c>
      <c r="E120" s="11" t="s">
        <v>192</v>
      </c>
      <c r="F120" s="202" t="s">
        <v>192</v>
      </c>
      <c r="G120" s="15" t="s">
        <v>103</v>
      </c>
      <c r="H120" s="92">
        <v>45235</v>
      </c>
      <c r="I120" s="13">
        <v>9.9596809999999998</v>
      </c>
      <c r="J120" s="13">
        <v>126.007367</v>
      </c>
      <c r="K120" s="13" t="s">
        <v>22</v>
      </c>
      <c r="L120" s="13" t="s">
        <v>2011</v>
      </c>
    </row>
    <row r="121" spans="1:12" ht="12.75">
      <c r="A121" s="6">
        <v>120</v>
      </c>
      <c r="B121" s="8" t="s">
        <v>165</v>
      </c>
      <c r="C121" s="8" t="s">
        <v>29</v>
      </c>
      <c r="D121" s="6" t="s">
        <v>2119</v>
      </c>
      <c r="E121" s="11" t="s">
        <v>195</v>
      </c>
      <c r="F121" s="202" t="s">
        <v>195</v>
      </c>
      <c r="G121" s="15" t="s">
        <v>31</v>
      </c>
      <c r="H121" s="92">
        <v>45235</v>
      </c>
      <c r="I121" s="13">
        <v>9.9590069999999997</v>
      </c>
      <c r="J121" s="13">
        <v>126.00693</v>
      </c>
      <c r="K121" s="13" t="s">
        <v>22</v>
      </c>
      <c r="L121" s="13" t="s">
        <v>2011</v>
      </c>
    </row>
    <row r="122" spans="1:12" ht="12.75">
      <c r="A122" s="6">
        <v>121</v>
      </c>
      <c r="B122" s="15" t="s">
        <v>165</v>
      </c>
      <c r="C122" s="15" t="s">
        <v>183</v>
      </c>
      <c r="D122" s="6" t="s">
        <v>2119</v>
      </c>
      <c r="E122" s="20" t="s">
        <v>206</v>
      </c>
      <c r="F122" s="61" t="s">
        <v>206</v>
      </c>
      <c r="G122" s="15" t="s">
        <v>155</v>
      </c>
      <c r="H122" s="92">
        <v>45478</v>
      </c>
      <c r="I122" s="13">
        <v>9.8215315309999998</v>
      </c>
      <c r="J122" s="13">
        <v>125.6140971</v>
      </c>
      <c r="K122" s="13" t="s">
        <v>22</v>
      </c>
      <c r="L122" s="13" t="s">
        <v>2011</v>
      </c>
    </row>
    <row r="123" spans="1:12" ht="12.75">
      <c r="A123" s="6">
        <v>122</v>
      </c>
      <c r="B123" s="15" t="s">
        <v>176</v>
      </c>
      <c r="C123" s="8" t="s">
        <v>210</v>
      </c>
      <c r="D123" s="6" t="s">
        <v>2119</v>
      </c>
      <c r="E123" s="7" t="s">
        <v>215</v>
      </c>
      <c r="F123" s="525" t="s">
        <v>2173</v>
      </c>
      <c r="G123" s="15" t="s">
        <v>65</v>
      </c>
      <c r="H123" s="92">
        <v>45227</v>
      </c>
      <c r="I123" s="13">
        <v>10.020443</v>
      </c>
      <c r="J123" s="13">
        <v>126.03608</v>
      </c>
      <c r="K123" s="13" t="s">
        <v>22</v>
      </c>
      <c r="L123" s="13" t="s">
        <v>2011</v>
      </c>
    </row>
    <row r="124" spans="1:12" ht="12.75">
      <c r="A124" s="6">
        <v>123</v>
      </c>
      <c r="B124" s="15" t="s">
        <v>176</v>
      </c>
      <c r="C124" s="8" t="s">
        <v>210</v>
      </c>
      <c r="D124" s="6" t="s">
        <v>2119</v>
      </c>
      <c r="E124" s="7" t="s">
        <v>217</v>
      </c>
      <c r="F124" s="511"/>
      <c r="G124" s="15" t="s">
        <v>65</v>
      </c>
      <c r="H124" s="92">
        <v>45227</v>
      </c>
      <c r="I124" s="13">
        <v>10.020443</v>
      </c>
      <c r="J124" s="13">
        <v>126.03608</v>
      </c>
      <c r="K124" s="13" t="s">
        <v>22</v>
      </c>
      <c r="L124" s="13" t="s">
        <v>2011</v>
      </c>
    </row>
    <row r="125" spans="1:12" ht="12.75">
      <c r="A125" s="6">
        <v>124</v>
      </c>
      <c r="B125" s="15" t="s">
        <v>176</v>
      </c>
      <c r="C125" s="8" t="s">
        <v>210</v>
      </c>
      <c r="D125" s="6" t="s">
        <v>2119</v>
      </c>
      <c r="E125" s="7" t="s">
        <v>219</v>
      </c>
      <c r="F125" s="511"/>
      <c r="G125" s="15" t="s">
        <v>65</v>
      </c>
      <c r="H125" s="92">
        <v>45227</v>
      </c>
      <c r="I125" s="13">
        <v>10.020443</v>
      </c>
      <c r="J125" s="13">
        <v>126.03608</v>
      </c>
      <c r="K125" s="13" t="s">
        <v>22</v>
      </c>
      <c r="L125" s="13" t="s">
        <v>2011</v>
      </c>
    </row>
    <row r="126" spans="1:12" ht="12.75">
      <c r="A126" s="6">
        <v>125</v>
      </c>
      <c r="B126" s="17" t="s">
        <v>176</v>
      </c>
      <c r="C126" s="17" t="s">
        <v>210</v>
      </c>
      <c r="D126" s="6" t="s">
        <v>2119</v>
      </c>
      <c r="E126" s="20" t="s">
        <v>239</v>
      </c>
      <c r="F126" s="512"/>
      <c r="G126" s="86" t="s">
        <v>238</v>
      </c>
      <c r="H126" s="167">
        <v>45743</v>
      </c>
      <c r="I126" s="23">
        <v>10.020719700000001</v>
      </c>
      <c r="J126" s="13">
        <v>126.03591118</v>
      </c>
      <c r="K126" s="13" t="s">
        <v>22</v>
      </c>
      <c r="L126" s="13" t="s">
        <v>2011</v>
      </c>
    </row>
    <row r="127" spans="1:12" ht="25.5">
      <c r="A127" s="6">
        <v>126</v>
      </c>
      <c r="B127" s="15" t="s">
        <v>176</v>
      </c>
      <c r="C127" s="8" t="s">
        <v>210</v>
      </c>
      <c r="D127" s="6" t="s">
        <v>2119</v>
      </c>
      <c r="E127" s="7" t="s">
        <v>222</v>
      </c>
      <c r="F127" s="96" t="s">
        <v>222</v>
      </c>
      <c r="G127" s="15" t="s">
        <v>238</v>
      </c>
      <c r="H127" s="92">
        <v>45227</v>
      </c>
      <c r="I127" s="13">
        <v>10.020189</v>
      </c>
      <c r="J127" s="13">
        <v>126.03633499999999</v>
      </c>
      <c r="K127" s="13" t="s">
        <v>22</v>
      </c>
      <c r="L127" s="13" t="s">
        <v>2011</v>
      </c>
    </row>
    <row r="128" spans="1:12" ht="16.5" customHeight="1">
      <c r="A128" s="6">
        <v>127</v>
      </c>
      <c r="B128" s="15" t="s">
        <v>176</v>
      </c>
      <c r="C128" s="8" t="s">
        <v>210</v>
      </c>
      <c r="D128" s="6" t="s">
        <v>2119</v>
      </c>
      <c r="E128" s="7" t="s">
        <v>224</v>
      </c>
      <c r="F128" s="96" t="s">
        <v>224</v>
      </c>
      <c r="G128" s="15" t="s">
        <v>103</v>
      </c>
      <c r="H128" s="92">
        <v>45227</v>
      </c>
      <c r="I128" s="13">
        <v>10.018582</v>
      </c>
      <c r="J128" s="13">
        <v>126.037522</v>
      </c>
      <c r="K128" s="13" t="s">
        <v>22</v>
      </c>
      <c r="L128" s="13" t="s">
        <v>2011</v>
      </c>
    </row>
    <row r="129" spans="1:12" ht="12.75">
      <c r="A129" s="6">
        <v>128</v>
      </c>
      <c r="B129" s="15" t="s">
        <v>176</v>
      </c>
      <c r="C129" s="8" t="s">
        <v>210</v>
      </c>
      <c r="D129" s="6" t="s">
        <v>2119</v>
      </c>
      <c r="E129" s="11" t="s">
        <v>227</v>
      </c>
      <c r="F129" s="202" t="s">
        <v>227</v>
      </c>
      <c r="G129" s="15" t="s">
        <v>374</v>
      </c>
      <c r="H129" s="92">
        <v>45228</v>
      </c>
      <c r="I129" s="13">
        <v>10.021095000000001</v>
      </c>
      <c r="J129" s="13">
        <v>126.03719599999999</v>
      </c>
      <c r="K129" s="13" t="s">
        <v>22</v>
      </c>
      <c r="L129" s="13" t="s">
        <v>2011</v>
      </c>
    </row>
    <row r="130" spans="1:12" ht="12.75">
      <c r="A130" s="6">
        <v>129</v>
      </c>
      <c r="B130" s="15" t="s">
        <v>176</v>
      </c>
      <c r="C130" s="15" t="s">
        <v>82</v>
      </c>
      <c r="D130" s="6" t="s">
        <v>2119</v>
      </c>
      <c r="E130" s="20" t="s">
        <v>231</v>
      </c>
      <c r="F130" s="61" t="s">
        <v>231</v>
      </c>
      <c r="G130" s="15" t="s">
        <v>155</v>
      </c>
      <c r="H130" s="92">
        <v>45405</v>
      </c>
      <c r="I130" s="13">
        <v>9.8642450000000004</v>
      </c>
      <c r="J130" s="13">
        <v>125.012529</v>
      </c>
      <c r="K130" s="13" t="s">
        <v>22</v>
      </c>
      <c r="L130" s="13" t="s">
        <v>2011</v>
      </c>
    </row>
    <row r="131" spans="1:12" ht="12.75">
      <c r="A131" s="6">
        <v>130</v>
      </c>
      <c r="B131" s="8" t="s">
        <v>196</v>
      </c>
      <c r="C131" s="8" t="s">
        <v>241</v>
      </c>
      <c r="D131" s="6" t="s">
        <v>2119</v>
      </c>
      <c r="E131" s="11" t="s">
        <v>242</v>
      </c>
      <c r="F131" s="525" t="s">
        <v>2184</v>
      </c>
      <c r="G131" s="15" t="s">
        <v>238</v>
      </c>
      <c r="H131" s="92">
        <v>45240</v>
      </c>
      <c r="I131" s="13">
        <v>9.6182909999999993</v>
      </c>
      <c r="J131" s="13">
        <v>125.966008</v>
      </c>
      <c r="K131" s="13" t="s">
        <v>22</v>
      </c>
      <c r="L131" s="13" t="s">
        <v>2011</v>
      </c>
    </row>
    <row r="132" spans="1:12" ht="12.75">
      <c r="A132" s="6">
        <v>131</v>
      </c>
      <c r="B132" s="8" t="s">
        <v>196</v>
      </c>
      <c r="C132" s="8" t="s">
        <v>241</v>
      </c>
      <c r="D132" s="6" t="s">
        <v>2119</v>
      </c>
      <c r="E132" s="11" t="s">
        <v>247</v>
      </c>
      <c r="F132" s="511"/>
      <c r="G132" s="15" t="s">
        <v>65</v>
      </c>
      <c r="H132" s="92">
        <v>45240</v>
      </c>
      <c r="I132" s="13">
        <v>9.6168420000000001</v>
      </c>
      <c r="J132" s="13">
        <v>125.965041</v>
      </c>
      <c r="K132" s="13" t="s">
        <v>22</v>
      </c>
      <c r="L132" s="13" t="s">
        <v>2011</v>
      </c>
    </row>
    <row r="133" spans="1:12" ht="12.75">
      <c r="A133" s="6">
        <v>132</v>
      </c>
      <c r="B133" s="8" t="s">
        <v>196</v>
      </c>
      <c r="C133" s="8" t="s">
        <v>241</v>
      </c>
      <c r="D133" s="6" t="s">
        <v>2119</v>
      </c>
      <c r="E133" s="11" t="s">
        <v>249</v>
      </c>
      <c r="F133" s="511"/>
      <c r="G133" s="15" t="s">
        <v>31</v>
      </c>
      <c r="H133" s="92">
        <v>45241</v>
      </c>
      <c r="I133" s="13">
        <v>9.6182909999999993</v>
      </c>
      <c r="J133" s="13">
        <v>125.966008</v>
      </c>
      <c r="K133" s="13" t="s">
        <v>22</v>
      </c>
      <c r="L133" s="13" t="s">
        <v>2011</v>
      </c>
    </row>
    <row r="134" spans="1:12" ht="12.75">
      <c r="A134" s="6">
        <v>133</v>
      </c>
      <c r="B134" s="8" t="s">
        <v>196</v>
      </c>
      <c r="C134" s="8" t="s">
        <v>241</v>
      </c>
      <c r="D134" s="6" t="s">
        <v>2119</v>
      </c>
      <c r="E134" s="11" t="s">
        <v>250</v>
      </c>
      <c r="F134" s="511"/>
      <c r="G134" s="15" t="s">
        <v>65</v>
      </c>
      <c r="H134" s="92">
        <v>45240</v>
      </c>
      <c r="I134" s="13">
        <v>9.6189780000000003</v>
      </c>
      <c r="J134" s="13">
        <v>125.965622</v>
      </c>
      <c r="K134" s="13" t="s">
        <v>22</v>
      </c>
      <c r="L134" s="13" t="s">
        <v>2011</v>
      </c>
    </row>
    <row r="135" spans="1:12" ht="12.75">
      <c r="A135" s="6">
        <v>134</v>
      </c>
      <c r="B135" s="8" t="s">
        <v>196</v>
      </c>
      <c r="C135" s="8" t="s">
        <v>241</v>
      </c>
      <c r="D135" s="6" t="s">
        <v>2119</v>
      </c>
      <c r="E135" s="11" t="s">
        <v>254</v>
      </c>
      <c r="F135" s="511"/>
      <c r="G135" s="15" t="s">
        <v>103</v>
      </c>
      <c r="H135" s="92">
        <v>45240</v>
      </c>
      <c r="I135" s="13">
        <v>9.6185960000000001</v>
      </c>
      <c r="J135" s="13">
        <v>125.96572399999999</v>
      </c>
      <c r="K135" s="13" t="s">
        <v>22</v>
      </c>
      <c r="L135" s="13" t="s">
        <v>2011</v>
      </c>
    </row>
    <row r="136" spans="1:12" ht="12.75">
      <c r="A136" s="6">
        <v>135</v>
      </c>
      <c r="B136" s="8" t="s">
        <v>196</v>
      </c>
      <c r="C136" s="8" t="s">
        <v>241</v>
      </c>
      <c r="D136" s="6" t="s">
        <v>2119</v>
      </c>
      <c r="E136" s="11" t="s">
        <v>255</v>
      </c>
      <c r="F136" s="511"/>
      <c r="G136" s="15" t="s">
        <v>408</v>
      </c>
      <c r="H136" s="92">
        <v>45241</v>
      </c>
      <c r="I136" s="13">
        <v>9.6169349999999998</v>
      </c>
      <c r="J136" s="13">
        <v>125.966363</v>
      </c>
      <c r="K136" s="13" t="s">
        <v>22</v>
      </c>
      <c r="L136" s="13" t="s">
        <v>2011</v>
      </c>
    </row>
    <row r="137" spans="1:12" ht="12.75">
      <c r="A137" s="6">
        <v>136</v>
      </c>
      <c r="B137" s="8" t="s">
        <v>196</v>
      </c>
      <c r="C137" s="8" t="s">
        <v>241</v>
      </c>
      <c r="D137" s="6" t="s">
        <v>2119</v>
      </c>
      <c r="E137" s="20" t="s">
        <v>256</v>
      </c>
      <c r="F137" s="512"/>
      <c r="G137" s="15" t="s">
        <v>238</v>
      </c>
      <c r="H137" s="92">
        <v>45547</v>
      </c>
      <c r="I137" s="13">
        <v>9.6176959740000001</v>
      </c>
      <c r="J137" s="13">
        <v>125.966459</v>
      </c>
      <c r="K137" s="13" t="s">
        <v>22</v>
      </c>
      <c r="L137" s="13" t="s">
        <v>2011</v>
      </c>
    </row>
    <row r="138" spans="1:12" ht="12.75">
      <c r="A138" s="6">
        <v>137</v>
      </c>
      <c r="B138" s="8" t="s">
        <v>67</v>
      </c>
      <c r="C138" s="8" t="s">
        <v>258</v>
      </c>
      <c r="D138" s="6" t="s">
        <v>2119</v>
      </c>
      <c r="E138" s="7" t="s">
        <v>260</v>
      </c>
      <c r="F138" s="525" t="s">
        <v>259</v>
      </c>
      <c r="G138" s="15" t="s">
        <v>155</v>
      </c>
      <c r="H138" s="13" t="s">
        <v>1413</v>
      </c>
      <c r="I138" s="13">
        <v>9.7789249999999992</v>
      </c>
      <c r="J138" s="13">
        <v>126.010543</v>
      </c>
      <c r="K138" s="13" t="s">
        <v>261</v>
      </c>
      <c r="L138" s="13" t="s">
        <v>199</v>
      </c>
    </row>
    <row r="139" spans="1:12" ht="12.75">
      <c r="A139" s="6">
        <v>138</v>
      </c>
      <c r="B139" s="8" t="s">
        <v>67</v>
      </c>
      <c r="C139" s="8" t="s">
        <v>258</v>
      </c>
      <c r="D139" s="6" t="s">
        <v>2119</v>
      </c>
      <c r="E139" s="7" t="s">
        <v>264</v>
      </c>
      <c r="F139" s="512"/>
      <c r="G139" s="15" t="s">
        <v>374</v>
      </c>
      <c r="H139" s="13" t="s">
        <v>1413</v>
      </c>
      <c r="I139" s="13">
        <v>9.7816779999999994</v>
      </c>
      <c r="J139" s="13">
        <v>126.012574</v>
      </c>
      <c r="K139" s="13" t="s">
        <v>261</v>
      </c>
      <c r="L139" s="13" t="s">
        <v>199</v>
      </c>
    </row>
    <row r="140" spans="1:12" ht="12.75">
      <c r="A140" s="6">
        <v>139</v>
      </c>
      <c r="B140" s="8" t="s">
        <v>67</v>
      </c>
      <c r="C140" s="8" t="s">
        <v>265</v>
      </c>
      <c r="D140" s="6" t="s">
        <v>2119</v>
      </c>
      <c r="E140" s="54" t="s">
        <v>269</v>
      </c>
      <c r="F140" s="525" t="s">
        <v>2196</v>
      </c>
      <c r="G140" s="15" t="s">
        <v>374</v>
      </c>
      <c r="H140" s="92">
        <v>45355</v>
      </c>
      <c r="I140" s="13">
        <v>9.7644529999999996</v>
      </c>
      <c r="J140" s="13">
        <v>126.0416</v>
      </c>
      <c r="K140" s="13" t="s">
        <v>261</v>
      </c>
      <c r="L140" s="13" t="s">
        <v>89</v>
      </c>
    </row>
    <row r="141" spans="1:12" ht="12.75">
      <c r="A141" s="6">
        <v>140</v>
      </c>
      <c r="B141" s="8" t="s">
        <v>67</v>
      </c>
      <c r="C141" s="8" t="s">
        <v>265</v>
      </c>
      <c r="D141" s="6" t="s">
        <v>2119</v>
      </c>
      <c r="E141" s="55" t="s">
        <v>273</v>
      </c>
      <c r="F141" s="511"/>
      <c r="G141" s="15" t="s">
        <v>374</v>
      </c>
      <c r="H141" s="92">
        <v>45355</v>
      </c>
      <c r="I141" s="13">
        <v>9.7644529999999996</v>
      </c>
      <c r="J141" s="13">
        <v>126.0416</v>
      </c>
      <c r="K141" s="13" t="s">
        <v>261</v>
      </c>
      <c r="L141" s="13" t="s">
        <v>89</v>
      </c>
    </row>
    <row r="142" spans="1:12" ht="31.5" customHeight="1">
      <c r="A142" s="6">
        <v>141</v>
      </c>
      <c r="B142" s="15" t="s">
        <v>67</v>
      </c>
      <c r="C142" s="15" t="s">
        <v>275</v>
      </c>
      <c r="D142" s="6" t="s">
        <v>2119</v>
      </c>
      <c r="E142" s="55" t="s">
        <v>277</v>
      </c>
      <c r="F142" s="512"/>
      <c r="G142" s="15" t="s">
        <v>155</v>
      </c>
      <c r="H142" s="92">
        <v>45356</v>
      </c>
      <c r="I142" s="13">
        <v>9.7640999999999991</v>
      </c>
      <c r="J142" s="13">
        <v>126.042</v>
      </c>
      <c r="K142" s="13" t="s">
        <v>261</v>
      </c>
      <c r="L142" s="13" t="s">
        <v>199</v>
      </c>
    </row>
    <row r="143" spans="1:12" ht="12.75">
      <c r="A143" s="6">
        <v>142</v>
      </c>
      <c r="B143" s="8" t="s">
        <v>67</v>
      </c>
      <c r="C143" s="8" t="s">
        <v>278</v>
      </c>
      <c r="D143" s="6" t="s">
        <v>2119</v>
      </c>
      <c r="E143" s="11" t="s">
        <v>281</v>
      </c>
      <c r="F143" s="525" t="s">
        <v>279</v>
      </c>
      <c r="G143" s="15" t="s">
        <v>155</v>
      </c>
      <c r="H143" s="92">
        <v>45362</v>
      </c>
      <c r="I143" s="13">
        <v>9.7460000000000004</v>
      </c>
      <c r="J143" s="13">
        <v>126.03164599999999</v>
      </c>
      <c r="K143" s="13" t="s">
        <v>261</v>
      </c>
      <c r="L143" s="13" t="s">
        <v>199</v>
      </c>
    </row>
    <row r="144" spans="1:12" ht="12.75">
      <c r="A144" s="6">
        <v>143</v>
      </c>
      <c r="B144" s="8" t="s">
        <v>67</v>
      </c>
      <c r="C144" s="8" t="s">
        <v>278</v>
      </c>
      <c r="D144" s="6" t="s">
        <v>2119</v>
      </c>
      <c r="E144" s="11" t="s">
        <v>285</v>
      </c>
      <c r="F144" s="512"/>
      <c r="G144" s="15" t="s">
        <v>374</v>
      </c>
      <c r="H144" s="92">
        <v>45362</v>
      </c>
      <c r="I144" s="13">
        <v>9.7465609999999998</v>
      </c>
      <c r="J144" s="13">
        <v>126.032076</v>
      </c>
      <c r="K144" s="13" t="s">
        <v>261</v>
      </c>
      <c r="L144" s="13" t="s">
        <v>199</v>
      </c>
    </row>
    <row r="145" spans="1:12" ht="12.75">
      <c r="A145" s="6">
        <v>144</v>
      </c>
      <c r="B145" s="8" t="s">
        <v>81</v>
      </c>
      <c r="C145" s="8" t="s">
        <v>286</v>
      </c>
      <c r="D145" s="6" t="s">
        <v>2119</v>
      </c>
      <c r="E145" s="20" t="s">
        <v>289</v>
      </c>
      <c r="F145" s="525" t="s">
        <v>2199</v>
      </c>
      <c r="G145" s="15" t="s">
        <v>155</v>
      </c>
      <c r="H145" s="92">
        <v>45357</v>
      </c>
      <c r="I145" s="13">
        <v>9.8737630000000003</v>
      </c>
      <c r="J145" s="13">
        <v>126.013057</v>
      </c>
      <c r="K145" s="13" t="s">
        <v>261</v>
      </c>
      <c r="L145" s="13" t="s">
        <v>89</v>
      </c>
    </row>
    <row r="146" spans="1:12" ht="12.75">
      <c r="A146" s="6">
        <v>145</v>
      </c>
      <c r="B146" s="8" t="s">
        <v>81</v>
      </c>
      <c r="C146" s="8" t="s">
        <v>286</v>
      </c>
      <c r="D146" s="6" t="s">
        <v>2119</v>
      </c>
      <c r="E146" s="20" t="s">
        <v>293</v>
      </c>
      <c r="F146" s="511"/>
      <c r="G146" s="15" t="s">
        <v>374</v>
      </c>
      <c r="H146" s="92">
        <v>45357</v>
      </c>
      <c r="I146" s="13">
        <v>9.8732070000000007</v>
      </c>
      <c r="J146" s="13">
        <v>126.012621</v>
      </c>
      <c r="K146" s="13" t="s">
        <v>261</v>
      </c>
      <c r="L146" s="13" t="s">
        <v>89</v>
      </c>
    </row>
    <row r="147" spans="1:12" ht="17.25" customHeight="1">
      <c r="A147" s="6">
        <v>146</v>
      </c>
      <c r="B147" s="8" t="s">
        <v>81</v>
      </c>
      <c r="C147" s="8" t="s">
        <v>294</v>
      </c>
      <c r="D147" s="6" t="s">
        <v>2119</v>
      </c>
      <c r="E147" s="20" t="s">
        <v>297</v>
      </c>
      <c r="F147" s="512"/>
      <c r="G147" s="15" t="s">
        <v>155</v>
      </c>
      <c r="H147" s="92">
        <v>45405</v>
      </c>
      <c r="I147" s="13">
        <v>9.8644245000000002</v>
      </c>
      <c r="J147" s="13">
        <v>126.012529</v>
      </c>
      <c r="K147" s="13" t="s">
        <v>261</v>
      </c>
      <c r="L147" s="13" t="s">
        <v>199</v>
      </c>
    </row>
    <row r="148" spans="1:12" ht="12.75">
      <c r="A148" s="6">
        <v>147</v>
      </c>
      <c r="B148" s="15" t="s">
        <v>140</v>
      </c>
      <c r="C148" s="15" t="s">
        <v>299</v>
      </c>
      <c r="D148" s="6" t="s">
        <v>2119</v>
      </c>
      <c r="E148" s="20" t="s">
        <v>301</v>
      </c>
      <c r="F148" s="525" t="s">
        <v>2204</v>
      </c>
      <c r="G148" s="15" t="s">
        <v>155</v>
      </c>
      <c r="H148" s="92">
        <v>45358</v>
      </c>
      <c r="I148" s="13">
        <v>9.9414829999999998</v>
      </c>
      <c r="J148" s="13">
        <v>126.065558</v>
      </c>
      <c r="K148" s="13" t="s">
        <v>261</v>
      </c>
      <c r="L148" s="13" t="s">
        <v>89</v>
      </c>
    </row>
    <row r="149" spans="1:12" ht="12.75">
      <c r="A149" s="6">
        <v>148</v>
      </c>
      <c r="B149" s="8" t="s">
        <v>140</v>
      </c>
      <c r="C149" s="8" t="s">
        <v>299</v>
      </c>
      <c r="D149" s="6" t="s">
        <v>2119</v>
      </c>
      <c r="E149" s="20" t="s">
        <v>304</v>
      </c>
      <c r="F149" s="511"/>
      <c r="G149" s="15" t="s">
        <v>374</v>
      </c>
      <c r="H149" s="92">
        <v>45358</v>
      </c>
      <c r="I149" s="13">
        <v>9.9421652139999992</v>
      </c>
      <c r="J149" s="13">
        <v>126.0661104</v>
      </c>
      <c r="K149" s="13" t="s">
        <v>261</v>
      </c>
      <c r="L149" s="13" t="s">
        <v>199</v>
      </c>
    </row>
    <row r="150" spans="1:12" ht="12.75">
      <c r="A150" s="6">
        <v>149</v>
      </c>
      <c r="B150" s="8" t="s">
        <v>140</v>
      </c>
      <c r="C150" s="8" t="s">
        <v>306</v>
      </c>
      <c r="D150" s="6" t="s">
        <v>2119</v>
      </c>
      <c r="E150" s="20" t="s">
        <v>307</v>
      </c>
      <c r="F150" s="512"/>
      <c r="G150" s="15" t="s">
        <v>155</v>
      </c>
      <c r="H150" s="92">
        <v>45625</v>
      </c>
      <c r="I150" s="13">
        <v>9.9540810000000004</v>
      </c>
      <c r="J150" s="13">
        <v>126.0676</v>
      </c>
      <c r="K150" s="13" t="s">
        <v>261</v>
      </c>
      <c r="L150" s="13" t="s">
        <v>89</v>
      </c>
    </row>
    <row r="151" spans="1:12" ht="12.75">
      <c r="A151" s="6">
        <v>150</v>
      </c>
      <c r="B151" s="8" t="s">
        <v>268</v>
      </c>
      <c r="C151" s="8" t="s">
        <v>40</v>
      </c>
      <c r="D151" s="6" t="s">
        <v>1767</v>
      </c>
      <c r="E151" s="20" t="s">
        <v>45</v>
      </c>
      <c r="F151" s="525" t="s">
        <v>348</v>
      </c>
      <c r="G151" s="15" t="s">
        <v>351</v>
      </c>
      <c r="H151" s="92">
        <v>45341</v>
      </c>
      <c r="I151" s="13">
        <v>9.7852460000000008</v>
      </c>
      <c r="J151" s="13">
        <v>125.487915</v>
      </c>
      <c r="K151" s="13" t="s">
        <v>261</v>
      </c>
      <c r="L151" s="13" t="s">
        <v>89</v>
      </c>
    </row>
    <row r="152" spans="1:12" ht="12.75">
      <c r="A152" s="6">
        <v>151</v>
      </c>
      <c r="B152" s="8" t="s">
        <v>268</v>
      </c>
      <c r="C152" s="8" t="s">
        <v>29</v>
      </c>
      <c r="D152" s="6" t="s">
        <v>1767</v>
      </c>
      <c r="E152" s="20" t="s">
        <v>30</v>
      </c>
      <c r="F152" s="511"/>
      <c r="G152" s="15" t="s">
        <v>207</v>
      </c>
      <c r="H152" s="92">
        <v>45350</v>
      </c>
      <c r="I152" s="13">
        <v>9.7888110620000006</v>
      </c>
      <c r="J152" s="13">
        <v>125.4798043</v>
      </c>
      <c r="K152" s="13" t="s">
        <v>261</v>
      </c>
      <c r="L152" s="13" t="s">
        <v>89</v>
      </c>
    </row>
    <row r="153" spans="1:12" ht="12.75">
      <c r="A153" s="6">
        <v>152</v>
      </c>
      <c r="B153" s="8" t="s">
        <v>268</v>
      </c>
      <c r="C153" s="8" t="s">
        <v>29</v>
      </c>
      <c r="D153" s="6" t="s">
        <v>1767</v>
      </c>
      <c r="E153" s="20" t="s">
        <v>32</v>
      </c>
      <c r="F153" s="511"/>
      <c r="G153" s="15" t="s">
        <v>207</v>
      </c>
      <c r="H153" s="92">
        <v>45520</v>
      </c>
      <c r="I153" s="13">
        <v>9.7882259999999999</v>
      </c>
      <c r="J153" s="13">
        <v>125.47993099999999</v>
      </c>
      <c r="K153" s="13" t="s">
        <v>261</v>
      </c>
      <c r="L153" s="13" t="s">
        <v>89</v>
      </c>
    </row>
    <row r="154" spans="1:12" ht="12.75">
      <c r="A154" s="6">
        <v>153</v>
      </c>
      <c r="B154" s="8" t="s">
        <v>268</v>
      </c>
      <c r="C154" s="8" t="s">
        <v>18</v>
      </c>
      <c r="D154" s="6" t="s">
        <v>1767</v>
      </c>
      <c r="E154" s="20" t="s">
        <v>444</v>
      </c>
      <c r="F154" s="511"/>
      <c r="G154" s="15" t="s">
        <v>271</v>
      </c>
      <c r="H154" s="92">
        <v>45377</v>
      </c>
      <c r="I154" s="13" t="s">
        <v>1525</v>
      </c>
      <c r="J154" s="13" t="s">
        <v>1526</v>
      </c>
      <c r="K154" s="13" t="s">
        <v>261</v>
      </c>
      <c r="L154" s="13" t="s">
        <v>89</v>
      </c>
    </row>
    <row r="155" spans="1:12" ht="12.75">
      <c r="A155" s="6">
        <v>154</v>
      </c>
      <c r="B155" s="8" t="s">
        <v>268</v>
      </c>
      <c r="C155" s="8" t="s">
        <v>23</v>
      </c>
      <c r="D155" s="6" t="s">
        <v>1767</v>
      </c>
      <c r="E155" s="20" t="s">
        <v>447</v>
      </c>
      <c r="F155" s="511"/>
      <c r="G155" s="15" t="s">
        <v>207</v>
      </c>
      <c r="H155" s="92">
        <v>45399</v>
      </c>
      <c r="I155" s="13">
        <v>9.7809790000000003</v>
      </c>
      <c r="J155" s="13">
        <v>125.46532999999999</v>
      </c>
      <c r="K155" s="13" t="s">
        <v>261</v>
      </c>
      <c r="L155" s="13" t="s">
        <v>89</v>
      </c>
    </row>
    <row r="156" spans="1:12" ht="12.75">
      <c r="A156" s="6">
        <v>155</v>
      </c>
      <c r="B156" s="8" t="s">
        <v>268</v>
      </c>
      <c r="C156" s="8" t="s">
        <v>23</v>
      </c>
      <c r="D156" s="6" t="s">
        <v>1767</v>
      </c>
      <c r="E156" s="20" t="s">
        <v>27</v>
      </c>
      <c r="F156" s="511"/>
      <c r="G156" s="15" t="s">
        <v>155</v>
      </c>
      <c r="H156" s="92">
        <v>45399</v>
      </c>
      <c r="I156" s="13">
        <v>9.7801919999999996</v>
      </c>
      <c r="J156" s="13">
        <v>125.46521</v>
      </c>
      <c r="K156" s="13" t="s">
        <v>261</v>
      </c>
      <c r="L156" s="13" t="s">
        <v>89</v>
      </c>
    </row>
    <row r="157" spans="1:12" ht="12.75">
      <c r="A157" s="6">
        <v>156</v>
      </c>
      <c r="B157" s="8" t="s">
        <v>268</v>
      </c>
      <c r="C157" s="8" t="s">
        <v>23</v>
      </c>
      <c r="D157" s="6" t="s">
        <v>1767</v>
      </c>
      <c r="E157" s="20" t="s">
        <v>24</v>
      </c>
      <c r="F157" s="511"/>
      <c r="G157" s="15" t="s">
        <v>374</v>
      </c>
      <c r="H157" s="92">
        <v>45415</v>
      </c>
      <c r="I157" s="13">
        <v>9.7802439999999997</v>
      </c>
      <c r="J157" s="13">
        <v>125.465183</v>
      </c>
      <c r="K157" s="13" t="s">
        <v>261</v>
      </c>
      <c r="L157" s="13" t="s">
        <v>89</v>
      </c>
    </row>
    <row r="158" spans="1:12" ht="12.75">
      <c r="A158" s="6">
        <v>157</v>
      </c>
      <c r="B158" s="8" t="s">
        <v>268</v>
      </c>
      <c r="C158" s="8" t="s">
        <v>23</v>
      </c>
      <c r="D158" s="6" t="s">
        <v>1767</v>
      </c>
      <c r="E158" s="20" t="s">
        <v>28</v>
      </c>
      <c r="F158" s="512"/>
      <c r="G158" s="15" t="s">
        <v>207</v>
      </c>
      <c r="H158" s="92">
        <v>45399</v>
      </c>
      <c r="I158" s="13">
        <v>9.7812230000000007</v>
      </c>
      <c r="J158" s="13">
        <v>125.465266</v>
      </c>
      <c r="K158" s="13" t="s">
        <v>261</v>
      </c>
      <c r="L158" s="13" t="s">
        <v>89</v>
      </c>
    </row>
    <row r="159" spans="1:12" ht="12.75">
      <c r="A159" s="6">
        <v>158</v>
      </c>
      <c r="B159" s="8" t="s">
        <v>268</v>
      </c>
      <c r="C159" s="8" t="s">
        <v>40</v>
      </c>
      <c r="D159" s="6" t="s">
        <v>1767</v>
      </c>
      <c r="E159" s="70" t="s">
        <v>454</v>
      </c>
      <c r="F159" s="525" t="s">
        <v>52</v>
      </c>
      <c r="G159" s="15" t="s">
        <v>491</v>
      </c>
      <c r="H159" s="92">
        <v>45400</v>
      </c>
      <c r="I159" s="13" t="s">
        <v>1556</v>
      </c>
      <c r="J159" s="13" t="s">
        <v>1557</v>
      </c>
      <c r="K159" s="13" t="s">
        <v>261</v>
      </c>
      <c r="L159" s="13" t="s">
        <v>89</v>
      </c>
    </row>
    <row r="160" spans="1:12" ht="12.75">
      <c r="A160" s="6">
        <v>159</v>
      </c>
      <c r="B160" s="8" t="s">
        <v>268</v>
      </c>
      <c r="C160" s="8" t="s">
        <v>40</v>
      </c>
      <c r="D160" s="6" t="s">
        <v>1767</v>
      </c>
      <c r="E160" s="20" t="s">
        <v>54</v>
      </c>
      <c r="F160" s="511"/>
      <c r="G160" s="15" t="s">
        <v>65</v>
      </c>
      <c r="H160" s="92">
        <v>45400</v>
      </c>
      <c r="I160" s="13">
        <v>9.791296762</v>
      </c>
      <c r="J160" s="13">
        <v>125.4933723</v>
      </c>
      <c r="K160" s="13" t="s">
        <v>261</v>
      </c>
      <c r="L160" s="13" t="s">
        <v>89</v>
      </c>
    </row>
    <row r="161" spans="1:12" ht="12.75">
      <c r="A161" s="6">
        <v>160</v>
      </c>
      <c r="B161" s="8" t="s">
        <v>268</v>
      </c>
      <c r="C161" s="8" t="s">
        <v>40</v>
      </c>
      <c r="D161" s="6" t="s">
        <v>1767</v>
      </c>
      <c r="E161" s="20" t="s">
        <v>55</v>
      </c>
      <c r="F161" s="512"/>
      <c r="G161" s="15" t="s">
        <v>103</v>
      </c>
      <c r="H161" s="92">
        <v>45415</v>
      </c>
      <c r="I161" s="13">
        <v>9.7905340019999993</v>
      </c>
      <c r="J161" s="13">
        <v>125.4937614</v>
      </c>
      <c r="K161" s="13" t="s">
        <v>261</v>
      </c>
      <c r="L161" s="13" t="s">
        <v>199</v>
      </c>
    </row>
    <row r="162" spans="1:12" ht="26.25" customHeight="1">
      <c r="A162" s="6">
        <v>161</v>
      </c>
      <c r="B162" s="8" t="s">
        <v>268</v>
      </c>
      <c r="C162" s="8" t="s">
        <v>40</v>
      </c>
      <c r="D162" s="6" t="s">
        <v>1767</v>
      </c>
      <c r="E162" s="70" t="s">
        <v>46</v>
      </c>
      <c r="F162" s="525" t="s">
        <v>459</v>
      </c>
      <c r="G162" s="15" t="s">
        <v>493</v>
      </c>
      <c r="H162" s="92">
        <v>45435</v>
      </c>
      <c r="I162" s="13">
        <v>9.7814669999999992</v>
      </c>
      <c r="J162" s="13">
        <v>125.488632</v>
      </c>
      <c r="K162" s="13" t="s">
        <v>261</v>
      </c>
      <c r="L162" s="13" t="s">
        <v>89</v>
      </c>
    </row>
    <row r="163" spans="1:12" ht="12.75">
      <c r="A163" s="6">
        <v>162</v>
      </c>
      <c r="B163" s="8" t="s">
        <v>268</v>
      </c>
      <c r="C163" s="8" t="s">
        <v>40</v>
      </c>
      <c r="D163" s="6" t="s">
        <v>1767</v>
      </c>
      <c r="E163" s="70" t="s">
        <v>47</v>
      </c>
      <c r="F163" s="511"/>
      <c r="G163" s="15" t="s">
        <v>493</v>
      </c>
      <c r="H163" s="92">
        <v>45440</v>
      </c>
      <c r="I163" s="13">
        <v>9.7814029999999992</v>
      </c>
      <c r="J163" s="13">
        <v>125.488497</v>
      </c>
      <c r="K163" s="13" t="s">
        <v>261</v>
      </c>
      <c r="L163" s="13" t="s">
        <v>89</v>
      </c>
    </row>
    <row r="164" spans="1:12" ht="12.75">
      <c r="A164" s="6">
        <v>163</v>
      </c>
      <c r="B164" s="8" t="s">
        <v>268</v>
      </c>
      <c r="C164" s="8" t="s">
        <v>40</v>
      </c>
      <c r="D164" s="6" t="s">
        <v>1767</v>
      </c>
      <c r="E164" s="70" t="s">
        <v>48</v>
      </c>
      <c r="F164" s="511"/>
      <c r="G164" s="15" t="s">
        <v>493</v>
      </c>
      <c r="H164" s="92">
        <v>45439</v>
      </c>
      <c r="I164" s="13">
        <v>9.7813870000000005</v>
      </c>
      <c r="J164" s="13">
        <v>125.48945500000001</v>
      </c>
      <c r="K164" s="13" t="s">
        <v>261</v>
      </c>
      <c r="L164" s="13" t="s">
        <v>89</v>
      </c>
    </row>
    <row r="165" spans="1:12" ht="12.75">
      <c r="A165" s="6">
        <v>164</v>
      </c>
      <c r="B165" s="8" t="s">
        <v>268</v>
      </c>
      <c r="C165" s="8" t="s">
        <v>40</v>
      </c>
      <c r="D165" s="6" t="s">
        <v>1767</v>
      </c>
      <c r="E165" s="75" t="s">
        <v>463</v>
      </c>
      <c r="F165" s="512"/>
      <c r="G165" s="15" t="s">
        <v>238</v>
      </c>
      <c r="H165" s="92">
        <v>45440</v>
      </c>
      <c r="I165" s="13">
        <v>9.7808799999999998</v>
      </c>
      <c r="J165" s="13">
        <v>125.489118</v>
      </c>
      <c r="K165" s="13" t="s">
        <v>261</v>
      </c>
      <c r="L165" s="13" t="s">
        <v>199</v>
      </c>
    </row>
    <row r="166" spans="1:12" ht="12.75">
      <c r="A166" s="6">
        <v>165</v>
      </c>
      <c r="B166" s="8" t="s">
        <v>79</v>
      </c>
      <c r="C166" s="8" t="s">
        <v>1665</v>
      </c>
      <c r="D166" s="6" t="s">
        <v>2119</v>
      </c>
      <c r="E166" s="54" t="s">
        <v>510</v>
      </c>
      <c r="F166" s="525" t="s">
        <v>511</v>
      </c>
      <c r="G166" s="15" t="s">
        <v>128</v>
      </c>
      <c r="H166" s="92">
        <v>45581</v>
      </c>
      <c r="I166" s="13">
        <v>9.8123750699999999</v>
      </c>
      <c r="J166" s="13">
        <v>126.1638323</v>
      </c>
      <c r="K166" s="13" t="s">
        <v>513</v>
      </c>
      <c r="L166" s="13" t="s">
        <v>199</v>
      </c>
    </row>
    <row r="167" spans="1:12" ht="12.75">
      <c r="A167" s="6">
        <v>166</v>
      </c>
      <c r="B167" s="8" t="s">
        <v>79</v>
      </c>
      <c r="C167" s="8" t="s">
        <v>1665</v>
      </c>
      <c r="D167" s="6" t="s">
        <v>2119</v>
      </c>
      <c r="E167" s="55" t="s">
        <v>517</v>
      </c>
      <c r="F167" s="511"/>
      <c r="G167" s="15" t="s">
        <v>128</v>
      </c>
      <c r="H167" s="92">
        <v>45581</v>
      </c>
      <c r="I167" s="13">
        <v>9.8127084199999999</v>
      </c>
      <c r="J167" s="13">
        <v>126.16365279999999</v>
      </c>
      <c r="K167" s="13" t="s">
        <v>513</v>
      </c>
      <c r="L167" s="13" t="s">
        <v>89</v>
      </c>
    </row>
    <row r="168" spans="1:12" ht="12.75">
      <c r="A168" s="6">
        <v>167</v>
      </c>
      <c r="B168" s="8" t="s">
        <v>79</v>
      </c>
      <c r="C168" s="8" t="s">
        <v>1665</v>
      </c>
      <c r="D168" s="6" t="s">
        <v>2119</v>
      </c>
      <c r="E168" s="55" t="s">
        <v>518</v>
      </c>
      <c r="F168" s="512"/>
      <c r="G168" s="15" t="s">
        <v>128</v>
      </c>
      <c r="H168" s="92">
        <v>45581</v>
      </c>
      <c r="I168" s="13">
        <v>9.8121245199999994</v>
      </c>
      <c r="J168" s="13">
        <v>126.16345440000001</v>
      </c>
      <c r="K168" s="13" t="s">
        <v>513</v>
      </c>
      <c r="L168" s="13" t="s">
        <v>89</v>
      </c>
    </row>
    <row r="169" spans="1:12" ht="12.75">
      <c r="A169" s="6">
        <v>168</v>
      </c>
      <c r="B169" s="8" t="s">
        <v>79</v>
      </c>
      <c r="C169" s="8" t="s">
        <v>15</v>
      </c>
      <c r="D169" s="6" t="s">
        <v>2119</v>
      </c>
      <c r="E169" s="55" t="s">
        <v>519</v>
      </c>
      <c r="F169" s="525" t="s">
        <v>520</v>
      </c>
      <c r="G169" s="15" t="s">
        <v>207</v>
      </c>
      <c r="H169" s="92">
        <v>45582</v>
      </c>
      <c r="I169" s="13">
        <v>9.7826132999999995</v>
      </c>
      <c r="J169" s="13">
        <v>126.15794219999999</v>
      </c>
      <c r="K169" s="13" t="s">
        <v>513</v>
      </c>
      <c r="L169" s="13" t="s">
        <v>89</v>
      </c>
    </row>
    <row r="170" spans="1:12" ht="12.75">
      <c r="A170" s="6">
        <v>169</v>
      </c>
      <c r="B170" s="8" t="s">
        <v>79</v>
      </c>
      <c r="C170" s="8" t="s">
        <v>15</v>
      </c>
      <c r="D170" s="6" t="s">
        <v>2119</v>
      </c>
      <c r="E170" s="70" t="s">
        <v>521</v>
      </c>
      <c r="F170" s="511"/>
      <c r="G170" s="15" t="s">
        <v>207</v>
      </c>
      <c r="H170" s="92">
        <v>45582</v>
      </c>
      <c r="I170" s="13">
        <v>9.7824388100000004</v>
      </c>
      <c r="J170" s="13">
        <v>126.1579481</v>
      </c>
      <c r="K170" s="13" t="s">
        <v>513</v>
      </c>
      <c r="L170" s="13" t="s">
        <v>89</v>
      </c>
    </row>
    <row r="171" spans="1:12" ht="12.75">
      <c r="A171" s="6">
        <v>170</v>
      </c>
      <c r="B171" s="8" t="s">
        <v>79</v>
      </c>
      <c r="C171" s="8" t="s">
        <v>15</v>
      </c>
      <c r="D171" s="6" t="s">
        <v>2119</v>
      </c>
      <c r="E171" s="70" t="s">
        <v>522</v>
      </c>
      <c r="F171" s="511"/>
      <c r="G171" s="15" t="s">
        <v>374</v>
      </c>
      <c r="H171" s="92">
        <v>45582</v>
      </c>
      <c r="I171" s="13">
        <v>9.7824229999999996</v>
      </c>
      <c r="J171" s="13">
        <v>126.157258</v>
      </c>
      <c r="K171" s="13" t="s">
        <v>513</v>
      </c>
      <c r="L171" s="13" t="s">
        <v>89</v>
      </c>
    </row>
    <row r="172" spans="1:12" ht="12.75">
      <c r="A172" s="6">
        <v>171</v>
      </c>
      <c r="B172" s="8" t="s">
        <v>79</v>
      </c>
      <c r="C172" s="8" t="s">
        <v>15</v>
      </c>
      <c r="D172" s="6" t="s">
        <v>2119</v>
      </c>
      <c r="E172" s="70" t="s">
        <v>524</v>
      </c>
      <c r="F172" s="512"/>
      <c r="G172" s="15" t="s">
        <v>238</v>
      </c>
      <c r="H172" s="92">
        <v>45582</v>
      </c>
      <c r="I172" s="13">
        <v>9.7824287400000003</v>
      </c>
      <c r="J172" s="13">
        <v>126.15844199999999</v>
      </c>
      <c r="K172" s="13" t="s">
        <v>513</v>
      </c>
      <c r="L172" s="13" t="s">
        <v>89</v>
      </c>
    </row>
    <row r="173" spans="1:12" ht="12.75">
      <c r="A173" s="6">
        <v>172</v>
      </c>
      <c r="B173" s="8" t="s">
        <v>79</v>
      </c>
      <c r="C173" s="8" t="s">
        <v>258</v>
      </c>
      <c r="D173" s="6" t="s">
        <v>2119</v>
      </c>
      <c r="E173" s="70" t="s">
        <v>526</v>
      </c>
      <c r="F173" s="525" t="s">
        <v>529</v>
      </c>
      <c r="G173" s="15" t="s">
        <v>238</v>
      </c>
      <c r="H173" s="92">
        <v>45580</v>
      </c>
      <c r="I173" s="13">
        <v>9.8407395300000005</v>
      </c>
      <c r="J173" s="13">
        <v>126.1400117</v>
      </c>
      <c r="K173" s="13" t="s">
        <v>513</v>
      </c>
      <c r="L173" s="13" t="s">
        <v>89</v>
      </c>
    </row>
    <row r="174" spans="1:12" ht="12.75">
      <c r="A174" s="6">
        <v>173</v>
      </c>
      <c r="B174" s="8" t="s">
        <v>79</v>
      </c>
      <c r="C174" s="8" t="s">
        <v>258</v>
      </c>
      <c r="D174" s="6" t="s">
        <v>2119</v>
      </c>
      <c r="E174" s="70" t="s">
        <v>528</v>
      </c>
      <c r="F174" s="511"/>
      <c r="G174" s="15" t="s">
        <v>155</v>
      </c>
      <c r="H174" s="92">
        <v>45580</v>
      </c>
      <c r="I174" s="13">
        <v>9.8409222599999993</v>
      </c>
      <c r="J174" s="13">
        <v>126.13875</v>
      </c>
      <c r="K174" s="13" t="s">
        <v>513</v>
      </c>
      <c r="L174" s="13" t="s">
        <v>89</v>
      </c>
    </row>
    <row r="175" spans="1:12" ht="12.75">
      <c r="A175" s="6">
        <v>174</v>
      </c>
      <c r="B175" s="8" t="s">
        <v>79</v>
      </c>
      <c r="C175" s="8" t="s">
        <v>258</v>
      </c>
      <c r="D175" s="6" t="s">
        <v>2119</v>
      </c>
      <c r="E175" s="70" t="s">
        <v>530</v>
      </c>
      <c r="F175" s="512"/>
      <c r="G175" s="15" t="s">
        <v>374</v>
      </c>
      <c r="H175" s="92">
        <v>45580</v>
      </c>
      <c r="I175" s="13">
        <v>9.8409222599999993</v>
      </c>
      <c r="J175" s="13">
        <v>126.13875</v>
      </c>
      <c r="K175" s="13" t="s">
        <v>513</v>
      </c>
      <c r="L175" s="13" t="s">
        <v>199</v>
      </c>
    </row>
    <row r="176" spans="1:12" ht="12.75">
      <c r="A176" s="6">
        <v>175</v>
      </c>
      <c r="B176" s="8" t="s">
        <v>79</v>
      </c>
      <c r="C176" s="8" t="s">
        <v>1723</v>
      </c>
      <c r="D176" s="6" t="s">
        <v>2119</v>
      </c>
      <c r="E176" s="70" t="s">
        <v>531</v>
      </c>
      <c r="F176" s="525" t="s">
        <v>536</v>
      </c>
      <c r="G176" s="15" t="s">
        <v>207</v>
      </c>
      <c r="H176" s="92">
        <v>45601</v>
      </c>
      <c r="I176" s="13" t="s">
        <v>1724</v>
      </c>
      <c r="J176" s="13" t="s">
        <v>1725</v>
      </c>
      <c r="K176" s="13" t="s">
        <v>513</v>
      </c>
      <c r="L176" s="13" t="s">
        <v>199</v>
      </c>
    </row>
    <row r="177" spans="1:12" ht="12.75">
      <c r="A177" s="6">
        <v>176</v>
      </c>
      <c r="B177" s="8" t="s">
        <v>79</v>
      </c>
      <c r="C177" s="8" t="s">
        <v>1723</v>
      </c>
      <c r="D177" s="6" t="s">
        <v>2119</v>
      </c>
      <c r="E177" s="70" t="s">
        <v>533</v>
      </c>
      <c r="F177" s="511"/>
      <c r="G177" s="15" t="s">
        <v>207</v>
      </c>
      <c r="H177" s="92">
        <v>45601</v>
      </c>
      <c r="I177" s="13" t="s">
        <v>1737</v>
      </c>
      <c r="J177" s="13" t="s">
        <v>1738</v>
      </c>
      <c r="K177" s="13" t="s">
        <v>513</v>
      </c>
      <c r="L177" s="13" t="s">
        <v>199</v>
      </c>
    </row>
    <row r="178" spans="1:12" ht="12.75">
      <c r="A178" s="6">
        <v>177</v>
      </c>
      <c r="B178" s="8" t="s">
        <v>79</v>
      </c>
      <c r="C178" s="8" t="s">
        <v>1723</v>
      </c>
      <c r="D178" s="6" t="s">
        <v>2119</v>
      </c>
      <c r="E178" s="70" t="s">
        <v>534</v>
      </c>
      <c r="F178" s="511"/>
      <c r="G178" s="15" t="s">
        <v>374</v>
      </c>
      <c r="H178" s="92">
        <v>45583</v>
      </c>
      <c r="I178" s="13">
        <v>9.7968492299999994</v>
      </c>
      <c r="J178" s="13">
        <v>126.1008222</v>
      </c>
      <c r="K178" s="13" t="s">
        <v>513</v>
      </c>
      <c r="L178" s="13" t="s">
        <v>199</v>
      </c>
    </row>
    <row r="179" spans="1:12" ht="12.75">
      <c r="A179" s="6">
        <v>178</v>
      </c>
      <c r="B179" s="8" t="s">
        <v>79</v>
      </c>
      <c r="C179" s="8" t="s">
        <v>1723</v>
      </c>
      <c r="D179" s="6" t="s">
        <v>2119</v>
      </c>
      <c r="E179" s="70" t="s">
        <v>83</v>
      </c>
      <c r="F179" s="512"/>
      <c r="G179" s="15" t="s">
        <v>155</v>
      </c>
      <c r="H179" s="92">
        <v>45583</v>
      </c>
      <c r="I179" s="13">
        <v>9.7960316699999996</v>
      </c>
      <c r="J179" s="13">
        <v>126.2087296</v>
      </c>
      <c r="K179" s="13" t="s">
        <v>513</v>
      </c>
      <c r="L179" s="13" t="s">
        <v>89</v>
      </c>
    </row>
    <row r="180" spans="1:12" ht="12.75">
      <c r="A180" s="6">
        <v>179</v>
      </c>
      <c r="B180" s="8" t="s">
        <v>13</v>
      </c>
      <c r="C180" s="8" t="s">
        <v>15</v>
      </c>
      <c r="D180" s="6" t="s">
        <v>2119</v>
      </c>
      <c r="E180" s="70" t="s">
        <v>537</v>
      </c>
      <c r="F180" s="525" t="str">
        <f>LEFT(E180,FIND("_",E180) - 1)</f>
        <v>Burgos National High School</v>
      </c>
      <c r="G180" s="15" t="s">
        <v>207</v>
      </c>
      <c r="H180" s="92">
        <v>45567</v>
      </c>
      <c r="I180" s="13">
        <v>10.01681262</v>
      </c>
      <c r="J180" s="13">
        <v>126.074563</v>
      </c>
      <c r="K180" s="13" t="s">
        <v>513</v>
      </c>
      <c r="L180" s="13" t="s">
        <v>199</v>
      </c>
    </row>
    <row r="181" spans="1:12" ht="12.75">
      <c r="A181" s="6">
        <v>180</v>
      </c>
      <c r="B181" s="8" t="s">
        <v>13</v>
      </c>
      <c r="C181" s="8" t="s">
        <v>15</v>
      </c>
      <c r="D181" s="6" t="s">
        <v>2119</v>
      </c>
      <c r="E181" s="70" t="s">
        <v>539</v>
      </c>
      <c r="F181" s="511"/>
      <c r="G181" s="15" t="s">
        <v>207</v>
      </c>
      <c r="H181" s="92">
        <v>45567</v>
      </c>
      <c r="I181" s="13">
        <v>10.01681262</v>
      </c>
      <c r="J181" s="13">
        <v>126.074563</v>
      </c>
      <c r="K181" s="13" t="s">
        <v>513</v>
      </c>
      <c r="L181" s="13" t="s">
        <v>199</v>
      </c>
    </row>
    <row r="182" spans="1:12" ht="12.75">
      <c r="A182" s="6">
        <v>181</v>
      </c>
      <c r="B182" s="8" t="s">
        <v>13</v>
      </c>
      <c r="C182" s="8" t="s">
        <v>15</v>
      </c>
      <c r="D182" s="6" t="s">
        <v>2119</v>
      </c>
      <c r="E182" s="70" t="s">
        <v>1778</v>
      </c>
      <c r="F182" s="512"/>
      <c r="G182" s="15" t="s">
        <v>374</v>
      </c>
      <c r="H182" s="92">
        <v>45567</v>
      </c>
      <c r="I182" s="13">
        <v>10.016940419999999</v>
      </c>
      <c r="J182" s="13">
        <v>126.07366930000001</v>
      </c>
      <c r="K182" s="13" t="s">
        <v>513</v>
      </c>
      <c r="L182" s="13" t="s">
        <v>199</v>
      </c>
    </row>
    <row r="183" spans="1:12" ht="12.75">
      <c r="A183" s="6">
        <v>182</v>
      </c>
      <c r="B183" s="8" t="s">
        <v>13</v>
      </c>
      <c r="C183" s="8" t="s">
        <v>1788</v>
      </c>
      <c r="D183" s="6" t="s">
        <v>2119</v>
      </c>
      <c r="E183" s="117" t="s">
        <v>1789</v>
      </c>
      <c r="F183" s="525" t="str">
        <f>LEFT(E183,FIND("_",E183) - 1)</f>
        <v>Matin-ao Barangay Hall</v>
      </c>
      <c r="G183" s="15" t="s">
        <v>155</v>
      </c>
      <c r="H183" s="92">
        <v>45566</v>
      </c>
      <c r="I183" s="13">
        <v>9.9666666999999993</v>
      </c>
      <c r="J183" s="13">
        <v>126.0738131</v>
      </c>
      <c r="K183" s="13" t="s">
        <v>513</v>
      </c>
      <c r="L183" s="13" t="s">
        <v>89</v>
      </c>
    </row>
    <row r="184" spans="1:12" ht="12.75">
      <c r="A184" s="6">
        <v>183</v>
      </c>
      <c r="B184" s="8" t="s">
        <v>13</v>
      </c>
      <c r="C184" s="8" t="s">
        <v>1788</v>
      </c>
      <c r="D184" s="6" t="s">
        <v>2119</v>
      </c>
      <c r="E184" s="70" t="s">
        <v>544</v>
      </c>
      <c r="F184" s="512"/>
      <c r="G184" s="15" t="s">
        <v>374</v>
      </c>
      <c r="H184" s="92">
        <v>45566</v>
      </c>
      <c r="I184" s="13">
        <v>9.9668931999999995</v>
      </c>
      <c r="J184" s="13">
        <v>126.0736825</v>
      </c>
      <c r="K184" s="13" t="s">
        <v>513</v>
      </c>
      <c r="L184" s="13" t="s">
        <v>89</v>
      </c>
    </row>
    <row r="185" spans="1:12" ht="12.75">
      <c r="A185" s="6">
        <v>184</v>
      </c>
      <c r="B185" s="8" t="s">
        <v>67</v>
      </c>
      <c r="C185" s="8" t="s">
        <v>1804</v>
      </c>
      <c r="D185" s="6" t="s">
        <v>2119</v>
      </c>
      <c r="E185" s="70" t="s">
        <v>1805</v>
      </c>
      <c r="F185" s="525" t="str">
        <f>LEFT(E185,FIND("_",E185) - 1)</f>
        <v>Consolacion Barangay Hall</v>
      </c>
      <c r="G185" s="15" t="s">
        <v>155</v>
      </c>
      <c r="H185" s="92">
        <v>45561</v>
      </c>
      <c r="I185" s="13">
        <v>9.6897739900000008</v>
      </c>
      <c r="J185" s="13">
        <v>126.00788369999999</v>
      </c>
      <c r="K185" s="13" t="s">
        <v>513</v>
      </c>
      <c r="L185" s="13" t="s">
        <v>89</v>
      </c>
    </row>
    <row r="186" spans="1:12" ht="12.75">
      <c r="A186" s="6">
        <v>185</v>
      </c>
      <c r="B186" s="8" t="s">
        <v>67</v>
      </c>
      <c r="C186" s="8" t="s">
        <v>1804</v>
      </c>
      <c r="D186" s="6" t="s">
        <v>2119</v>
      </c>
      <c r="E186" s="70" t="s">
        <v>1822</v>
      </c>
      <c r="F186" s="511"/>
      <c r="G186" s="15" t="s">
        <v>155</v>
      </c>
      <c r="H186" s="92">
        <v>45561</v>
      </c>
      <c r="I186" s="13">
        <v>9.6897739900000008</v>
      </c>
      <c r="J186" s="13">
        <v>126.00788369999999</v>
      </c>
      <c r="K186" s="13" t="s">
        <v>513</v>
      </c>
      <c r="L186" s="13" t="s">
        <v>89</v>
      </c>
    </row>
    <row r="187" spans="1:12" ht="12.75">
      <c r="A187" s="6">
        <v>186</v>
      </c>
      <c r="B187" s="8" t="s">
        <v>67</v>
      </c>
      <c r="C187" s="8" t="s">
        <v>1804</v>
      </c>
      <c r="D187" s="6" t="s">
        <v>2119</v>
      </c>
      <c r="E187" s="70" t="s">
        <v>1826</v>
      </c>
      <c r="F187" s="511"/>
      <c r="G187" s="15" t="s">
        <v>207</v>
      </c>
      <c r="H187" s="92">
        <v>45561</v>
      </c>
      <c r="I187" s="13">
        <v>9.6909738599999997</v>
      </c>
      <c r="J187" s="13">
        <v>126.00930049999999</v>
      </c>
      <c r="K187" s="13" t="s">
        <v>513</v>
      </c>
      <c r="L187" s="13" t="s">
        <v>199</v>
      </c>
    </row>
    <row r="188" spans="1:12" ht="12.75">
      <c r="A188" s="6">
        <v>187</v>
      </c>
      <c r="B188" s="8" t="s">
        <v>67</v>
      </c>
      <c r="C188" s="8" t="s">
        <v>1804</v>
      </c>
      <c r="D188" s="6" t="s">
        <v>2119</v>
      </c>
      <c r="E188" s="70" t="s">
        <v>1834</v>
      </c>
      <c r="F188" s="511"/>
      <c r="G188" s="15" t="s">
        <v>207</v>
      </c>
      <c r="H188" s="92">
        <v>45561</v>
      </c>
      <c r="I188" s="13">
        <v>9.6909738599999997</v>
      </c>
      <c r="J188" s="13">
        <v>126.00930049999999</v>
      </c>
      <c r="K188" s="13" t="s">
        <v>513</v>
      </c>
      <c r="L188" s="13" t="s">
        <v>199</v>
      </c>
    </row>
    <row r="189" spans="1:12" ht="12.75">
      <c r="A189" s="6">
        <v>188</v>
      </c>
      <c r="B189" s="8" t="s">
        <v>67</v>
      </c>
      <c r="C189" s="8" t="s">
        <v>1804</v>
      </c>
      <c r="D189" s="6" t="s">
        <v>2119</v>
      </c>
      <c r="E189" s="70" t="s">
        <v>1835</v>
      </c>
      <c r="F189" s="512"/>
      <c r="G189" s="15" t="s">
        <v>374</v>
      </c>
      <c r="H189" s="92">
        <v>45561</v>
      </c>
      <c r="I189" s="13">
        <v>9.6912521999999992</v>
      </c>
      <c r="J189" s="13">
        <v>126.00746599999999</v>
      </c>
      <c r="K189" s="13" t="s">
        <v>513</v>
      </c>
      <c r="L189" s="13" t="s">
        <v>199</v>
      </c>
    </row>
    <row r="190" spans="1:12" ht="12.75">
      <c r="A190" s="6">
        <v>189</v>
      </c>
      <c r="B190" s="8" t="s">
        <v>67</v>
      </c>
      <c r="C190" s="8" t="s">
        <v>1848</v>
      </c>
      <c r="D190" s="6" t="s">
        <v>2119</v>
      </c>
      <c r="E190" s="50" t="s">
        <v>110</v>
      </c>
      <c r="F190" s="525" t="str">
        <f>LEFT(E190,FIND("_",E190) - 1)</f>
        <v>Siargao Island Medical Center</v>
      </c>
      <c r="G190" s="15" t="s">
        <v>553</v>
      </c>
      <c r="H190" s="92">
        <v>45688</v>
      </c>
      <c r="I190" s="13">
        <v>9.7586759500000007</v>
      </c>
      <c r="J190" s="13">
        <v>126.0574337</v>
      </c>
      <c r="K190" s="13" t="s">
        <v>513</v>
      </c>
      <c r="L190" s="13" t="s">
        <v>89</v>
      </c>
    </row>
    <row r="191" spans="1:12" ht="12.75">
      <c r="A191" s="6">
        <v>190</v>
      </c>
      <c r="B191" s="8" t="s">
        <v>67</v>
      </c>
      <c r="C191" s="8" t="s">
        <v>1848</v>
      </c>
      <c r="D191" s="6" t="s">
        <v>2119</v>
      </c>
      <c r="E191" s="50" t="s">
        <v>129</v>
      </c>
      <c r="F191" s="598"/>
      <c r="G191" s="15" t="s">
        <v>553</v>
      </c>
      <c r="H191" s="92">
        <v>45688</v>
      </c>
      <c r="I191" s="13">
        <v>9.7586759500000007</v>
      </c>
      <c r="J191" s="13">
        <v>126.0574337</v>
      </c>
      <c r="K191" s="13" t="s">
        <v>513</v>
      </c>
      <c r="L191" s="13" t="s">
        <v>89</v>
      </c>
    </row>
    <row r="192" spans="1:12" ht="12.75">
      <c r="A192" s="6">
        <v>191</v>
      </c>
      <c r="B192" s="8" t="s">
        <v>67</v>
      </c>
      <c r="C192" s="8" t="s">
        <v>1848</v>
      </c>
      <c r="D192" s="6" t="s">
        <v>2119</v>
      </c>
      <c r="E192" s="50" t="s">
        <v>135</v>
      </c>
      <c r="F192" s="599"/>
      <c r="G192" s="15" t="s">
        <v>553</v>
      </c>
      <c r="H192" s="92">
        <v>45688</v>
      </c>
      <c r="I192" s="13">
        <v>9.7586759500000007</v>
      </c>
      <c r="J192" s="13">
        <v>126.0574337</v>
      </c>
      <c r="K192" s="13" t="s">
        <v>513</v>
      </c>
      <c r="L192" s="13" t="s">
        <v>89</v>
      </c>
    </row>
    <row r="193" spans="1:12" ht="12.75">
      <c r="A193" s="6">
        <v>192</v>
      </c>
      <c r="B193" s="8" t="s">
        <v>81</v>
      </c>
      <c r="C193" s="8" t="s">
        <v>1869</v>
      </c>
      <c r="D193" s="6" t="s">
        <v>2119</v>
      </c>
      <c r="E193" s="70" t="s">
        <v>554</v>
      </c>
      <c r="F193" s="597" t="str">
        <f>LEFT(E193,FIND("_",E193) - 1)</f>
        <v>Bitoon Barangay Hall</v>
      </c>
      <c r="G193" s="15" t="s">
        <v>155</v>
      </c>
      <c r="H193" s="92">
        <v>45575</v>
      </c>
      <c r="I193" s="13">
        <v>9.7904040800000001</v>
      </c>
      <c r="J193" s="13">
        <v>126.0110839</v>
      </c>
      <c r="K193" s="13" t="s">
        <v>513</v>
      </c>
      <c r="L193" s="13" t="s">
        <v>89</v>
      </c>
    </row>
    <row r="194" spans="1:12" ht="12.75">
      <c r="A194" s="6">
        <v>193</v>
      </c>
      <c r="B194" s="15" t="s">
        <v>81</v>
      </c>
      <c r="C194" s="8" t="s">
        <v>1869</v>
      </c>
      <c r="D194" s="6" t="s">
        <v>2119</v>
      </c>
      <c r="E194" s="70" t="s">
        <v>556</v>
      </c>
      <c r="F194" s="512"/>
      <c r="G194" s="15" t="s">
        <v>374</v>
      </c>
      <c r="H194" s="92">
        <v>45575</v>
      </c>
      <c r="I194" s="13">
        <v>9.7909622699999996</v>
      </c>
      <c r="J194" s="13">
        <v>126.01117379999999</v>
      </c>
      <c r="K194" s="13" t="s">
        <v>513</v>
      </c>
      <c r="L194" s="13" t="s">
        <v>199</v>
      </c>
    </row>
    <row r="195" spans="1:12" ht="12.75">
      <c r="A195" s="6">
        <v>194</v>
      </c>
      <c r="B195" s="8" t="s">
        <v>81</v>
      </c>
      <c r="C195" s="8" t="s">
        <v>1889</v>
      </c>
      <c r="D195" s="6" t="s">
        <v>2119</v>
      </c>
      <c r="E195" s="70" t="s">
        <v>1890</v>
      </c>
      <c r="F195" s="597" t="str">
        <f>LEFT(E195,FIND("_",E195) - 1)</f>
        <v>Cabugao Barangay Hall</v>
      </c>
      <c r="G195" s="15" t="s">
        <v>155</v>
      </c>
      <c r="H195" s="92">
        <v>45570</v>
      </c>
      <c r="I195" s="13">
        <v>9.5824010000000008</v>
      </c>
      <c r="J195" s="13">
        <v>126.0099115</v>
      </c>
      <c r="K195" s="13" t="s">
        <v>513</v>
      </c>
      <c r="L195" s="13" t="s">
        <v>89</v>
      </c>
    </row>
    <row r="196" spans="1:12" ht="12.75">
      <c r="A196" s="6">
        <v>195</v>
      </c>
      <c r="B196" s="8" t="s">
        <v>81</v>
      </c>
      <c r="C196" s="8" t="s">
        <v>1889</v>
      </c>
      <c r="D196" s="6" t="s">
        <v>2119</v>
      </c>
      <c r="E196" s="70" t="s">
        <v>1900</v>
      </c>
      <c r="F196" s="512"/>
      <c r="G196" s="15" t="s">
        <v>374</v>
      </c>
      <c r="H196" s="92">
        <v>45570</v>
      </c>
      <c r="I196" s="13">
        <v>9.8019778899999999</v>
      </c>
      <c r="J196" s="13">
        <v>126.0095889</v>
      </c>
      <c r="K196" s="13" t="s">
        <v>513</v>
      </c>
      <c r="L196" s="13" t="s">
        <v>199</v>
      </c>
    </row>
    <row r="197" spans="1:12" ht="12.75">
      <c r="A197" s="6">
        <v>196</v>
      </c>
      <c r="B197" s="8" t="s">
        <v>81</v>
      </c>
      <c r="C197" s="8" t="s">
        <v>283</v>
      </c>
      <c r="D197" s="6" t="s">
        <v>2119</v>
      </c>
      <c r="E197" s="70" t="s">
        <v>137</v>
      </c>
      <c r="F197" s="597" t="str">
        <f>LEFT(E197,FIND("_",E197) - 1)</f>
        <v>Bagakay Barangay Hall</v>
      </c>
      <c r="G197" s="15" t="s">
        <v>155</v>
      </c>
      <c r="H197" s="92">
        <v>45576</v>
      </c>
      <c r="I197" s="13">
        <v>9.8955821999999998</v>
      </c>
      <c r="J197" s="13">
        <v>126.0275461</v>
      </c>
      <c r="K197" s="13" t="s">
        <v>513</v>
      </c>
      <c r="L197" s="13" t="s">
        <v>89</v>
      </c>
    </row>
    <row r="198" spans="1:12" ht="12.75">
      <c r="A198" s="6">
        <v>197</v>
      </c>
      <c r="B198" s="8" t="s">
        <v>81</v>
      </c>
      <c r="C198" s="8" t="s">
        <v>283</v>
      </c>
      <c r="D198" s="6" t="s">
        <v>2119</v>
      </c>
      <c r="E198" s="70" t="s">
        <v>1925</v>
      </c>
      <c r="F198" s="512"/>
      <c r="G198" s="15" t="s">
        <v>374</v>
      </c>
      <c r="H198" s="92">
        <v>45576</v>
      </c>
      <c r="I198" s="13">
        <v>9.8957569400000001</v>
      </c>
      <c r="J198" s="13">
        <v>126.026736</v>
      </c>
      <c r="K198" s="13" t="s">
        <v>513</v>
      </c>
      <c r="L198" s="13" t="s">
        <v>199</v>
      </c>
    </row>
    <row r="199" spans="1:12" ht="12.75">
      <c r="A199" s="6">
        <v>198</v>
      </c>
      <c r="B199" s="8" t="s">
        <v>81</v>
      </c>
      <c r="C199" s="8" t="s">
        <v>1934</v>
      </c>
      <c r="D199" s="6" t="s">
        <v>2119</v>
      </c>
      <c r="E199" s="70" t="s">
        <v>562</v>
      </c>
      <c r="F199" s="597" t="str">
        <f>LEFT(E199,FIND("_",E199) - 1)</f>
        <v>Del Carmen National High School</v>
      </c>
      <c r="G199" s="15" t="s">
        <v>207</v>
      </c>
      <c r="H199" s="92">
        <v>45595</v>
      </c>
      <c r="I199" s="13" t="s">
        <v>1936</v>
      </c>
      <c r="J199" s="13" t="s">
        <v>1937</v>
      </c>
      <c r="K199" s="13" t="s">
        <v>513</v>
      </c>
      <c r="L199" s="13" t="s">
        <v>199</v>
      </c>
    </row>
    <row r="200" spans="1:12" ht="12.75">
      <c r="A200" s="6">
        <v>199</v>
      </c>
      <c r="B200" s="8" t="s">
        <v>81</v>
      </c>
      <c r="C200" s="8" t="s">
        <v>1934</v>
      </c>
      <c r="D200" s="6" t="s">
        <v>2119</v>
      </c>
      <c r="E200" s="70" t="s">
        <v>564</v>
      </c>
      <c r="F200" s="511"/>
      <c r="G200" s="13" t="s">
        <v>207</v>
      </c>
      <c r="H200" s="92">
        <v>45596</v>
      </c>
      <c r="I200" s="13" t="s">
        <v>1952</v>
      </c>
      <c r="J200" s="13" t="s">
        <v>1953</v>
      </c>
      <c r="K200" s="13" t="s">
        <v>513</v>
      </c>
      <c r="L200" s="13" t="s">
        <v>89</v>
      </c>
    </row>
    <row r="201" spans="1:12" ht="12.75">
      <c r="A201" s="6">
        <v>200</v>
      </c>
      <c r="B201" s="8" t="s">
        <v>81</v>
      </c>
      <c r="C201" s="8" t="s">
        <v>1934</v>
      </c>
      <c r="D201" s="6" t="s">
        <v>2119</v>
      </c>
      <c r="E201" s="70" t="s">
        <v>149</v>
      </c>
      <c r="F201" s="512"/>
      <c r="G201" s="13" t="s">
        <v>374</v>
      </c>
      <c r="H201" s="92">
        <v>45595</v>
      </c>
      <c r="I201" s="13" t="s">
        <v>1936</v>
      </c>
      <c r="J201" s="13" t="s">
        <v>1937</v>
      </c>
      <c r="K201" s="13" t="s">
        <v>513</v>
      </c>
      <c r="L201" s="13" t="s">
        <v>199</v>
      </c>
    </row>
    <row r="202" spans="1:12" ht="12.75">
      <c r="A202" s="6">
        <v>201</v>
      </c>
      <c r="B202" s="8" t="s">
        <v>113</v>
      </c>
      <c r="C202" s="8" t="s">
        <v>1959</v>
      </c>
      <c r="D202" s="6" t="s">
        <v>2119</v>
      </c>
      <c r="E202" s="70" t="s">
        <v>565</v>
      </c>
      <c r="F202" s="597" t="str">
        <f>LEFT(E202,FIND("_",E202) - 1)</f>
        <v>Caridad Barangay Hall</v>
      </c>
      <c r="G202" s="15" t="s">
        <v>155</v>
      </c>
      <c r="H202" s="92">
        <v>45573</v>
      </c>
      <c r="I202" s="13">
        <v>9.8951607199999998</v>
      </c>
      <c r="J202" s="13">
        <v>126.1093609</v>
      </c>
      <c r="K202" s="13" t="s">
        <v>513</v>
      </c>
      <c r="L202" s="13" t="s">
        <v>199</v>
      </c>
    </row>
    <row r="203" spans="1:12" ht="12.75">
      <c r="A203" s="6">
        <v>202</v>
      </c>
      <c r="B203" s="8" t="s">
        <v>113</v>
      </c>
      <c r="C203" s="8" t="s">
        <v>1959</v>
      </c>
      <c r="D203" s="6" t="s">
        <v>2119</v>
      </c>
      <c r="E203" s="70" t="s">
        <v>568</v>
      </c>
      <c r="F203" s="511"/>
      <c r="G203" s="15" t="s">
        <v>207</v>
      </c>
      <c r="H203" s="92">
        <v>45573</v>
      </c>
      <c r="I203" s="13">
        <v>9.8951834499999993</v>
      </c>
      <c r="J203" s="13">
        <v>126.1096766</v>
      </c>
      <c r="K203" s="13" t="s">
        <v>513</v>
      </c>
      <c r="L203" s="13" t="s">
        <v>199</v>
      </c>
    </row>
    <row r="204" spans="1:12" ht="12.75">
      <c r="A204" s="6">
        <v>203</v>
      </c>
      <c r="B204" s="8" t="s">
        <v>113</v>
      </c>
      <c r="C204" s="8" t="s">
        <v>1959</v>
      </c>
      <c r="D204" s="6" t="s">
        <v>2119</v>
      </c>
      <c r="E204" s="70" t="s">
        <v>156</v>
      </c>
      <c r="F204" s="512"/>
      <c r="G204" s="15" t="s">
        <v>374</v>
      </c>
      <c r="H204" s="92">
        <v>45573</v>
      </c>
      <c r="I204" s="13">
        <v>9.8958943099999992</v>
      </c>
      <c r="J204" s="13">
        <v>126.11028159999999</v>
      </c>
      <c r="K204" s="13" t="s">
        <v>513</v>
      </c>
      <c r="L204" s="13" t="s">
        <v>199</v>
      </c>
    </row>
    <row r="205" spans="1:12" ht="12.75">
      <c r="A205" s="6">
        <v>204</v>
      </c>
      <c r="B205" s="8" t="s">
        <v>113</v>
      </c>
      <c r="C205" s="8" t="s">
        <v>2000</v>
      </c>
      <c r="D205" s="6" t="s">
        <v>2119</v>
      </c>
      <c r="E205" s="70" t="s">
        <v>2001</v>
      </c>
      <c r="F205" s="525" t="s">
        <v>575</v>
      </c>
      <c r="G205" s="15" t="s">
        <v>553</v>
      </c>
      <c r="H205" s="92">
        <v>45574</v>
      </c>
      <c r="I205" s="13">
        <v>9.8649566899999996</v>
      </c>
      <c r="J205" s="13">
        <v>126.10087179999999</v>
      </c>
      <c r="K205" s="13" t="s">
        <v>513</v>
      </c>
      <c r="L205" s="13" t="s">
        <v>89</v>
      </c>
    </row>
    <row r="206" spans="1:12" ht="12.75">
      <c r="A206" s="6">
        <v>205</v>
      </c>
      <c r="B206" s="8" t="s">
        <v>113</v>
      </c>
      <c r="C206" s="8" t="s">
        <v>2000</v>
      </c>
      <c r="D206" s="6" t="s">
        <v>2119</v>
      </c>
      <c r="E206" s="70" t="s">
        <v>572</v>
      </c>
      <c r="F206" s="511"/>
      <c r="G206" s="15" t="s">
        <v>207</v>
      </c>
      <c r="H206" s="92">
        <v>45574</v>
      </c>
      <c r="I206" s="13">
        <v>9.8653713700000001</v>
      </c>
      <c r="J206" s="13">
        <v>126.09960239999999</v>
      </c>
      <c r="K206" s="13" t="s">
        <v>513</v>
      </c>
      <c r="L206" s="13" t="s">
        <v>89</v>
      </c>
    </row>
    <row r="207" spans="1:12" ht="12.75">
      <c r="A207" s="6">
        <v>206</v>
      </c>
      <c r="B207" s="8" t="s">
        <v>113</v>
      </c>
      <c r="C207" s="8" t="s">
        <v>2000</v>
      </c>
      <c r="D207" s="6" t="s">
        <v>2119</v>
      </c>
      <c r="E207" s="70" t="s">
        <v>574</v>
      </c>
      <c r="F207" s="512"/>
      <c r="G207" s="15" t="s">
        <v>374</v>
      </c>
      <c r="H207" s="92">
        <v>45574</v>
      </c>
      <c r="I207" s="13">
        <v>9.8652061999999994</v>
      </c>
      <c r="J207" s="13">
        <v>126.1000537</v>
      </c>
      <c r="K207" s="13" t="s">
        <v>513</v>
      </c>
      <c r="L207" s="13" t="s">
        <v>89</v>
      </c>
    </row>
    <row r="208" spans="1:12" ht="12.75">
      <c r="A208" s="6">
        <v>207</v>
      </c>
      <c r="B208" s="8" t="s">
        <v>165</v>
      </c>
      <c r="C208" s="8" t="s">
        <v>1981</v>
      </c>
      <c r="D208" s="6" t="s">
        <v>2119</v>
      </c>
      <c r="E208" s="70" t="s">
        <v>166</v>
      </c>
      <c r="F208" s="525" t="s">
        <v>578</v>
      </c>
      <c r="G208" s="15" t="s">
        <v>155</v>
      </c>
      <c r="H208" s="92">
        <v>45578</v>
      </c>
      <c r="I208" s="13">
        <v>9.9603052900000009</v>
      </c>
      <c r="J208" s="13">
        <v>126.0075779</v>
      </c>
      <c r="K208" s="13" t="s">
        <v>513</v>
      </c>
      <c r="L208" s="13" t="s">
        <v>199</v>
      </c>
    </row>
    <row r="209" spans="1:12" ht="12.75">
      <c r="A209" s="6">
        <v>208</v>
      </c>
      <c r="B209" s="8" t="s">
        <v>165</v>
      </c>
      <c r="C209" s="8" t="s">
        <v>1981</v>
      </c>
      <c r="D209" s="6" t="s">
        <v>2119</v>
      </c>
      <c r="E209" s="70" t="s">
        <v>577</v>
      </c>
      <c r="F209" s="511"/>
      <c r="G209" s="15" t="s">
        <v>374</v>
      </c>
      <c r="H209" s="92">
        <v>45578</v>
      </c>
      <c r="I209" s="13">
        <v>9.9581590999999996</v>
      </c>
      <c r="J209" s="13">
        <v>126.00709000000001</v>
      </c>
      <c r="K209" s="13" t="s">
        <v>513</v>
      </c>
      <c r="L209" s="13" t="s">
        <v>89</v>
      </c>
    </row>
    <row r="210" spans="1:12" ht="12.75">
      <c r="A210" s="6">
        <v>209</v>
      </c>
      <c r="B210" s="8" t="s">
        <v>165</v>
      </c>
      <c r="C210" s="8" t="s">
        <v>1981</v>
      </c>
      <c r="D210" s="6" t="s">
        <v>2119</v>
      </c>
      <c r="E210" s="70" t="s">
        <v>170</v>
      </c>
      <c r="F210" s="512"/>
      <c r="G210" s="15" t="s">
        <v>491</v>
      </c>
      <c r="H210" s="92">
        <v>45579</v>
      </c>
      <c r="I210" s="13">
        <v>9.9573648499999994</v>
      </c>
      <c r="J210" s="13">
        <v>126.0073194</v>
      </c>
      <c r="K210" s="13" t="s">
        <v>513</v>
      </c>
      <c r="L210" s="13" t="s">
        <v>199</v>
      </c>
    </row>
    <row r="211" spans="1:12" ht="12.75">
      <c r="A211" s="6">
        <v>210</v>
      </c>
      <c r="B211" s="8" t="s">
        <v>165</v>
      </c>
      <c r="C211" s="8" t="s">
        <v>183</v>
      </c>
      <c r="D211" s="6" t="s">
        <v>2119</v>
      </c>
      <c r="E211" s="70" t="s">
        <v>580</v>
      </c>
      <c r="F211" s="597" t="str">
        <f>LEFT(E211,FIND("_",E211) - 1)</f>
        <v>San Benito National high School</v>
      </c>
      <c r="G211" s="15" t="s">
        <v>207</v>
      </c>
      <c r="H211" s="92">
        <v>45577</v>
      </c>
      <c r="I211" s="13">
        <v>9.9476759599999998</v>
      </c>
      <c r="J211" s="13">
        <v>126.0015066</v>
      </c>
      <c r="K211" s="13" t="s">
        <v>513</v>
      </c>
      <c r="L211" s="13" t="s">
        <v>89</v>
      </c>
    </row>
    <row r="212" spans="1:12" ht="12.75">
      <c r="A212" s="6">
        <v>211</v>
      </c>
      <c r="B212" s="8" t="s">
        <v>165</v>
      </c>
      <c r="C212" s="8" t="s">
        <v>183</v>
      </c>
      <c r="D212" s="6" t="s">
        <v>2119</v>
      </c>
      <c r="E212" s="70" t="s">
        <v>582</v>
      </c>
      <c r="F212" s="511"/>
      <c r="G212" s="15" t="s">
        <v>207</v>
      </c>
      <c r="H212" s="92">
        <v>45577</v>
      </c>
      <c r="I212" s="13">
        <v>9.9476759599999998</v>
      </c>
      <c r="J212" s="13">
        <v>126.0015066</v>
      </c>
      <c r="K212" s="13" t="s">
        <v>513</v>
      </c>
      <c r="L212" s="13" t="s">
        <v>89</v>
      </c>
    </row>
    <row r="213" spans="1:12" ht="12.75">
      <c r="A213" s="6">
        <v>212</v>
      </c>
      <c r="B213" s="8" t="s">
        <v>165</v>
      </c>
      <c r="C213" s="8" t="s">
        <v>183</v>
      </c>
      <c r="D213" s="6" t="s">
        <v>2119</v>
      </c>
      <c r="E213" s="70" t="s">
        <v>2071</v>
      </c>
      <c r="F213" s="512"/>
      <c r="G213" s="15" t="s">
        <v>207</v>
      </c>
      <c r="H213" s="92">
        <v>45577</v>
      </c>
      <c r="I213" s="13">
        <v>9.9476759599999998</v>
      </c>
      <c r="J213" s="13">
        <v>126.0015066</v>
      </c>
      <c r="K213" s="13" t="s">
        <v>513</v>
      </c>
      <c r="L213" s="13" t="s">
        <v>89</v>
      </c>
    </row>
    <row r="214" spans="1:12" ht="12.75">
      <c r="A214" s="6">
        <v>213</v>
      </c>
      <c r="B214" s="8" t="s">
        <v>140</v>
      </c>
      <c r="C214" s="8" t="s">
        <v>2049</v>
      </c>
      <c r="D214" s="6" t="s">
        <v>2119</v>
      </c>
      <c r="E214" s="70" t="s">
        <v>585</v>
      </c>
      <c r="F214" s="597" t="str">
        <f>LEFT(E214,FIND("_",E214) - 1)</f>
        <v>San Isidro National High School</v>
      </c>
      <c r="G214" s="15" t="s">
        <v>207</v>
      </c>
      <c r="H214" s="92">
        <v>45568</v>
      </c>
      <c r="I214" s="13">
        <v>9.9355012299999999</v>
      </c>
      <c r="J214" s="13">
        <v>126.0889493</v>
      </c>
      <c r="K214" s="13" t="s">
        <v>513</v>
      </c>
      <c r="L214" s="13" t="s">
        <v>89</v>
      </c>
    </row>
    <row r="215" spans="1:12" ht="12.75">
      <c r="A215" s="6">
        <v>214</v>
      </c>
      <c r="B215" s="8" t="s">
        <v>140</v>
      </c>
      <c r="C215" s="8" t="s">
        <v>2049</v>
      </c>
      <c r="D215" s="6" t="s">
        <v>2119</v>
      </c>
      <c r="E215" s="70" t="s">
        <v>587</v>
      </c>
      <c r="F215" s="511"/>
      <c r="G215" s="15" t="s">
        <v>207</v>
      </c>
      <c r="H215" s="92">
        <v>45568</v>
      </c>
      <c r="I215" s="13">
        <v>9.9355012299999999</v>
      </c>
      <c r="J215" s="13">
        <v>126.0889493</v>
      </c>
      <c r="K215" s="13" t="s">
        <v>513</v>
      </c>
      <c r="L215" s="13" t="s">
        <v>89</v>
      </c>
    </row>
    <row r="216" spans="1:12" ht="12.75">
      <c r="A216" s="6">
        <v>215</v>
      </c>
      <c r="B216" s="8" t="s">
        <v>140</v>
      </c>
      <c r="C216" s="8" t="s">
        <v>2049</v>
      </c>
      <c r="D216" s="6" t="s">
        <v>2119</v>
      </c>
      <c r="E216" s="70" t="s">
        <v>588</v>
      </c>
      <c r="F216" s="512"/>
      <c r="G216" s="15" t="s">
        <v>155</v>
      </c>
      <c r="H216" s="92">
        <v>45568</v>
      </c>
      <c r="I216" s="13">
        <v>9.9362349000000005</v>
      </c>
      <c r="J216" s="13">
        <v>126.089263</v>
      </c>
      <c r="K216" s="13" t="s">
        <v>513</v>
      </c>
      <c r="L216" s="13" t="s">
        <v>89</v>
      </c>
    </row>
    <row r="217" spans="1:12" ht="12.75">
      <c r="A217" s="6">
        <v>216</v>
      </c>
      <c r="B217" s="8" t="s">
        <v>140</v>
      </c>
      <c r="C217" s="8" t="s">
        <v>2051</v>
      </c>
      <c r="D217" s="6" t="s">
        <v>2119</v>
      </c>
      <c r="E217" s="70" t="s">
        <v>590</v>
      </c>
      <c r="F217" s="597" t="str">
        <f>LEFT(E217,FIND("_",E217) - 1)</f>
        <v>Roxas National High School</v>
      </c>
      <c r="G217" s="15" t="s">
        <v>207</v>
      </c>
      <c r="H217" s="92">
        <v>45565</v>
      </c>
      <c r="I217" s="13">
        <v>9.9291041</v>
      </c>
      <c r="J217" s="13">
        <v>126.0568121</v>
      </c>
      <c r="K217" s="13" t="s">
        <v>513</v>
      </c>
      <c r="L217" s="13" t="s">
        <v>89</v>
      </c>
    </row>
    <row r="218" spans="1:12" ht="12.75">
      <c r="A218" s="6">
        <v>217</v>
      </c>
      <c r="B218" s="8" t="s">
        <v>140</v>
      </c>
      <c r="C218" s="8" t="s">
        <v>2051</v>
      </c>
      <c r="D218" s="6" t="s">
        <v>2119</v>
      </c>
      <c r="E218" s="70" t="s">
        <v>592</v>
      </c>
      <c r="F218" s="511"/>
      <c r="G218" s="15" t="s">
        <v>374</v>
      </c>
      <c r="H218" s="92">
        <v>45565</v>
      </c>
      <c r="I218" s="13">
        <v>9.9292522600000002</v>
      </c>
      <c r="J218" s="13">
        <v>126.0565847</v>
      </c>
      <c r="K218" s="13" t="s">
        <v>513</v>
      </c>
      <c r="L218" s="13" t="s">
        <v>89</v>
      </c>
    </row>
    <row r="219" spans="1:12" ht="12.75">
      <c r="A219" s="6">
        <v>218</v>
      </c>
      <c r="B219" s="8" t="s">
        <v>140</v>
      </c>
      <c r="C219" s="8" t="s">
        <v>2051</v>
      </c>
      <c r="D219" s="6" t="s">
        <v>2119</v>
      </c>
      <c r="E219" s="70" t="s">
        <v>594</v>
      </c>
      <c r="F219" s="512"/>
      <c r="G219" s="15" t="s">
        <v>155</v>
      </c>
      <c r="H219" s="92">
        <v>45565</v>
      </c>
      <c r="I219" s="13">
        <v>9.9282031600000007</v>
      </c>
      <c r="J219" s="13">
        <v>126.0549845</v>
      </c>
      <c r="K219" s="13" t="s">
        <v>513</v>
      </c>
      <c r="L219" s="13" t="s">
        <v>199</v>
      </c>
    </row>
    <row r="220" spans="1:12" ht="12.75">
      <c r="A220" s="6">
        <v>219</v>
      </c>
      <c r="B220" s="4" t="s">
        <v>176</v>
      </c>
      <c r="C220" s="8" t="s">
        <v>210</v>
      </c>
      <c r="D220" s="6" t="s">
        <v>2119</v>
      </c>
      <c r="E220" s="70" t="s">
        <v>179</v>
      </c>
      <c r="F220" s="597" t="str">
        <f>LEFT(E220,FIND("_",E220) - 1)</f>
        <v>Sta. Monica Rural Health Unit</v>
      </c>
      <c r="G220" s="15" t="s">
        <v>31</v>
      </c>
      <c r="H220" s="92">
        <v>45569</v>
      </c>
      <c r="I220" s="13">
        <v>10.020357000000001</v>
      </c>
      <c r="J220" s="13">
        <v>126.036468</v>
      </c>
      <c r="K220" s="13" t="s">
        <v>513</v>
      </c>
      <c r="L220" s="13" t="s">
        <v>89</v>
      </c>
    </row>
    <row r="221" spans="1:12" ht="12.75">
      <c r="A221" s="6">
        <v>220</v>
      </c>
      <c r="B221" s="4" t="s">
        <v>176</v>
      </c>
      <c r="C221" s="8" t="s">
        <v>210</v>
      </c>
      <c r="D221" s="6" t="s">
        <v>2119</v>
      </c>
      <c r="E221" s="70" t="s">
        <v>597</v>
      </c>
      <c r="F221" s="511"/>
      <c r="G221" s="15" t="s">
        <v>598</v>
      </c>
      <c r="H221" s="92">
        <v>45569</v>
      </c>
      <c r="I221" s="13">
        <v>10.020357000000001</v>
      </c>
      <c r="J221" s="13">
        <v>126.036468</v>
      </c>
      <c r="K221" s="13" t="s">
        <v>513</v>
      </c>
      <c r="L221" s="13" t="s">
        <v>89</v>
      </c>
    </row>
    <row r="222" spans="1:12" ht="12.75">
      <c r="A222" s="6">
        <v>221</v>
      </c>
      <c r="B222" s="4" t="s">
        <v>176</v>
      </c>
      <c r="C222" s="8" t="s">
        <v>210</v>
      </c>
      <c r="D222" s="6" t="s">
        <v>2119</v>
      </c>
      <c r="E222" s="70" t="s">
        <v>193</v>
      </c>
      <c r="F222" s="512"/>
      <c r="G222" s="15" t="s">
        <v>491</v>
      </c>
      <c r="H222" s="92">
        <v>45569</v>
      </c>
      <c r="I222" s="13">
        <v>10.020357000000001</v>
      </c>
      <c r="J222" s="13">
        <v>126.036468</v>
      </c>
      <c r="K222" s="13" t="s">
        <v>513</v>
      </c>
      <c r="L222" s="13" t="s">
        <v>89</v>
      </c>
    </row>
    <row r="223" spans="1:12" ht="12.75">
      <c r="A223" s="6">
        <v>222</v>
      </c>
      <c r="B223" s="8" t="s">
        <v>196</v>
      </c>
      <c r="C223" s="8" t="s">
        <v>241</v>
      </c>
      <c r="D223" s="6" t="s">
        <v>2119</v>
      </c>
      <c r="E223" s="70" t="s">
        <v>197</v>
      </c>
      <c r="F223" s="525" t="s">
        <v>600</v>
      </c>
      <c r="G223" s="15" t="s">
        <v>374</v>
      </c>
      <c r="H223" s="92">
        <v>45674</v>
      </c>
      <c r="I223" s="13">
        <v>9.6197565300000001</v>
      </c>
      <c r="J223" s="13">
        <v>125.96419400000001</v>
      </c>
      <c r="K223" s="13" t="s">
        <v>513</v>
      </c>
      <c r="L223" s="13" t="s">
        <v>199</v>
      </c>
    </row>
    <row r="224" spans="1:12" ht="12.75">
      <c r="A224" s="6">
        <v>223</v>
      </c>
      <c r="B224" s="8" t="s">
        <v>196</v>
      </c>
      <c r="C224" s="8" t="s">
        <v>241</v>
      </c>
      <c r="D224" s="6" t="s">
        <v>2119</v>
      </c>
      <c r="E224" s="70" t="s">
        <v>599</v>
      </c>
      <c r="F224" s="511"/>
      <c r="G224" s="15" t="s">
        <v>553</v>
      </c>
      <c r="H224" s="92">
        <v>45546</v>
      </c>
      <c r="I224" s="13">
        <v>9.6196971799999993</v>
      </c>
      <c r="J224" s="13">
        <v>125.9613155</v>
      </c>
      <c r="K224" s="13" t="s">
        <v>513</v>
      </c>
      <c r="L224" s="13" t="s">
        <v>89</v>
      </c>
    </row>
    <row r="225" spans="1:12" ht="12.75">
      <c r="A225" s="6">
        <v>224</v>
      </c>
      <c r="B225" s="8" t="s">
        <v>196</v>
      </c>
      <c r="C225" s="8" t="s">
        <v>241</v>
      </c>
      <c r="D225" s="6" t="s">
        <v>2119</v>
      </c>
      <c r="E225" s="70" t="s">
        <v>601</v>
      </c>
      <c r="F225" s="512"/>
      <c r="G225" s="15" t="s">
        <v>553</v>
      </c>
      <c r="H225" s="92">
        <v>45546</v>
      </c>
      <c r="I225" s="13">
        <v>9.6197879299999993</v>
      </c>
      <c r="J225" s="13">
        <v>125.9616092</v>
      </c>
      <c r="K225" s="13" t="s">
        <v>513</v>
      </c>
      <c r="L225" s="13" t="s">
        <v>89</v>
      </c>
    </row>
    <row r="226" spans="1:12" ht="15" customHeight="1">
      <c r="A226" s="6">
        <v>225</v>
      </c>
      <c r="B226" s="8" t="s">
        <v>196</v>
      </c>
      <c r="C226" s="8" t="s">
        <v>2061</v>
      </c>
      <c r="D226" s="6" t="s">
        <v>2119</v>
      </c>
      <c r="E226" s="70" t="s">
        <v>602</v>
      </c>
      <c r="F226" s="597" t="str">
        <f>LEFT(E226,FIND("_",E226) - 1)</f>
        <v>Socorro National High School</v>
      </c>
      <c r="G226" s="15" t="s">
        <v>207</v>
      </c>
      <c r="H226" s="92">
        <v>45544</v>
      </c>
      <c r="I226" s="13">
        <v>9.6144084500000009</v>
      </c>
      <c r="J226" s="13">
        <v>125.96273429999999</v>
      </c>
      <c r="K226" s="13" t="s">
        <v>513</v>
      </c>
      <c r="L226" s="13" t="s">
        <v>89</v>
      </c>
    </row>
    <row r="227" spans="1:12" ht="12.75">
      <c r="A227" s="6">
        <v>226</v>
      </c>
      <c r="B227" s="8" t="s">
        <v>196</v>
      </c>
      <c r="C227" s="8" t="s">
        <v>2061</v>
      </c>
      <c r="D227" s="6" t="s">
        <v>2119</v>
      </c>
      <c r="E227" s="70" t="s">
        <v>604</v>
      </c>
      <c r="F227" s="511"/>
      <c r="G227" s="15" t="s">
        <v>207</v>
      </c>
      <c r="H227" s="92">
        <v>45544</v>
      </c>
      <c r="I227" s="13">
        <v>9.61404076</v>
      </c>
      <c r="J227" s="13">
        <v>125.9629016</v>
      </c>
      <c r="K227" s="13" t="s">
        <v>513</v>
      </c>
      <c r="L227" s="13" t="s">
        <v>89</v>
      </c>
    </row>
    <row r="228" spans="1:12" ht="12.75">
      <c r="A228" s="6">
        <v>227</v>
      </c>
      <c r="B228" s="8" t="s">
        <v>196</v>
      </c>
      <c r="C228" s="8" t="s">
        <v>2061</v>
      </c>
      <c r="D228" s="6" t="s">
        <v>2119</v>
      </c>
      <c r="E228" s="70" t="s">
        <v>202</v>
      </c>
      <c r="F228" s="512"/>
      <c r="G228" s="15" t="s">
        <v>374</v>
      </c>
      <c r="H228" s="92">
        <v>45674</v>
      </c>
      <c r="I228" s="13">
        <v>9.6131130000000002</v>
      </c>
      <c r="J228" s="13">
        <v>125.963888</v>
      </c>
      <c r="K228" s="13" t="s">
        <v>513</v>
      </c>
      <c r="L228" s="13" t="s">
        <v>199</v>
      </c>
    </row>
    <row r="229" spans="1:12" ht="12.75">
      <c r="A229" s="6">
        <v>228</v>
      </c>
      <c r="B229" s="15" t="s">
        <v>196</v>
      </c>
      <c r="C229" s="15" t="s">
        <v>1629</v>
      </c>
      <c r="D229" s="6" t="s">
        <v>2119</v>
      </c>
      <c r="E229" s="70" t="s">
        <v>605</v>
      </c>
      <c r="F229" s="597" t="str">
        <f>LEFT(E229,FIND("_",E229) - 1)</f>
        <v>Salog Barangay Hall</v>
      </c>
      <c r="G229" s="15" t="s">
        <v>155</v>
      </c>
      <c r="H229" s="92">
        <v>45545</v>
      </c>
      <c r="I229" s="13">
        <v>9.6963308099999992</v>
      </c>
      <c r="J229" s="13">
        <v>125.94899150000001</v>
      </c>
      <c r="K229" s="13" t="s">
        <v>513</v>
      </c>
      <c r="L229" s="13" t="s">
        <v>89</v>
      </c>
    </row>
    <row r="230" spans="1:12" ht="12.75">
      <c r="A230" s="6">
        <v>229</v>
      </c>
      <c r="B230" s="8" t="s">
        <v>196</v>
      </c>
      <c r="C230" s="8" t="s">
        <v>1629</v>
      </c>
      <c r="D230" s="6" t="s">
        <v>2119</v>
      </c>
      <c r="E230" s="70" t="s">
        <v>608</v>
      </c>
      <c r="F230" s="511"/>
      <c r="G230" s="15" t="s">
        <v>374</v>
      </c>
      <c r="H230" s="92">
        <v>45545</v>
      </c>
      <c r="I230" s="13">
        <v>9.6958337799999992</v>
      </c>
      <c r="J230" s="13">
        <v>125.9489689</v>
      </c>
      <c r="K230" s="13" t="s">
        <v>513</v>
      </c>
      <c r="L230" s="13" t="s">
        <v>89</v>
      </c>
    </row>
    <row r="231" spans="1:12" ht="12.75">
      <c r="A231" s="6">
        <v>230</v>
      </c>
      <c r="B231" s="8" t="s">
        <v>196</v>
      </c>
      <c r="C231" s="8" t="s">
        <v>1629</v>
      </c>
      <c r="D231" s="6" t="s">
        <v>2119</v>
      </c>
      <c r="E231" s="70" t="s">
        <v>607</v>
      </c>
      <c r="F231" s="512"/>
      <c r="G231" s="15" t="s">
        <v>155</v>
      </c>
      <c r="H231" s="92">
        <v>45545</v>
      </c>
      <c r="I231" s="13">
        <v>9.6965032900000008</v>
      </c>
      <c r="J231" s="13">
        <v>125.9486388</v>
      </c>
      <c r="K231" s="13" t="s">
        <v>513</v>
      </c>
      <c r="L231" s="13" t="s">
        <v>89</v>
      </c>
    </row>
    <row r="232" spans="1:12" ht="12.75">
      <c r="A232" s="6">
        <v>231</v>
      </c>
      <c r="B232" s="8" t="s">
        <v>196</v>
      </c>
      <c r="C232" s="8" t="s">
        <v>1638</v>
      </c>
      <c r="D232" s="6" t="s">
        <v>2119</v>
      </c>
      <c r="E232" s="70" t="s">
        <v>610</v>
      </c>
      <c r="F232" s="597" t="str">
        <f>LEFT(E232,FIND("_",E232) - 1)</f>
        <v>Sohoton Cove Tourism</v>
      </c>
      <c r="G232" s="15" t="s">
        <v>128</v>
      </c>
      <c r="H232" s="92">
        <v>45546</v>
      </c>
      <c r="I232" s="13">
        <v>9.5955293400000006</v>
      </c>
      <c r="J232" s="13">
        <v>125.9104476</v>
      </c>
      <c r="K232" s="13" t="s">
        <v>513</v>
      </c>
      <c r="L232" s="13" t="s">
        <v>89</v>
      </c>
    </row>
    <row r="233" spans="1:12" ht="12.75">
      <c r="A233" s="6">
        <v>232</v>
      </c>
      <c r="B233" s="8" t="s">
        <v>196</v>
      </c>
      <c r="C233" s="8" t="s">
        <v>1638</v>
      </c>
      <c r="D233" s="6" t="s">
        <v>2119</v>
      </c>
      <c r="E233" s="117" t="s">
        <v>612</v>
      </c>
      <c r="F233" s="512"/>
      <c r="G233" s="15" t="s">
        <v>128</v>
      </c>
      <c r="H233" s="92">
        <v>45546</v>
      </c>
      <c r="I233" s="13">
        <v>9.5955284699999996</v>
      </c>
      <c r="J233" s="13">
        <v>125.9103702</v>
      </c>
      <c r="K233" s="13" t="s">
        <v>513</v>
      </c>
      <c r="L233" s="13" t="s">
        <v>89</v>
      </c>
    </row>
    <row r="234" spans="1:12" ht="12.75">
      <c r="A234" s="6">
        <v>233</v>
      </c>
      <c r="B234" s="8" t="s">
        <v>268</v>
      </c>
      <c r="C234" s="8" t="s">
        <v>35</v>
      </c>
      <c r="D234" s="6" t="s">
        <v>1767</v>
      </c>
      <c r="E234" s="117" t="s">
        <v>37</v>
      </c>
      <c r="F234" s="597" t="str">
        <f>LEFT(E234,FIND("_",E234) - 1)</f>
        <v>Surigao Public Market</v>
      </c>
      <c r="G234" s="15" t="s">
        <v>151</v>
      </c>
      <c r="H234" s="92">
        <v>45699</v>
      </c>
      <c r="I234" s="13">
        <v>9.7882857699999999</v>
      </c>
      <c r="J234" s="13">
        <v>125.4982736</v>
      </c>
      <c r="K234" s="13" t="s">
        <v>513</v>
      </c>
      <c r="L234" s="13" t="s">
        <v>199</v>
      </c>
    </row>
    <row r="235" spans="1:12" ht="12.75">
      <c r="A235" s="6">
        <v>234</v>
      </c>
      <c r="B235" s="8" t="s">
        <v>268</v>
      </c>
      <c r="C235" s="8" t="s">
        <v>35</v>
      </c>
      <c r="D235" s="6" t="s">
        <v>1767</v>
      </c>
      <c r="E235" s="117" t="s">
        <v>38</v>
      </c>
      <c r="F235" s="511"/>
      <c r="G235" s="15" t="s">
        <v>151</v>
      </c>
      <c r="H235" s="92">
        <v>45699</v>
      </c>
      <c r="I235" s="13">
        <v>9.7889333700000005</v>
      </c>
      <c r="J235" s="13">
        <v>125.49791039999999</v>
      </c>
      <c r="K235" s="13" t="s">
        <v>513</v>
      </c>
      <c r="L235" s="13" t="s">
        <v>199</v>
      </c>
    </row>
    <row r="236" spans="1:12" ht="12.75">
      <c r="A236" s="6">
        <v>235</v>
      </c>
      <c r="B236" s="8" t="s">
        <v>268</v>
      </c>
      <c r="C236" s="8" t="s">
        <v>35</v>
      </c>
      <c r="D236" s="6" t="s">
        <v>1767</v>
      </c>
      <c r="E236" s="117" t="s">
        <v>39</v>
      </c>
      <c r="F236" s="511"/>
      <c r="G236" s="15" t="s">
        <v>151</v>
      </c>
      <c r="H236" s="92">
        <v>45699</v>
      </c>
      <c r="I236" s="13">
        <v>9.7890107999999998</v>
      </c>
      <c r="J236" s="13">
        <v>125.49769089999999</v>
      </c>
      <c r="K236" s="13" t="s">
        <v>513</v>
      </c>
      <c r="L236" s="13" t="s">
        <v>199</v>
      </c>
    </row>
    <row r="237" spans="1:12" ht="12.75">
      <c r="A237" s="6">
        <v>236</v>
      </c>
      <c r="B237" s="8" t="s">
        <v>268</v>
      </c>
      <c r="C237" s="8" t="s">
        <v>35</v>
      </c>
      <c r="D237" s="6" t="s">
        <v>1767</v>
      </c>
      <c r="E237" s="117" t="s">
        <v>36</v>
      </c>
      <c r="F237" s="512"/>
      <c r="G237" s="15" t="s">
        <v>103</v>
      </c>
      <c r="H237" s="92">
        <v>45699</v>
      </c>
      <c r="I237" s="13">
        <v>9.7883483099999999</v>
      </c>
      <c r="J237" s="13">
        <v>125.4987041</v>
      </c>
      <c r="K237" s="13" t="s">
        <v>513</v>
      </c>
      <c r="L237" s="13" t="s">
        <v>199</v>
      </c>
    </row>
    <row r="238" spans="1:12" ht="12.75">
      <c r="A238" s="6">
        <v>237</v>
      </c>
      <c r="B238" s="8" t="s">
        <v>216</v>
      </c>
      <c r="C238" s="8" t="s">
        <v>1981</v>
      </c>
      <c r="D238" s="6" t="s">
        <v>1767</v>
      </c>
      <c r="E238" s="117" t="s">
        <v>615</v>
      </c>
      <c r="F238" s="597" t="str">
        <f>LEFT(E238,FIND("_",E238) - 1)</f>
        <v>SDN Provincial Hospital</v>
      </c>
      <c r="G238" s="15" t="s">
        <v>553</v>
      </c>
      <c r="H238" s="92">
        <v>45702</v>
      </c>
      <c r="I238" s="228">
        <v>9.6327929799999996</v>
      </c>
      <c r="J238" s="228">
        <v>125.56125350000001</v>
      </c>
      <c r="K238" s="13" t="s">
        <v>513</v>
      </c>
      <c r="L238" s="13" t="s">
        <v>89</v>
      </c>
    </row>
    <row r="239" spans="1:12" ht="12.75">
      <c r="A239" s="6">
        <v>238</v>
      </c>
      <c r="B239" s="8" t="s">
        <v>216</v>
      </c>
      <c r="C239" s="8" t="s">
        <v>1981</v>
      </c>
      <c r="D239" s="6" t="s">
        <v>1767</v>
      </c>
      <c r="E239" s="117" t="s">
        <v>617</v>
      </c>
      <c r="F239" s="511"/>
      <c r="G239" s="15" t="s">
        <v>553</v>
      </c>
      <c r="H239" s="92">
        <v>45702</v>
      </c>
      <c r="I239" s="13">
        <v>9.6324792600000002</v>
      </c>
      <c r="J239" s="13">
        <v>125.56162860000001</v>
      </c>
      <c r="K239" s="13" t="s">
        <v>513</v>
      </c>
      <c r="L239" s="13" t="s">
        <v>89</v>
      </c>
    </row>
    <row r="240" spans="1:12" ht="12.75">
      <c r="A240" s="6">
        <v>239</v>
      </c>
      <c r="B240" s="8" t="s">
        <v>216</v>
      </c>
      <c r="C240" s="8" t="s">
        <v>1981</v>
      </c>
      <c r="D240" s="6" t="s">
        <v>1767</v>
      </c>
      <c r="E240" s="117" t="s">
        <v>618</v>
      </c>
      <c r="F240" s="511"/>
      <c r="G240" s="15" t="s">
        <v>553</v>
      </c>
      <c r="H240" s="92">
        <v>45702</v>
      </c>
      <c r="I240" s="228">
        <v>9.6323211900000008</v>
      </c>
      <c r="J240" s="228">
        <v>125.56157803000001</v>
      </c>
      <c r="K240" s="13" t="s">
        <v>513</v>
      </c>
      <c r="L240" s="13" t="s">
        <v>89</v>
      </c>
    </row>
    <row r="241" spans="1:12" ht="12.75">
      <c r="A241" s="6">
        <v>240</v>
      </c>
      <c r="B241" s="8" t="s">
        <v>216</v>
      </c>
      <c r="C241" s="8" t="s">
        <v>1981</v>
      </c>
      <c r="D241" s="6" t="s">
        <v>1767</v>
      </c>
      <c r="E241" s="117" t="s">
        <v>619</v>
      </c>
      <c r="F241" s="512"/>
      <c r="G241" s="15" t="s">
        <v>553</v>
      </c>
      <c r="H241" s="92">
        <v>45702</v>
      </c>
      <c r="I241" s="228">
        <v>9.6328659299999995</v>
      </c>
      <c r="J241" s="228">
        <v>125.56170324</v>
      </c>
      <c r="K241" s="13" t="s">
        <v>513</v>
      </c>
      <c r="L241" s="13" t="s">
        <v>89</v>
      </c>
    </row>
    <row r="242" spans="1:12" ht="12.75">
      <c r="A242" s="6">
        <v>241</v>
      </c>
      <c r="B242" s="8" t="s">
        <v>81</v>
      </c>
      <c r="C242" s="8" t="s">
        <v>2230</v>
      </c>
      <c r="D242" s="6" t="s">
        <v>2119</v>
      </c>
      <c r="E242" s="11" t="s">
        <v>620</v>
      </c>
      <c r="F242" s="600" t="s">
        <v>621</v>
      </c>
      <c r="G242" s="15" t="s">
        <v>622</v>
      </c>
      <c r="H242" s="92">
        <v>45280</v>
      </c>
      <c r="I242" s="13">
        <v>9.8743937699999993</v>
      </c>
      <c r="J242" s="13">
        <v>125.9700955</v>
      </c>
      <c r="K242" s="13" t="s">
        <v>623</v>
      </c>
      <c r="L242" s="13" t="s">
        <v>2037</v>
      </c>
    </row>
    <row r="243" spans="1:12" ht="12.75">
      <c r="A243" s="6">
        <v>242</v>
      </c>
      <c r="B243" s="8" t="s">
        <v>81</v>
      </c>
      <c r="C243" s="8" t="s">
        <v>2230</v>
      </c>
      <c r="D243" s="6" t="s">
        <v>2119</v>
      </c>
      <c r="E243" s="11" t="s">
        <v>624</v>
      </c>
      <c r="F243" s="511"/>
      <c r="G243" s="15" t="s">
        <v>622</v>
      </c>
      <c r="H243" s="92">
        <v>45280</v>
      </c>
      <c r="I243" s="13">
        <v>9.8743937699999993</v>
      </c>
      <c r="J243" s="13">
        <v>125.9700955</v>
      </c>
      <c r="K243" s="13" t="s">
        <v>623</v>
      </c>
      <c r="L243" s="13" t="s">
        <v>2037</v>
      </c>
    </row>
    <row r="244" spans="1:12" ht="12.75">
      <c r="A244" s="6">
        <v>243</v>
      </c>
      <c r="B244" s="8" t="s">
        <v>81</v>
      </c>
      <c r="C244" s="8" t="s">
        <v>2230</v>
      </c>
      <c r="D244" s="6" t="s">
        <v>2119</v>
      </c>
      <c r="E244" s="11" t="s">
        <v>625</v>
      </c>
      <c r="F244" s="512"/>
      <c r="G244" s="15" t="s">
        <v>622</v>
      </c>
      <c r="H244" s="92">
        <v>45280</v>
      </c>
      <c r="I244" s="13">
        <v>9.8743937699999993</v>
      </c>
      <c r="J244" s="13">
        <v>125.9700955</v>
      </c>
      <c r="K244" s="13" t="s">
        <v>623</v>
      </c>
      <c r="L244" s="13" t="s">
        <v>2037</v>
      </c>
    </row>
    <row r="245" spans="1:12" ht="12.75">
      <c r="A245" s="6">
        <v>244</v>
      </c>
      <c r="B245" s="8" t="s">
        <v>198</v>
      </c>
      <c r="C245" s="8" t="s">
        <v>345</v>
      </c>
      <c r="D245" s="48" t="s">
        <v>1767</v>
      </c>
      <c r="E245" s="11" t="s">
        <v>626</v>
      </c>
      <c r="F245" s="600" t="s">
        <v>627</v>
      </c>
      <c r="G245" s="15" t="s">
        <v>622</v>
      </c>
      <c r="H245" s="92">
        <v>45251</v>
      </c>
      <c r="I245" s="13">
        <v>9.5350731890000002</v>
      </c>
      <c r="J245" s="13">
        <v>125.5581854</v>
      </c>
      <c r="K245" s="13" t="s">
        <v>623</v>
      </c>
      <c r="L245" s="13" t="s">
        <v>2037</v>
      </c>
    </row>
    <row r="246" spans="1:12" ht="12.75">
      <c r="A246" s="6">
        <v>245</v>
      </c>
      <c r="B246" s="8" t="s">
        <v>198</v>
      </c>
      <c r="C246" s="8" t="s">
        <v>345</v>
      </c>
      <c r="D246" s="48" t="s">
        <v>1767</v>
      </c>
      <c r="E246" s="11" t="s">
        <v>628</v>
      </c>
      <c r="F246" s="511"/>
      <c r="G246" s="15" t="s">
        <v>622</v>
      </c>
      <c r="H246" s="92">
        <v>45251</v>
      </c>
      <c r="I246" s="13">
        <v>9.5350731890000002</v>
      </c>
      <c r="J246" s="13">
        <v>125.5581854</v>
      </c>
      <c r="K246" s="13" t="s">
        <v>623</v>
      </c>
      <c r="L246" s="13" t="s">
        <v>2037</v>
      </c>
    </row>
    <row r="247" spans="1:12" ht="12.75">
      <c r="A247" s="6">
        <v>246</v>
      </c>
      <c r="B247" s="8" t="s">
        <v>198</v>
      </c>
      <c r="C247" s="8" t="s">
        <v>345</v>
      </c>
      <c r="D247" s="48" t="s">
        <v>1767</v>
      </c>
      <c r="E247" s="11" t="s">
        <v>629</v>
      </c>
      <c r="F247" s="512"/>
      <c r="G247" s="15" t="s">
        <v>622</v>
      </c>
      <c r="H247" s="92">
        <v>45251</v>
      </c>
      <c r="I247" s="13">
        <v>9.5350731890000002</v>
      </c>
      <c r="J247" s="13">
        <v>125.5581854</v>
      </c>
      <c r="K247" s="13" t="s">
        <v>623</v>
      </c>
      <c r="L247" s="13" t="s">
        <v>2037</v>
      </c>
    </row>
    <row r="248" spans="1:12" ht="12.75">
      <c r="A248" s="6">
        <v>247</v>
      </c>
      <c r="B248" s="8" t="s">
        <v>381</v>
      </c>
      <c r="C248" s="8" t="s">
        <v>2082</v>
      </c>
      <c r="D248" s="48" t="s">
        <v>1767</v>
      </c>
      <c r="E248" s="11" t="s">
        <v>630</v>
      </c>
      <c r="F248" s="600" t="s">
        <v>631</v>
      </c>
      <c r="G248" s="15" t="s">
        <v>622</v>
      </c>
      <c r="H248" s="92">
        <v>45252</v>
      </c>
      <c r="I248" s="13">
        <v>9.6412243830000008</v>
      </c>
      <c r="J248" s="13">
        <v>125.39583500000001</v>
      </c>
      <c r="K248" s="13" t="s">
        <v>623</v>
      </c>
      <c r="L248" s="13" t="s">
        <v>2037</v>
      </c>
    </row>
    <row r="249" spans="1:12" ht="12.75">
      <c r="A249" s="6">
        <v>248</v>
      </c>
      <c r="B249" s="8" t="s">
        <v>381</v>
      </c>
      <c r="C249" s="8" t="s">
        <v>2082</v>
      </c>
      <c r="D249" s="48" t="s">
        <v>1767</v>
      </c>
      <c r="E249" s="11" t="s">
        <v>632</v>
      </c>
      <c r="F249" s="511"/>
      <c r="G249" s="15" t="s">
        <v>622</v>
      </c>
      <c r="H249" s="92">
        <v>45252</v>
      </c>
      <c r="I249" s="13">
        <v>9.6415168359999992</v>
      </c>
      <c r="J249" s="13">
        <v>125.3955224</v>
      </c>
      <c r="K249" s="13" t="s">
        <v>623</v>
      </c>
      <c r="L249" s="13" t="s">
        <v>2037</v>
      </c>
    </row>
    <row r="250" spans="1:12" ht="12.75">
      <c r="A250" s="6">
        <v>249</v>
      </c>
      <c r="B250" s="8" t="s">
        <v>381</v>
      </c>
      <c r="C250" s="8" t="s">
        <v>2082</v>
      </c>
      <c r="D250" s="48" t="s">
        <v>1767</v>
      </c>
      <c r="E250" s="11" t="s">
        <v>633</v>
      </c>
      <c r="F250" s="512"/>
      <c r="G250" s="15" t="s">
        <v>622</v>
      </c>
      <c r="H250" s="92">
        <v>45252</v>
      </c>
      <c r="I250" s="13">
        <v>9.6408941949999996</v>
      </c>
      <c r="J250" s="13">
        <v>125.3958956</v>
      </c>
      <c r="K250" s="13" t="s">
        <v>623</v>
      </c>
      <c r="L250" s="13" t="s">
        <v>2037</v>
      </c>
    </row>
    <row r="251" spans="1:12" ht="12.75">
      <c r="A251" s="6">
        <v>250</v>
      </c>
      <c r="B251" s="4" t="s">
        <v>67</v>
      </c>
      <c r="C251" s="4" t="s">
        <v>308</v>
      </c>
      <c r="D251" s="6" t="s">
        <v>2119</v>
      </c>
      <c r="E251" s="7" t="s">
        <v>310</v>
      </c>
      <c r="F251" s="525" t="str">
        <f>LEFT(E251,FIND("_",E251) - 1)</f>
        <v>Jubang Barangay Hall</v>
      </c>
      <c r="G251" s="13" t="s">
        <v>666</v>
      </c>
      <c r="H251" s="92">
        <v>45757</v>
      </c>
      <c r="I251" s="13">
        <v>9.76106257</v>
      </c>
      <c r="J251" s="13">
        <v>126.0127461</v>
      </c>
      <c r="K251" s="13" t="s">
        <v>311</v>
      </c>
      <c r="L251" s="13" t="s">
        <v>89</v>
      </c>
    </row>
    <row r="252" spans="1:12" ht="12.75">
      <c r="A252" s="6">
        <v>251</v>
      </c>
      <c r="B252" s="4" t="s">
        <v>67</v>
      </c>
      <c r="C252" s="4" t="s">
        <v>308</v>
      </c>
      <c r="D252" s="6" t="s">
        <v>2119</v>
      </c>
      <c r="E252" s="7" t="s">
        <v>314</v>
      </c>
      <c r="F252" s="511"/>
      <c r="G252" s="13" t="s">
        <v>666</v>
      </c>
      <c r="H252" s="92">
        <v>45775</v>
      </c>
      <c r="I252" s="13">
        <v>9.7612396599999993</v>
      </c>
      <c r="J252" s="13">
        <v>126.01277949999999</v>
      </c>
      <c r="K252" s="13" t="s">
        <v>311</v>
      </c>
      <c r="L252" s="13" t="s">
        <v>89</v>
      </c>
    </row>
    <row r="253" spans="1:12" ht="12.75">
      <c r="A253" s="6">
        <v>252</v>
      </c>
      <c r="B253" s="4" t="s">
        <v>67</v>
      </c>
      <c r="C253" s="4" t="s">
        <v>308</v>
      </c>
      <c r="D253" s="6" t="s">
        <v>2119</v>
      </c>
      <c r="E253" s="7" t="s">
        <v>317</v>
      </c>
      <c r="F253" s="512"/>
      <c r="G253" s="13" t="s">
        <v>374</v>
      </c>
      <c r="H253" s="92">
        <v>45776</v>
      </c>
      <c r="I253" s="13">
        <v>9.7610137699999999</v>
      </c>
      <c r="J253" s="13">
        <v>126.0129905</v>
      </c>
      <c r="K253" s="13" t="s">
        <v>311</v>
      </c>
      <c r="L253" s="13" t="s">
        <v>89</v>
      </c>
    </row>
    <row r="254" spans="1:12" ht="12.75">
      <c r="A254" s="6">
        <v>253</v>
      </c>
      <c r="B254" s="4" t="s">
        <v>81</v>
      </c>
      <c r="C254" s="4" t="s">
        <v>320</v>
      </c>
      <c r="D254" s="6" t="s">
        <v>2119</v>
      </c>
      <c r="E254" s="7" t="s">
        <v>323</v>
      </c>
      <c r="F254" s="525" t="str">
        <f>LEFT(E254,FIND("_",E254) - 1)</f>
        <v>Siargao Airport</v>
      </c>
      <c r="G254" s="13" t="s">
        <v>668</v>
      </c>
      <c r="H254" s="92">
        <v>45777</v>
      </c>
      <c r="I254" s="13">
        <v>9.8565553300000008</v>
      </c>
      <c r="J254" s="13">
        <v>126.0160595</v>
      </c>
      <c r="K254" s="13" t="s">
        <v>311</v>
      </c>
      <c r="L254" s="13" t="s">
        <v>89</v>
      </c>
    </row>
    <row r="255" spans="1:12" ht="12.75">
      <c r="A255" s="6">
        <v>254</v>
      </c>
      <c r="B255" s="4" t="s">
        <v>81</v>
      </c>
      <c r="C255" s="4" t="s">
        <v>320</v>
      </c>
      <c r="D255" s="6" t="s">
        <v>2119</v>
      </c>
      <c r="E255" s="7" t="s">
        <v>324</v>
      </c>
      <c r="F255" s="511"/>
      <c r="G255" s="13" t="s">
        <v>668</v>
      </c>
      <c r="H255" s="92">
        <v>45777</v>
      </c>
      <c r="I255" s="13">
        <v>9.8571457500000008</v>
      </c>
      <c r="J255" s="13">
        <v>126.0161797</v>
      </c>
      <c r="K255" s="13" t="s">
        <v>311</v>
      </c>
      <c r="L255" s="13" t="s">
        <v>89</v>
      </c>
    </row>
    <row r="256" spans="1:12" ht="12.75">
      <c r="A256" s="6">
        <v>255</v>
      </c>
      <c r="B256" s="4" t="s">
        <v>81</v>
      </c>
      <c r="C256" s="4" t="s">
        <v>320</v>
      </c>
      <c r="D256" s="6" t="s">
        <v>2119</v>
      </c>
      <c r="E256" s="7" t="s">
        <v>326</v>
      </c>
      <c r="F256" s="511"/>
      <c r="G256" s="13" t="s">
        <v>668</v>
      </c>
      <c r="H256" s="92">
        <v>45777</v>
      </c>
      <c r="I256" s="13">
        <v>9.8570362800000009</v>
      </c>
      <c r="J256" s="13">
        <v>126.01611149999999</v>
      </c>
      <c r="K256" s="13" t="s">
        <v>311</v>
      </c>
      <c r="L256" s="13" t="s">
        <v>89</v>
      </c>
    </row>
    <row r="257" spans="1:12" ht="12.75">
      <c r="A257" s="6">
        <v>256</v>
      </c>
      <c r="B257" s="4" t="s">
        <v>81</v>
      </c>
      <c r="C257" s="4" t="s">
        <v>320</v>
      </c>
      <c r="D257" s="6" t="s">
        <v>2119</v>
      </c>
      <c r="E257" s="7" t="s">
        <v>329</v>
      </c>
      <c r="F257" s="512"/>
      <c r="G257" s="13" t="s">
        <v>668</v>
      </c>
      <c r="H257" s="92">
        <v>45777</v>
      </c>
      <c r="I257" s="13">
        <v>9.8567242099999994</v>
      </c>
      <c r="J257" s="13">
        <v>126.0159702</v>
      </c>
      <c r="K257" s="13" t="s">
        <v>311</v>
      </c>
      <c r="L257" s="13" t="s">
        <v>89</v>
      </c>
    </row>
    <row r="258" spans="1:12" ht="12.75">
      <c r="A258" s="6">
        <v>257</v>
      </c>
      <c r="B258" s="4" t="s">
        <v>67</v>
      </c>
      <c r="C258" s="4" t="s">
        <v>331</v>
      </c>
      <c r="D258" s="6" t="s">
        <v>2119</v>
      </c>
      <c r="E258" s="7" t="s">
        <v>335</v>
      </c>
      <c r="F258" s="525" t="str">
        <f>LEFT(E258,FIND("_",E258) - 1)</f>
        <v>Cabawa Barangay Hall</v>
      </c>
      <c r="G258" s="13" t="s">
        <v>666</v>
      </c>
      <c r="H258" s="92">
        <v>45758</v>
      </c>
      <c r="I258" s="13">
        <v>9.7161117200000007</v>
      </c>
      <c r="J258" s="13">
        <v>126.06116590000001</v>
      </c>
      <c r="K258" s="13" t="s">
        <v>311</v>
      </c>
      <c r="L258" s="13" t="s">
        <v>89</v>
      </c>
    </row>
    <row r="259" spans="1:12" ht="12.75">
      <c r="A259" s="6">
        <v>258</v>
      </c>
      <c r="B259" s="4" t="s">
        <v>67</v>
      </c>
      <c r="C259" s="4" t="s">
        <v>331</v>
      </c>
      <c r="D259" s="6" t="s">
        <v>2119</v>
      </c>
      <c r="E259" s="7" t="s">
        <v>337</v>
      </c>
      <c r="F259" s="511"/>
      <c r="G259" s="13" t="s">
        <v>666</v>
      </c>
      <c r="H259" s="92">
        <v>45780</v>
      </c>
      <c r="I259" s="13">
        <v>9.7158870499999992</v>
      </c>
      <c r="J259" s="13">
        <v>126.06362660000001</v>
      </c>
      <c r="K259" s="13" t="s">
        <v>311</v>
      </c>
      <c r="L259" s="13" t="s">
        <v>199</v>
      </c>
    </row>
    <row r="260" spans="1:12" ht="12.75">
      <c r="A260" s="6">
        <v>259</v>
      </c>
      <c r="B260" s="4" t="s">
        <v>67</v>
      </c>
      <c r="C260" s="4" t="s">
        <v>331</v>
      </c>
      <c r="D260" s="6" t="s">
        <v>2119</v>
      </c>
      <c r="E260" s="7" t="s">
        <v>341</v>
      </c>
      <c r="F260" s="511"/>
      <c r="G260" s="13" t="s">
        <v>374</v>
      </c>
      <c r="H260" s="92">
        <v>45780</v>
      </c>
      <c r="I260" s="13">
        <v>9.7154174500000003</v>
      </c>
      <c r="J260" s="13">
        <v>126.06158670000001</v>
      </c>
      <c r="K260" s="13" t="s">
        <v>311</v>
      </c>
      <c r="L260" s="13" t="s">
        <v>89</v>
      </c>
    </row>
    <row r="261" spans="1:12" ht="12.75">
      <c r="A261" s="6">
        <v>260</v>
      </c>
      <c r="B261" s="4" t="s">
        <v>67</v>
      </c>
      <c r="C261" s="4" t="s">
        <v>331</v>
      </c>
      <c r="D261" s="6" t="s">
        <v>2119</v>
      </c>
      <c r="E261" s="7" t="s">
        <v>343</v>
      </c>
      <c r="F261" s="511"/>
      <c r="G261" s="13" t="s">
        <v>374</v>
      </c>
      <c r="H261" s="92">
        <v>45780</v>
      </c>
      <c r="I261" s="13">
        <v>9.7156800400000005</v>
      </c>
      <c r="J261" s="13">
        <v>126.0616971</v>
      </c>
      <c r="K261" s="13" t="s">
        <v>311</v>
      </c>
      <c r="L261" s="13" t="s">
        <v>199</v>
      </c>
    </row>
    <row r="262" spans="1:12" ht="12.75">
      <c r="A262" s="6">
        <v>261</v>
      </c>
      <c r="B262" s="4" t="s">
        <v>67</v>
      </c>
      <c r="C262" s="61" t="s">
        <v>354</v>
      </c>
      <c r="D262" s="6" t="s">
        <v>2119</v>
      </c>
      <c r="E262" s="7" t="s">
        <v>355</v>
      </c>
      <c r="F262" s="525" t="str">
        <f>LEFT(E262,FIND("_",E262) - 1)</f>
        <v>Dapa New Governement Center</v>
      </c>
      <c r="G262" s="97" t="s">
        <v>2030</v>
      </c>
      <c r="H262" s="92">
        <v>45930</v>
      </c>
      <c r="I262" s="13">
        <v>9.7548038199999993</v>
      </c>
      <c r="J262" s="13">
        <v>126.0951094</v>
      </c>
      <c r="K262" s="13" t="s">
        <v>311</v>
      </c>
      <c r="L262" s="13" t="s">
        <v>89</v>
      </c>
    </row>
    <row r="263" spans="1:12" ht="12.75">
      <c r="A263" s="6">
        <v>262</v>
      </c>
      <c r="B263" s="4" t="s">
        <v>67</v>
      </c>
      <c r="C263" s="61" t="s">
        <v>354</v>
      </c>
      <c r="D263" s="6" t="s">
        <v>2119</v>
      </c>
      <c r="E263" s="7" t="s">
        <v>357</v>
      </c>
      <c r="F263" s="512"/>
      <c r="G263" s="97" t="s">
        <v>2030</v>
      </c>
      <c r="H263" s="92">
        <v>45936</v>
      </c>
      <c r="I263" s="13">
        <v>9.7547863400000008</v>
      </c>
      <c r="J263" s="13">
        <v>126.095219</v>
      </c>
      <c r="K263" s="13" t="s">
        <v>311</v>
      </c>
      <c r="L263" s="13" t="s">
        <v>89</v>
      </c>
    </row>
    <row r="264" spans="1:12" ht="12.75">
      <c r="A264" s="6">
        <v>263</v>
      </c>
      <c r="B264" s="61" t="s">
        <v>381</v>
      </c>
      <c r="C264" s="61" t="s">
        <v>466</v>
      </c>
      <c r="D264" s="48" t="s">
        <v>1767</v>
      </c>
      <c r="E264" s="54" t="s">
        <v>467</v>
      </c>
      <c r="F264" s="538" t="s">
        <v>467</v>
      </c>
      <c r="G264" s="97" t="s">
        <v>553</v>
      </c>
      <c r="H264" s="92">
        <v>45889</v>
      </c>
      <c r="I264" s="13">
        <v>9.6230820000000001</v>
      </c>
      <c r="J264" s="13">
        <v>125.40059100000001</v>
      </c>
      <c r="K264" s="13" t="s">
        <v>350</v>
      </c>
      <c r="L264" s="13" t="s">
        <v>89</v>
      </c>
    </row>
    <row r="265" spans="1:12" ht="12.75">
      <c r="A265" s="6">
        <v>264</v>
      </c>
      <c r="B265" s="61" t="s">
        <v>381</v>
      </c>
      <c r="C265" s="61" t="s">
        <v>466</v>
      </c>
      <c r="D265" s="48" t="s">
        <v>1767</v>
      </c>
      <c r="E265" s="54" t="s">
        <v>469</v>
      </c>
      <c r="F265" s="512"/>
      <c r="G265" s="97" t="s">
        <v>374</v>
      </c>
      <c r="H265" s="92">
        <v>45903</v>
      </c>
      <c r="I265" s="13">
        <v>9.6239659999999994</v>
      </c>
      <c r="J265" s="13">
        <v>125.40291499999999</v>
      </c>
      <c r="K265" s="13" t="s">
        <v>350</v>
      </c>
      <c r="L265" s="13" t="s">
        <v>89</v>
      </c>
    </row>
    <row r="266" spans="1:12" ht="12.75">
      <c r="A266" s="6">
        <v>265</v>
      </c>
      <c r="B266" s="61" t="s">
        <v>67</v>
      </c>
      <c r="C266" s="61" t="s">
        <v>347</v>
      </c>
      <c r="D266" s="6" t="s">
        <v>2119</v>
      </c>
      <c r="E266" s="55" t="s">
        <v>349</v>
      </c>
      <c r="F266" s="601" t="s">
        <v>349</v>
      </c>
      <c r="G266" s="97" t="s">
        <v>207</v>
      </c>
      <c r="H266" s="92">
        <v>45896</v>
      </c>
      <c r="I266" s="13">
        <v>9.7551480000000002</v>
      </c>
      <c r="J266" s="13">
        <v>126.052662</v>
      </c>
      <c r="K266" s="13" t="s">
        <v>350</v>
      </c>
      <c r="L266" s="13" t="s">
        <v>89</v>
      </c>
    </row>
    <row r="267" spans="1:12" ht="12.75">
      <c r="A267" s="6">
        <v>266</v>
      </c>
      <c r="B267" s="61" t="s">
        <v>67</v>
      </c>
      <c r="C267" s="61" t="s">
        <v>347</v>
      </c>
      <c r="D267" s="6" t="s">
        <v>2119</v>
      </c>
      <c r="E267" s="55" t="s">
        <v>353</v>
      </c>
      <c r="F267" s="512"/>
      <c r="G267" s="97" t="s">
        <v>207</v>
      </c>
      <c r="H267" s="92">
        <v>45897</v>
      </c>
      <c r="I267" s="13">
        <v>9.7547069999999998</v>
      </c>
      <c r="J267" s="13">
        <v>126.05245600000001</v>
      </c>
      <c r="K267" s="13" t="s">
        <v>350</v>
      </c>
      <c r="L267" s="13" t="s">
        <v>89</v>
      </c>
    </row>
    <row r="268" spans="1:12" ht="12.75">
      <c r="A268" s="6">
        <v>267</v>
      </c>
      <c r="B268" s="4" t="s">
        <v>216</v>
      </c>
      <c r="C268" s="61" t="s">
        <v>471</v>
      </c>
      <c r="D268" s="48" t="s">
        <v>1767</v>
      </c>
      <c r="E268" s="55" t="s">
        <v>472</v>
      </c>
      <c r="F268" s="601" t="s">
        <v>472</v>
      </c>
      <c r="G268" s="97" t="s">
        <v>374</v>
      </c>
      <c r="H268" s="92">
        <v>45905</v>
      </c>
      <c r="I268" s="13">
        <v>9.628952</v>
      </c>
      <c r="J268" s="13">
        <v>125.617459</v>
      </c>
      <c r="K268" s="13" t="s">
        <v>350</v>
      </c>
      <c r="L268" s="13" t="s">
        <v>89</v>
      </c>
    </row>
    <row r="269" spans="1:12" ht="12.75">
      <c r="A269" s="6">
        <v>268</v>
      </c>
      <c r="B269" s="4" t="s">
        <v>216</v>
      </c>
      <c r="C269" s="61" t="s">
        <v>471</v>
      </c>
      <c r="D269" s="48" t="s">
        <v>1767</v>
      </c>
      <c r="E269" s="55" t="s">
        <v>474</v>
      </c>
      <c r="F269" s="512"/>
      <c r="G269" s="97" t="s">
        <v>666</v>
      </c>
      <c r="H269" s="92">
        <v>45905</v>
      </c>
      <c r="I269" s="13">
        <v>9.6294880000000003</v>
      </c>
      <c r="J269" s="13">
        <v>125.61735299999999</v>
      </c>
      <c r="K269" s="13" t="s">
        <v>350</v>
      </c>
      <c r="L269" s="13" t="s">
        <v>89</v>
      </c>
    </row>
    <row r="270" spans="1:12" ht="12.75">
      <c r="A270" s="6">
        <v>269</v>
      </c>
      <c r="B270" s="4" t="s">
        <v>268</v>
      </c>
      <c r="C270" s="61" t="s">
        <v>4</v>
      </c>
      <c r="D270" s="48" t="s">
        <v>1767</v>
      </c>
      <c r="E270" s="7" t="s">
        <v>11</v>
      </c>
      <c r="F270" s="525" t="s">
        <v>11</v>
      </c>
      <c r="G270" s="97" t="s">
        <v>374</v>
      </c>
      <c r="H270" s="92">
        <v>45909</v>
      </c>
      <c r="I270" s="13">
        <v>9.7399159999999991</v>
      </c>
      <c r="J270" s="13">
        <v>125.544605</v>
      </c>
      <c r="K270" s="13" t="s">
        <v>350</v>
      </c>
      <c r="L270" s="13" t="s">
        <v>89</v>
      </c>
    </row>
    <row r="271" spans="1:12" ht="12.75">
      <c r="A271" s="6">
        <v>270</v>
      </c>
      <c r="B271" s="4" t="s">
        <v>268</v>
      </c>
      <c r="C271" s="61" t="s">
        <v>4</v>
      </c>
      <c r="D271" s="48" t="s">
        <v>1767</v>
      </c>
      <c r="E271" s="7" t="s">
        <v>17</v>
      </c>
      <c r="F271" s="512"/>
      <c r="G271" s="97" t="s">
        <v>207</v>
      </c>
      <c r="H271" s="92">
        <v>45912</v>
      </c>
      <c r="I271" s="13">
        <v>9.7388285724067902</v>
      </c>
      <c r="J271" s="13">
        <v>125.545063693682</v>
      </c>
      <c r="K271" s="13" t="s">
        <v>350</v>
      </c>
      <c r="L271" s="13" t="s">
        <v>199</v>
      </c>
    </row>
    <row r="272" spans="1:12" ht="12.75">
      <c r="A272" s="6">
        <v>271</v>
      </c>
      <c r="B272" s="4" t="s">
        <v>67</v>
      </c>
      <c r="C272" s="61" t="s">
        <v>360</v>
      </c>
      <c r="D272" s="6" t="s">
        <v>2119</v>
      </c>
      <c r="E272" s="7" t="s">
        <v>361</v>
      </c>
      <c r="F272" s="96" t="s">
        <v>361</v>
      </c>
      <c r="G272" s="97" t="s">
        <v>666</v>
      </c>
      <c r="H272" s="92">
        <v>45954</v>
      </c>
      <c r="I272" s="13">
        <v>9.755763</v>
      </c>
      <c r="J272" s="13">
        <v>126.053929</v>
      </c>
      <c r="K272" s="13" t="s">
        <v>362</v>
      </c>
      <c r="L272" s="13" t="s">
        <v>2037</v>
      </c>
    </row>
    <row r="273" spans="1:12" ht="25.5">
      <c r="A273" s="6">
        <v>272</v>
      </c>
      <c r="B273" s="4" t="s">
        <v>67</v>
      </c>
      <c r="C273" s="61" t="s">
        <v>364</v>
      </c>
      <c r="D273" s="6" t="s">
        <v>2119</v>
      </c>
      <c r="E273" s="7" t="s">
        <v>365</v>
      </c>
      <c r="F273" s="96" t="s">
        <v>365</v>
      </c>
      <c r="G273" s="97" t="s">
        <v>271</v>
      </c>
      <c r="H273" s="92">
        <v>45953</v>
      </c>
      <c r="I273" s="13">
        <v>9.7597539999999992</v>
      </c>
      <c r="J273" s="13">
        <v>126.05777999999999</v>
      </c>
      <c r="K273" s="13" t="s">
        <v>362</v>
      </c>
      <c r="L273" s="13" t="s">
        <v>2037</v>
      </c>
    </row>
    <row r="274" spans="1:12" ht="12.75">
      <c r="A274" s="6">
        <v>273</v>
      </c>
      <c r="B274" s="4" t="s">
        <v>67</v>
      </c>
      <c r="C274" s="61" t="s">
        <v>367</v>
      </c>
      <c r="D274" s="6" t="s">
        <v>2119</v>
      </c>
      <c r="E274" s="7" t="s">
        <v>369</v>
      </c>
      <c r="F274" s="96" t="s">
        <v>369</v>
      </c>
      <c r="G274" s="97" t="s">
        <v>666</v>
      </c>
      <c r="H274" s="92">
        <v>45954</v>
      </c>
      <c r="I274" s="13">
        <v>9.7589480000000002</v>
      </c>
      <c r="J274" s="13">
        <v>126.053721</v>
      </c>
      <c r="K274" s="13" t="s">
        <v>362</v>
      </c>
      <c r="L274" s="13" t="s">
        <v>2037</v>
      </c>
    </row>
    <row r="275" spans="1:12" ht="12.75">
      <c r="A275" s="6">
        <v>274</v>
      </c>
      <c r="B275" s="4" t="s">
        <v>268</v>
      </c>
      <c r="C275" s="61" t="s">
        <v>1564</v>
      </c>
      <c r="D275" s="48" t="s">
        <v>1767</v>
      </c>
      <c r="E275" s="7" t="s">
        <v>2337</v>
      </c>
      <c r="F275" s="96" t="s">
        <v>2337</v>
      </c>
      <c r="G275" s="15" t="s">
        <v>155</v>
      </c>
      <c r="H275" s="92">
        <v>45972</v>
      </c>
      <c r="I275" s="13">
        <v>9.7638345999999991</v>
      </c>
      <c r="J275" s="13">
        <v>125.48305868</v>
      </c>
      <c r="K275" s="13" t="s">
        <v>362</v>
      </c>
      <c r="L275" s="13" t="s">
        <v>2037</v>
      </c>
    </row>
    <row r="276" spans="1:12" ht="12.75">
      <c r="A276" s="6">
        <v>275</v>
      </c>
      <c r="B276" s="4" t="s">
        <v>268</v>
      </c>
      <c r="C276" s="61" t="s">
        <v>1564</v>
      </c>
      <c r="D276" s="48" t="s">
        <v>1767</v>
      </c>
      <c r="E276" s="7" t="s">
        <v>2338</v>
      </c>
      <c r="F276" s="96" t="s">
        <v>2338</v>
      </c>
      <c r="G276" s="86" t="s">
        <v>31</v>
      </c>
      <c r="H276" s="92">
        <v>45975</v>
      </c>
      <c r="I276" s="13">
        <v>9.7613928199999993</v>
      </c>
      <c r="J276" s="13">
        <v>125.48482749999999</v>
      </c>
      <c r="K276" s="13" t="s">
        <v>362</v>
      </c>
      <c r="L276" s="13" t="s">
        <v>2037</v>
      </c>
    </row>
    <row r="277" spans="1:12" ht="12.75">
      <c r="A277" s="6">
        <v>276</v>
      </c>
      <c r="B277" s="4" t="s">
        <v>268</v>
      </c>
      <c r="C277" s="61" t="s">
        <v>35</v>
      </c>
      <c r="D277" s="48" t="s">
        <v>1767</v>
      </c>
      <c r="E277" s="7" t="s">
        <v>2339</v>
      </c>
      <c r="F277" s="96" t="s">
        <v>2339</v>
      </c>
      <c r="G277" s="86" t="s">
        <v>31</v>
      </c>
      <c r="H277" s="92">
        <v>45975</v>
      </c>
      <c r="I277" s="13">
        <v>9.7896843199999992</v>
      </c>
      <c r="J277" s="13">
        <v>125.4972468</v>
      </c>
      <c r="K277" s="13" t="s">
        <v>362</v>
      </c>
      <c r="L277" s="13" t="s">
        <v>2037</v>
      </c>
    </row>
    <row r="278" spans="1:12" ht="12.75">
      <c r="A278" s="6">
        <v>277</v>
      </c>
      <c r="B278" s="4" t="s">
        <v>268</v>
      </c>
      <c r="C278" s="61" t="s">
        <v>2340</v>
      </c>
      <c r="D278" s="48" t="s">
        <v>1767</v>
      </c>
      <c r="E278" s="7" t="s">
        <v>2341</v>
      </c>
      <c r="F278" s="96" t="s">
        <v>2341</v>
      </c>
      <c r="G278" s="86" t="s">
        <v>31</v>
      </c>
      <c r="H278" s="92">
        <v>45979</v>
      </c>
      <c r="I278" s="13">
        <v>9.7981244099999998</v>
      </c>
      <c r="J278" s="13">
        <v>125.47233679999999</v>
      </c>
      <c r="K278" s="13" t="s">
        <v>362</v>
      </c>
      <c r="L278" s="13" t="s">
        <v>2037</v>
      </c>
    </row>
    <row r="279" spans="1:12" ht="12.75">
      <c r="A279" s="6">
        <v>278</v>
      </c>
      <c r="B279" s="4" t="s">
        <v>268</v>
      </c>
      <c r="C279" s="61" t="s">
        <v>2342</v>
      </c>
      <c r="D279" s="48" t="s">
        <v>1767</v>
      </c>
      <c r="E279" s="7" t="s">
        <v>2343</v>
      </c>
      <c r="F279" s="96" t="s">
        <v>2343</v>
      </c>
      <c r="G279" s="86" t="s">
        <v>31</v>
      </c>
      <c r="H279" s="92">
        <v>45979</v>
      </c>
      <c r="I279" s="13">
        <v>9.7745038199999996</v>
      </c>
      <c r="J279" s="13">
        <v>125.49747309999999</v>
      </c>
      <c r="K279" s="13" t="s">
        <v>362</v>
      </c>
      <c r="L279" s="13" t="s">
        <v>2037</v>
      </c>
    </row>
    <row r="280" spans="1:12" ht="12.75">
      <c r="A280" s="6">
        <v>279</v>
      </c>
      <c r="B280" s="4" t="s">
        <v>79</v>
      </c>
      <c r="C280" s="61" t="s">
        <v>1665</v>
      </c>
      <c r="D280" s="6" t="s">
        <v>2119</v>
      </c>
      <c r="E280" s="7" t="s">
        <v>643</v>
      </c>
      <c r="F280" s="525" t="s">
        <v>643</v>
      </c>
      <c r="G280" s="97" t="s">
        <v>666</v>
      </c>
      <c r="H280" s="92">
        <v>45980</v>
      </c>
      <c r="I280" s="13">
        <v>9.8070678200000003</v>
      </c>
      <c r="J280" s="13">
        <v>126.15990069</v>
      </c>
      <c r="K280" s="13" t="s">
        <v>1999</v>
      </c>
      <c r="L280" s="13" t="s">
        <v>199</v>
      </c>
    </row>
    <row r="281" spans="1:12" ht="12.75">
      <c r="A281" s="6">
        <v>280</v>
      </c>
      <c r="B281" s="4" t="s">
        <v>79</v>
      </c>
      <c r="C281" s="61" t="s">
        <v>1665</v>
      </c>
      <c r="D281" s="6" t="s">
        <v>2119</v>
      </c>
      <c r="E281" s="7" t="s">
        <v>2344</v>
      </c>
      <c r="F281" s="512"/>
      <c r="G281" s="97" t="s">
        <v>374</v>
      </c>
      <c r="H281" s="92">
        <v>45980</v>
      </c>
      <c r="I281" s="13">
        <v>9.8066755000000008</v>
      </c>
      <c r="J281" s="13">
        <v>126.15984219000001</v>
      </c>
      <c r="K281" s="13" t="s">
        <v>1999</v>
      </c>
      <c r="L281" s="13" t="s">
        <v>199</v>
      </c>
    </row>
    <row r="282" spans="1:12" ht="12.75">
      <c r="A282" s="6">
        <v>281</v>
      </c>
      <c r="B282" s="4" t="s">
        <v>140</v>
      </c>
      <c r="C282" s="61" t="s">
        <v>1530</v>
      </c>
      <c r="D282" s="6" t="s">
        <v>2119</v>
      </c>
      <c r="E282" s="7" t="s">
        <v>2345</v>
      </c>
      <c r="F282" s="525" t="s">
        <v>2346</v>
      </c>
      <c r="G282" s="97" t="s">
        <v>374</v>
      </c>
      <c r="H282" s="92">
        <v>45981</v>
      </c>
      <c r="I282" s="13">
        <v>9.8973885599999996</v>
      </c>
      <c r="J282" s="13">
        <v>126.060681</v>
      </c>
      <c r="K282" s="13" t="s">
        <v>1999</v>
      </c>
      <c r="L282" s="13" t="s">
        <v>89</v>
      </c>
    </row>
    <row r="283" spans="1:12" ht="12.75">
      <c r="A283" s="6">
        <v>282</v>
      </c>
      <c r="B283" s="4" t="s">
        <v>140</v>
      </c>
      <c r="C283" s="61" t="s">
        <v>1530</v>
      </c>
      <c r="D283" s="6" t="s">
        <v>2119</v>
      </c>
      <c r="E283" s="7" t="s">
        <v>2347</v>
      </c>
      <c r="F283" s="512"/>
      <c r="G283" s="97" t="s">
        <v>374</v>
      </c>
      <c r="H283" s="92">
        <v>45981</v>
      </c>
      <c r="I283" s="13">
        <v>9.8976231600000002</v>
      </c>
      <c r="J283" s="13">
        <v>126.060806</v>
      </c>
      <c r="K283" s="13" t="s">
        <v>1999</v>
      </c>
      <c r="L283" s="13" t="s">
        <v>89</v>
      </c>
    </row>
    <row r="284" spans="1:12" ht="12.75">
      <c r="A284" s="6">
        <v>283</v>
      </c>
      <c r="B284" s="4" t="s">
        <v>113</v>
      </c>
      <c r="C284" s="61" t="s">
        <v>286</v>
      </c>
      <c r="D284" s="6" t="s">
        <v>2119</v>
      </c>
      <c r="E284" s="7" t="s">
        <v>287</v>
      </c>
      <c r="F284" s="525" t="s">
        <v>287</v>
      </c>
      <c r="G284" s="15" t="s">
        <v>155</v>
      </c>
      <c r="H284" s="92">
        <v>45982</v>
      </c>
      <c r="I284" s="13">
        <v>9.8313141000000002</v>
      </c>
      <c r="J284" s="13">
        <v>126.09358084</v>
      </c>
      <c r="K284" s="13" t="s">
        <v>1999</v>
      </c>
      <c r="L284" s="13" t="s">
        <v>89</v>
      </c>
    </row>
    <row r="285" spans="1:12" ht="12.75">
      <c r="A285" s="6">
        <v>284</v>
      </c>
      <c r="B285" s="4" t="s">
        <v>113</v>
      </c>
      <c r="C285" s="61" t="s">
        <v>286</v>
      </c>
      <c r="D285" s="6" t="s">
        <v>2119</v>
      </c>
      <c r="E285" s="7" t="s">
        <v>292</v>
      </c>
      <c r="F285" s="512"/>
      <c r="G285" s="97" t="s">
        <v>374</v>
      </c>
      <c r="H285" s="92">
        <v>45982</v>
      </c>
      <c r="I285" s="13">
        <v>9.8311959000000009</v>
      </c>
      <c r="J285" s="13">
        <v>126.0939602</v>
      </c>
      <c r="K285" s="13" t="s">
        <v>1999</v>
      </c>
      <c r="L285" s="13" t="s">
        <v>89</v>
      </c>
    </row>
    <row r="286" spans="1:12" ht="12.75">
      <c r="A286" s="6">
        <v>285</v>
      </c>
      <c r="B286" s="4" t="s">
        <v>81</v>
      </c>
      <c r="C286" s="61" t="s">
        <v>2349</v>
      </c>
      <c r="D286" s="6" t="s">
        <v>2119</v>
      </c>
      <c r="E286" s="7" t="s">
        <v>2350</v>
      </c>
      <c r="F286" s="525" t="s">
        <v>2351</v>
      </c>
      <c r="G286" s="97" t="s">
        <v>374</v>
      </c>
      <c r="H286" s="92">
        <v>45982</v>
      </c>
      <c r="I286" s="13">
        <v>9.8160909800000002</v>
      </c>
      <c r="J286" s="13">
        <v>126.01383921999999</v>
      </c>
      <c r="K286" s="13" t="s">
        <v>1999</v>
      </c>
      <c r="L286" s="13" t="s">
        <v>89</v>
      </c>
    </row>
    <row r="287" spans="1:12" ht="12.75">
      <c r="A287" s="6">
        <v>286</v>
      </c>
      <c r="B287" s="4" t="s">
        <v>81</v>
      </c>
      <c r="C287" s="61" t="s">
        <v>2349</v>
      </c>
      <c r="D287" s="6" t="s">
        <v>2119</v>
      </c>
      <c r="E287" s="7" t="s">
        <v>2352</v>
      </c>
      <c r="F287" s="512"/>
      <c r="G287" s="97" t="s">
        <v>374</v>
      </c>
      <c r="H287" s="92">
        <v>45982</v>
      </c>
      <c r="I287" s="13">
        <v>9.8162908899999994</v>
      </c>
      <c r="J287" s="13">
        <v>126.01365083</v>
      </c>
      <c r="K287" s="13" t="s">
        <v>1999</v>
      </c>
      <c r="L287" s="13" t="s">
        <v>89</v>
      </c>
    </row>
    <row r="288" spans="1:12" ht="12.75">
      <c r="A288" s="6">
        <v>287</v>
      </c>
      <c r="B288" s="4" t="s">
        <v>67</v>
      </c>
      <c r="C288" s="61" t="s">
        <v>354</v>
      </c>
      <c r="D288" s="6" t="s">
        <v>2119</v>
      </c>
      <c r="E288" s="7" t="s">
        <v>2353</v>
      </c>
      <c r="F288" s="525" t="s">
        <v>2128</v>
      </c>
      <c r="G288" s="97" t="s">
        <v>2030</v>
      </c>
      <c r="H288" s="92">
        <v>45983</v>
      </c>
      <c r="I288" s="13">
        <v>9.7525797000000001</v>
      </c>
      <c r="J288" s="13">
        <v>126.0884913</v>
      </c>
      <c r="K288" s="13" t="s">
        <v>1999</v>
      </c>
      <c r="L288" s="13" t="s">
        <v>89</v>
      </c>
    </row>
    <row r="289" spans="1:12" ht="12.75">
      <c r="A289" s="6">
        <v>288</v>
      </c>
      <c r="B289" s="4" t="s">
        <v>67</v>
      </c>
      <c r="C289" s="61" t="s">
        <v>354</v>
      </c>
      <c r="D289" s="6" t="s">
        <v>2119</v>
      </c>
      <c r="E289" s="7" t="s">
        <v>2355</v>
      </c>
      <c r="F289" s="512"/>
      <c r="G289" s="97" t="s">
        <v>2030</v>
      </c>
      <c r="H289" s="92">
        <v>45983</v>
      </c>
      <c r="I289" s="13" t="s">
        <v>2356</v>
      </c>
      <c r="J289" s="13">
        <v>126.0884913</v>
      </c>
      <c r="K289" s="13" t="s">
        <v>1999</v>
      </c>
      <c r="L289" s="13" t="s">
        <v>89</v>
      </c>
    </row>
    <row r="290" spans="1:12" ht="12.75">
      <c r="A290" s="6">
        <v>289</v>
      </c>
      <c r="B290" s="4" t="s">
        <v>67</v>
      </c>
      <c r="C290" s="61" t="s">
        <v>265</v>
      </c>
      <c r="D290" s="6" t="s">
        <v>2119</v>
      </c>
      <c r="E290" s="7" t="s">
        <v>2358</v>
      </c>
      <c r="F290" s="525" t="s">
        <v>2359</v>
      </c>
      <c r="G290" s="97" t="s">
        <v>493</v>
      </c>
      <c r="H290" s="92">
        <v>46000</v>
      </c>
      <c r="I290" s="13">
        <v>9.7547809999999995</v>
      </c>
      <c r="J290" s="13">
        <v>126.094973</v>
      </c>
      <c r="K290" s="13" t="s">
        <v>1999</v>
      </c>
      <c r="L290" s="13" t="s">
        <v>89</v>
      </c>
    </row>
    <row r="291" spans="1:12" ht="12.75">
      <c r="A291" s="6">
        <v>290</v>
      </c>
      <c r="B291" s="4" t="s">
        <v>67</v>
      </c>
      <c r="C291" s="61" t="s">
        <v>265</v>
      </c>
      <c r="D291" s="6" t="s">
        <v>2119</v>
      </c>
      <c r="E291" s="7" t="s">
        <v>2360</v>
      </c>
      <c r="F291" s="512"/>
      <c r="G291" s="97" t="s">
        <v>493</v>
      </c>
      <c r="H291" s="92">
        <v>46000</v>
      </c>
      <c r="I291" s="13">
        <v>9.7547809999999995</v>
      </c>
      <c r="J291" s="13">
        <v>126.094973</v>
      </c>
      <c r="K291" s="13" t="s">
        <v>1999</v>
      </c>
      <c r="L291" s="13" t="s">
        <v>89</v>
      </c>
    </row>
    <row r="292" spans="1:12" ht="12.75">
      <c r="A292" s="6">
        <v>291</v>
      </c>
      <c r="B292" s="4" t="s">
        <v>57</v>
      </c>
      <c r="C292" s="61" t="s">
        <v>1808</v>
      </c>
      <c r="D292" s="48" t="s">
        <v>1767</v>
      </c>
      <c r="E292" s="7" t="s">
        <v>1811</v>
      </c>
      <c r="F292" s="525" t="s">
        <v>1809</v>
      </c>
      <c r="G292" s="97" t="s">
        <v>374</v>
      </c>
      <c r="H292" s="92">
        <v>46101</v>
      </c>
      <c r="I292" s="13">
        <v>9.6864410000000003</v>
      </c>
      <c r="J292" s="13">
        <v>125.64393</v>
      </c>
      <c r="K292" s="13" t="s">
        <v>1815</v>
      </c>
      <c r="L292" s="13" t="s">
        <v>89</v>
      </c>
    </row>
    <row r="293" spans="1:12" ht="12.75">
      <c r="A293" s="6">
        <v>292</v>
      </c>
      <c r="B293" s="4" t="s">
        <v>57</v>
      </c>
      <c r="C293" s="61" t="s">
        <v>1808</v>
      </c>
      <c r="D293" s="48" t="s">
        <v>1767</v>
      </c>
      <c r="E293" s="7" t="s">
        <v>1816</v>
      </c>
      <c r="F293" s="511"/>
      <c r="G293" s="97" t="s">
        <v>374</v>
      </c>
      <c r="H293" s="92">
        <v>46101</v>
      </c>
      <c r="I293" s="13">
        <v>9.6864410000000003</v>
      </c>
      <c r="J293" s="13">
        <v>125.64393</v>
      </c>
      <c r="K293" s="13" t="s">
        <v>1815</v>
      </c>
      <c r="L293" s="13" t="s">
        <v>89</v>
      </c>
    </row>
    <row r="294" spans="1:12" ht="12.75">
      <c r="A294" s="6">
        <v>293</v>
      </c>
      <c r="B294" s="4" t="s">
        <v>57</v>
      </c>
      <c r="C294" s="61" t="s">
        <v>1808</v>
      </c>
      <c r="D294" s="48" t="s">
        <v>1767</v>
      </c>
      <c r="E294" s="7" t="s">
        <v>1821</v>
      </c>
      <c r="F294" s="512"/>
      <c r="G294" s="97" t="s">
        <v>374</v>
      </c>
      <c r="H294" s="92">
        <v>46101</v>
      </c>
      <c r="I294" s="13">
        <v>9.6864410000000003</v>
      </c>
      <c r="J294" s="13">
        <v>125.64393</v>
      </c>
      <c r="K294" s="13" t="s">
        <v>1815</v>
      </c>
      <c r="L294" s="13" t="s">
        <v>89</v>
      </c>
    </row>
    <row r="295" spans="1:12" ht="12.75">
      <c r="A295" s="6">
        <v>294</v>
      </c>
      <c r="B295" s="4" t="s">
        <v>117</v>
      </c>
      <c r="C295" s="61" t="s">
        <v>1852</v>
      </c>
      <c r="D295" s="48" t="s">
        <v>1767</v>
      </c>
      <c r="E295" s="7" t="s">
        <v>1855</v>
      </c>
      <c r="F295" s="525" t="s">
        <v>1853</v>
      </c>
      <c r="G295" s="97" t="s">
        <v>374</v>
      </c>
      <c r="H295" s="92">
        <v>46101</v>
      </c>
      <c r="I295" s="13">
        <v>9.742889731</v>
      </c>
      <c r="J295" s="13">
        <v>125.6809121</v>
      </c>
      <c r="K295" s="13" t="s">
        <v>1815</v>
      </c>
      <c r="L295" s="13" t="s">
        <v>89</v>
      </c>
    </row>
    <row r="296" spans="1:12" ht="12.75">
      <c r="A296" s="6">
        <v>295</v>
      </c>
      <c r="B296" s="4" t="s">
        <v>117</v>
      </c>
      <c r="C296" s="61" t="s">
        <v>1852</v>
      </c>
      <c r="D296" s="48" t="s">
        <v>1767</v>
      </c>
      <c r="E296" s="7" t="s">
        <v>1858</v>
      </c>
      <c r="F296" s="511"/>
      <c r="G296" s="97" t="s">
        <v>374</v>
      </c>
      <c r="H296" s="92">
        <v>46101</v>
      </c>
      <c r="I296" s="13">
        <v>9.742889731</v>
      </c>
      <c r="J296" s="13">
        <v>125.6809121</v>
      </c>
      <c r="K296" s="13" t="s">
        <v>1815</v>
      </c>
      <c r="L296" s="13" t="s">
        <v>89</v>
      </c>
    </row>
    <row r="297" spans="1:12" ht="12.75">
      <c r="A297" s="6">
        <v>296</v>
      </c>
      <c r="B297" s="4" t="s">
        <v>117</v>
      </c>
      <c r="C297" s="61" t="s">
        <v>1852</v>
      </c>
      <c r="D297" s="48" t="s">
        <v>1767</v>
      </c>
      <c r="E297" s="7" t="s">
        <v>1859</v>
      </c>
      <c r="F297" s="512"/>
      <c r="G297" s="97" t="s">
        <v>374</v>
      </c>
      <c r="H297" s="92">
        <v>46101</v>
      </c>
      <c r="I297" s="13">
        <v>9.742889731</v>
      </c>
      <c r="J297" s="13">
        <v>125.6809121</v>
      </c>
      <c r="K297" s="13" t="s">
        <v>1815</v>
      </c>
      <c r="L297" s="13" t="s">
        <v>89</v>
      </c>
    </row>
    <row r="298" spans="1:12" ht="12.75">
      <c r="A298" s="6">
        <v>297</v>
      </c>
      <c r="B298" s="4" t="s">
        <v>117</v>
      </c>
      <c r="C298" s="61" t="s">
        <v>1860</v>
      </c>
      <c r="D298" s="48" t="s">
        <v>1767</v>
      </c>
      <c r="E298" s="7" t="s">
        <v>1862</v>
      </c>
      <c r="F298" s="525" t="s">
        <v>1861</v>
      </c>
      <c r="G298" s="97" t="s">
        <v>374</v>
      </c>
      <c r="H298" s="92">
        <v>46101</v>
      </c>
      <c r="I298" s="13">
        <v>9.6401660000000007</v>
      </c>
      <c r="J298" s="13">
        <v>125.506348</v>
      </c>
      <c r="K298" s="13" t="s">
        <v>1815</v>
      </c>
      <c r="L298" s="13" t="s">
        <v>89</v>
      </c>
    </row>
    <row r="299" spans="1:12" ht="12.75">
      <c r="A299" s="6">
        <v>298</v>
      </c>
      <c r="B299" s="4" t="s">
        <v>117</v>
      </c>
      <c r="C299" s="61" t="s">
        <v>1860</v>
      </c>
      <c r="D299" s="48" t="s">
        <v>1767</v>
      </c>
      <c r="E299" s="7" t="s">
        <v>1867</v>
      </c>
      <c r="F299" s="511"/>
      <c r="G299" s="97" t="s">
        <v>374</v>
      </c>
      <c r="H299" s="92">
        <v>46101</v>
      </c>
      <c r="I299" s="13">
        <v>9.6401660000000007</v>
      </c>
      <c r="J299" s="13">
        <v>125.506348</v>
      </c>
      <c r="K299" s="13" t="s">
        <v>1815</v>
      </c>
      <c r="L299" s="13" t="s">
        <v>89</v>
      </c>
    </row>
    <row r="300" spans="1:12" ht="12.75">
      <c r="A300" s="6">
        <v>299</v>
      </c>
      <c r="B300" s="4" t="s">
        <v>117</v>
      </c>
      <c r="C300" s="61" t="s">
        <v>1860</v>
      </c>
      <c r="D300" s="48" t="s">
        <v>1767</v>
      </c>
      <c r="E300" s="7" t="s">
        <v>1870</v>
      </c>
      <c r="F300" s="512"/>
      <c r="G300" s="97" t="s">
        <v>374</v>
      </c>
      <c r="H300" s="92">
        <v>46101</v>
      </c>
      <c r="I300" s="13">
        <v>9.6401660000000007</v>
      </c>
      <c r="J300" s="13">
        <v>125.506348</v>
      </c>
      <c r="K300" s="13" t="s">
        <v>1815</v>
      </c>
      <c r="L300" s="13" t="s">
        <v>89</v>
      </c>
    </row>
    <row r="301" spans="1:12" ht="12.75">
      <c r="A301" s="6">
        <v>300</v>
      </c>
      <c r="B301" s="4" t="s">
        <v>117</v>
      </c>
      <c r="C301" s="61" t="s">
        <v>1873</v>
      </c>
      <c r="D301" s="48" t="s">
        <v>1767</v>
      </c>
      <c r="E301" s="7" t="s">
        <v>1875</v>
      </c>
      <c r="F301" s="525" t="s">
        <v>1874</v>
      </c>
      <c r="G301" s="97" t="s">
        <v>374</v>
      </c>
      <c r="H301" s="92">
        <v>46101</v>
      </c>
      <c r="I301" s="13">
        <v>8.02</v>
      </c>
      <c r="J301" s="13">
        <v>126.14</v>
      </c>
      <c r="K301" s="13" t="s">
        <v>1815</v>
      </c>
      <c r="L301" s="13" t="s">
        <v>89</v>
      </c>
    </row>
    <row r="302" spans="1:12" ht="12.75">
      <c r="A302" s="6">
        <v>301</v>
      </c>
      <c r="B302" s="4" t="s">
        <v>117</v>
      </c>
      <c r="C302" s="61" t="s">
        <v>1873</v>
      </c>
      <c r="D302" s="48" t="s">
        <v>1767</v>
      </c>
      <c r="E302" s="7" t="s">
        <v>1877</v>
      </c>
      <c r="F302" s="511"/>
      <c r="G302" s="97" t="s">
        <v>374</v>
      </c>
      <c r="H302" s="92">
        <v>46101</v>
      </c>
      <c r="I302" s="13">
        <v>8.02</v>
      </c>
      <c r="J302" s="13">
        <v>126.14</v>
      </c>
      <c r="K302" s="13" t="s">
        <v>1815</v>
      </c>
      <c r="L302" s="13" t="s">
        <v>89</v>
      </c>
    </row>
    <row r="303" spans="1:12" ht="12.75">
      <c r="A303" s="6">
        <v>302</v>
      </c>
      <c r="B303" s="4" t="s">
        <v>117</v>
      </c>
      <c r="C303" s="61" t="s">
        <v>1873</v>
      </c>
      <c r="D303" s="48" t="s">
        <v>1767</v>
      </c>
      <c r="E303" s="7" t="s">
        <v>1878</v>
      </c>
      <c r="F303" s="512"/>
      <c r="G303" s="97" t="s">
        <v>374</v>
      </c>
      <c r="H303" s="92">
        <v>46101</v>
      </c>
      <c r="I303" s="13">
        <v>8.02</v>
      </c>
      <c r="J303" s="13">
        <v>126.14</v>
      </c>
      <c r="K303" s="13" t="s">
        <v>1815</v>
      </c>
      <c r="L303" s="13" t="s">
        <v>89</v>
      </c>
    </row>
    <row r="304" spans="1:12" ht="12.75">
      <c r="A304" s="6">
        <v>303</v>
      </c>
      <c r="B304" s="4" t="s">
        <v>13</v>
      </c>
      <c r="C304" s="61" t="s">
        <v>2370</v>
      </c>
      <c r="D304" s="6" t="s">
        <v>2119</v>
      </c>
      <c r="E304" s="7" t="s">
        <v>2371</v>
      </c>
      <c r="F304" s="525" t="s">
        <v>2372</v>
      </c>
      <c r="G304" s="97" t="s">
        <v>374</v>
      </c>
      <c r="H304" s="92">
        <v>46101</v>
      </c>
      <c r="I304" s="13">
        <v>9.6717479999999991</v>
      </c>
      <c r="J304" s="13">
        <v>125.503609</v>
      </c>
      <c r="K304" s="13" t="s">
        <v>1815</v>
      </c>
      <c r="L304" s="13" t="s">
        <v>89</v>
      </c>
    </row>
    <row r="305" spans="1:12" ht="12.75">
      <c r="A305" s="6">
        <v>304</v>
      </c>
      <c r="B305" s="4" t="s">
        <v>13</v>
      </c>
      <c r="C305" s="61" t="s">
        <v>2370</v>
      </c>
      <c r="D305" s="6" t="s">
        <v>2119</v>
      </c>
      <c r="E305" s="7" t="s">
        <v>2377</v>
      </c>
      <c r="F305" s="511"/>
      <c r="G305" s="97" t="s">
        <v>374</v>
      </c>
      <c r="H305" s="92">
        <v>46101</v>
      </c>
      <c r="I305" s="13">
        <v>9.6717479999999991</v>
      </c>
      <c r="J305" s="13">
        <v>125.503609</v>
      </c>
      <c r="K305" s="13" t="s">
        <v>1815</v>
      </c>
      <c r="L305" s="13" t="s">
        <v>89</v>
      </c>
    </row>
    <row r="306" spans="1:12" ht="12.75">
      <c r="A306" s="6">
        <v>305</v>
      </c>
      <c r="B306" s="4" t="s">
        <v>13</v>
      </c>
      <c r="C306" s="61" t="s">
        <v>2370</v>
      </c>
      <c r="D306" s="6" t="s">
        <v>2119</v>
      </c>
      <c r="E306" s="7" t="s">
        <v>2379</v>
      </c>
      <c r="F306" s="512"/>
      <c r="G306" s="97" t="s">
        <v>374</v>
      </c>
      <c r="H306" s="92">
        <v>46101</v>
      </c>
      <c r="I306" s="13">
        <v>9.6717479999999991</v>
      </c>
      <c r="J306" s="13">
        <v>125.503609</v>
      </c>
      <c r="K306" s="13" t="s">
        <v>1815</v>
      </c>
      <c r="L306" s="13" t="s">
        <v>89</v>
      </c>
    </row>
    <row r="307" spans="1:12" ht="12.75">
      <c r="A307" s="6">
        <v>306</v>
      </c>
      <c r="B307" s="4" t="s">
        <v>13</v>
      </c>
      <c r="C307" s="61" t="s">
        <v>15</v>
      </c>
      <c r="D307" s="6" t="s">
        <v>2119</v>
      </c>
      <c r="E307" s="7" t="s">
        <v>2381</v>
      </c>
      <c r="F307" s="525" t="s">
        <v>2382</v>
      </c>
      <c r="G307" s="97" t="s">
        <v>374</v>
      </c>
      <c r="H307" s="92">
        <v>46101</v>
      </c>
      <c r="I307" s="13">
        <v>9.734807</v>
      </c>
      <c r="J307" s="13">
        <v>125.563873</v>
      </c>
      <c r="K307" s="13" t="s">
        <v>1815</v>
      </c>
      <c r="L307" s="13" t="s">
        <v>89</v>
      </c>
    </row>
    <row r="308" spans="1:12" ht="12.75">
      <c r="A308" s="6">
        <v>307</v>
      </c>
      <c r="B308" s="4" t="s">
        <v>13</v>
      </c>
      <c r="C308" s="61" t="s">
        <v>15</v>
      </c>
      <c r="D308" s="6" t="s">
        <v>2119</v>
      </c>
      <c r="E308" s="7" t="s">
        <v>2383</v>
      </c>
      <c r="F308" s="511"/>
      <c r="G308" s="97" t="s">
        <v>374</v>
      </c>
      <c r="H308" s="92">
        <v>46101</v>
      </c>
      <c r="I308" s="13">
        <v>9.734807</v>
      </c>
      <c r="J308" s="13">
        <v>125.563873</v>
      </c>
      <c r="K308" s="13" t="s">
        <v>1815</v>
      </c>
      <c r="L308" s="13" t="s">
        <v>89</v>
      </c>
    </row>
    <row r="309" spans="1:12" ht="12.75">
      <c r="A309" s="6">
        <v>308</v>
      </c>
      <c r="B309" s="4" t="s">
        <v>13</v>
      </c>
      <c r="C309" s="61" t="s">
        <v>15</v>
      </c>
      <c r="D309" s="6" t="s">
        <v>2119</v>
      </c>
      <c r="E309" s="7" t="s">
        <v>2385</v>
      </c>
      <c r="F309" s="512"/>
      <c r="G309" s="97" t="s">
        <v>374</v>
      </c>
      <c r="H309" s="92">
        <v>46101</v>
      </c>
      <c r="I309" s="13">
        <v>9.734807</v>
      </c>
      <c r="J309" s="13">
        <v>125.563873</v>
      </c>
      <c r="K309" s="13" t="s">
        <v>1815</v>
      </c>
      <c r="L309" s="13" t="s">
        <v>89</v>
      </c>
    </row>
    <row r="310" spans="1:12" ht="12.75">
      <c r="A310" s="6">
        <v>309</v>
      </c>
      <c r="B310" s="4" t="s">
        <v>13</v>
      </c>
      <c r="C310" s="61" t="s">
        <v>15</v>
      </c>
      <c r="D310" s="6" t="s">
        <v>2119</v>
      </c>
      <c r="E310" s="7" t="s">
        <v>2387</v>
      </c>
      <c r="F310" s="525" t="s">
        <v>538</v>
      </c>
      <c r="G310" s="97" t="s">
        <v>207</v>
      </c>
      <c r="H310" s="92">
        <v>46101</v>
      </c>
      <c r="I310" s="13">
        <v>9.7220630000000003</v>
      </c>
      <c r="J310" s="13">
        <v>125.567032</v>
      </c>
      <c r="K310" s="13" t="s">
        <v>1815</v>
      </c>
      <c r="L310" s="13" t="s">
        <v>89</v>
      </c>
    </row>
    <row r="311" spans="1:12" ht="12.75">
      <c r="A311" s="6">
        <v>310</v>
      </c>
      <c r="B311" s="4" t="s">
        <v>13</v>
      </c>
      <c r="C311" s="61" t="s">
        <v>15</v>
      </c>
      <c r="D311" s="6" t="s">
        <v>2119</v>
      </c>
      <c r="E311" s="7" t="s">
        <v>2391</v>
      </c>
      <c r="F311" s="511"/>
      <c r="G311" s="97" t="s">
        <v>207</v>
      </c>
      <c r="H311" s="92">
        <v>46101</v>
      </c>
      <c r="I311" s="13">
        <v>9.7220630000000003</v>
      </c>
      <c r="J311" s="13">
        <v>125.567032</v>
      </c>
      <c r="K311" s="13" t="s">
        <v>1815</v>
      </c>
      <c r="L311" s="13" t="s">
        <v>89</v>
      </c>
    </row>
    <row r="312" spans="1:12" ht="12.75">
      <c r="A312" s="6">
        <v>311</v>
      </c>
      <c r="B312" s="4" t="s">
        <v>13</v>
      </c>
      <c r="C312" s="61" t="s">
        <v>15</v>
      </c>
      <c r="D312" s="6" t="s">
        <v>2119</v>
      </c>
      <c r="E312" s="7" t="s">
        <v>2392</v>
      </c>
      <c r="F312" s="512"/>
      <c r="G312" s="97" t="s">
        <v>207</v>
      </c>
      <c r="H312" s="92">
        <v>46101</v>
      </c>
      <c r="I312" s="13">
        <v>9.7220630000000003</v>
      </c>
      <c r="J312" s="13">
        <v>125.567032</v>
      </c>
      <c r="K312" s="13" t="s">
        <v>1815</v>
      </c>
      <c r="L312" s="13" t="s">
        <v>89</v>
      </c>
    </row>
    <row r="313" spans="1:12" ht="12.75">
      <c r="A313" s="6">
        <v>312</v>
      </c>
      <c r="B313" s="4" t="s">
        <v>136</v>
      </c>
      <c r="C313" s="61" t="s">
        <v>1893</v>
      </c>
      <c r="D313" s="48" t="s">
        <v>1767</v>
      </c>
      <c r="E313" s="7" t="s">
        <v>1898</v>
      </c>
      <c r="F313" s="525" t="s">
        <v>1894</v>
      </c>
      <c r="G313" s="97" t="s">
        <v>374</v>
      </c>
      <c r="H313" s="92">
        <v>46101</v>
      </c>
      <c r="I313" s="13">
        <v>9.718458</v>
      </c>
      <c r="J313" s="13">
        <v>125.635672</v>
      </c>
      <c r="K313" s="13" t="s">
        <v>1815</v>
      </c>
      <c r="L313" s="13" t="s">
        <v>89</v>
      </c>
    </row>
    <row r="314" spans="1:12" ht="12.75">
      <c r="A314" s="6">
        <v>313</v>
      </c>
      <c r="B314" s="4" t="s">
        <v>136</v>
      </c>
      <c r="C314" s="61" t="s">
        <v>1893</v>
      </c>
      <c r="D314" s="48" t="s">
        <v>1767</v>
      </c>
      <c r="E314" s="7" t="s">
        <v>1903</v>
      </c>
      <c r="F314" s="511"/>
      <c r="G314" s="97" t="s">
        <v>374</v>
      </c>
      <c r="H314" s="92">
        <v>46101</v>
      </c>
      <c r="I314" s="13">
        <v>9.718458</v>
      </c>
      <c r="J314" s="13">
        <v>125.635672</v>
      </c>
      <c r="K314" s="13" t="s">
        <v>1815</v>
      </c>
      <c r="L314" s="13" t="s">
        <v>89</v>
      </c>
    </row>
    <row r="315" spans="1:12" ht="12.75">
      <c r="A315" s="6">
        <v>314</v>
      </c>
      <c r="B315" s="4" t="s">
        <v>136</v>
      </c>
      <c r="C315" s="61" t="s">
        <v>1893</v>
      </c>
      <c r="D315" s="48" t="s">
        <v>1767</v>
      </c>
      <c r="E315" s="7" t="s">
        <v>1904</v>
      </c>
      <c r="F315" s="512"/>
      <c r="G315" s="97" t="s">
        <v>374</v>
      </c>
      <c r="H315" s="92">
        <v>46101</v>
      </c>
      <c r="I315" s="13">
        <v>9.718458</v>
      </c>
      <c r="J315" s="13">
        <v>125.635672</v>
      </c>
      <c r="K315" s="13" t="s">
        <v>1815</v>
      </c>
      <c r="L315" s="13" t="s">
        <v>89</v>
      </c>
    </row>
    <row r="316" spans="1:12" ht="12.75">
      <c r="A316" s="6">
        <v>315</v>
      </c>
      <c r="B316" s="4" t="s">
        <v>136</v>
      </c>
      <c r="C316" s="61" t="s">
        <v>1905</v>
      </c>
      <c r="D316" s="48" t="s">
        <v>1767</v>
      </c>
      <c r="E316" s="7" t="s">
        <v>1907</v>
      </c>
      <c r="F316" s="525" t="s">
        <v>1906</v>
      </c>
      <c r="G316" s="97" t="s">
        <v>374</v>
      </c>
      <c r="H316" s="92">
        <v>46101</v>
      </c>
      <c r="I316" s="13">
        <v>9.709835</v>
      </c>
      <c r="J316" s="13">
        <v>125.60124999999999</v>
      </c>
      <c r="K316" s="13" t="s">
        <v>1815</v>
      </c>
      <c r="L316" s="13" t="s">
        <v>89</v>
      </c>
    </row>
    <row r="317" spans="1:12" ht="12.75">
      <c r="A317" s="6">
        <v>316</v>
      </c>
      <c r="B317" s="4" t="s">
        <v>136</v>
      </c>
      <c r="C317" s="61" t="s">
        <v>1905</v>
      </c>
      <c r="D317" s="48" t="s">
        <v>1767</v>
      </c>
      <c r="E317" s="7" t="s">
        <v>1909</v>
      </c>
      <c r="F317" s="511"/>
      <c r="G317" s="97" t="s">
        <v>374</v>
      </c>
      <c r="H317" s="92">
        <v>46101</v>
      </c>
      <c r="I317" s="13">
        <v>9.709835</v>
      </c>
      <c r="J317" s="13">
        <v>125.60124999999999</v>
      </c>
      <c r="K317" s="13" t="s">
        <v>1815</v>
      </c>
      <c r="L317" s="13" t="s">
        <v>89</v>
      </c>
    </row>
    <row r="318" spans="1:12" ht="12.75">
      <c r="A318" s="6">
        <v>317</v>
      </c>
      <c r="B318" s="4" t="s">
        <v>136</v>
      </c>
      <c r="C318" s="61" t="s">
        <v>1905</v>
      </c>
      <c r="D318" s="48" t="s">
        <v>1767</v>
      </c>
      <c r="E318" s="7" t="s">
        <v>1912</v>
      </c>
      <c r="F318" s="512"/>
      <c r="G318" s="97" t="s">
        <v>374</v>
      </c>
      <c r="H318" s="92">
        <v>46101</v>
      </c>
      <c r="I318" s="13">
        <v>9.709835</v>
      </c>
      <c r="J318" s="13">
        <v>125.60124999999999</v>
      </c>
      <c r="K318" s="13" t="s">
        <v>1815</v>
      </c>
      <c r="L318" s="13" t="s">
        <v>89</v>
      </c>
    </row>
    <row r="319" spans="1:12" ht="12.75">
      <c r="A319" s="6">
        <v>318</v>
      </c>
      <c r="B319" s="4" t="s">
        <v>136</v>
      </c>
      <c r="C319" s="61" t="s">
        <v>1915</v>
      </c>
      <c r="D319" s="48" t="s">
        <v>1767</v>
      </c>
      <c r="E319" s="7" t="s">
        <v>1917</v>
      </c>
      <c r="F319" s="525" t="s">
        <v>1916</v>
      </c>
      <c r="G319" s="97" t="s">
        <v>374</v>
      </c>
      <c r="H319" s="92">
        <v>46101</v>
      </c>
      <c r="I319" s="13">
        <v>9.7515540000000005</v>
      </c>
      <c r="J319" s="13">
        <v>125.69649099999999</v>
      </c>
      <c r="K319" s="13" t="s">
        <v>1815</v>
      </c>
      <c r="L319" s="13" t="s">
        <v>89</v>
      </c>
    </row>
    <row r="320" spans="1:12" ht="12.75">
      <c r="A320" s="6">
        <v>319</v>
      </c>
      <c r="B320" s="4" t="s">
        <v>136</v>
      </c>
      <c r="C320" s="61" t="s">
        <v>1915</v>
      </c>
      <c r="D320" s="48" t="s">
        <v>1767</v>
      </c>
      <c r="E320" s="7" t="s">
        <v>1919</v>
      </c>
      <c r="F320" s="511"/>
      <c r="G320" s="97" t="s">
        <v>374</v>
      </c>
      <c r="H320" s="92">
        <v>46101</v>
      </c>
      <c r="I320" s="13">
        <v>9.7515540000000005</v>
      </c>
      <c r="J320" s="13">
        <v>125.69649099999999</v>
      </c>
      <c r="K320" s="13" t="s">
        <v>1815</v>
      </c>
      <c r="L320" s="13" t="s">
        <v>89</v>
      </c>
    </row>
    <row r="321" spans="1:12" ht="12.75">
      <c r="A321" s="6">
        <v>320</v>
      </c>
      <c r="B321" s="4" t="s">
        <v>136</v>
      </c>
      <c r="C321" s="61" t="s">
        <v>1915</v>
      </c>
      <c r="D321" s="48" t="s">
        <v>1767</v>
      </c>
      <c r="E321" s="7" t="s">
        <v>1920</v>
      </c>
      <c r="F321" s="512"/>
      <c r="G321" s="97" t="s">
        <v>374</v>
      </c>
      <c r="H321" s="92">
        <v>46101</v>
      </c>
      <c r="I321" s="13">
        <v>9.7515540000000005</v>
      </c>
      <c r="J321" s="13">
        <v>125.69649099999999</v>
      </c>
      <c r="K321" s="13" t="s">
        <v>1815</v>
      </c>
      <c r="L321" s="13" t="s">
        <v>89</v>
      </c>
    </row>
    <row r="322" spans="1:12" ht="12.75">
      <c r="A322" s="6">
        <v>321</v>
      </c>
      <c r="B322" s="4" t="s">
        <v>136</v>
      </c>
      <c r="C322" s="61" t="s">
        <v>1921</v>
      </c>
      <c r="D322" s="48" t="s">
        <v>1767</v>
      </c>
      <c r="E322" s="7" t="s">
        <v>1923</v>
      </c>
      <c r="F322" s="525" t="s">
        <v>1922</v>
      </c>
      <c r="G322" s="97" t="s">
        <v>374</v>
      </c>
      <c r="H322" s="92">
        <v>46101</v>
      </c>
      <c r="I322" s="13">
        <v>9.7189530000000008</v>
      </c>
      <c r="J322" s="13">
        <v>125.607963</v>
      </c>
      <c r="K322" s="13" t="s">
        <v>1815</v>
      </c>
      <c r="L322" s="13" t="s">
        <v>89</v>
      </c>
    </row>
    <row r="323" spans="1:12" ht="12.75">
      <c r="A323" s="6">
        <v>322</v>
      </c>
      <c r="B323" s="4" t="s">
        <v>136</v>
      </c>
      <c r="C323" s="61" t="s">
        <v>1921</v>
      </c>
      <c r="D323" s="48" t="s">
        <v>1767</v>
      </c>
      <c r="E323" s="7" t="s">
        <v>1928</v>
      </c>
      <c r="F323" s="511"/>
      <c r="G323" s="97" t="s">
        <v>374</v>
      </c>
      <c r="H323" s="92">
        <v>46101</v>
      </c>
      <c r="I323" s="13">
        <v>9.7189530000000008</v>
      </c>
      <c r="J323" s="13">
        <v>125.607963</v>
      </c>
      <c r="K323" s="13" t="s">
        <v>1815</v>
      </c>
      <c r="L323" s="13" t="s">
        <v>89</v>
      </c>
    </row>
    <row r="324" spans="1:12" ht="12.75">
      <c r="A324" s="6">
        <v>323</v>
      </c>
      <c r="B324" s="4" t="s">
        <v>136</v>
      </c>
      <c r="C324" s="61" t="s">
        <v>1921</v>
      </c>
      <c r="D324" s="48" t="s">
        <v>1767</v>
      </c>
      <c r="E324" s="7" t="s">
        <v>1929</v>
      </c>
      <c r="F324" s="512"/>
      <c r="G324" s="97" t="s">
        <v>374</v>
      </c>
      <c r="H324" s="92">
        <v>46101</v>
      </c>
      <c r="I324" s="13">
        <v>9.7189530000000008</v>
      </c>
      <c r="J324" s="13">
        <v>125.607963</v>
      </c>
      <c r="K324" s="13" t="s">
        <v>1815</v>
      </c>
      <c r="L324" s="13" t="s">
        <v>89</v>
      </c>
    </row>
    <row r="325" spans="1:12" ht="12.75">
      <c r="A325" s="6">
        <v>324</v>
      </c>
      <c r="B325" s="4" t="s">
        <v>67</v>
      </c>
      <c r="C325" s="61" t="s">
        <v>1930</v>
      </c>
      <c r="D325" s="6" t="s">
        <v>2119</v>
      </c>
      <c r="E325" s="7" t="s">
        <v>2414</v>
      </c>
      <c r="F325" s="525" t="s">
        <v>2415</v>
      </c>
      <c r="G325" s="97" t="s">
        <v>374</v>
      </c>
      <c r="H325" s="92">
        <v>46101</v>
      </c>
      <c r="I325" s="13">
        <v>9.7551109999999994</v>
      </c>
      <c r="J325" s="13">
        <v>126.068814</v>
      </c>
      <c r="K325" s="13" t="s">
        <v>1815</v>
      </c>
      <c r="L325" s="13" t="s">
        <v>89</v>
      </c>
    </row>
    <row r="326" spans="1:12" ht="12.75">
      <c r="A326" s="6">
        <v>325</v>
      </c>
      <c r="B326" s="4" t="s">
        <v>67</v>
      </c>
      <c r="C326" s="61" t="s">
        <v>1930</v>
      </c>
      <c r="D326" s="6" t="s">
        <v>2119</v>
      </c>
      <c r="E326" s="7" t="s">
        <v>2420</v>
      </c>
      <c r="F326" s="511"/>
      <c r="G326" s="97" t="s">
        <v>374</v>
      </c>
      <c r="H326" s="92">
        <v>46101</v>
      </c>
      <c r="I326" s="13">
        <v>9.7551109999999994</v>
      </c>
      <c r="J326" s="13">
        <v>126.068814</v>
      </c>
      <c r="K326" s="13" t="s">
        <v>1815</v>
      </c>
      <c r="L326" s="13" t="s">
        <v>89</v>
      </c>
    </row>
    <row r="327" spans="1:12" ht="12.75">
      <c r="A327" s="6">
        <v>326</v>
      </c>
      <c r="B327" s="4" t="s">
        <v>67</v>
      </c>
      <c r="C327" s="61" t="s">
        <v>1930</v>
      </c>
      <c r="D327" s="6" t="s">
        <v>2119</v>
      </c>
      <c r="E327" s="7" t="s">
        <v>2421</v>
      </c>
      <c r="F327" s="512"/>
      <c r="G327" s="97" t="s">
        <v>374</v>
      </c>
      <c r="H327" s="92">
        <v>46101</v>
      </c>
      <c r="I327" s="13">
        <v>9.7551109999999994</v>
      </c>
      <c r="J327" s="13">
        <v>126.068814</v>
      </c>
      <c r="K327" s="13" t="s">
        <v>1815</v>
      </c>
      <c r="L327" s="13" t="s">
        <v>89</v>
      </c>
    </row>
    <row r="328" spans="1:12" ht="12.75">
      <c r="A328" s="6">
        <v>327</v>
      </c>
      <c r="B328" s="4" t="s">
        <v>67</v>
      </c>
      <c r="C328" s="61" t="s">
        <v>2423</v>
      </c>
      <c r="D328" s="6" t="s">
        <v>2119</v>
      </c>
      <c r="E328" s="7" t="s">
        <v>2424</v>
      </c>
      <c r="F328" s="525" t="s">
        <v>2425</v>
      </c>
      <c r="G328" s="97" t="s">
        <v>374</v>
      </c>
      <c r="H328" s="92">
        <v>46101</v>
      </c>
      <c r="I328" s="13">
        <v>9.6915271000000001</v>
      </c>
      <c r="J328" s="13">
        <v>126.007379</v>
      </c>
      <c r="K328" s="13" t="s">
        <v>1815</v>
      </c>
      <c r="L328" s="13" t="s">
        <v>89</v>
      </c>
    </row>
    <row r="329" spans="1:12" ht="12.75">
      <c r="A329" s="6">
        <v>328</v>
      </c>
      <c r="B329" s="4" t="s">
        <v>67</v>
      </c>
      <c r="C329" s="61" t="s">
        <v>2423</v>
      </c>
      <c r="D329" s="6" t="s">
        <v>2119</v>
      </c>
      <c r="E329" s="7" t="s">
        <v>2427</v>
      </c>
      <c r="F329" s="511"/>
      <c r="G329" s="97" t="s">
        <v>374</v>
      </c>
      <c r="H329" s="92">
        <v>46101</v>
      </c>
      <c r="I329" s="13">
        <v>9.6915271000000001</v>
      </c>
      <c r="J329" s="13">
        <v>126.007379</v>
      </c>
      <c r="K329" s="13" t="s">
        <v>1815</v>
      </c>
      <c r="L329" s="13" t="s">
        <v>89</v>
      </c>
    </row>
    <row r="330" spans="1:12" ht="12.75">
      <c r="A330" s="6">
        <v>329</v>
      </c>
      <c r="B330" s="4" t="s">
        <v>67</v>
      </c>
      <c r="C330" s="61" t="s">
        <v>2423</v>
      </c>
      <c r="D330" s="6" t="s">
        <v>2119</v>
      </c>
      <c r="E330" s="7" t="s">
        <v>2428</v>
      </c>
      <c r="F330" s="512"/>
      <c r="G330" s="97" t="s">
        <v>374</v>
      </c>
      <c r="H330" s="92">
        <v>46101</v>
      </c>
      <c r="I330" s="13">
        <v>9.6915271000000001</v>
      </c>
      <c r="J330" s="13">
        <v>126.007379</v>
      </c>
      <c r="K330" s="13" t="s">
        <v>1815</v>
      </c>
      <c r="L330" s="13" t="s">
        <v>89</v>
      </c>
    </row>
    <row r="331" spans="1:12" ht="12.75">
      <c r="A331" s="6">
        <v>330</v>
      </c>
      <c r="B331" s="4" t="s">
        <v>67</v>
      </c>
      <c r="C331" s="61" t="s">
        <v>1804</v>
      </c>
      <c r="D331" s="6" t="s">
        <v>2119</v>
      </c>
      <c r="E331" s="7" t="s">
        <v>2431</v>
      </c>
      <c r="F331" s="525" t="s">
        <v>551</v>
      </c>
      <c r="G331" s="97" t="s">
        <v>374</v>
      </c>
      <c r="H331" s="92">
        <v>46101</v>
      </c>
      <c r="I331" s="13">
        <v>9.6927216000000005</v>
      </c>
      <c r="J331" s="13">
        <v>126.079201</v>
      </c>
      <c r="K331" s="13" t="s">
        <v>1815</v>
      </c>
      <c r="L331" s="13" t="s">
        <v>89</v>
      </c>
    </row>
    <row r="332" spans="1:12" ht="12.75">
      <c r="A332" s="6">
        <v>331</v>
      </c>
      <c r="B332" s="4" t="s">
        <v>67</v>
      </c>
      <c r="C332" s="61" t="s">
        <v>1804</v>
      </c>
      <c r="D332" s="6" t="s">
        <v>2119</v>
      </c>
      <c r="E332" s="7" t="s">
        <v>2432</v>
      </c>
      <c r="F332" s="511"/>
      <c r="G332" s="97" t="s">
        <v>374</v>
      </c>
      <c r="H332" s="92">
        <v>46101</v>
      </c>
      <c r="I332" s="13">
        <v>9.6927216000000005</v>
      </c>
      <c r="J332" s="13">
        <v>126.079201</v>
      </c>
      <c r="K332" s="13" t="s">
        <v>1815</v>
      </c>
      <c r="L332" s="13" t="s">
        <v>89</v>
      </c>
    </row>
    <row r="333" spans="1:12" ht="12.75">
      <c r="A333" s="6">
        <v>332</v>
      </c>
      <c r="B333" s="4" t="s">
        <v>67</v>
      </c>
      <c r="C333" s="61" t="s">
        <v>1804</v>
      </c>
      <c r="D333" s="6" t="s">
        <v>2119</v>
      </c>
      <c r="E333" s="7" t="s">
        <v>2433</v>
      </c>
      <c r="F333" s="512"/>
      <c r="G333" s="97" t="s">
        <v>374</v>
      </c>
      <c r="H333" s="92">
        <v>46101</v>
      </c>
      <c r="I333" s="13">
        <v>9.6927216000000005</v>
      </c>
      <c r="J333" s="13">
        <v>126.079201</v>
      </c>
      <c r="K333" s="13" t="s">
        <v>1815</v>
      </c>
      <c r="L333" s="13" t="s">
        <v>89</v>
      </c>
    </row>
    <row r="334" spans="1:12" ht="12.75">
      <c r="A334" s="6">
        <v>333</v>
      </c>
      <c r="B334" s="4" t="s">
        <v>67</v>
      </c>
      <c r="C334" s="61" t="s">
        <v>2434</v>
      </c>
      <c r="D334" s="6" t="s">
        <v>2119</v>
      </c>
      <c r="E334" s="7" t="s">
        <v>2436</v>
      </c>
      <c r="F334" s="525" t="s">
        <v>2438</v>
      </c>
      <c r="G334" s="97" t="s">
        <v>374</v>
      </c>
      <c r="H334" s="92">
        <v>46101</v>
      </c>
      <c r="I334" s="13">
        <v>9.6913210000000003</v>
      </c>
      <c r="J334" s="13">
        <v>126.009372</v>
      </c>
      <c r="K334" s="13" t="s">
        <v>1815</v>
      </c>
      <c r="L334" s="13" t="s">
        <v>89</v>
      </c>
    </row>
    <row r="335" spans="1:12" ht="12.75">
      <c r="A335" s="6">
        <v>334</v>
      </c>
      <c r="B335" s="4" t="s">
        <v>67</v>
      </c>
      <c r="C335" s="61" t="s">
        <v>2434</v>
      </c>
      <c r="D335" s="6" t="s">
        <v>2119</v>
      </c>
      <c r="E335" s="7" t="s">
        <v>2439</v>
      </c>
      <c r="F335" s="511"/>
      <c r="G335" s="97" t="s">
        <v>374</v>
      </c>
      <c r="H335" s="92">
        <v>46101</v>
      </c>
      <c r="I335" s="13">
        <v>9.6913210000000003</v>
      </c>
      <c r="J335" s="13">
        <v>126.009372</v>
      </c>
      <c r="K335" s="13" t="s">
        <v>1815</v>
      </c>
      <c r="L335" s="13" t="s">
        <v>89</v>
      </c>
    </row>
    <row r="336" spans="1:12" ht="12.75">
      <c r="A336" s="6">
        <v>335</v>
      </c>
      <c r="B336" s="4" t="s">
        <v>67</v>
      </c>
      <c r="C336" s="61" t="s">
        <v>2434</v>
      </c>
      <c r="D336" s="6" t="s">
        <v>2119</v>
      </c>
      <c r="E336" s="7" t="s">
        <v>2440</v>
      </c>
      <c r="F336" s="512"/>
      <c r="G336" s="97" t="s">
        <v>374</v>
      </c>
      <c r="H336" s="92">
        <v>46101</v>
      </c>
      <c r="I336" s="13">
        <v>9.6913210000000003</v>
      </c>
      <c r="J336" s="13">
        <v>126.009372</v>
      </c>
      <c r="K336" s="13" t="s">
        <v>1815</v>
      </c>
      <c r="L336" s="13" t="s">
        <v>89</v>
      </c>
    </row>
    <row r="337" spans="1:12" ht="12.75">
      <c r="A337" s="6">
        <v>336</v>
      </c>
      <c r="B337" s="4" t="s">
        <v>67</v>
      </c>
      <c r="C337" s="61" t="s">
        <v>2441</v>
      </c>
      <c r="D337" s="6" t="s">
        <v>2119</v>
      </c>
      <c r="E337" s="7" t="s">
        <v>2442</v>
      </c>
      <c r="F337" s="525" t="s">
        <v>2443</v>
      </c>
      <c r="G337" s="97" t="s">
        <v>374</v>
      </c>
      <c r="H337" s="92">
        <v>46101</v>
      </c>
      <c r="I337" s="13">
        <v>9.7128364999999999</v>
      </c>
      <c r="J337" s="13">
        <v>125.968171</v>
      </c>
      <c r="K337" s="13" t="s">
        <v>1815</v>
      </c>
      <c r="L337" s="13" t="s">
        <v>89</v>
      </c>
    </row>
    <row r="338" spans="1:12" ht="12.75">
      <c r="A338" s="6">
        <v>337</v>
      </c>
      <c r="B338" s="4" t="s">
        <v>67</v>
      </c>
      <c r="C338" s="61" t="s">
        <v>2441</v>
      </c>
      <c r="D338" s="6" t="s">
        <v>2119</v>
      </c>
      <c r="E338" s="7" t="s">
        <v>2445</v>
      </c>
      <c r="F338" s="511"/>
      <c r="G338" s="97" t="s">
        <v>374</v>
      </c>
      <c r="H338" s="92">
        <v>46101</v>
      </c>
      <c r="I338" s="13">
        <v>9.7128364999999999</v>
      </c>
      <c r="J338" s="13">
        <v>125.968171</v>
      </c>
      <c r="K338" s="13" t="s">
        <v>1815</v>
      </c>
      <c r="L338" s="13" t="s">
        <v>89</v>
      </c>
    </row>
    <row r="339" spans="1:12" ht="12.75">
      <c r="A339" s="6">
        <v>338</v>
      </c>
      <c r="B339" s="4" t="s">
        <v>67</v>
      </c>
      <c r="C339" s="61" t="s">
        <v>2441</v>
      </c>
      <c r="D339" s="6" t="s">
        <v>2119</v>
      </c>
      <c r="E339" s="7" t="s">
        <v>2446</v>
      </c>
      <c r="F339" s="512"/>
      <c r="G339" s="97" t="s">
        <v>374</v>
      </c>
      <c r="H339" s="92">
        <v>46101</v>
      </c>
      <c r="I339" s="13">
        <v>9.7128364999999999</v>
      </c>
      <c r="J339" s="13">
        <v>125.968171</v>
      </c>
      <c r="K339" s="13" t="s">
        <v>1815</v>
      </c>
      <c r="L339" s="13" t="s">
        <v>89</v>
      </c>
    </row>
    <row r="340" spans="1:12" ht="12.75">
      <c r="A340" s="6">
        <v>339</v>
      </c>
      <c r="B340" s="4" t="s">
        <v>67</v>
      </c>
      <c r="C340" s="61" t="s">
        <v>2448</v>
      </c>
      <c r="D340" s="6" t="s">
        <v>2119</v>
      </c>
      <c r="E340" s="7" t="s">
        <v>2449</v>
      </c>
      <c r="F340" s="525" t="s">
        <v>2450</v>
      </c>
      <c r="G340" s="97" t="s">
        <v>374</v>
      </c>
      <c r="H340" s="92">
        <v>46101</v>
      </c>
      <c r="I340" s="13">
        <v>9.7362517999999998</v>
      </c>
      <c r="J340" s="13">
        <v>126.027829</v>
      </c>
      <c r="K340" s="13" t="s">
        <v>1815</v>
      </c>
      <c r="L340" s="13" t="s">
        <v>89</v>
      </c>
    </row>
    <row r="341" spans="1:12" ht="12.75">
      <c r="A341" s="6">
        <v>340</v>
      </c>
      <c r="B341" s="4" t="s">
        <v>67</v>
      </c>
      <c r="C341" s="61" t="s">
        <v>2448</v>
      </c>
      <c r="D341" s="6" t="s">
        <v>2119</v>
      </c>
      <c r="E341" s="7" t="s">
        <v>2451</v>
      </c>
      <c r="F341" s="511"/>
      <c r="G341" s="97" t="s">
        <v>374</v>
      </c>
      <c r="H341" s="92">
        <v>46101</v>
      </c>
      <c r="I341" s="13">
        <v>9.7362517999999998</v>
      </c>
      <c r="J341" s="13">
        <v>126.027829</v>
      </c>
      <c r="K341" s="13" t="s">
        <v>1815</v>
      </c>
      <c r="L341" s="13" t="s">
        <v>89</v>
      </c>
    </row>
    <row r="342" spans="1:12" ht="12.75">
      <c r="A342" s="6">
        <v>341</v>
      </c>
      <c r="B342" s="4" t="s">
        <v>67</v>
      </c>
      <c r="C342" s="61" t="s">
        <v>2448</v>
      </c>
      <c r="D342" s="6" t="s">
        <v>2119</v>
      </c>
      <c r="E342" s="7" t="s">
        <v>2453</v>
      </c>
      <c r="F342" s="512"/>
      <c r="G342" s="97" t="s">
        <v>374</v>
      </c>
      <c r="H342" s="92">
        <v>46101</v>
      </c>
      <c r="I342" s="13">
        <v>9.7362517999999998</v>
      </c>
      <c r="J342" s="13">
        <v>126.027829</v>
      </c>
      <c r="K342" s="13" t="s">
        <v>1815</v>
      </c>
      <c r="L342" s="13" t="s">
        <v>89</v>
      </c>
    </row>
    <row r="343" spans="1:12" ht="12.75">
      <c r="A343" s="6">
        <v>342</v>
      </c>
      <c r="B343" s="4" t="s">
        <v>67</v>
      </c>
      <c r="C343" s="61" t="s">
        <v>2455</v>
      </c>
      <c r="D343" s="6" t="s">
        <v>2119</v>
      </c>
      <c r="E343" s="7" t="s">
        <v>2456</v>
      </c>
      <c r="F343" s="525" t="s">
        <v>2457</v>
      </c>
      <c r="G343" s="97" t="s">
        <v>374</v>
      </c>
      <c r="H343" s="92">
        <v>46101</v>
      </c>
      <c r="I343" s="13">
        <v>9.7976127000000002</v>
      </c>
      <c r="J343" s="13">
        <v>126.10788599999999</v>
      </c>
      <c r="K343" s="13" t="s">
        <v>1815</v>
      </c>
      <c r="L343" s="13" t="s">
        <v>89</v>
      </c>
    </row>
    <row r="344" spans="1:12" ht="12.75">
      <c r="A344" s="6">
        <v>343</v>
      </c>
      <c r="B344" s="4" t="s">
        <v>67</v>
      </c>
      <c r="C344" s="61" t="s">
        <v>2455</v>
      </c>
      <c r="D344" s="6" t="s">
        <v>2119</v>
      </c>
      <c r="E344" s="7" t="s">
        <v>2459</v>
      </c>
      <c r="F344" s="511"/>
      <c r="G344" s="97" t="s">
        <v>374</v>
      </c>
      <c r="H344" s="92">
        <v>46101</v>
      </c>
      <c r="I344" s="13">
        <v>9.7976127000000002</v>
      </c>
      <c r="J344" s="13">
        <v>126.10788599999999</v>
      </c>
      <c r="K344" s="13" t="s">
        <v>1815</v>
      </c>
      <c r="L344" s="13" t="s">
        <v>89</v>
      </c>
    </row>
    <row r="345" spans="1:12" ht="12.75">
      <c r="A345" s="6">
        <v>344</v>
      </c>
      <c r="B345" s="4" t="s">
        <v>67</v>
      </c>
      <c r="C345" s="61" t="s">
        <v>2455</v>
      </c>
      <c r="D345" s="6" t="s">
        <v>2119</v>
      </c>
      <c r="E345" s="7" t="s">
        <v>2460</v>
      </c>
      <c r="F345" s="512"/>
      <c r="G345" s="97" t="s">
        <v>374</v>
      </c>
      <c r="H345" s="92">
        <v>46101</v>
      </c>
      <c r="I345" s="13">
        <v>9.7976127000000002</v>
      </c>
      <c r="J345" s="13">
        <v>126.10788599999999</v>
      </c>
      <c r="K345" s="13" t="s">
        <v>1815</v>
      </c>
      <c r="L345" s="13" t="s">
        <v>89</v>
      </c>
    </row>
    <row r="346" spans="1:12" ht="12.75">
      <c r="A346" s="6">
        <v>345</v>
      </c>
      <c r="B346" s="4" t="s">
        <v>67</v>
      </c>
      <c r="C346" s="61" t="s">
        <v>1804</v>
      </c>
      <c r="D346" s="6" t="s">
        <v>2119</v>
      </c>
      <c r="E346" s="7" t="s">
        <v>2462</v>
      </c>
      <c r="F346" s="525" t="s">
        <v>549</v>
      </c>
      <c r="G346" s="97" t="s">
        <v>207</v>
      </c>
      <c r="H346" s="92">
        <v>46101</v>
      </c>
      <c r="I346" s="13">
        <v>9.8143626000000008</v>
      </c>
      <c r="J346" s="13">
        <v>126.10721599999999</v>
      </c>
      <c r="K346" s="13" t="s">
        <v>1815</v>
      </c>
      <c r="L346" s="13" t="s">
        <v>89</v>
      </c>
    </row>
    <row r="347" spans="1:12" ht="12.75">
      <c r="A347" s="6">
        <v>346</v>
      </c>
      <c r="B347" s="4" t="s">
        <v>67</v>
      </c>
      <c r="C347" s="61" t="s">
        <v>1804</v>
      </c>
      <c r="D347" s="6" t="s">
        <v>2119</v>
      </c>
      <c r="E347" s="7" t="s">
        <v>2468</v>
      </c>
      <c r="F347" s="511"/>
      <c r="G347" s="97" t="s">
        <v>207</v>
      </c>
      <c r="H347" s="92">
        <v>46101</v>
      </c>
      <c r="I347" s="13">
        <v>9.8143626000000008</v>
      </c>
      <c r="J347" s="13">
        <v>126.10721599999999</v>
      </c>
      <c r="K347" s="13" t="s">
        <v>1815</v>
      </c>
      <c r="L347" s="13" t="s">
        <v>89</v>
      </c>
    </row>
    <row r="348" spans="1:12" ht="12.75">
      <c r="A348" s="6">
        <v>347</v>
      </c>
      <c r="B348" s="4" t="s">
        <v>67</v>
      </c>
      <c r="C348" s="61" t="s">
        <v>1804</v>
      </c>
      <c r="D348" s="6" t="s">
        <v>2119</v>
      </c>
      <c r="E348" s="7" t="s">
        <v>2470</v>
      </c>
      <c r="F348" s="512"/>
      <c r="G348" s="97" t="s">
        <v>207</v>
      </c>
      <c r="H348" s="92">
        <v>46101</v>
      </c>
      <c r="I348" s="13">
        <v>9.8143626000000008</v>
      </c>
      <c r="J348" s="13">
        <v>126.10721599999999</v>
      </c>
      <c r="K348" s="13" t="s">
        <v>1815</v>
      </c>
      <c r="L348" s="13" t="s">
        <v>89</v>
      </c>
    </row>
    <row r="349" spans="1:12" ht="12.75">
      <c r="A349" s="6">
        <v>348</v>
      </c>
      <c r="B349" s="4" t="s">
        <v>67</v>
      </c>
      <c r="C349" s="61" t="s">
        <v>2472</v>
      </c>
      <c r="D349" s="6" t="s">
        <v>2119</v>
      </c>
      <c r="E349" s="7" t="s">
        <v>2473</v>
      </c>
      <c r="F349" s="525" t="s">
        <v>2474</v>
      </c>
      <c r="G349" s="97" t="s">
        <v>374</v>
      </c>
      <c r="H349" s="92">
        <v>46101</v>
      </c>
      <c r="I349" s="13">
        <v>9.7415211999999993</v>
      </c>
      <c r="J349" s="13">
        <v>126.155866</v>
      </c>
      <c r="K349" s="13" t="s">
        <v>1815</v>
      </c>
      <c r="L349" s="13" t="s">
        <v>89</v>
      </c>
    </row>
    <row r="350" spans="1:12" ht="12.75">
      <c r="A350" s="6">
        <v>349</v>
      </c>
      <c r="B350" s="4" t="s">
        <v>67</v>
      </c>
      <c r="C350" s="61" t="s">
        <v>2472</v>
      </c>
      <c r="D350" s="6" t="s">
        <v>2119</v>
      </c>
      <c r="E350" s="7" t="s">
        <v>2475</v>
      </c>
      <c r="F350" s="511"/>
      <c r="G350" s="97" t="s">
        <v>374</v>
      </c>
      <c r="H350" s="92">
        <v>46101</v>
      </c>
      <c r="I350" s="13">
        <v>9.7415211999999993</v>
      </c>
      <c r="J350" s="13">
        <v>126.155866</v>
      </c>
      <c r="K350" s="13" t="s">
        <v>1815</v>
      </c>
      <c r="L350" s="13" t="s">
        <v>89</v>
      </c>
    </row>
    <row r="351" spans="1:12" ht="12.75">
      <c r="A351" s="6">
        <v>350</v>
      </c>
      <c r="B351" s="4" t="s">
        <v>67</v>
      </c>
      <c r="C351" s="61" t="s">
        <v>2472</v>
      </c>
      <c r="D351" s="6" t="s">
        <v>2119</v>
      </c>
      <c r="E351" s="7" t="s">
        <v>2478</v>
      </c>
      <c r="F351" s="512"/>
      <c r="G351" s="97" t="s">
        <v>374</v>
      </c>
      <c r="H351" s="92">
        <v>46101</v>
      </c>
      <c r="I351" s="13">
        <v>9.7415211999999993</v>
      </c>
      <c r="J351" s="13">
        <v>126.155866</v>
      </c>
      <c r="K351" s="13" t="s">
        <v>1815</v>
      </c>
      <c r="L351" s="13" t="s">
        <v>89</v>
      </c>
    </row>
    <row r="352" spans="1:12" ht="12.75">
      <c r="A352" s="6">
        <v>351</v>
      </c>
      <c r="B352" s="4" t="s">
        <v>67</v>
      </c>
      <c r="C352" s="61" t="s">
        <v>1617</v>
      </c>
      <c r="D352" s="6" t="s">
        <v>2119</v>
      </c>
      <c r="E352" s="7" t="s">
        <v>2479</v>
      </c>
      <c r="F352" s="525" t="s">
        <v>2480</v>
      </c>
      <c r="G352" s="97" t="s">
        <v>374</v>
      </c>
      <c r="H352" s="92">
        <v>46101</v>
      </c>
      <c r="I352" s="13">
        <v>9.8016836999999999</v>
      </c>
      <c r="J352" s="13">
        <v>126.12766999999999</v>
      </c>
      <c r="K352" s="13" t="s">
        <v>1815</v>
      </c>
      <c r="L352" s="13" t="s">
        <v>89</v>
      </c>
    </row>
    <row r="353" spans="1:12" ht="12.75">
      <c r="A353" s="6">
        <v>352</v>
      </c>
      <c r="B353" s="4" t="s">
        <v>67</v>
      </c>
      <c r="C353" s="61" t="s">
        <v>1617</v>
      </c>
      <c r="D353" s="6" t="s">
        <v>2119</v>
      </c>
      <c r="E353" s="7" t="s">
        <v>2484</v>
      </c>
      <c r="F353" s="511"/>
      <c r="G353" s="97" t="s">
        <v>374</v>
      </c>
      <c r="H353" s="92">
        <v>46101</v>
      </c>
      <c r="I353" s="13">
        <v>9.8016836999999999</v>
      </c>
      <c r="J353" s="13">
        <v>126.12766999999999</v>
      </c>
      <c r="K353" s="13" t="s">
        <v>1815</v>
      </c>
      <c r="L353" s="13" t="s">
        <v>89</v>
      </c>
    </row>
    <row r="354" spans="1:12" ht="12.75">
      <c r="A354" s="6">
        <v>353</v>
      </c>
      <c r="B354" s="4" t="s">
        <v>67</v>
      </c>
      <c r="C354" s="61" t="s">
        <v>1617</v>
      </c>
      <c r="D354" s="6" t="s">
        <v>2119</v>
      </c>
      <c r="E354" s="7" t="s">
        <v>2487</v>
      </c>
      <c r="F354" s="512"/>
      <c r="G354" s="97" t="s">
        <v>374</v>
      </c>
      <c r="H354" s="92">
        <v>46101</v>
      </c>
      <c r="I354" s="13">
        <v>9.8016836999999999</v>
      </c>
      <c r="J354" s="13">
        <v>126.12766999999999</v>
      </c>
      <c r="K354" s="13" t="s">
        <v>1815</v>
      </c>
      <c r="L354" s="13" t="s">
        <v>89</v>
      </c>
    </row>
    <row r="355" spans="1:12" ht="12.75">
      <c r="A355" s="6">
        <v>354</v>
      </c>
      <c r="B355" s="4" t="s">
        <v>67</v>
      </c>
      <c r="C355" s="61" t="s">
        <v>306</v>
      </c>
      <c r="D355" s="6" t="s">
        <v>2119</v>
      </c>
      <c r="E355" s="7" t="s">
        <v>2488</v>
      </c>
      <c r="F355" s="525" t="s">
        <v>2489</v>
      </c>
      <c r="G355" s="97" t="s">
        <v>374</v>
      </c>
      <c r="H355" s="92">
        <v>46101</v>
      </c>
      <c r="I355" s="13">
        <v>9.8109453999999996</v>
      </c>
      <c r="J355" s="13">
        <v>126.130044</v>
      </c>
      <c r="K355" s="13" t="s">
        <v>1815</v>
      </c>
      <c r="L355" s="13" t="s">
        <v>89</v>
      </c>
    </row>
    <row r="356" spans="1:12" ht="12.75">
      <c r="A356" s="6">
        <v>355</v>
      </c>
      <c r="B356" s="4" t="s">
        <v>67</v>
      </c>
      <c r="C356" s="61" t="s">
        <v>306</v>
      </c>
      <c r="D356" s="6" t="s">
        <v>2119</v>
      </c>
      <c r="E356" s="7" t="s">
        <v>2490</v>
      </c>
      <c r="F356" s="511"/>
      <c r="G356" s="97" t="s">
        <v>374</v>
      </c>
      <c r="H356" s="92">
        <v>46101</v>
      </c>
      <c r="I356" s="13">
        <v>9.8109453999999996</v>
      </c>
      <c r="J356" s="13">
        <v>126.130044</v>
      </c>
      <c r="K356" s="13" t="s">
        <v>1815</v>
      </c>
      <c r="L356" s="13" t="s">
        <v>89</v>
      </c>
    </row>
    <row r="357" spans="1:12" ht="12.75">
      <c r="A357" s="6">
        <v>356</v>
      </c>
      <c r="B357" s="4" t="s">
        <v>67</v>
      </c>
      <c r="C357" s="61" t="s">
        <v>306</v>
      </c>
      <c r="D357" s="6" t="s">
        <v>2119</v>
      </c>
      <c r="E357" s="7" t="s">
        <v>2491</v>
      </c>
      <c r="F357" s="512"/>
      <c r="G357" s="97" t="s">
        <v>374</v>
      </c>
      <c r="H357" s="92">
        <v>46101</v>
      </c>
      <c r="I357" s="13">
        <v>9.8109453999999996</v>
      </c>
      <c r="J357" s="13">
        <v>126.130044</v>
      </c>
      <c r="K357" s="13" t="s">
        <v>1815</v>
      </c>
      <c r="L357" s="13" t="s">
        <v>89</v>
      </c>
    </row>
    <row r="358" spans="1:12" ht="12.75">
      <c r="A358" s="6">
        <v>357</v>
      </c>
      <c r="B358" s="4" t="s">
        <v>67</v>
      </c>
      <c r="C358" s="61" t="s">
        <v>2482</v>
      </c>
      <c r="D358" s="6" t="s">
        <v>2119</v>
      </c>
      <c r="E358" s="7" t="s">
        <v>2493</v>
      </c>
      <c r="F358" s="525" t="s">
        <v>2494</v>
      </c>
      <c r="G358" s="97" t="s">
        <v>374</v>
      </c>
      <c r="H358" s="92">
        <v>46101</v>
      </c>
      <c r="I358" s="13">
        <v>9.7695250999999992</v>
      </c>
      <c r="J358" s="13">
        <v>126.126902</v>
      </c>
      <c r="K358" s="13" t="s">
        <v>1815</v>
      </c>
      <c r="L358" s="13" t="s">
        <v>89</v>
      </c>
    </row>
    <row r="359" spans="1:12" ht="12.75">
      <c r="A359" s="6">
        <v>358</v>
      </c>
      <c r="B359" s="4" t="s">
        <v>67</v>
      </c>
      <c r="C359" s="61" t="s">
        <v>2482</v>
      </c>
      <c r="D359" s="6" t="s">
        <v>2119</v>
      </c>
      <c r="E359" s="7" t="s">
        <v>2495</v>
      </c>
      <c r="F359" s="511"/>
      <c r="G359" s="97" t="s">
        <v>374</v>
      </c>
      <c r="H359" s="92">
        <v>46101</v>
      </c>
      <c r="I359" s="13">
        <v>9.7695250999999992</v>
      </c>
      <c r="J359" s="13">
        <v>126.126902</v>
      </c>
      <c r="K359" s="13" t="s">
        <v>1815</v>
      </c>
      <c r="L359" s="13" t="s">
        <v>89</v>
      </c>
    </row>
    <row r="360" spans="1:12" ht="12.75">
      <c r="A360" s="6">
        <v>359</v>
      </c>
      <c r="B360" s="4" t="s">
        <v>67</v>
      </c>
      <c r="C360" s="61" t="s">
        <v>2482</v>
      </c>
      <c r="D360" s="6" t="s">
        <v>2119</v>
      </c>
      <c r="E360" s="7" t="s">
        <v>2497</v>
      </c>
      <c r="F360" s="512"/>
      <c r="G360" s="97" t="s">
        <v>374</v>
      </c>
      <c r="H360" s="92">
        <v>46101</v>
      </c>
      <c r="I360" s="13">
        <v>9.7695250999999992</v>
      </c>
      <c r="J360" s="13">
        <v>126.126902</v>
      </c>
      <c r="K360" s="13" t="s">
        <v>1815</v>
      </c>
      <c r="L360" s="13" t="s">
        <v>89</v>
      </c>
    </row>
    <row r="361" spans="1:12" ht="12.75">
      <c r="A361" s="6">
        <v>360</v>
      </c>
      <c r="B361" s="4" t="s">
        <v>67</v>
      </c>
      <c r="C361" s="61" t="s">
        <v>308</v>
      </c>
      <c r="D361" s="6" t="s">
        <v>2119</v>
      </c>
      <c r="E361" s="7" t="s">
        <v>2498</v>
      </c>
      <c r="F361" s="525" t="s">
        <v>2499</v>
      </c>
      <c r="G361" s="97" t="s">
        <v>374</v>
      </c>
      <c r="H361" s="92">
        <v>46101</v>
      </c>
      <c r="I361" s="13">
        <v>9.8729429999999994</v>
      </c>
      <c r="J361" s="13">
        <v>126.09643199999999</v>
      </c>
      <c r="K361" s="13" t="s">
        <v>1815</v>
      </c>
      <c r="L361" s="13" t="s">
        <v>89</v>
      </c>
    </row>
    <row r="362" spans="1:12" ht="12.75">
      <c r="A362" s="6">
        <v>361</v>
      </c>
      <c r="B362" s="4" t="s">
        <v>67</v>
      </c>
      <c r="C362" s="61" t="s">
        <v>308</v>
      </c>
      <c r="D362" s="6" t="s">
        <v>2119</v>
      </c>
      <c r="E362" s="7" t="s">
        <v>2501</v>
      </c>
      <c r="F362" s="511"/>
      <c r="G362" s="97" t="s">
        <v>374</v>
      </c>
      <c r="H362" s="92">
        <v>46101</v>
      </c>
      <c r="I362" s="13">
        <v>9.8729429999999994</v>
      </c>
      <c r="J362" s="13">
        <v>126.09643199999999</v>
      </c>
      <c r="K362" s="13" t="s">
        <v>1815</v>
      </c>
      <c r="L362" s="13" t="s">
        <v>89</v>
      </c>
    </row>
    <row r="363" spans="1:12" ht="12.75">
      <c r="A363" s="6">
        <v>362</v>
      </c>
      <c r="B363" s="4" t="s">
        <v>67</v>
      </c>
      <c r="C363" s="61" t="s">
        <v>308</v>
      </c>
      <c r="D363" s="6" t="s">
        <v>2119</v>
      </c>
      <c r="E363" s="7" t="s">
        <v>2502</v>
      </c>
      <c r="F363" s="512"/>
      <c r="G363" s="97" t="s">
        <v>374</v>
      </c>
      <c r="H363" s="92">
        <v>46101</v>
      </c>
      <c r="I363" s="13">
        <v>9.8729429999999994</v>
      </c>
      <c r="J363" s="13">
        <v>126.09643199999999</v>
      </c>
      <c r="K363" s="13" t="s">
        <v>1815</v>
      </c>
      <c r="L363" s="13" t="s">
        <v>89</v>
      </c>
    </row>
    <row r="364" spans="1:12" ht="12.75">
      <c r="A364" s="6">
        <v>363</v>
      </c>
      <c r="B364" s="4" t="s">
        <v>67</v>
      </c>
      <c r="C364" s="61" t="s">
        <v>1617</v>
      </c>
      <c r="D364" s="6" t="s">
        <v>2119</v>
      </c>
      <c r="E364" s="7" t="s">
        <v>2505</v>
      </c>
      <c r="F364" s="525" t="s">
        <v>1618</v>
      </c>
      <c r="G364" s="97" t="s">
        <v>374</v>
      </c>
      <c r="H364" s="92">
        <v>46101</v>
      </c>
      <c r="I364" s="13">
        <v>9.9766594000000008</v>
      </c>
      <c r="J364" s="13">
        <v>126.08958</v>
      </c>
      <c r="K364" s="13" t="s">
        <v>1815</v>
      </c>
      <c r="L364" s="13" t="s">
        <v>89</v>
      </c>
    </row>
    <row r="365" spans="1:12" ht="12.75">
      <c r="A365" s="6">
        <v>364</v>
      </c>
      <c r="B365" s="4" t="s">
        <v>67</v>
      </c>
      <c r="C365" s="61" t="s">
        <v>1617</v>
      </c>
      <c r="D365" s="6" t="s">
        <v>2119</v>
      </c>
      <c r="E365" s="7" t="s">
        <v>2506</v>
      </c>
      <c r="F365" s="511"/>
      <c r="G365" s="97" t="s">
        <v>374</v>
      </c>
      <c r="H365" s="92">
        <v>46101</v>
      </c>
      <c r="I365" s="13">
        <v>9.9766594000000008</v>
      </c>
      <c r="J365" s="13">
        <v>126.08958</v>
      </c>
      <c r="K365" s="13" t="s">
        <v>1815</v>
      </c>
      <c r="L365" s="13" t="s">
        <v>89</v>
      </c>
    </row>
    <row r="366" spans="1:12" ht="12.75">
      <c r="A366" s="6">
        <v>365</v>
      </c>
      <c r="B366" s="4" t="s">
        <v>67</v>
      </c>
      <c r="C366" s="61" t="s">
        <v>1617</v>
      </c>
      <c r="D366" s="6" t="s">
        <v>2119</v>
      </c>
      <c r="E366" s="7" t="s">
        <v>2507</v>
      </c>
      <c r="F366" s="512"/>
      <c r="G366" s="97" t="s">
        <v>374</v>
      </c>
      <c r="H366" s="92">
        <v>46101</v>
      </c>
      <c r="I366" s="13">
        <v>9.9766594000000008</v>
      </c>
      <c r="J366" s="13">
        <v>126.08958</v>
      </c>
      <c r="K366" s="13" t="s">
        <v>1815</v>
      </c>
      <c r="L366" s="13" t="s">
        <v>89</v>
      </c>
    </row>
    <row r="367" spans="1:12" ht="12.75">
      <c r="A367" s="6">
        <v>366</v>
      </c>
      <c r="B367" s="4" t="s">
        <v>81</v>
      </c>
      <c r="C367" s="61" t="s">
        <v>1869</v>
      </c>
      <c r="D367" s="6" t="s">
        <v>2119</v>
      </c>
      <c r="E367" s="7" t="s">
        <v>2508</v>
      </c>
      <c r="F367" s="525" t="s">
        <v>557</v>
      </c>
      <c r="G367" s="97" t="s">
        <v>374</v>
      </c>
      <c r="H367" s="92">
        <v>46101</v>
      </c>
      <c r="I367" s="13">
        <v>9.8197224999999992</v>
      </c>
      <c r="J367" s="13">
        <v>126.055942</v>
      </c>
      <c r="K367" s="13" t="s">
        <v>1815</v>
      </c>
      <c r="L367" s="13" t="s">
        <v>89</v>
      </c>
    </row>
    <row r="368" spans="1:12" ht="12.75">
      <c r="A368" s="6">
        <v>367</v>
      </c>
      <c r="B368" s="4" t="s">
        <v>81</v>
      </c>
      <c r="C368" s="61" t="s">
        <v>1869</v>
      </c>
      <c r="D368" s="6" t="s">
        <v>2119</v>
      </c>
      <c r="E368" s="7" t="s">
        <v>2509</v>
      </c>
      <c r="F368" s="511"/>
      <c r="G368" s="97" t="s">
        <v>374</v>
      </c>
      <c r="H368" s="92">
        <v>46101</v>
      </c>
      <c r="I368" s="13">
        <v>9.8197224999999992</v>
      </c>
      <c r="J368" s="13">
        <v>126.055942</v>
      </c>
      <c r="K368" s="13" t="s">
        <v>1815</v>
      </c>
      <c r="L368" s="13" t="s">
        <v>89</v>
      </c>
    </row>
    <row r="369" spans="1:12" ht="12.75">
      <c r="A369" s="6">
        <v>368</v>
      </c>
      <c r="B369" s="4" t="s">
        <v>81</v>
      </c>
      <c r="C369" s="61" t="s">
        <v>1869</v>
      </c>
      <c r="D369" s="6" t="s">
        <v>2119</v>
      </c>
      <c r="E369" s="7" t="s">
        <v>2511</v>
      </c>
      <c r="F369" s="512"/>
      <c r="G369" s="97" t="s">
        <v>374</v>
      </c>
      <c r="H369" s="92">
        <v>46101</v>
      </c>
      <c r="I369" s="13">
        <v>9.8197224999999992</v>
      </c>
      <c r="J369" s="13">
        <v>126.055942</v>
      </c>
      <c r="K369" s="13" t="s">
        <v>1815</v>
      </c>
      <c r="L369" s="13" t="s">
        <v>89</v>
      </c>
    </row>
    <row r="370" spans="1:12" ht="12.75">
      <c r="A370" s="6">
        <v>369</v>
      </c>
      <c r="B370" s="4" t="s">
        <v>81</v>
      </c>
      <c r="C370" s="61" t="s">
        <v>2512</v>
      </c>
      <c r="D370" s="6" t="s">
        <v>2119</v>
      </c>
      <c r="E370" s="7" t="s">
        <v>2513</v>
      </c>
      <c r="F370" s="525" t="s">
        <v>2514</v>
      </c>
      <c r="G370" s="97" t="s">
        <v>374</v>
      </c>
      <c r="H370" s="92">
        <v>46101</v>
      </c>
      <c r="I370" s="13">
        <v>9.8375492999999992</v>
      </c>
      <c r="J370" s="13">
        <v>126.064179</v>
      </c>
      <c r="K370" s="13" t="s">
        <v>1815</v>
      </c>
      <c r="L370" s="13" t="s">
        <v>89</v>
      </c>
    </row>
    <row r="371" spans="1:12" ht="12.75">
      <c r="A371" s="6">
        <v>370</v>
      </c>
      <c r="B371" s="4" t="s">
        <v>81</v>
      </c>
      <c r="C371" s="61" t="s">
        <v>2512</v>
      </c>
      <c r="D371" s="6" t="s">
        <v>2119</v>
      </c>
      <c r="E371" s="7" t="s">
        <v>2516</v>
      </c>
      <c r="F371" s="511"/>
      <c r="G371" s="97" t="s">
        <v>374</v>
      </c>
      <c r="H371" s="92">
        <v>46101</v>
      </c>
      <c r="I371" s="13">
        <v>9.8375492999999992</v>
      </c>
      <c r="J371" s="13">
        <v>126.064179</v>
      </c>
      <c r="K371" s="13" t="s">
        <v>1815</v>
      </c>
      <c r="L371" s="13" t="s">
        <v>89</v>
      </c>
    </row>
    <row r="372" spans="1:12" ht="12.75">
      <c r="A372" s="6">
        <v>371</v>
      </c>
      <c r="B372" s="4" t="s">
        <v>81</v>
      </c>
      <c r="C372" s="61" t="s">
        <v>2512</v>
      </c>
      <c r="D372" s="6" t="s">
        <v>2119</v>
      </c>
      <c r="E372" s="7" t="s">
        <v>2517</v>
      </c>
      <c r="F372" s="512"/>
      <c r="G372" s="97" t="s">
        <v>374</v>
      </c>
      <c r="H372" s="92">
        <v>46101</v>
      </c>
      <c r="I372" s="13">
        <v>9.8375492999999992</v>
      </c>
      <c r="J372" s="13">
        <v>126.064179</v>
      </c>
      <c r="K372" s="13" t="s">
        <v>1815</v>
      </c>
      <c r="L372" s="13" t="s">
        <v>89</v>
      </c>
    </row>
    <row r="373" spans="1:12" ht="12.75">
      <c r="A373" s="6">
        <v>372</v>
      </c>
      <c r="B373" s="4" t="s">
        <v>81</v>
      </c>
      <c r="C373" s="61" t="s">
        <v>2518</v>
      </c>
      <c r="D373" s="6" t="s">
        <v>2119</v>
      </c>
      <c r="E373" s="7" t="s">
        <v>2519</v>
      </c>
      <c r="F373" s="525" t="s">
        <v>2520</v>
      </c>
      <c r="G373" s="97" t="s">
        <v>374</v>
      </c>
      <c r="H373" s="92">
        <v>46101</v>
      </c>
      <c r="I373" s="13">
        <v>9.8270374</v>
      </c>
      <c r="J373" s="13">
        <v>126.10926600000001</v>
      </c>
      <c r="K373" s="13" t="s">
        <v>1815</v>
      </c>
      <c r="L373" s="13" t="s">
        <v>89</v>
      </c>
    </row>
    <row r="374" spans="1:12" ht="12.75">
      <c r="A374" s="6">
        <v>373</v>
      </c>
      <c r="B374" s="4" t="s">
        <v>81</v>
      </c>
      <c r="C374" s="61" t="s">
        <v>2518</v>
      </c>
      <c r="D374" s="6" t="s">
        <v>2119</v>
      </c>
      <c r="E374" s="7" t="s">
        <v>2521</v>
      </c>
      <c r="F374" s="511"/>
      <c r="G374" s="97" t="s">
        <v>374</v>
      </c>
      <c r="H374" s="92">
        <v>46101</v>
      </c>
      <c r="I374" s="13">
        <v>9.8270374</v>
      </c>
      <c r="J374" s="13">
        <v>126.10926600000001</v>
      </c>
      <c r="K374" s="13" t="s">
        <v>1815</v>
      </c>
      <c r="L374" s="13" t="s">
        <v>89</v>
      </c>
    </row>
    <row r="375" spans="1:12" ht="12.75">
      <c r="A375" s="6">
        <v>374</v>
      </c>
      <c r="B375" s="4" t="s">
        <v>81</v>
      </c>
      <c r="C375" s="61" t="s">
        <v>2518</v>
      </c>
      <c r="D375" s="6" t="s">
        <v>2119</v>
      </c>
      <c r="E375" s="7" t="s">
        <v>2522</v>
      </c>
      <c r="F375" s="512"/>
      <c r="G375" s="97" t="s">
        <v>374</v>
      </c>
      <c r="H375" s="92">
        <v>46101</v>
      </c>
      <c r="I375" s="13">
        <v>9.8270374</v>
      </c>
      <c r="J375" s="13">
        <v>126.10926600000001</v>
      </c>
      <c r="K375" s="13" t="s">
        <v>1815</v>
      </c>
      <c r="L375" s="13" t="s">
        <v>89</v>
      </c>
    </row>
    <row r="376" spans="1:12" ht="12.75">
      <c r="A376" s="6">
        <v>375</v>
      </c>
      <c r="B376" s="4" t="s">
        <v>81</v>
      </c>
      <c r="C376" s="61" t="s">
        <v>2518</v>
      </c>
      <c r="D376" s="6" t="s">
        <v>2119</v>
      </c>
      <c r="E376" s="7" t="s">
        <v>2524</v>
      </c>
      <c r="F376" s="525" t="s">
        <v>2525</v>
      </c>
      <c r="G376" s="97" t="s">
        <v>207</v>
      </c>
      <c r="H376" s="92">
        <v>46101</v>
      </c>
      <c r="I376" s="13">
        <v>9.8644885000000002</v>
      </c>
      <c r="J376" s="13">
        <v>126.099335</v>
      </c>
      <c r="K376" s="13" t="s">
        <v>1815</v>
      </c>
      <c r="L376" s="13" t="s">
        <v>89</v>
      </c>
    </row>
    <row r="377" spans="1:12" ht="12.75">
      <c r="A377" s="6">
        <v>376</v>
      </c>
      <c r="B377" s="4" t="s">
        <v>81</v>
      </c>
      <c r="C377" s="61" t="s">
        <v>2518</v>
      </c>
      <c r="D377" s="6" t="s">
        <v>2119</v>
      </c>
      <c r="E377" s="7" t="s">
        <v>2526</v>
      </c>
      <c r="F377" s="511"/>
      <c r="G377" s="97" t="s">
        <v>207</v>
      </c>
      <c r="H377" s="92">
        <v>46101</v>
      </c>
      <c r="I377" s="13">
        <v>9.8644885000000002</v>
      </c>
      <c r="J377" s="13">
        <v>126.099335</v>
      </c>
      <c r="K377" s="13" t="s">
        <v>1815</v>
      </c>
      <c r="L377" s="13" t="s">
        <v>89</v>
      </c>
    </row>
    <row r="378" spans="1:12" ht="12.75">
      <c r="A378" s="6">
        <v>377</v>
      </c>
      <c r="B378" s="4" t="s">
        <v>81</v>
      </c>
      <c r="C378" s="61" t="s">
        <v>2518</v>
      </c>
      <c r="D378" s="6" t="s">
        <v>2119</v>
      </c>
      <c r="E378" s="7" t="s">
        <v>2527</v>
      </c>
      <c r="F378" s="512"/>
      <c r="G378" s="97" t="s">
        <v>207</v>
      </c>
      <c r="H378" s="92">
        <v>46101</v>
      </c>
      <c r="I378" s="13">
        <v>9.8644885000000002</v>
      </c>
      <c r="J378" s="13">
        <v>126.099335</v>
      </c>
      <c r="K378" s="13" t="s">
        <v>1815</v>
      </c>
      <c r="L378" s="13" t="s">
        <v>89</v>
      </c>
    </row>
    <row r="379" spans="1:12" ht="12.75">
      <c r="A379" s="6">
        <v>378</v>
      </c>
      <c r="B379" s="4" t="s">
        <v>81</v>
      </c>
      <c r="C379" s="61" t="s">
        <v>320</v>
      </c>
      <c r="D379" s="6" t="s">
        <v>2119</v>
      </c>
      <c r="E379" s="7" t="s">
        <v>2528</v>
      </c>
      <c r="F379" s="525" t="s">
        <v>2529</v>
      </c>
      <c r="G379" s="97" t="s">
        <v>207</v>
      </c>
      <c r="H379" s="92">
        <v>46101</v>
      </c>
      <c r="I379" s="13">
        <v>9.8456712999999993</v>
      </c>
      <c r="J379" s="13">
        <v>126.110876</v>
      </c>
      <c r="K379" s="13" t="s">
        <v>1815</v>
      </c>
      <c r="L379" s="13" t="s">
        <v>89</v>
      </c>
    </row>
    <row r="380" spans="1:12" ht="12.75">
      <c r="A380" s="6">
        <v>379</v>
      </c>
      <c r="B380" s="4" t="s">
        <v>81</v>
      </c>
      <c r="C380" s="61" t="s">
        <v>320</v>
      </c>
      <c r="D380" s="6" t="s">
        <v>2119</v>
      </c>
      <c r="E380" s="7" t="s">
        <v>2530</v>
      </c>
      <c r="F380" s="511"/>
      <c r="G380" s="97" t="s">
        <v>207</v>
      </c>
      <c r="H380" s="92">
        <v>46101</v>
      </c>
      <c r="I380" s="13">
        <v>9.8456712999999993</v>
      </c>
      <c r="J380" s="13">
        <v>126.110876</v>
      </c>
      <c r="K380" s="13" t="s">
        <v>1815</v>
      </c>
      <c r="L380" s="13" t="s">
        <v>89</v>
      </c>
    </row>
    <row r="381" spans="1:12" ht="12.75">
      <c r="A381" s="6">
        <v>380</v>
      </c>
      <c r="B381" s="4" t="s">
        <v>81</v>
      </c>
      <c r="C381" s="61" t="s">
        <v>320</v>
      </c>
      <c r="D381" s="6" t="s">
        <v>2119</v>
      </c>
      <c r="E381" s="7" t="s">
        <v>2531</v>
      </c>
      <c r="F381" s="512"/>
      <c r="G381" s="97" t="s">
        <v>207</v>
      </c>
      <c r="H381" s="92">
        <v>46101</v>
      </c>
      <c r="I381" s="13">
        <v>9.8456712999999993</v>
      </c>
      <c r="J381" s="13">
        <v>126.110876</v>
      </c>
      <c r="K381" s="13" t="s">
        <v>1815</v>
      </c>
      <c r="L381" s="13" t="s">
        <v>89</v>
      </c>
    </row>
    <row r="382" spans="1:12" ht="12.75">
      <c r="A382" s="6">
        <v>381</v>
      </c>
      <c r="B382" s="4" t="s">
        <v>81</v>
      </c>
      <c r="C382" s="61" t="s">
        <v>2532</v>
      </c>
      <c r="D382" s="6" t="s">
        <v>2119</v>
      </c>
      <c r="E382" s="7" t="s">
        <v>2533</v>
      </c>
      <c r="F382" s="525" t="s">
        <v>2534</v>
      </c>
      <c r="G382" s="97" t="s">
        <v>374</v>
      </c>
      <c r="H382" s="92">
        <v>46101</v>
      </c>
      <c r="I382" s="13">
        <v>9.6294567000000004</v>
      </c>
      <c r="J382" s="13">
        <v>125.93814399999999</v>
      </c>
      <c r="K382" s="13" t="s">
        <v>1815</v>
      </c>
      <c r="L382" s="13" t="s">
        <v>89</v>
      </c>
    </row>
    <row r="383" spans="1:12" ht="12.75">
      <c r="A383" s="6">
        <v>382</v>
      </c>
      <c r="B383" s="4" t="s">
        <v>81</v>
      </c>
      <c r="C383" s="61" t="s">
        <v>2532</v>
      </c>
      <c r="D383" s="6" t="s">
        <v>2119</v>
      </c>
      <c r="E383" s="7" t="s">
        <v>2536</v>
      </c>
      <c r="F383" s="511"/>
      <c r="G383" s="97" t="s">
        <v>374</v>
      </c>
      <c r="H383" s="92">
        <v>46101</v>
      </c>
      <c r="I383" s="13">
        <v>9.6294567000000004</v>
      </c>
      <c r="J383" s="13">
        <v>125.93814399999999</v>
      </c>
      <c r="K383" s="13" t="s">
        <v>1815</v>
      </c>
      <c r="L383" s="13" t="s">
        <v>89</v>
      </c>
    </row>
    <row r="384" spans="1:12" ht="12.75">
      <c r="A384" s="6">
        <v>383</v>
      </c>
      <c r="B384" s="4" t="s">
        <v>81</v>
      </c>
      <c r="C384" s="61" t="s">
        <v>2532</v>
      </c>
      <c r="D384" s="6" t="s">
        <v>2119</v>
      </c>
      <c r="E384" s="7" t="s">
        <v>2537</v>
      </c>
      <c r="F384" s="512"/>
      <c r="G384" s="97" t="s">
        <v>374</v>
      </c>
      <c r="H384" s="92">
        <v>46101</v>
      </c>
      <c r="I384" s="13">
        <v>9.6294567000000004</v>
      </c>
      <c r="J384" s="13">
        <v>125.93814399999999</v>
      </c>
      <c r="K384" s="13" t="s">
        <v>1815</v>
      </c>
      <c r="L384" s="13" t="s">
        <v>89</v>
      </c>
    </row>
    <row r="385" spans="1:12" ht="12.75">
      <c r="A385" s="6">
        <v>384</v>
      </c>
      <c r="B385" s="4" t="s">
        <v>81</v>
      </c>
      <c r="C385" s="61" t="s">
        <v>2538</v>
      </c>
      <c r="D385" s="6" t="s">
        <v>2119</v>
      </c>
      <c r="E385" s="7" t="s">
        <v>2539</v>
      </c>
      <c r="F385" s="525" t="s">
        <v>2540</v>
      </c>
      <c r="G385" s="97" t="s">
        <v>374</v>
      </c>
      <c r="H385" s="92">
        <v>46101</v>
      </c>
      <c r="I385" s="13">
        <v>9.8703090000000007</v>
      </c>
      <c r="J385" s="13">
        <v>125.53496</v>
      </c>
      <c r="K385" s="13" t="s">
        <v>1815</v>
      </c>
      <c r="L385" s="13" t="s">
        <v>89</v>
      </c>
    </row>
    <row r="386" spans="1:12" ht="12.75">
      <c r="A386" s="6">
        <v>385</v>
      </c>
      <c r="B386" s="4" t="s">
        <v>81</v>
      </c>
      <c r="C386" s="61" t="s">
        <v>2538</v>
      </c>
      <c r="D386" s="6" t="s">
        <v>2119</v>
      </c>
      <c r="E386" s="7" t="s">
        <v>2541</v>
      </c>
      <c r="F386" s="511"/>
      <c r="G386" s="97" t="s">
        <v>374</v>
      </c>
      <c r="H386" s="92">
        <v>46101</v>
      </c>
      <c r="I386" s="13">
        <v>9.8703090000000007</v>
      </c>
      <c r="J386" s="13">
        <v>125.53496</v>
      </c>
      <c r="K386" s="13" t="s">
        <v>1815</v>
      </c>
      <c r="L386" s="13" t="s">
        <v>89</v>
      </c>
    </row>
    <row r="387" spans="1:12" ht="12.75">
      <c r="A387" s="6">
        <v>386</v>
      </c>
      <c r="B387" s="4" t="s">
        <v>81</v>
      </c>
      <c r="C387" s="61" t="s">
        <v>2538</v>
      </c>
      <c r="D387" s="6" t="s">
        <v>2119</v>
      </c>
      <c r="E387" s="7" t="s">
        <v>2542</v>
      </c>
      <c r="F387" s="512"/>
      <c r="G387" s="97" t="s">
        <v>374</v>
      </c>
      <c r="H387" s="92">
        <v>46101</v>
      </c>
      <c r="I387" s="13">
        <v>9.8703090000000007</v>
      </c>
      <c r="J387" s="13">
        <v>125.53496</v>
      </c>
      <c r="K387" s="13" t="s">
        <v>1815</v>
      </c>
      <c r="L387" s="13" t="s">
        <v>89</v>
      </c>
    </row>
    <row r="388" spans="1:12" ht="12.75">
      <c r="A388" s="6">
        <v>387</v>
      </c>
      <c r="B388" s="4" t="s">
        <v>81</v>
      </c>
      <c r="C388" s="61" t="s">
        <v>2543</v>
      </c>
      <c r="D388" s="6" t="s">
        <v>2119</v>
      </c>
      <c r="E388" s="7" t="s">
        <v>2544</v>
      </c>
      <c r="F388" s="525" t="s">
        <v>2545</v>
      </c>
      <c r="G388" s="97" t="s">
        <v>374</v>
      </c>
      <c r="H388" s="92">
        <v>46101</v>
      </c>
      <c r="I388" s="13">
        <v>9.4683679999999999</v>
      </c>
      <c r="J388" s="13">
        <v>125.580995</v>
      </c>
      <c r="K388" s="13" t="s">
        <v>1815</v>
      </c>
      <c r="L388" s="13" t="s">
        <v>89</v>
      </c>
    </row>
    <row r="389" spans="1:12" ht="12.75">
      <c r="A389" s="6">
        <v>388</v>
      </c>
      <c r="B389" s="4" t="s">
        <v>81</v>
      </c>
      <c r="C389" s="61" t="s">
        <v>2543</v>
      </c>
      <c r="D389" s="6" t="s">
        <v>2119</v>
      </c>
      <c r="E389" s="7" t="s">
        <v>2546</v>
      </c>
      <c r="F389" s="511"/>
      <c r="G389" s="97" t="s">
        <v>374</v>
      </c>
      <c r="H389" s="92">
        <v>46101</v>
      </c>
      <c r="I389" s="13">
        <v>9.4683679999999999</v>
      </c>
      <c r="J389" s="13">
        <v>125.580995</v>
      </c>
      <c r="K389" s="13" t="s">
        <v>1815</v>
      </c>
      <c r="L389" s="13" t="s">
        <v>89</v>
      </c>
    </row>
    <row r="390" spans="1:12" ht="12.75">
      <c r="A390" s="6">
        <v>389</v>
      </c>
      <c r="B390" s="4" t="s">
        <v>81</v>
      </c>
      <c r="C390" s="61" t="s">
        <v>2543</v>
      </c>
      <c r="D390" s="6" t="s">
        <v>2119</v>
      </c>
      <c r="E390" s="7" t="s">
        <v>2547</v>
      </c>
      <c r="F390" s="512"/>
      <c r="G390" s="97" t="s">
        <v>374</v>
      </c>
      <c r="H390" s="92">
        <v>46101</v>
      </c>
      <c r="I390" s="13">
        <v>9.4683679999999999</v>
      </c>
      <c r="J390" s="13">
        <v>125.580995</v>
      </c>
      <c r="K390" s="13" t="s">
        <v>1815</v>
      </c>
      <c r="L390" s="13" t="s">
        <v>89</v>
      </c>
    </row>
    <row r="391" spans="1:12" ht="12.75">
      <c r="A391" s="6">
        <v>390</v>
      </c>
      <c r="B391" s="4" t="s">
        <v>79</v>
      </c>
      <c r="C391" s="61" t="s">
        <v>2548</v>
      </c>
      <c r="D391" s="6" t="s">
        <v>2119</v>
      </c>
      <c r="E391" s="7" t="s">
        <v>2549</v>
      </c>
      <c r="F391" s="525" t="s">
        <v>2550</v>
      </c>
      <c r="G391" s="97" t="s">
        <v>374</v>
      </c>
      <c r="H391" s="92">
        <v>46101</v>
      </c>
      <c r="I391" s="13">
        <v>9.8957151000000003</v>
      </c>
      <c r="J391" s="13">
        <v>126.110184</v>
      </c>
      <c r="K391" s="13" t="s">
        <v>1815</v>
      </c>
      <c r="L391" s="13" t="s">
        <v>89</v>
      </c>
    </row>
    <row r="392" spans="1:12" ht="12.75">
      <c r="A392" s="6">
        <v>391</v>
      </c>
      <c r="B392" s="4" t="s">
        <v>79</v>
      </c>
      <c r="C392" s="61" t="s">
        <v>2548</v>
      </c>
      <c r="D392" s="6" t="s">
        <v>2119</v>
      </c>
      <c r="E392" s="7" t="s">
        <v>2551</v>
      </c>
      <c r="F392" s="511"/>
      <c r="G392" s="97" t="s">
        <v>374</v>
      </c>
      <c r="H392" s="92">
        <v>46101</v>
      </c>
      <c r="I392" s="13">
        <v>9.8957151000000003</v>
      </c>
      <c r="J392" s="13">
        <v>126.110184</v>
      </c>
      <c r="K392" s="13" t="s">
        <v>1815</v>
      </c>
      <c r="L392" s="13" t="s">
        <v>89</v>
      </c>
    </row>
    <row r="393" spans="1:12" ht="12.75">
      <c r="A393" s="6">
        <v>392</v>
      </c>
      <c r="B393" s="4" t="s">
        <v>79</v>
      </c>
      <c r="C393" s="61" t="s">
        <v>2548</v>
      </c>
      <c r="D393" s="6" t="s">
        <v>2119</v>
      </c>
      <c r="E393" s="7" t="s">
        <v>2553</v>
      </c>
      <c r="F393" s="512"/>
      <c r="G393" s="97" t="s">
        <v>374</v>
      </c>
      <c r="H393" s="92">
        <v>46101</v>
      </c>
      <c r="I393" s="13">
        <v>9.8957151000000003</v>
      </c>
      <c r="J393" s="13">
        <v>126.110184</v>
      </c>
      <c r="K393" s="13" t="s">
        <v>1815</v>
      </c>
      <c r="L393" s="13" t="s">
        <v>89</v>
      </c>
    </row>
    <row r="394" spans="1:12" ht="12.75">
      <c r="A394" s="6">
        <v>393</v>
      </c>
      <c r="B394" s="4" t="s">
        <v>79</v>
      </c>
      <c r="C394" s="61" t="s">
        <v>2554</v>
      </c>
      <c r="D394" s="6" t="s">
        <v>2119</v>
      </c>
      <c r="E394" s="7" t="s">
        <v>2555</v>
      </c>
      <c r="F394" s="525" t="s">
        <v>2556</v>
      </c>
      <c r="G394" s="97" t="s">
        <v>374</v>
      </c>
      <c r="H394" s="92">
        <v>46101</v>
      </c>
      <c r="I394" s="13">
        <v>9.8754902999999992</v>
      </c>
      <c r="J394" s="13">
        <v>126.106155</v>
      </c>
      <c r="K394" s="13" t="s">
        <v>1815</v>
      </c>
      <c r="L394" s="13" t="s">
        <v>89</v>
      </c>
    </row>
    <row r="395" spans="1:12" ht="12.75">
      <c r="A395" s="6">
        <v>394</v>
      </c>
      <c r="B395" s="4" t="s">
        <v>79</v>
      </c>
      <c r="C395" s="61" t="s">
        <v>2554</v>
      </c>
      <c r="D395" s="6" t="s">
        <v>2119</v>
      </c>
      <c r="E395" s="7" t="s">
        <v>2558</v>
      </c>
      <c r="F395" s="511"/>
      <c r="G395" s="97" t="s">
        <v>374</v>
      </c>
      <c r="H395" s="92">
        <v>46101</v>
      </c>
      <c r="I395" s="13">
        <v>9.8754902999999992</v>
      </c>
      <c r="J395" s="13">
        <v>126.106155</v>
      </c>
      <c r="K395" s="13" t="s">
        <v>1815</v>
      </c>
      <c r="L395" s="13" t="s">
        <v>89</v>
      </c>
    </row>
    <row r="396" spans="1:12" ht="12.75">
      <c r="A396" s="6">
        <v>395</v>
      </c>
      <c r="B396" s="4" t="s">
        <v>79</v>
      </c>
      <c r="C396" s="61" t="s">
        <v>2554</v>
      </c>
      <c r="D396" s="6" t="s">
        <v>2119</v>
      </c>
      <c r="E396" s="7" t="s">
        <v>2559</v>
      </c>
      <c r="F396" s="512"/>
      <c r="G396" s="97" t="s">
        <v>374</v>
      </c>
      <c r="H396" s="92">
        <v>46101</v>
      </c>
      <c r="I396" s="13">
        <v>9.8754902999999992</v>
      </c>
      <c r="J396" s="13">
        <v>126.106155</v>
      </c>
      <c r="K396" s="13" t="s">
        <v>1815</v>
      </c>
      <c r="L396" s="13" t="s">
        <v>89</v>
      </c>
    </row>
    <row r="397" spans="1:12" ht="12.75">
      <c r="A397" s="6">
        <v>396</v>
      </c>
      <c r="B397" s="4" t="s">
        <v>79</v>
      </c>
      <c r="C397" s="61" t="s">
        <v>1723</v>
      </c>
      <c r="D397" s="6" t="s">
        <v>2119</v>
      </c>
      <c r="E397" s="7" t="s">
        <v>2560</v>
      </c>
      <c r="F397" s="525" t="s">
        <v>535</v>
      </c>
      <c r="G397" s="97" t="s">
        <v>374</v>
      </c>
      <c r="H397" s="92">
        <v>46101</v>
      </c>
      <c r="I397" s="13">
        <v>9.8359138000000002</v>
      </c>
      <c r="J397" s="13">
        <v>126.123964</v>
      </c>
      <c r="K397" s="13" t="s">
        <v>1815</v>
      </c>
      <c r="L397" s="13" t="s">
        <v>89</v>
      </c>
    </row>
    <row r="398" spans="1:12" ht="12.75">
      <c r="A398" s="6">
        <v>397</v>
      </c>
      <c r="B398" s="4" t="s">
        <v>79</v>
      </c>
      <c r="C398" s="61" t="s">
        <v>1723</v>
      </c>
      <c r="D398" s="6" t="s">
        <v>2119</v>
      </c>
      <c r="E398" s="7" t="s">
        <v>2562</v>
      </c>
      <c r="F398" s="511"/>
      <c r="G398" s="97" t="s">
        <v>374</v>
      </c>
      <c r="H398" s="92">
        <v>46101</v>
      </c>
      <c r="I398" s="13">
        <v>9.8359138000000002</v>
      </c>
      <c r="J398" s="13">
        <v>126.123964</v>
      </c>
      <c r="K398" s="13" t="s">
        <v>1815</v>
      </c>
      <c r="L398" s="13" t="s">
        <v>89</v>
      </c>
    </row>
    <row r="399" spans="1:12" ht="12.75">
      <c r="A399" s="6">
        <v>398</v>
      </c>
      <c r="B399" s="4" t="s">
        <v>79</v>
      </c>
      <c r="C399" s="61" t="s">
        <v>1723</v>
      </c>
      <c r="D399" s="6" t="s">
        <v>2119</v>
      </c>
      <c r="E399" s="7" t="s">
        <v>2564</v>
      </c>
      <c r="F399" s="512"/>
      <c r="G399" s="97" t="s">
        <v>374</v>
      </c>
      <c r="H399" s="92">
        <v>46101</v>
      </c>
      <c r="I399" s="13">
        <v>9.8359138000000002</v>
      </c>
      <c r="J399" s="13">
        <v>126.123964</v>
      </c>
      <c r="K399" s="13" t="s">
        <v>1815</v>
      </c>
      <c r="L399" s="13" t="s">
        <v>89</v>
      </c>
    </row>
    <row r="400" spans="1:12" ht="12.75">
      <c r="A400" s="6">
        <v>399</v>
      </c>
      <c r="B400" s="4" t="s">
        <v>79</v>
      </c>
      <c r="C400" s="61" t="s">
        <v>2565</v>
      </c>
      <c r="D400" s="6" t="s">
        <v>2119</v>
      </c>
      <c r="E400" s="7" t="s">
        <v>2566</v>
      </c>
      <c r="F400" s="525" t="s">
        <v>2567</v>
      </c>
      <c r="G400" s="97" t="s">
        <v>374</v>
      </c>
      <c r="H400" s="92">
        <v>46101</v>
      </c>
      <c r="I400" s="13">
        <v>9.7969814</v>
      </c>
      <c r="J400" s="13">
        <v>126.108616</v>
      </c>
      <c r="K400" s="13" t="s">
        <v>1815</v>
      </c>
      <c r="L400" s="13" t="s">
        <v>89</v>
      </c>
    </row>
    <row r="401" spans="1:12" ht="12.75">
      <c r="A401" s="6">
        <v>400</v>
      </c>
      <c r="B401" s="4" t="s">
        <v>79</v>
      </c>
      <c r="C401" s="61" t="s">
        <v>2565</v>
      </c>
      <c r="D401" s="6" t="s">
        <v>2119</v>
      </c>
      <c r="E401" s="7" t="s">
        <v>2570</v>
      </c>
      <c r="F401" s="511"/>
      <c r="G401" s="97" t="s">
        <v>374</v>
      </c>
      <c r="H401" s="92">
        <v>46101</v>
      </c>
      <c r="I401" s="13">
        <v>9.7969814</v>
      </c>
      <c r="J401" s="13">
        <v>126.108616</v>
      </c>
      <c r="K401" s="13" t="s">
        <v>1815</v>
      </c>
      <c r="L401" s="13" t="s">
        <v>89</v>
      </c>
    </row>
    <row r="402" spans="1:12" ht="12.75">
      <c r="A402" s="6">
        <v>401</v>
      </c>
      <c r="B402" s="4" t="s">
        <v>79</v>
      </c>
      <c r="C402" s="61" t="s">
        <v>2565</v>
      </c>
      <c r="D402" s="6" t="s">
        <v>2119</v>
      </c>
      <c r="E402" s="7" t="s">
        <v>2572</v>
      </c>
      <c r="F402" s="512"/>
      <c r="G402" s="97" t="s">
        <v>374</v>
      </c>
      <c r="H402" s="92">
        <v>46101</v>
      </c>
      <c r="I402" s="13">
        <v>9.7969814</v>
      </c>
      <c r="J402" s="13">
        <v>126.108616</v>
      </c>
      <c r="K402" s="13" t="s">
        <v>1815</v>
      </c>
      <c r="L402" s="13" t="s">
        <v>89</v>
      </c>
    </row>
    <row r="403" spans="1:12" ht="12.75">
      <c r="A403" s="6">
        <v>402</v>
      </c>
      <c r="B403" s="4" t="s">
        <v>79</v>
      </c>
      <c r="C403" s="61" t="s">
        <v>2573</v>
      </c>
      <c r="D403" s="6" t="s">
        <v>2119</v>
      </c>
      <c r="E403" s="7" t="s">
        <v>2574</v>
      </c>
      <c r="F403" s="525" t="s">
        <v>2575</v>
      </c>
      <c r="G403" s="97" t="s">
        <v>374</v>
      </c>
      <c r="H403" s="92">
        <v>46101</v>
      </c>
      <c r="I403" s="13">
        <v>9.7898133999999999</v>
      </c>
      <c r="J403" s="13">
        <v>126.01161399999999</v>
      </c>
      <c r="K403" s="13" t="s">
        <v>1815</v>
      </c>
      <c r="L403" s="13" t="s">
        <v>89</v>
      </c>
    </row>
    <row r="404" spans="1:12" ht="12.75">
      <c r="A404" s="6">
        <v>403</v>
      </c>
      <c r="B404" s="4" t="s">
        <v>79</v>
      </c>
      <c r="C404" s="61" t="s">
        <v>2573</v>
      </c>
      <c r="D404" s="6" t="s">
        <v>2119</v>
      </c>
      <c r="E404" s="7" t="s">
        <v>2576</v>
      </c>
      <c r="F404" s="511"/>
      <c r="G404" s="97" t="s">
        <v>374</v>
      </c>
      <c r="H404" s="92">
        <v>46101</v>
      </c>
      <c r="I404" s="13">
        <v>9.7898133999999999</v>
      </c>
      <c r="J404" s="13">
        <v>126.01161399999999</v>
      </c>
      <c r="K404" s="13" t="s">
        <v>1815</v>
      </c>
      <c r="L404" s="13" t="s">
        <v>89</v>
      </c>
    </row>
    <row r="405" spans="1:12" ht="12.75">
      <c r="A405" s="6">
        <v>404</v>
      </c>
      <c r="B405" s="4" t="s">
        <v>79</v>
      </c>
      <c r="C405" s="61" t="s">
        <v>2573</v>
      </c>
      <c r="D405" s="6" t="s">
        <v>2119</v>
      </c>
      <c r="E405" s="7" t="s">
        <v>2577</v>
      </c>
      <c r="F405" s="512"/>
      <c r="G405" s="97" t="s">
        <v>374</v>
      </c>
      <c r="H405" s="92">
        <v>46101</v>
      </c>
      <c r="I405" s="13">
        <v>9.7898133999999999</v>
      </c>
      <c r="J405" s="13">
        <v>126.01161399999999</v>
      </c>
      <c r="K405" s="13" t="s">
        <v>1815</v>
      </c>
      <c r="L405" s="13" t="s">
        <v>89</v>
      </c>
    </row>
    <row r="406" spans="1:12" ht="12.75">
      <c r="A406" s="6">
        <v>405</v>
      </c>
      <c r="B406" s="4" t="s">
        <v>79</v>
      </c>
      <c r="C406" s="61" t="s">
        <v>356</v>
      </c>
      <c r="D406" s="6" t="s">
        <v>2119</v>
      </c>
      <c r="E406" s="7" t="s">
        <v>2578</v>
      </c>
      <c r="F406" s="525" t="s">
        <v>2579</v>
      </c>
      <c r="G406" s="97" t="s">
        <v>374</v>
      </c>
      <c r="H406" s="92">
        <v>46101</v>
      </c>
      <c r="I406" s="13">
        <v>9.8364434999999997</v>
      </c>
      <c r="J406" s="13">
        <v>126.01219</v>
      </c>
      <c r="K406" s="13" t="s">
        <v>1815</v>
      </c>
      <c r="L406" s="13" t="s">
        <v>89</v>
      </c>
    </row>
    <row r="407" spans="1:12" ht="12.75">
      <c r="A407" s="6">
        <v>406</v>
      </c>
      <c r="B407" s="4" t="s">
        <v>79</v>
      </c>
      <c r="C407" s="61" t="s">
        <v>356</v>
      </c>
      <c r="D407" s="6" t="s">
        <v>2119</v>
      </c>
      <c r="E407" s="7" t="s">
        <v>2580</v>
      </c>
      <c r="F407" s="511"/>
      <c r="G407" s="97" t="s">
        <v>374</v>
      </c>
      <c r="H407" s="92">
        <v>46101</v>
      </c>
      <c r="I407" s="13">
        <v>9.8364434999999997</v>
      </c>
      <c r="J407" s="13">
        <v>126.01219</v>
      </c>
      <c r="K407" s="13" t="s">
        <v>1815</v>
      </c>
      <c r="L407" s="13" t="s">
        <v>89</v>
      </c>
    </row>
    <row r="408" spans="1:12" ht="12.75">
      <c r="A408" s="6">
        <v>407</v>
      </c>
      <c r="B408" s="4" t="s">
        <v>79</v>
      </c>
      <c r="C408" s="61" t="s">
        <v>356</v>
      </c>
      <c r="D408" s="6" t="s">
        <v>2119</v>
      </c>
      <c r="E408" s="7" t="s">
        <v>2581</v>
      </c>
      <c r="F408" s="512"/>
      <c r="G408" s="97" t="s">
        <v>374</v>
      </c>
      <c r="H408" s="92">
        <v>46101</v>
      </c>
      <c r="I408" s="13">
        <v>9.8364434999999997</v>
      </c>
      <c r="J408" s="13">
        <v>126.01219</v>
      </c>
      <c r="K408" s="13" t="s">
        <v>1815</v>
      </c>
      <c r="L408" s="13" t="s">
        <v>89</v>
      </c>
    </row>
    <row r="409" spans="1:12" ht="12.75">
      <c r="A409" s="6">
        <v>408</v>
      </c>
      <c r="B409" s="4" t="s">
        <v>79</v>
      </c>
      <c r="C409" s="61" t="s">
        <v>356</v>
      </c>
      <c r="D409" s="6" t="s">
        <v>2119</v>
      </c>
      <c r="E409" s="7" t="s">
        <v>2584</v>
      </c>
      <c r="F409" s="525" t="s">
        <v>2585</v>
      </c>
      <c r="G409" s="97" t="s">
        <v>374</v>
      </c>
      <c r="H409" s="92">
        <v>46101</v>
      </c>
      <c r="I409" s="13">
        <v>9.8253266000000004</v>
      </c>
      <c r="J409" s="13">
        <v>126.04498599999999</v>
      </c>
      <c r="K409" s="13" t="s">
        <v>1815</v>
      </c>
      <c r="L409" s="13" t="s">
        <v>89</v>
      </c>
    </row>
    <row r="410" spans="1:12" ht="12.75">
      <c r="A410" s="6">
        <v>409</v>
      </c>
      <c r="B410" s="4" t="s">
        <v>79</v>
      </c>
      <c r="C410" s="61" t="s">
        <v>356</v>
      </c>
      <c r="D410" s="6" t="s">
        <v>2119</v>
      </c>
      <c r="E410" s="7" t="s">
        <v>2586</v>
      </c>
      <c r="F410" s="511"/>
      <c r="G410" s="97" t="s">
        <v>374</v>
      </c>
      <c r="H410" s="92">
        <v>46101</v>
      </c>
      <c r="I410" s="13">
        <v>9.8253266000000004</v>
      </c>
      <c r="J410" s="13">
        <v>126.04498599999999</v>
      </c>
      <c r="K410" s="13" t="s">
        <v>1815</v>
      </c>
      <c r="L410" s="13" t="s">
        <v>89</v>
      </c>
    </row>
    <row r="411" spans="1:12" ht="12.75">
      <c r="A411" s="6">
        <v>410</v>
      </c>
      <c r="B411" s="4" t="s">
        <v>79</v>
      </c>
      <c r="C411" s="61" t="s">
        <v>356</v>
      </c>
      <c r="D411" s="6" t="s">
        <v>2119</v>
      </c>
      <c r="E411" s="7" t="s">
        <v>2587</v>
      </c>
      <c r="F411" s="512"/>
      <c r="G411" s="97" t="s">
        <v>374</v>
      </c>
      <c r="H411" s="92">
        <v>46101</v>
      </c>
      <c r="I411" s="13">
        <v>9.8253266000000004</v>
      </c>
      <c r="J411" s="13">
        <v>126.04498599999999</v>
      </c>
      <c r="K411" s="13" t="s">
        <v>1815</v>
      </c>
      <c r="L411" s="13" t="s">
        <v>89</v>
      </c>
    </row>
    <row r="412" spans="1:12" ht="12.75">
      <c r="A412" s="6">
        <v>411</v>
      </c>
      <c r="B412" s="4" t="s">
        <v>79</v>
      </c>
      <c r="C412" s="61" t="s">
        <v>2588</v>
      </c>
      <c r="D412" s="6" t="s">
        <v>2119</v>
      </c>
      <c r="E412" s="7" t="s">
        <v>2589</v>
      </c>
      <c r="F412" s="525" t="s">
        <v>2590</v>
      </c>
      <c r="G412" s="97" t="s">
        <v>374</v>
      </c>
      <c r="H412" s="92">
        <v>46101</v>
      </c>
      <c r="I412" s="13">
        <v>9.8258914999999991</v>
      </c>
      <c r="J412" s="13">
        <v>126.04514399999999</v>
      </c>
      <c r="K412" s="13" t="s">
        <v>1815</v>
      </c>
      <c r="L412" s="13" t="s">
        <v>89</v>
      </c>
    </row>
    <row r="413" spans="1:12" ht="12.75">
      <c r="A413" s="6">
        <v>412</v>
      </c>
      <c r="B413" s="4" t="s">
        <v>79</v>
      </c>
      <c r="C413" s="61" t="s">
        <v>2588</v>
      </c>
      <c r="D413" s="6" t="s">
        <v>2119</v>
      </c>
      <c r="E413" s="7" t="s">
        <v>2591</v>
      </c>
      <c r="F413" s="511"/>
      <c r="G413" s="97" t="s">
        <v>374</v>
      </c>
      <c r="H413" s="92">
        <v>46101</v>
      </c>
      <c r="I413" s="13">
        <v>9.8258914999999991</v>
      </c>
      <c r="J413" s="13">
        <v>126.04514399999999</v>
      </c>
      <c r="K413" s="13" t="s">
        <v>1815</v>
      </c>
      <c r="L413" s="13" t="s">
        <v>89</v>
      </c>
    </row>
    <row r="414" spans="1:12" ht="12.75">
      <c r="A414" s="6">
        <v>413</v>
      </c>
      <c r="B414" s="4" t="s">
        <v>79</v>
      </c>
      <c r="C414" s="61" t="s">
        <v>2588</v>
      </c>
      <c r="D414" s="6" t="s">
        <v>2119</v>
      </c>
      <c r="E414" s="7" t="s">
        <v>2592</v>
      </c>
      <c r="F414" s="512"/>
      <c r="G414" s="97" t="s">
        <v>374</v>
      </c>
      <c r="H414" s="92">
        <v>46101</v>
      </c>
      <c r="I414" s="13">
        <v>9.8258914999999991</v>
      </c>
      <c r="J414" s="13">
        <v>126.04514399999999</v>
      </c>
      <c r="K414" s="13" t="s">
        <v>1815</v>
      </c>
      <c r="L414" s="13" t="s">
        <v>89</v>
      </c>
    </row>
    <row r="415" spans="1:12" ht="12.75">
      <c r="A415" s="6">
        <v>414</v>
      </c>
      <c r="B415" s="4" t="s">
        <v>79</v>
      </c>
      <c r="C415" s="61" t="s">
        <v>172</v>
      </c>
      <c r="D415" s="6" t="s">
        <v>2119</v>
      </c>
      <c r="E415" s="7" t="s">
        <v>2593</v>
      </c>
      <c r="F415" s="525" t="s">
        <v>2594</v>
      </c>
      <c r="G415" s="97" t="s">
        <v>374</v>
      </c>
      <c r="H415" s="92">
        <v>46101</v>
      </c>
      <c r="I415" s="13">
        <v>9.8550237000000003</v>
      </c>
      <c r="J415" s="13">
        <v>126.02239400000001</v>
      </c>
      <c r="K415" s="13" t="s">
        <v>1815</v>
      </c>
      <c r="L415" s="13" t="s">
        <v>89</v>
      </c>
    </row>
    <row r="416" spans="1:12" ht="12.75">
      <c r="A416" s="6">
        <v>415</v>
      </c>
      <c r="B416" s="4" t="s">
        <v>79</v>
      </c>
      <c r="C416" s="61" t="s">
        <v>172</v>
      </c>
      <c r="D416" s="6" t="s">
        <v>2119</v>
      </c>
      <c r="E416" s="7" t="s">
        <v>2595</v>
      </c>
      <c r="F416" s="511"/>
      <c r="G416" s="97" t="s">
        <v>374</v>
      </c>
      <c r="H416" s="92">
        <v>46101</v>
      </c>
      <c r="I416" s="13">
        <v>9.8550237000000003</v>
      </c>
      <c r="J416" s="13">
        <v>126.02239400000001</v>
      </c>
      <c r="K416" s="13" t="s">
        <v>1815</v>
      </c>
      <c r="L416" s="13" t="s">
        <v>89</v>
      </c>
    </row>
    <row r="417" spans="1:12" ht="12.75">
      <c r="A417" s="6">
        <v>416</v>
      </c>
      <c r="B417" s="4" t="s">
        <v>79</v>
      </c>
      <c r="C417" s="61" t="s">
        <v>172</v>
      </c>
      <c r="D417" s="6" t="s">
        <v>2119</v>
      </c>
      <c r="E417" s="7" t="s">
        <v>2596</v>
      </c>
      <c r="F417" s="512"/>
      <c r="G417" s="97" t="s">
        <v>374</v>
      </c>
      <c r="H417" s="92">
        <v>46101</v>
      </c>
      <c r="I417" s="13">
        <v>9.8550237000000003</v>
      </c>
      <c r="J417" s="13">
        <v>126.02239400000001</v>
      </c>
      <c r="K417" s="13" t="s">
        <v>1815</v>
      </c>
      <c r="L417" s="13" t="s">
        <v>89</v>
      </c>
    </row>
    <row r="418" spans="1:12" ht="12.75">
      <c r="A418" s="6">
        <v>417</v>
      </c>
      <c r="B418" s="4" t="s">
        <v>79</v>
      </c>
      <c r="C418" s="61" t="s">
        <v>1723</v>
      </c>
      <c r="D418" s="6" t="s">
        <v>2119</v>
      </c>
      <c r="E418" s="7" t="s">
        <v>2597</v>
      </c>
      <c r="F418" s="525" t="s">
        <v>2598</v>
      </c>
      <c r="G418" s="97" t="s">
        <v>207</v>
      </c>
      <c r="H418" s="92">
        <v>46101</v>
      </c>
      <c r="I418" s="13">
        <v>9.8764874999999996</v>
      </c>
      <c r="J418" s="13">
        <v>126.065825</v>
      </c>
      <c r="K418" s="13" t="s">
        <v>1815</v>
      </c>
      <c r="L418" s="13" t="s">
        <v>89</v>
      </c>
    </row>
    <row r="419" spans="1:12" ht="12.75">
      <c r="A419" s="6">
        <v>418</v>
      </c>
      <c r="B419" s="4" t="s">
        <v>79</v>
      </c>
      <c r="C419" s="61" t="s">
        <v>1723</v>
      </c>
      <c r="D419" s="6" t="s">
        <v>2119</v>
      </c>
      <c r="E419" s="7" t="s">
        <v>2599</v>
      </c>
      <c r="F419" s="511"/>
      <c r="G419" s="97" t="s">
        <v>207</v>
      </c>
      <c r="H419" s="92">
        <v>46101</v>
      </c>
      <c r="I419" s="13">
        <v>9.8764874999999996</v>
      </c>
      <c r="J419" s="13">
        <v>126.065825</v>
      </c>
      <c r="K419" s="13" t="s">
        <v>1815</v>
      </c>
      <c r="L419" s="13" t="s">
        <v>89</v>
      </c>
    </row>
    <row r="420" spans="1:12" ht="12.75">
      <c r="A420" s="6">
        <v>419</v>
      </c>
      <c r="B420" s="4" t="s">
        <v>79</v>
      </c>
      <c r="C420" s="61" t="s">
        <v>1723</v>
      </c>
      <c r="D420" s="6" t="s">
        <v>2119</v>
      </c>
      <c r="E420" s="7" t="s">
        <v>2600</v>
      </c>
      <c r="F420" s="512"/>
      <c r="G420" s="97" t="s">
        <v>207</v>
      </c>
      <c r="H420" s="92">
        <v>46101</v>
      </c>
      <c r="I420" s="13">
        <v>9.8764874999999996</v>
      </c>
      <c r="J420" s="13">
        <v>126.065825</v>
      </c>
      <c r="K420" s="13" t="s">
        <v>1815</v>
      </c>
      <c r="L420" s="13" t="s">
        <v>89</v>
      </c>
    </row>
    <row r="421" spans="1:12" ht="12.75">
      <c r="A421" s="6">
        <v>420</v>
      </c>
      <c r="B421" s="4" t="s">
        <v>167</v>
      </c>
      <c r="C421" s="61" t="s">
        <v>1962</v>
      </c>
      <c r="D421" s="48" t="s">
        <v>1767</v>
      </c>
      <c r="E421" s="7" t="s">
        <v>1964</v>
      </c>
      <c r="F421" s="525" t="s">
        <v>1963</v>
      </c>
      <c r="G421" s="97" t="s">
        <v>374</v>
      </c>
      <c r="H421" s="92">
        <v>46101</v>
      </c>
      <c r="I421" s="13">
        <v>9.7215860000000003</v>
      </c>
      <c r="J421" s="13">
        <v>125.66148699999999</v>
      </c>
      <c r="K421" s="13" t="s">
        <v>1815</v>
      </c>
      <c r="L421" s="13" t="s">
        <v>89</v>
      </c>
    </row>
    <row r="422" spans="1:12" ht="12.75">
      <c r="A422" s="6">
        <v>421</v>
      </c>
      <c r="B422" s="4" t="s">
        <v>167</v>
      </c>
      <c r="C422" s="61" t="s">
        <v>1962</v>
      </c>
      <c r="D422" s="48" t="s">
        <v>1767</v>
      </c>
      <c r="E422" s="7" t="s">
        <v>1970</v>
      </c>
      <c r="F422" s="511"/>
      <c r="G422" s="97" t="s">
        <v>374</v>
      </c>
      <c r="H422" s="92">
        <v>46101</v>
      </c>
      <c r="I422" s="13">
        <v>9.7215860000000003</v>
      </c>
      <c r="J422" s="13">
        <v>125.66148699999999</v>
      </c>
      <c r="K422" s="13" t="s">
        <v>1815</v>
      </c>
      <c r="L422" s="13" t="s">
        <v>89</v>
      </c>
    </row>
    <row r="423" spans="1:12" ht="12.75">
      <c r="A423" s="6">
        <v>422</v>
      </c>
      <c r="B423" s="4" t="s">
        <v>167</v>
      </c>
      <c r="C423" s="61" t="s">
        <v>1962</v>
      </c>
      <c r="D423" s="48" t="s">
        <v>1767</v>
      </c>
      <c r="E423" s="7" t="s">
        <v>1977</v>
      </c>
      <c r="F423" s="512"/>
      <c r="G423" s="97" t="s">
        <v>374</v>
      </c>
      <c r="H423" s="92">
        <v>46101</v>
      </c>
      <c r="I423" s="13">
        <v>9.7215860000000003</v>
      </c>
      <c r="J423" s="13">
        <v>125.66148699999999</v>
      </c>
      <c r="K423" s="13" t="s">
        <v>1815</v>
      </c>
      <c r="L423" s="13" t="s">
        <v>89</v>
      </c>
    </row>
    <row r="424" spans="1:12" ht="12.75">
      <c r="A424" s="6">
        <v>423</v>
      </c>
      <c r="B424" s="4" t="s">
        <v>381</v>
      </c>
      <c r="C424" s="61" t="s">
        <v>2101</v>
      </c>
      <c r="D424" s="48" t="s">
        <v>1767</v>
      </c>
      <c r="E424" s="7" t="s">
        <v>2106</v>
      </c>
      <c r="F424" s="525" t="s">
        <v>2102</v>
      </c>
      <c r="G424" s="97" t="s">
        <v>374</v>
      </c>
      <c r="H424" s="92">
        <v>46101</v>
      </c>
      <c r="I424" s="13">
        <v>9.5873864999999991</v>
      </c>
      <c r="J424" s="13">
        <v>125.6138764</v>
      </c>
      <c r="K424" s="13" t="s">
        <v>1815</v>
      </c>
      <c r="L424" s="13" t="s">
        <v>89</v>
      </c>
    </row>
    <row r="425" spans="1:12" ht="12.75">
      <c r="A425" s="6">
        <v>424</v>
      </c>
      <c r="B425" s="4" t="s">
        <v>381</v>
      </c>
      <c r="C425" s="61" t="s">
        <v>2101</v>
      </c>
      <c r="D425" s="48" t="s">
        <v>1767</v>
      </c>
      <c r="E425" s="7" t="s">
        <v>2112</v>
      </c>
      <c r="F425" s="511"/>
      <c r="G425" s="97" t="s">
        <v>374</v>
      </c>
      <c r="H425" s="92">
        <v>46101</v>
      </c>
      <c r="I425" s="13">
        <v>9.5873864999999991</v>
      </c>
      <c r="J425" s="13">
        <v>125.6138764</v>
      </c>
      <c r="K425" s="13" t="s">
        <v>1815</v>
      </c>
      <c r="L425" s="13" t="s">
        <v>89</v>
      </c>
    </row>
    <row r="426" spans="1:12" ht="12.75">
      <c r="A426" s="6">
        <v>425</v>
      </c>
      <c r="B426" s="4" t="s">
        <v>381</v>
      </c>
      <c r="C426" s="61" t="s">
        <v>2101</v>
      </c>
      <c r="D426" s="48" t="s">
        <v>1767</v>
      </c>
      <c r="E426" s="7" t="s">
        <v>2113</v>
      </c>
      <c r="F426" s="512"/>
      <c r="G426" s="97" t="s">
        <v>374</v>
      </c>
      <c r="H426" s="92">
        <v>46101</v>
      </c>
      <c r="I426" s="13">
        <v>9.5873864999999991</v>
      </c>
      <c r="J426" s="13">
        <v>125.6138764</v>
      </c>
      <c r="K426" s="13" t="s">
        <v>1815</v>
      </c>
      <c r="L426" s="13" t="s">
        <v>89</v>
      </c>
    </row>
    <row r="427" spans="1:12" ht="12.75">
      <c r="A427" s="6">
        <v>426</v>
      </c>
      <c r="B427" s="4" t="s">
        <v>113</v>
      </c>
      <c r="C427" s="61" t="s">
        <v>1959</v>
      </c>
      <c r="D427" s="6" t="s">
        <v>2119</v>
      </c>
      <c r="E427" s="7" t="s">
        <v>2608</v>
      </c>
      <c r="F427" s="525" t="s">
        <v>570</v>
      </c>
      <c r="G427" s="97" t="s">
        <v>374</v>
      </c>
      <c r="H427" s="92">
        <v>46101</v>
      </c>
      <c r="I427" s="13">
        <v>9.8953100000000003</v>
      </c>
      <c r="J427" s="13">
        <v>126.10984999999999</v>
      </c>
      <c r="K427" s="13" t="s">
        <v>1815</v>
      </c>
      <c r="L427" s="13" t="s">
        <v>89</v>
      </c>
    </row>
    <row r="428" spans="1:12" ht="12.75">
      <c r="A428" s="6">
        <v>427</v>
      </c>
      <c r="B428" s="4" t="s">
        <v>113</v>
      </c>
      <c r="C428" s="61" t="s">
        <v>1959</v>
      </c>
      <c r="D428" s="6" t="s">
        <v>2119</v>
      </c>
      <c r="E428" s="7" t="s">
        <v>2611</v>
      </c>
      <c r="F428" s="511"/>
      <c r="G428" s="97" t="s">
        <v>374</v>
      </c>
      <c r="H428" s="92">
        <v>46101</v>
      </c>
      <c r="I428" s="13">
        <v>9.8953100000000003</v>
      </c>
      <c r="J428" s="13">
        <v>126.10984999999999</v>
      </c>
      <c r="K428" s="13" t="s">
        <v>1815</v>
      </c>
      <c r="L428" s="13" t="s">
        <v>89</v>
      </c>
    </row>
    <row r="429" spans="1:12" ht="12.75">
      <c r="A429" s="6">
        <v>428</v>
      </c>
      <c r="B429" s="4" t="s">
        <v>113</v>
      </c>
      <c r="C429" s="61" t="s">
        <v>1959</v>
      </c>
      <c r="D429" s="6" t="s">
        <v>2119</v>
      </c>
      <c r="E429" s="7" t="s">
        <v>2614</v>
      </c>
      <c r="F429" s="512"/>
      <c r="G429" s="97" t="s">
        <v>374</v>
      </c>
      <c r="H429" s="92">
        <v>46101</v>
      </c>
      <c r="I429" s="13">
        <v>9.8953100000000003</v>
      </c>
      <c r="J429" s="13">
        <v>126.10984999999999</v>
      </c>
      <c r="K429" s="13" t="s">
        <v>1815</v>
      </c>
      <c r="L429" s="13" t="s">
        <v>89</v>
      </c>
    </row>
    <row r="430" spans="1:12" ht="12.75">
      <c r="A430" s="6">
        <v>429</v>
      </c>
      <c r="B430" s="4" t="s">
        <v>113</v>
      </c>
      <c r="C430" s="61" t="s">
        <v>1804</v>
      </c>
      <c r="D430" s="6" t="s">
        <v>2119</v>
      </c>
      <c r="E430" s="7" t="s">
        <v>2431</v>
      </c>
      <c r="F430" s="525" t="s">
        <v>551</v>
      </c>
      <c r="G430" s="97" t="s">
        <v>374</v>
      </c>
      <c r="H430" s="92">
        <v>46101</v>
      </c>
      <c r="I430" s="13">
        <v>9.9319790000000001</v>
      </c>
      <c r="J430" s="13">
        <v>126.10328699999999</v>
      </c>
      <c r="K430" s="13" t="s">
        <v>1815</v>
      </c>
      <c r="L430" s="13" t="s">
        <v>89</v>
      </c>
    </row>
    <row r="431" spans="1:12" ht="12.75">
      <c r="A431" s="6">
        <v>430</v>
      </c>
      <c r="B431" s="4" t="s">
        <v>113</v>
      </c>
      <c r="C431" s="61" t="s">
        <v>1804</v>
      </c>
      <c r="D431" s="6" t="s">
        <v>2119</v>
      </c>
      <c r="E431" s="7" t="s">
        <v>2432</v>
      </c>
      <c r="F431" s="511"/>
      <c r="G431" s="97" t="s">
        <v>374</v>
      </c>
      <c r="H431" s="92">
        <v>46101</v>
      </c>
      <c r="I431" s="13">
        <v>9.9319790000000001</v>
      </c>
      <c r="J431" s="13">
        <v>126.10328699999999</v>
      </c>
      <c r="K431" s="13" t="s">
        <v>1815</v>
      </c>
      <c r="L431" s="13" t="s">
        <v>89</v>
      </c>
    </row>
    <row r="432" spans="1:12" ht="12.75">
      <c r="A432" s="6">
        <v>431</v>
      </c>
      <c r="B432" s="4" t="s">
        <v>113</v>
      </c>
      <c r="C432" s="61" t="s">
        <v>1804</v>
      </c>
      <c r="D432" s="6" t="s">
        <v>2119</v>
      </c>
      <c r="E432" s="7" t="s">
        <v>2433</v>
      </c>
      <c r="F432" s="512"/>
      <c r="G432" s="97" t="s">
        <v>374</v>
      </c>
      <c r="H432" s="92">
        <v>46101</v>
      </c>
      <c r="I432" s="13">
        <v>9.9319790000000001</v>
      </c>
      <c r="J432" s="13">
        <v>126.10328699999999</v>
      </c>
      <c r="K432" s="13" t="s">
        <v>1815</v>
      </c>
      <c r="L432" s="13" t="s">
        <v>89</v>
      </c>
    </row>
    <row r="433" spans="1:12" ht="12.75">
      <c r="A433" s="6">
        <v>432</v>
      </c>
      <c r="B433" s="4" t="s">
        <v>113</v>
      </c>
      <c r="C433" s="61" t="s">
        <v>1500</v>
      </c>
      <c r="D433" s="6" t="s">
        <v>2119</v>
      </c>
      <c r="E433" s="7" t="s">
        <v>2617</v>
      </c>
      <c r="F433" s="525" t="s">
        <v>2618</v>
      </c>
      <c r="G433" s="97" t="s">
        <v>374</v>
      </c>
      <c r="H433" s="92">
        <v>46101</v>
      </c>
      <c r="I433" s="13">
        <v>9.9216438</v>
      </c>
      <c r="J433" s="13">
        <v>126.04997400000001</v>
      </c>
      <c r="K433" s="13" t="s">
        <v>1815</v>
      </c>
      <c r="L433" s="13" t="s">
        <v>89</v>
      </c>
    </row>
    <row r="434" spans="1:12" ht="12.75">
      <c r="A434" s="6">
        <v>433</v>
      </c>
      <c r="B434" s="4" t="s">
        <v>113</v>
      </c>
      <c r="C434" s="61" t="s">
        <v>1500</v>
      </c>
      <c r="D434" s="6" t="s">
        <v>2119</v>
      </c>
      <c r="E434" s="7" t="s">
        <v>2620</v>
      </c>
      <c r="F434" s="511"/>
      <c r="G434" s="97" t="s">
        <v>374</v>
      </c>
      <c r="H434" s="92">
        <v>46101</v>
      </c>
      <c r="I434" s="13">
        <v>9.9216438</v>
      </c>
      <c r="J434" s="13">
        <v>126.04997400000001</v>
      </c>
      <c r="K434" s="13" t="s">
        <v>1815</v>
      </c>
      <c r="L434" s="13" t="s">
        <v>89</v>
      </c>
    </row>
    <row r="435" spans="1:12" ht="12.75">
      <c r="A435" s="6">
        <v>434</v>
      </c>
      <c r="B435" s="4" t="s">
        <v>113</v>
      </c>
      <c r="C435" s="61" t="s">
        <v>1500</v>
      </c>
      <c r="D435" s="6" t="s">
        <v>2119</v>
      </c>
      <c r="E435" s="7" t="s">
        <v>2622</v>
      </c>
      <c r="F435" s="512"/>
      <c r="G435" s="97" t="s">
        <v>374</v>
      </c>
      <c r="H435" s="92">
        <v>46101</v>
      </c>
      <c r="I435" s="13">
        <v>9.9216438</v>
      </c>
      <c r="J435" s="13">
        <v>126.04997400000001</v>
      </c>
      <c r="K435" s="13" t="s">
        <v>1815</v>
      </c>
      <c r="L435" s="13" t="s">
        <v>89</v>
      </c>
    </row>
    <row r="436" spans="1:12" ht="12.75">
      <c r="A436" s="6">
        <v>435</v>
      </c>
      <c r="B436" s="4" t="s">
        <v>113</v>
      </c>
      <c r="C436" s="61" t="s">
        <v>2624</v>
      </c>
      <c r="D436" s="6" t="s">
        <v>2119</v>
      </c>
      <c r="E436" s="7" t="s">
        <v>2625</v>
      </c>
      <c r="F436" s="525" t="s">
        <v>2627</v>
      </c>
      <c r="G436" s="97" t="s">
        <v>374</v>
      </c>
      <c r="H436" s="92">
        <v>46101</v>
      </c>
      <c r="I436" s="13">
        <v>9.9466126999999993</v>
      </c>
      <c r="J436" s="13">
        <v>126.101069</v>
      </c>
      <c r="K436" s="13" t="s">
        <v>1815</v>
      </c>
      <c r="L436" s="13" t="s">
        <v>89</v>
      </c>
    </row>
    <row r="437" spans="1:12" ht="12.75">
      <c r="A437" s="6">
        <v>436</v>
      </c>
      <c r="B437" s="4" t="s">
        <v>113</v>
      </c>
      <c r="C437" s="61" t="s">
        <v>2624</v>
      </c>
      <c r="D437" s="6" t="s">
        <v>2119</v>
      </c>
      <c r="E437" s="7" t="s">
        <v>2630</v>
      </c>
      <c r="F437" s="511"/>
      <c r="G437" s="97" t="s">
        <v>374</v>
      </c>
      <c r="H437" s="92">
        <v>46101</v>
      </c>
      <c r="I437" s="13">
        <v>9.9466126999999993</v>
      </c>
      <c r="J437" s="13">
        <v>126.101069</v>
      </c>
      <c r="K437" s="13" t="s">
        <v>1815</v>
      </c>
      <c r="L437" s="13" t="s">
        <v>89</v>
      </c>
    </row>
    <row r="438" spans="1:12" ht="12.75">
      <c r="A438" s="6">
        <v>437</v>
      </c>
      <c r="B438" s="4" t="s">
        <v>113</v>
      </c>
      <c r="C438" s="61" t="s">
        <v>2624</v>
      </c>
      <c r="D438" s="6" t="s">
        <v>2119</v>
      </c>
      <c r="E438" s="7" t="s">
        <v>2632</v>
      </c>
      <c r="F438" s="512"/>
      <c r="G438" s="97" t="s">
        <v>374</v>
      </c>
      <c r="H438" s="92">
        <v>46101</v>
      </c>
      <c r="I438" s="13">
        <v>9.9466126999999993</v>
      </c>
      <c r="J438" s="13">
        <v>126.101069</v>
      </c>
      <c r="K438" s="13" t="s">
        <v>1815</v>
      </c>
      <c r="L438" s="13" t="s">
        <v>89</v>
      </c>
    </row>
    <row r="439" spans="1:12" ht="12.75">
      <c r="A439" s="6">
        <v>438</v>
      </c>
      <c r="B439" s="4" t="s">
        <v>113</v>
      </c>
      <c r="C439" s="61" t="s">
        <v>2635</v>
      </c>
      <c r="D439" s="6" t="s">
        <v>2119</v>
      </c>
      <c r="E439" s="7" t="s">
        <v>2637</v>
      </c>
      <c r="F439" s="525" t="s">
        <v>2638</v>
      </c>
      <c r="G439" s="97" t="s">
        <v>374</v>
      </c>
      <c r="H439" s="92">
        <v>46101</v>
      </c>
      <c r="I439" s="13">
        <v>9.9293578</v>
      </c>
      <c r="J439" s="13">
        <v>126.05641199999999</v>
      </c>
      <c r="K439" s="13" t="s">
        <v>1815</v>
      </c>
      <c r="L439" s="13" t="s">
        <v>89</v>
      </c>
    </row>
    <row r="440" spans="1:12" ht="12.75">
      <c r="A440" s="6">
        <v>439</v>
      </c>
      <c r="B440" s="4" t="s">
        <v>113</v>
      </c>
      <c r="C440" s="61" t="s">
        <v>2635</v>
      </c>
      <c r="D440" s="6" t="s">
        <v>2119</v>
      </c>
      <c r="E440" s="7" t="s">
        <v>2639</v>
      </c>
      <c r="F440" s="511"/>
      <c r="G440" s="97" t="s">
        <v>374</v>
      </c>
      <c r="H440" s="92">
        <v>46101</v>
      </c>
      <c r="I440" s="13">
        <v>9.9293578</v>
      </c>
      <c r="J440" s="13">
        <v>126.05641199999999</v>
      </c>
      <c r="K440" s="13" t="s">
        <v>1815</v>
      </c>
      <c r="L440" s="13" t="s">
        <v>89</v>
      </c>
    </row>
    <row r="441" spans="1:12" ht="12.75">
      <c r="A441" s="6">
        <v>440</v>
      </c>
      <c r="B441" s="4" t="s">
        <v>113</v>
      </c>
      <c r="C441" s="61" t="s">
        <v>2635</v>
      </c>
      <c r="D441" s="6" t="s">
        <v>2119</v>
      </c>
      <c r="E441" s="7" t="s">
        <v>2644</v>
      </c>
      <c r="F441" s="512"/>
      <c r="G441" s="97" t="s">
        <v>374</v>
      </c>
      <c r="H441" s="92">
        <v>46101</v>
      </c>
      <c r="I441" s="13">
        <v>9.9293578</v>
      </c>
      <c r="J441" s="13">
        <v>126.05641199999999</v>
      </c>
      <c r="K441" s="13" t="s">
        <v>1815</v>
      </c>
      <c r="L441" s="13" t="s">
        <v>89</v>
      </c>
    </row>
    <row r="442" spans="1:12" ht="12.75">
      <c r="A442" s="6">
        <v>441</v>
      </c>
      <c r="B442" s="4" t="s">
        <v>113</v>
      </c>
      <c r="C442" s="61" t="s">
        <v>2429</v>
      </c>
      <c r="D442" s="6" t="s">
        <v>2119</v>
      </c>
      <c r="E442" s="7" t="s">
        <v>2647</v>
      </c>
      <c r="F442" s="525" t="s">
        <v>2648</v>
      </c>
      <c r="G442" s="97" t="s">
        <v>374</v>
      </c>
      <c r="H442" s="92">
        <v>46101</v>
      </c>
      <c r="I442" s="13">
        <v>9.9356899999999992</v>
      </c>
      <c r="J442" s="13">
        <v>126.08748</v>
      </c>
      <c r="K442" s="13" t="s">
        <v>1815</v>
      </c>
      <c r="L442" s="13" t="s">
        <v>89</v>
      </c>
    </row>
    <row r="443" spans="1:12" ht="12.75">
      <c r="A443" s="6">
        <v>442</v>
      </c>
      <c r="B443" s="4" t="s">
        <v>113</v>
      </c>
      <c r="C443" s="61" t="s">
        <v>2429</v>
      </c>
      <c r="D443" s="6" t="s">
        <v>2119</v>
      </c>
      <c r="E443" s="7" t="s">
        <v>2651</v>
      </c>
      <c r="F443" s="511"/>
      <c r="G443" s="97" t="s">
        <v>374</v>
      </c>
      <c r="H443" s="92">
        <v>46101</v>
      </c>
      <c r="I443" s="13">
        <v>9.9356899999999992</v>
      </c>
      <c r="J443" s="13">
        <v>126.08748</v>
      </c>
      <c r="K443" s="13" t="s">
        <v>1815</v>
      </c>
      <c r="L443" s="13" t="s">
        <v>89</v>
      </c>
    </row>
    <row r="444" spans="1:12" ht="12.75">
      <c r="A444" s="6">
        <v>443</v>
      </c>
      <c r="B444" s="4" t="s">
        <v>113</v>
      </c>
      <c r="C444" s="61" t="s">
        <v>2429</v>
      </c>
      <c r="D444" s="6" t="s">
        <v>2119</v>
      </c>
      <c r="E444" s="7" t="s">
        <v>2652</v>
      </c>
      <c r="F444" s="512"/>
      <c r="G444" s="97" t="s">
        <v>374</v>
      </c>
      <c r="H444" s="92">
        <v>46101</v>
      </c>
      <c r="I444" s="13">
        <v>9.9356899999999992</v>
      </c>
      <c r="J444" s="13">
        <v>126.08748</v>
      </c>
      <c r="K444" s="13" t="s">
        <v>1815</v>
      </c>
      <c r="L444" s="13" t="s">
        <v>89</v>
      </c>
    </row>
    <row r="445" spans="1:12" ht="12.75">
      <c r="A445" s="6">
        <v>444</v>
      </c>
      <c r="B445" s="4" t="s">
        <v>113</v>
      </c>
      <c r="C445" s="61" t="s">
        <v>82</v>
      </c>
      <c r="D445" s="6" t="s">
        <v>2119</v>
      </c>
      <c r="E445" s="7" t="s">
        <v>2654</v>
      </c>
      <c r="F445" s="525" t="s">
        <v>2655</v>
      </c>
      <c r="G445" s="97" t="s">
        <v>374</v>
      </c>
      <c r="H445" s="92">
        <v>46101</v>
      </c>
      <c r="I445" s="13">
        <v>9.9543984000000005</v>
      </c>
      <c r="J445" s="13">
        <v>126.068269</v>
      </c>
      <c r="K445" s="13" t="s">
        <v>1815</v>
      </c>
      <c r="L445" s="13" t="s">
        <v>89</v>
      </c>
    </row>
    <row r="446" spans="1:12" ht="12.75">
      <c r="A446" s="6">
        <v>445</v>
      </c>
      <c r="B446" s="4" t="s">
        <v>113</v>
      </c>
      <c r="C446" s="61" t="s">
        <v>82</v>
      </c>
      <c r="D446" s="6" t="s">
        <v>2119</v>
      </c>
      <c r="E446" s="7" t="s">
        <v>2658</v>
      </c>
      <c r="F446" s="511"/>
      <c r="G446" s="97" t="s">
        <v>374</v>
      </c>
      <c r="H446" s="92">
        <v>46101</v>
      </c>
      <c r="I446" s="13">
        <v>9.9543984000000005</v>
      </c>
      <c r="J446" s="13">
        <v>126.068269</v>
      </c>
      <c r="K446" s="13" t="s">
        <v>1815</v>
      </c>
      <c r="L446" s="13" t="s">
        <v>89</v>
      </c>
    </row>
    <row r="447" spans="1:12" ht="12.75">
      <c r="A447" s="6">
        <v>446</v>
      </c>
      <c r="B447" s="4" t="s">
        <v>113</v>
      </c>
      <c r="C447" s="61" t="s">
        <v>82</v>
      </c>
      <c r="D447" s="6" t="s">
        <v>2119</v>
      </c>
      <c r="E447" s="7" t="s">
        <v>2661</v>
      </c>
      <c r="F447" s="512"/>
      <c r="G447" s="97" t="s">
        <v>374</v>
      </c>
      <c r="H447" s="92">
        <v>46101</v>
      </c>
      <c r="I447" s="13">
        <v>9.9543984000000005</v>
      </c>
      <c r="J447" s="13">
        <v>126.068269</v>
      </c>
      <c r="K447" s="13" t="s">
        <v>1815</v>
      </c>
      <c r="L447" s="13" t="s">
        <v>89</v>
      </c>
    </row>
    <row r="448" spans="1:12" ht="12.75">
      <c r="A448" s="6">
        <v>447</v>
      </c>
      <c r="B448" s="4" t="s">
        <v>113</v>
      </c>
      <c r="C448" s="61" t="s">
        <v>2662</v>
      </c>
      <c r="D448" s="6" t="s">
        <v>2119</v>
      </c>
      <c r="E448" s="7" t="s">
        <v>2663</v>
      </c>
      <c r="F448" s="525" t="s">
        <v>575</v>
      </c>
      <c r="G448" s="97" t="s">
        <v>374</v>
      </c>
      <c r="H448" s="92">
        <v>46101</v>
      </c>
      <c r="I448" s="13">
        <v>9.9217460000000006</v>
      </c>
      <c r="J448" s="13">
        <v>126.04125999999999</v>
      </c>
      <c r="K448" s="13" t="s">
        <v>1815</v>
      </c>
      <c r="L448" s="13" t="s">
        <v>89</v>
      </c>
    </row>
    <row r="449" spans="1:12" ht="12.75">
      <c r="A449" s="6">
        <v>448</v>
      </c>
      <c r="B449" s="4" t="s">
        <v>113</v>
      </c>
      <c r="C449" s="61" t="s">
        <v>2662</v>
      </c>
      <c r="D449" s="6" t="s">
        <v>2119</v>
      </c>
      <c r="E449" s="7" t="s">
        <v>2665</v>
      </c>
      <c r="F449" s="511"/>
      <c r="G449" s="97" t="s">
        <v>374</v>
      </c>
      <c r="H449" s="92">
        <v>46101</v>
      </c>
      <c r="I449" s="13">
        <v>9.9217460000000006</v>
      </c>
      <c r="J449" s="13">
        <v>126.04125999999999</v>
      </c>
      <c r="K449" s="13" t="s">
        <v>1815</v>
      </c>
      <c r="L449" s="13" t="s">
        <v>89</v>
      </c>
    </row>
    <row r="450" spans="1:12" ht="12.75">
      <c r="A450" s="6">
        <v>449</v>
      </c>
      <c r="B450" s="4" t="s">
        <v>113</v>
      </c>
      <c r="C450" s="61" t="s">
        <v>2662</v>
      </c>
      <c r="D450" s="6" t="s">
        <v>2119</v>
      </c>
      <c r="E450" s="7" t="s">
        <v>2667</v>
      </c>
      <c r="F450" s="512"/>
      <c r="G450" s="97" t="s">
        <v>374</v>
      </c>
      <c r="H450" s="92">
        <v>46101</v>
      </c>
      <c r="I450" s="13">
        <v>9.9217460000000006</v>
      </c>
      <c r="J450" s="13">
        <v>126.04125999999999</v>
      </c>
      <c r="K450" s="13" t="s">
        <v>1815</v>
      </c>
      <c r="L450" s="13" t="s">
        <v>89</v>
      </c>
    </row>
    <row r="451" spans="1:12" ht="12.75">
      <c r="A451" s="6">
        <v>450</v>
      </c>
      <c r="B451" s="4" t="s">
        <v>113</v>
      </c>
      <c r="C451" s="61" t="s">
        <v>1567</v>
      </c>
      <c r="D451" s="6" t="s">
        <v>2119</v>
      </c>
      <c r="E451" s="7" t="s">
        <v>2668</v>
      </c>
      <c r="F451" s="525" t="s">
        <v>2670</v>
      </c>
      <c r="G451" s="97" t="s">
        <v>374</v>
      </c>
      <c r="H451" s="92">
        <v>46101</v>
      </c>
      <c r="I451" s="13">
        <v>9.9255069999999996</v>
      </c>
      <c r="J451" s="13">
        <v>126.10277499999999</v>
      </c>
      <c r="K451" s="13" t="s">
        <v>1815</v>
      </c>
      <c r="L451" s="13" t="s">
        <v>89</v>
      </c>
    </row>
    <row r="452" spans="1:12" ht="12.75">
      <c r="A452" s="6">
        <v>451</v>
      </c>
      <c r="B452" s="4" t="s">
        <v>113</v>
      </c>
      <c r="C452" s="61" t="s">
        <v>1567</v>
      </c>
      <c r="D452" s="6" t="s">
        <v>2119</v>
      </c>
      <c r="E452" s="7" t="s">
        <v>2674</v>
      </c>
      <c r="F452" s="511"/>
      <c r="G452" s="97" t="s">
        <v>374</v>
      </c>
      <c r="H452" s="92">
        <v>46101</v>
      </c>
      <c r="I452" s="13">
        <v>9.9255069999999996</v>
      </c>
      <c r="J452" s="13">
        <v>126.10277499999999</v>
      </c>
      <c r="K452" s="13" t="s">
        <v>1815</v>
      </c>
      <c r="L452" s="13" t="s">
        <v>89</v>
      </c>
    </row>
    <row r="453" spans="1:12" ht="12.75">
      <c r="A453" s="6">
        <v>452</v>
      </c>
      <c r="B453" s="4" t="s">
        <v>113</v>
      </c>
      <c r="C453" s="61" t="s">
        <v>1567</v>
      </c>
      <c r="D453" s="6" t="s">
        <v>2119</v>
      </c>
      <c r="E453" s="7" t="s">
        <v>2675</v>
      </c>
      <c r="F453" s="512"/>
      <c r="G453" s="97" t="s">
        <v>374</v>
      </c>
      <c r="H453" s="92">
        <v>46101</v>
      </c>
      <c r="I453" s="13">
        <v>9.9255069999999996</v>
      </c>
      <c r="J453" s="13">
        <v>126.10277499999999</v>
      </c>
      <c r="K453" s="13" t="s">
        <v>1815</v>
      </c>
      <c r="L453" s="13" t="s">
        <v>89</v>
      </c>
    </row>
    <row r="454" spans="1:12" ht="12.75">
      <c r="A454" s="6">
        <v>453</v>
      </c>
      <c r="B454" s="4" t="s">
        <v>113</v>
      </c>
      <c r="C454" s="61" t="s">
        <v>1959</v>
      </c>
      <c r="D454" s="6" t="s">
        <v>2119</v>
      </c>
      <c r="E454" s="7" t="s">
        <v>2676</v>
      </c>
      <c r="F454" s="525" t="s">
        <v>569</v>
      </c>
      <c r="G454" s="97" t="s">
        <v>207</v>
      </c>
      <c r="H454" s="92">
        <v>46101</v>
      </c>
      <c r="I454" s="13">
        <v>9.9990153409999998</v>
      </c>
      <c r="J454" s="13">
        <v>126.0348784</v>
      </c>
      <c r="K454" s="13" t="s">
        <v>1815</v>
      </c>
      <c r="L454" s="13" t="s">
        <v>89</v>
      </c>
    </row>
    <row r="455" spans="1:12" ht="12.75">
      <c r="A455" s="6">
        <v>454</v>
      </c>
      <c r="B455" s="4" t="s">
        <v>113</v>
      </c>
      <c r="C455" s="61" t="s">
        <v>1959</v>
      </c>
      <c r="D455" s="6" t="s">
        <v>2119</v>
      </c>
      <c r="E455" s="7" t="s">
        <v>2678</v>
      </c>
      <c r="F455" s="511"/>
      <c r="G455" s="97" t="s">
        <v>207</v>
      </c>
      <c r="H455" s="92">
        <v>46101</v>
      </c>
      <c r="I455" s="13">
        <v>9.9990153409999998</v>
      </c>
      <c r="J455" s="13">
        <v>126.0348784</v>
      </c>
      <c r="K455" s="13" t="s">
        <v>1815</v>
      </c>
      <c r="L455" s="13" t="s">
        <v>89</v>
      </c>
    </row>
    <row r="456" spans="1:12" ht="12.75">
      <c r="A456" s="6">
        <v>455</v>
      </c>
      <c r="B456" s="4" t="s">
        <v>113</v>
      </c>
      <c r="C456" s="61" t="s">
        <v>1959</v>
      </c>
      <c r="D456" s="6" t="s">
        <v>2119</v>
      </c>
      <c r="E456" s="7" t="s">
        <v>2680</v>
      </c>
      <c r="F456" s="512"/>
      <c r="G456" s="97" t="s">
        <v>207</v>
      </c>
      <c r="H456" s="92">
        <v>46101</v>
      </c>
      <c r="I456" s="13">
        <v>9.9990153409999998</v>
      </c>
      <c r="J456" s="13">
        <v>126.0348784</v>
      </c>
      <c r="K456" s="13" t="s">
        <v>1815</v>
      </c>
      <c r="L456" s="13" t="s">
        <v>89</v>
      </c>
    </row>
    <row r="457" spans="1:12" ht="12.75">
      <c r="A457" s="6">
        <v>456</v>
      </c>
      <c r="B457" s="4" t="s">
        <v>216</v>
      </c>
      <c r="C457" s="61" t="s">
        <v>2154</v>
      </c>
      <c r="D457" s="48" t="s">
        <v>1767</v>
      </c>
      <c r="E457" s="7" t="s">
        <v>2157</v>
      </c>
      <c r="F457" s="525" t="s">
        <v>2156</v>
      </c>
      <c r="G457" s="97" t="s">
        <v>374</v>
      </c>
      <c r="H457" s="92">
        <v>46101</v>
      </c>
      <c r="I457" s="13">
        <v>9.5796340000000004</v>
      </c>
      <c r="J457" s="13">
        <v>125.558665</v>
      </c>
      <c r="K457" s="13" t="s">
        <v>1815</v>
      </c>
      <c r="L457" s="13" t="s">
        <v>89</v>
      </c>
    </row>
    <row r="458" spans="1:12" ht="12.75">
      <c r="A458" s="6">
        <v>457</v>
      </c>
      <c r="B458" s="4" t="s">
        <v>216</v>
      </c>
      <c r="C458" s="61" t="s">
        <v>2154</v>
      </c>
      <c r="D458" s="48" t="s">
        <v>1767</v>
      </c>
      <c r="E458" s="7" t="s">
        <v>2160</v>
      </c>
      <c r="F458" s="511"/>
      <c r="G458" s="97" t="s">
        <v>374</v>
      </c>
      <c r="H458" s="92">
        <v>46101</v>
      </c>
      <c r="I458" s="13">
        <v>9.5796340000000004</v>
      </c>
      <c r="J458" s="13">
        <v>125.558665</v>
      </c>
      <c r="K458" s="13" t="s">
        <v>1815</v>
      </c>
      <c r="L458" s="13" t="s">
        <v>89</v>
      </c>
    </row>
    <row r="459" spans="1:12" ht="12.75">
      <c r="A459" s="6">
        <v>458</v>
      </c>
      <c r="B459" s="4" t="s">
        <v>216</v>
      </c>
      <c r="C459" s="61" t="s">
        <v>2154</v>
      </c>
      <c r="D459" s="48" t="s">
        <v>1767</v>
      </c>
      <c r="E459" s="7" t="s">
        <v>2163</v>
      </c>
      <c r="F459" s="512"/>
      <c r="G459" s="97" t="s">
        <v>374</v>
      </c>
      <c r="H459" s="92">
        <v>46101</v>
      </c>
      <c r="I459" s="13">
        <v>9.5796340000000004</v>
      </c>
      <c r="J459" s="13">
        <v>125.558665</v>
      </c>
      <c r="K459" s="13" t="s">
        <v>1815</v>
      </c>
      <c r="L459" s="13" t="s">
        <v>89</v>
      </c>
    </row>
    <row r="460" spans="1:12" ht="12.75">
      <c r="A460" s="6">
        <v>459</v>
      </c>
      <c r="B460" s="4" t="s">
        <v>216</v>
      </c>
      <c r="C460" s="61" t="s">
        <v>2180</v>
      </c>
      <c r="D460" s="48" t="s">
        <v>1767</v>
      </c>
      <c r="E460" s="7" t="s">
        <v>2182</v>
      </c>
      <c r="F460" s="525" t="s">
        <v>2181</v>
      </c>
      <c r="G460" s="97" t="s">
        <v>374</v>
      </c>
      <c r="H460" s="92">
        <v>46101</v>
      </c>
      <c r="I460" s="13">
        <v>9.6639459999999993</v>
      </c>
      <c r="J460" s="13">
        <v>125.574974</v>
      </c>
      <c r="K460" s="13" t="s">
        <v>1815</v>
      </c>
      <c r="L460" s="13" t="s">
        <v>89</v>
      </c>
    </row>
    <row r="461" spans="1:12" ht="12.75">
      <c r="A461" s="6">
        <v>460</v>
      </c>
      <c r="B461" s="4" t="s">
        <v>216</v>
      </c>
      <c r="C461" s="61" t="s">
        <v>2180</v>
      </c>
      <c r="D461" s="48" t="s">
        <v>1767</v>
      </c>
      <c r="E461" s="7" t="s">
        <v>2190</v>
      </c>
      <c r="F461" s="511"/>
      <c r="G461" s="97" t="s">
        <v>374</v>
      </c>
      <c r="H461" s="92">
        <v>46101</v>
      </c>
      <c r="I461" s="13">
        <v>9.6639459999999993</v>
      </c>
      <c r="J461" s="13">
        <v>125.574974</v>
      </c>
      <c r="K461" s="13" t="s">
        <v>1815</v>
      </c>
      <c r="L461" s="13" t="s">
        <v>89</v>
      </c>
    </row>
    <row r="462" spans="1:12" ht="12.75">
      <c r="A462" s="6">
        <v>461</v>
      </c>
      <c r="B462" s="4" t="s">
        <v>216</v>
      </c>
      <c r="C462" s="61" t="s">
        <v>2180</v>
      </c>
      <c r="D462" s="48" t="s">
        <v>1767</v>
      </c>
      <c r="E462" s="7" t="s">
        <v>2192</v>
      </c>
      <c r="F462" s="512"/>
      <c r="G462" s="97" t="s">
        <v>374</v>
      </c>
      <c r="H462" s="92">
        <v>46101</v>
      </c>
      <c r="I462" s="13">
        <v>9.6639459999999993</v>
      </c>
      <c r="J462" s="13">
        <v>125.574974</v>
      </c>
      <c r="K462" s="13" t="s">
        <v>1815</v>
      </c>
      <c r="L462" s="13" t="s">
        <v>89</v>
      </c>
    </row>
    <row r="463" spans="1:12" ht="12.75">
      <c r="A463" s="6">
        <v>462</v>
      </c>
      <c r="B463" s="4" t="s">
        <v>165</v>
      </c>
      <c r="C463" s="61" t="s">
        <v>2683</v>
      </c>
      <c r="D463" s="6" t="s">
        <v>2119</v>
      </c>
      <c r="E463" s="7" t="s">
        <v>2684</v>
      </c>
      <c r="F463" s="525" t="s">
        <v>2685</v>
      </c>
      <c r="G463" s="97" t="s">
        <v>374</v>
      </c>
      <c r="H463" s="92">
        <v>46101</v>
      </c>
      <c r="I463" s="13">
        <v>9.8822781000000006</v>
      </c>
      <c r="J463" s="13">
        <v>125.565912</v>
      </c>
      <c r="K463" s="13" t="s">
        <v>1815</v>
      </c>
      <c r="L463" s="13" t="s">
        <v>89</v>
      </c>
    </row>
    <row r="464" spans="1:12" ht="12.75">
      <c r="A464" s="6">
        <v>463</v>
      </c>
      <c r="B464" s="4" t="s">
        <v>165</v>
      </c>
      <c r="C464" s="61" t="s">
        <v>2683</v>
      </c>
      <c r="D464" s="6" t="s">
        <v>2119</v>
      </c>
      <c r="E464" s="7" t="s">
        <v>2686</v>
      </c>
      <c r="F464" s="511"/>
      <c r="G464" s="97" t="s">
        <v>374</v>
      </c>
      <c r="H464" s="92">
        <v>46101</v>
      </c>
      <c r="I464" s="13">
        <v>9.8822781000000006</v>
      </c>
      <c r="J464" s="13">
        <v>125.565912</v>
      </c>
      <c r="K464" s="13" t="s">
        <v>1815</v>
      </c>
      <c r="L464" s="13" t="s">
        <v>89</v>
      </c>
    </row>
    <row r="465" spans="1:12" ht="12.75">
      <c r="A465" s="6">
        <v>464</v>
      </c>
      <c r="B465" s="4" t="s">
        <v>165</v>
      </c>
      <c r="C465" s="61" t="s">
        <v>2683</v>
      </c>
      <c r="D465" s="6" t="s">
        <v>2119</v>
      </c>
      <c r="E465" s="7" t="s">
        <v>2687</v>
      </c>
      <c r="F465" s="512"/>
      <c r="G465" s="97" t="s">
        <v>374</v>
      </c>
      <c r="H465" s="92">
        <v>46101</v>
      </c>
      <c r="I465" s="13">
        <v>9.8822781000000006</v>
      </c>
      <c r="J465" s="13">
        <v>125.565912</v>
      </c>
      <c r="K465" s="13" t="s">
        <v>1815</v>
      </c>
      <c r="L465" s="13" t="s">
        <v>89</v>
      </c>
    </row>
    <row r="466" spans="1:12" ht="12.75">
      <c r="A466" s="6">
        <v>465</v>
      </c>
      <c r="B466" s="8" t="s">
        <v>229</v>
      </c>
      <c r="C466" s="61" t="s">
        <v>2214</v>
      </c>
      <c r="D466" s="48" t="s">
        <v>1767</v>
      </c>
      <c r="E466" s="7" t="s">
        <v>2217</v>
      </c>
      <c r="F466" s="525" t="s">
        <v>2215</v>
      </c>
      <c r="G466" s="97" t="s">
        <v>374</v>
      </c>
      <c r="H466" s="92">
        <v>46101</v>
      </c>
      <c r="I466" s="13">
        <v>9.6078241519999992</v>
      </c>
      <c r="J466" s="13">
        <v>125.4634089</v>
      </c>
      <c r="K466" s="13" t="s">
        <v>1815</v>
      </c>
      <c r="L466" s="13" t="s">
        <v>89</v>
      </c>
    </row>
    <row r="467" spans="1:12" ht="12.75">
      <c r="A467" s="6">
        <v>466</v>
      </c>
      <c r="B467" s="8" t="s">
        <v>229</v>
      </c>
      <c r="C467" s="61" t="s">
        <v>2214</v>
      </c>
      <c r="D467" s="48" t="s">
        <v>1767</v>
      </c>
      <c r="E467" s="7" t="s">
        <v>2221</v>
      </c>
      <c r="F467" s="511"/>
      <c r="G467" s="97" t="s">
        <v>374</v>
      </c>
      <c r="H467" s="92">
        <v>46101</v>
      </c>
      <c r="I467" s="13">
        <v>9.6078241519999992</v>
      </c>
      <c r="J467" s="13">
        <v>125.4634089</v>
      </c>
      <c r="K467" s="13" t="s">
        <v>1815</v>
      </c>
      <c r="L467" s="13" t="s">
        <v>89</v>
      </c>
    </row>
    <row r="468" spans="1:12" ht="12.75">
      <c r="A468" s="6">
        <v>467</v>
      </c>
      <c r="B468" s="8" t="s">
        <v>229</v>
      </c>
      <c r="C468" s="61" t="s">
        <v>2214</v>
      </c>
      <c r="D468" s="48" t="s">
        <v>1767</v>
      </c>
      <c r="E468" s="7" t="s">
        <v>2223</v>
      </c>
      <c r="F468" s="512"/>
      <c r="G468" s="97" t="s">
        <v>374</v>
      </c>
      <c r="H468" s="92">
        <v>46101</v>
      </c>
      <c r="I468" s="13">
        <v>9.6078241519999992</v>
      </c>
      <c r="J468" s="13">
        <v>125.4634089</v>
      </c>
      <c r="K468" s="13" t="s">
        <v>1815</v>
      </c>
      <c r="L468" s="13" t="s">
        <v>89</v>
      </c>
    </row>
    <row r="469" spans="1:12" ht="12.75">
      <c r="A469" s="6">
        <v>468</v>
      </c>
      <c r="B469" s="4" t="s">
        <v>140</v>
      </c>
      <c r="C469" s="61" t="s">
        <v>2689</v>
      </c>
      <c r="D469" s="6" t="s">
        <v>2119</v>
      </c>
      <c r="E469" s="7" t="s">
        <v>2690</v>
      </c>
      <c r="F469" s="525" t="s">
        <v>2691</v>
      </c>
      <c r="G469" s="97" t="s">
        <v>374</v>
      </c>
      <c r="H469" s="92">
        <v>46101</v>
      </c>
      <c r="I469" s="13">
        <v>10.017884199999999</v>
      </c>
      <c r="J469" s="13">
        <v>126.07304999999999</v>
      </c>
      <c r="K469" s="13" t="s">
        <v>1815</v>
      </c>
      <c r="L469" s="13" t="s">
        <v>89</v>
      </c>
    </row>
    <row r="470" spans="1:12" ht="12.75">
      <c r="A470" s="6">
        <v>469</v>
      </c>
      <c r="B470" s="4" t="s">
        <v>140</v>
      </c>
      <c r="C470" s="61" t="s">
        <v>2689</v>
      </c>
      <c r="D470" s="6" t="s">
        <v>2119</v>
      </c>
      <c r="E470" s="7" t="s">
        <v>2692</v>
      </c>
      <c r="F470" s="511"/>
      <c r="G470" s="97" t="s">
        <v>374</v>
      </c>
      <c r="H470" s="92">
        <v>46101</v>
      </c>
      <c r="I470" s="13">
        <v>10.017884199999999</v>
      </c>
      <c r="J470" s="13">
        <v>126.07304999999999</v>
      </c>
      <c r="K470" s="13" t="s">
        <v>1815</v>
      </c>
      <c r="L470" s="13" t="s">
        <v>89</v>
      </c>
    </row>
    <row r="471" spans="1:12" ht="12.75">
      <c r="A471" s="6">
        <v>470</v>
      </c>
      <c r="B471" s="4" t="s">
        <v>140</v>
      </c>
      <c r="C471" s="61" t="s">
        <v>2689</v>
      </c>
      <c r="D471" s="6" t="s">
        <v>2119</v>
      </c>
      <c r="E471" s="7" t="s">
        <v>2693</v>
      </c>
      <c r="F471" s="512"/>
      <c r="G471" s="97" t="s">
        <v>374</v>
      </c>
      <c r="H471" s="92">
        <v>46101</v>
      </c>
      <c r="I471" s="13">
        <v>10.017884199999999</v>
      </c>
      <c r="J471" s="13">
        <v>126.07304999999999</v>
      </c>
      <c r="K471" s="13" t="s">
        <v>1815</v>
      </c>
      <c r="L471" s="13" t="s">
        <v>89</v>
      </c>
    </row>
    <row r="472" spans="1:12" ht="12.75">
      <c r="A472" s="6">
        <v>471</v>
      </c>
      <c r="B472" s="4" t="s">
        <v>140</v>
      </c>
      <c r="C472" s="61" t="s">
        <v>2694</v>
      </c>
      <c r="D472" s="6" t="s">
        <v>2119</v>
      </c>
      <c r="E472" s="7" t="s">
        <v>2695</v>
      </c>
      <c r="F472" s="525" t="s">
        <v>2696</v>
      </c>
      <c r="G472" s="97" t="s">
        <v>374</v>
      </c>
      <c r="H472" s="92">
        <v>46101</v>
      </c>
      <c r="I472" s="13">
        <v>10.017117300000001</v>
      </c>
      <c r="J472" s="13">
        <v>126.073564</v>
      </c>
      <c r="K472" s="13" t="s">
        <v>1815</v>
      </c>
      <c r="L472" s="13" t="s">
        <v>89</v>
      </c>
    </row>
    <row r="473" spans="1:12" ht="12.75">
      <c r="A473" s="6">
        <v>472</v>
      </c>
      <c r="B473" s="4" t="s">
        <v>140</v>
      </c>
      <c r="C473" s="61" t="s">
        <v>2694</v>
      </c>
      <c r="D473" s="6" t="s">
        <v>2119</v>
      </c>
      <c r="E473" s="7" t="s">
        <v>2697</v>
      </c>
      <c r="F473" s="511"/>
      <c r="G473" s="97" t="s">
        <v>374</v>
      </c>
      <c r="H473" s="92">
        <v>46101</v>
      </c>
      <c r="I473" s="13">
        <v>10.017117300000001</v>
      </c>
      <c r="J473" s="13">
        <v>126.073564</v>
      </c>
      <c r="K473" s="13" t="s">
        <v>1815</v>
      </c>
      <c r="L473" s="13" t="s">
        <v>89</v>
      </c>
    </row>
    <row r="474" spans="1:12" ht="12.75">
      <c r="A474" s="6">
        <v>473</v>
      </c>
      <c r="B474" s="4" t="s">
        <v>140</v>
      </c>
      <c r="C474" s="61" t="s">
        <v>2694</v>
      </c>
      <c r="D474" s="6" t="s">
        <v>2119</v>
      </c>
      <c r="E474" s="7" t="s">
        <v>2698</v>
      </c>
      <c r="F474" s="512"/>
      <c r="G474" s="97" t="s">
        <v>374</v>
      </c>
      <c r="H474" s="92">
        <v>46101</v>
      </c>
      <c r="I474" s="13">
        <v>10.017117300000001</v>
      </c>
      <c r="J474" s="13">
        <v>126.073564</v>
      </c>
      <c r="K474" s="13" t="s">
        <v>1815</v>
      </c>
      <c r="L474" s="13" t="s">
        <v>89</v>
      </c>
    </row>
    <row r="475" spans="1:12" ht="12.75">
      <c r="A475" s="6">
        <v>474</v>
      </c>
      <c r="B475" s="4" t="s">
        <v>140</v>
      </c>
      <c r="C475" s="61" t="s">
        <v>2699</v>
      </c>
      <c r="D475" s="6" t="s">
        <v>2119</v>
      </c>
      <c r="E475" s="7" t="s">
        <v>2700</v>
      </c>
      <c r="F475" s="525" t="s">
        <v>2701</v>
      </c>
      <c r="G475" s="97" t="s">
        <v>374</v>
      </c>
      <c r="H475" s="92">
        <v>46101</v>
      </c>
      <c r="I475" s="13">
        <v>9.5699959999999997</v>
      </c>
      <c r="J475" s="13">
        <v>125.941124</v>
      </c>
      <c r="K475" s="13" t="s">
        <v>1815</v>
      </c>
      <c r="L475" s="13" t="s">
        <v>89</v>
      </c>
    </row>
    <row r="476" spans="1:12" ht="12.75">
      <c r="A476" s="6">
        <v>475</v>
      </c>
      <c r="B476" s="4" t="s">
        <v>140</v>
      </c>
      <c r="C476" s="61" t="s">
        <v>2699</v>
      </c>
      <c r="D476" s="6" t="s">
        <v>2119</v>
      </c>
      <c r="E476" s="7" t="s">
        <v>2702</v>
      </c>
      <c r="F476" s="511"/>
      <c r="G476" s="97" t="s">
        <v>374</v>
      </c>
      <c r="H476" s="92">
        <v>46101</v>
      </c>
      <c r="I476" s="13">
        <v>9.5699959999999997</v>
      </c>
      <c r="J476" s="13">
        <v>125.941124</v>
      </c>
      <c r="K476" s="13" t="s">
        <v>1815</v>
      </c>
      <c r="L476" s="13" t="s">
        <v>89</v>
      </c>
    </row>
    <row r="477" spans="1:12" ht="12.75">
      <c r="A477" s="6">
        <v>476</v>
      </c>
      <c r="B477" s="4" t="s">
        <v>140</v>
      </c>
      <c r="C477" s="61" t="s">
        <v>2699</v>
      </c>
      <c r="D477" s="6" t="s">
        <v>2119</v>
      </c>
      <c r="E477" s="7" t="s">
        <v>2704</v>
      </c>
      <c r="F477" s="512"/>
      <c r="G477" s="97" t="s">
        <v>374</v>
      </c>
      <c r="H477" s="92">
        <v>46101</v>
      </c>
      <c r="I477" s="13">
        <v>9.5699959999999997</v>
      </c>
      <c r="J477" s="13">
        <v>125.941124</v>
      </c>
      <c r="K477" s="13" t="s">
        <v>1815</v>
      </c>
      <c r="L477" s="13" t="s">
        <v>89</v>
      </c>
    </row>
    <row r="478" spans="1:12" ht="12.75">
      <c r="A478" s="6">
        <v>477</v>
      </c>
      <c r="B478" s="4" t="s">
        <v>140</v>
      </c>
      <c r="C478" s="61" t="s">
        <v>2051</v>
      </c>
      <c r="D478" s="6" t="s">
        <v>2119</v>
      </c>
      <c r="E478" s="7" t="s">
        <v>2706</v>
      </c>
      <c r="F478" s="525" t="s">
        <v>593</v>
      </c>
      <c r="G478" s="97" t="s">
        <v>374</v>
      </c>
      <c r="H478" s="92">
        <v>46101</v>
      </c>
      <c r="I478" s="13">
        <v>9.6845660000000002</v>
      </c>
      <c r="J478" s="13">
        <v>125.975976</v>
      </c>
      <c r="K478" s="13" t="s">
        <v>1815</v>
      </c>
      <c r="L478" s="13" t="s">
        <v>89</v>
      </c>
    </row>
    <row r="479" spans="1:12" ht="12.75">
      <c r="A479" s="6">
        <v>478</v>
      </c>
      <c r="B479" s="4" t="s">
        <v>140</v>
      </c>
      <c r="C479" s="61" t="s">
        <v>2051</v>
      </c>
      <c r="D479" s="6" t="s">
        <v>2119</v>
      </c>
      <c r="E479" s="7" t="s">
        <v>2709</v>
      </c>
      <c r="F479" s="511"/>
      <c r="G479" s="97" t="s">
        <v>374</v>
      </c>
      <c r="H479" s="92">
        <v>46101</v>
      </c>
      <c r="I479" s="13">
        <v>9.6845660000000002</v>
      </c>
      <c r="J479" s="13">
        <v>125.975976</v>
      </c>
      <c r="K479" s="13" t="s">
        <v>1815</v>
      </c>
      <c r="L479" s="13" t="s">
        <v>89</v>
      </c>
    </row>
    <row r="480" spans="1:12" ht="12.75">
      <c r="A480" s="6">
        <v>479</v>
      </c>
      <c r="B480" s="4" t="s">
        <v>140</v>
      </c>
      <c r="C480" s="61" t="s">
        <v>2051</v>
      </c>
      <c r="D480" s="6" t="s">
        <v>2119</v>
      </c>
      <c r="E480" s="7" t="s">
        <v>2710</v>
      </c>
      <c r="F480" s="512"/>
      <c r="G480" s="97" t="s">
        <v>374</v>
      </c>
      <c r="H480" s="92">
        <v>46101</v>
      </c>
      <c r="I480" s="13">
        <v>9.6845660000000002</v>
      </c>
      <c r="J480" s="13">
        <v>125.975976</v>
      </c>
      <c r="K480" s="13" t="s">
        <v>1815</v>
      </c>
      <c r="L480" s="13" t="s">
        <v>89</v>
      </c>
    </row>
    <row r="481" spans="1:12" ht="12.75">
      <c r="A481" s="6">
        <v>480</v>
      </c>
      <c r="B481" s="4" t="s">
        <v>140</v>
      </c>
      <c r="C481" s="61" t="s">
        <v>141</v>
      </c>
      <c r="D481" s="6" t="s">
        <v>2119</v>
      </c>
      <c r="E481" s="7" t="s">
        <v>2711</v>
      </c>
      <c r="F481" s="525" t="s">
        <v>2712</v>
      </c>
      <c r="G481" s="97" t="s">
        <v>374</v>
      </c>
      <c r="H481" s="92">
        <v>46101</v>
      </c>
      <c r="I481" s="13">
        <v>9.9480350000000008</v>
      </c>
      <c r="J481" s="13">
        <v>126.00679</v>
      </c>
      <c r="K481" s="13" t="s">
        <v>1815</v>
      </c>
      <c r="L481" s="13" t="s">
        <v>89</v>
      </c>
    </row>
    <row r="482" spans="1:12" ht="12.75">
      <c r="A482" s="6">
        <v>481</v>
      </c>
      <c r="B482" s="4" t="s">
        <v>140</v>
      </c>
      <c r="C482" s="61" t="s">
        <v>141</v>
      </c>
      <c r="D482" s="6" t="s">
        <v>2119</v>
      </c>
      <c r="E482" s="7" t="s">
        <v>2714</v>
      </c>
      <c r="F482" s="511"/>
      <c r="G482" s="97" t="s">
        <v>374</v>
      </c>
      <c r="H482" s="92">
        <v>46101</v>
      </c>
      <c r="I482" s="13">
        <v>9.9480350000000008</v>
      </c>
      <c r="J482" s="13">
        <v>126.00679</v>
      </c>
      <c r="K482" s="13" t="s">
        <v>1815</v>
      </c>
      <c r="L482" s="13" t="s">
        <v>89</v>
      </c>
    </row>
    <row r="483" spans="1:12" ht="12.75">
      <c r="A483" s="6">
        <v>482</v>
      </c>
      <c r="B483" s="4" t="s">
        <v>140</v>
      </c>
      <c r="C483" s="61" t="s">
        <v>141</v>
      </c>
      <c r="D483" s="6" t="s">
        <v>2119</v>
      </c>
      <c r="E483" s="7" t="s">
        <v>2715</v>
      </c>
      <c r="F483" s="512"/>
      <c r="G483" s="97" t="s">
        <v>374</v>
      </c>
      <c r="H483" s="92">
        <v>46101</v>
      </c>
      <c r="I483" s="13">
        <v>9.9480350000000008</v>
      </c>
      <c r="J483" s="13">
        <v>126.00679</v>
      </c>
      <c r="K483" s="13" t="s">
        <v>1815</v>
      </c>
      <c r="L483" s="13" t="s">
        <v>89</v>
      </c>
    </row>
    <row r="484" spans="1:12" ht="12.75">
      <c r="A484" s="6">
        <v>483</v>
      </c>
      <c r="B484" s="4" t="s">
        <v>140</v>
      </c>
      <c r="C484" s="61" t="s">
        <v>306</v>
      </c>
      <c r="D484" s="6" t="s">
        <v>2119</v>
      </c>
      <c r="E484" s="7" t="s">
        <v>2717</v>
      </c>
      <c r="F484" s="525" t="s">
        <v>2718</v>
      </c>
      <c r="G484" s="97" t="s">
        <v>374</v>
      </c>
      <c r="H484" s="92">
        <v>46101</v>
      </c>
      <c r="I484" s="13">
        <v>9.6439477999999994</v>
      </c>
      <c r="J484" s="13">
        <v>125.943318</v>
      </c>
      <c r="K484" s="13" t="s">
        <v>1815</v>
      </c>
      <c r="L484" s="13" t="s">
        <v>89</v>
      </c>
    </row>
    <row r="485" spans="1:12" ht="12.75">
      <c r="A485" s="6">
        <v>484</v>
      </c>
      <c r="B485" s="4" t="s">
        <v>140</v>
      </c>
      <c r="C485" s="61" t="s">
        <v>306</v>
      </c>
      <c r="D485" s="6" t="s">
        <v>2119</v>
      </c>
      <c r="E485" s="7" t="s">
        <v>2719</v>
      </c>
      <c r="F485" s="511"/>
      <c r="G485" s="97" t="s">
        <v>374</v>
      </c>
      <c r="H485" s="92">
        <v>46101</v>
      </c>
      <c r="I485" s="13">
        <v>9.6439477999999994</v>
      </c>
      <c r="J485" s="13">
        <v>125.943318</v>
      </c>
      <c r="K485" s="13" t="s">
        <v>1815</v>
      </c>
      <c r="L485" s="13" t="s">
        <v>89</v>
      </c>
    </row>
    <row r="486" spans="1:12" ht="12.75">
      <c r="A486" s="6">
        <v>485</v>
      </c>
      <c r="B486" s="4" t="s">
        <v>140</v>
      </c>
      <c r="C486" s="61" t="s">
        <v>306</v>
      </c>
      <c r="D486" s="6" t="s">
        <v>2119</v>
      </c>
      <c r="E486" s="7" t="s">
        <v>2720</v>
      </c>
      <c r="F486" s="512"/>
      <c r="G486" s="97" t="s">
        <v>374</v>
      </c>
      <c r="H486" s="92">
        <v>46101</v>
      </c>
      <c r="I486" s="13">
        <v>9.6439477999999994</v>
      </c>
      <c r="J486" s="13">
        <v>125.943318</v>
      </c>
      <c r="K486" s="13" t="s">
        <v>1815</v>
      </c>
      <c r="L486" s="13" t="s">
        <v>89</v>
      </c>
    </row>
    <row r="487" spans="1:12" ht="12.75">
      <c r="A487" s="6">
        <v>486</v>
      </c>
      <c r="B487" s="4" t="s">
        <v>140</v>
      </c>
      <c r="C487" s="61" t="s">
        <v>2722</v>
      </c>
      <c r="D487" s="6" t="s">
        <v>2119</v>
      </c>
      <c r="E487" s="7" t="s">
        <v>2723</v>
      </c>
      <c r="F487" s="525" t="s">
        <v>2724</v>
      </c>
      <c r="G487" s="97" t="s">
        <v>374</v>
      </c>
      <c r="H487" s="92">
        <v>46101</v>
      </c>
      <c r="I487" s="13">
        <v>9.6562319999999993</v>
      </c>
      <c r="J487" s="13">
        <v>125.92850199999999</v>
      </c>
      <c r="K487" s="13" t="s">
        <v>1815</v>
      </c>
      <c r="L487" s="13" t="s">
        <v>89</v>
      </c>
    </row>
    <row r="488" spans="1:12" ht="12.75">
      <c r="A488" s="6">
        <v>487</v>
      </c>
      <c r="B488" s="4" t="s">
        <v>140</v>
      </c>
      <c r="C488" s="61" t="s">
        <v>2722</v>
      </c>
      <c r="D488" s="6" t="s">
        <v>2119</v>
      </c>
      <c r="E488" s="7" t="s">
        <v>2725</v>
      </c>
      <c r="F488" s="511"/>
      <c r="G488" s="97" t="s">
        <v>374</v>
      </c>
      <c r="H488" s="92">
        <v>46101</v>
      </c>
      <c r="I488" s="13">
        <v>9.6562319999999993</v>
      </c>
      <c r="J488" s="13">
        <v>125.92850199999999</v>
      </c>
      <c r="K488" s="13" t="s">
        <v>1815</v>
      </c>
      <c r="L488" s="13" t="s">
        <v>89</v>
      </c>
    </row>
    <row r="489" spans="1:12" ht="12.75">
      <c r="A489" s="6">
        <v>488</v>
      </c>
      <c r="B489" s="4" t="s">
        <v>140</v>
      </c>
      <c r="C489" s="61" t="s">
        <v>2722</v>
      </c>
      <c r="D489" s="6" t="s">
        <v>2119</v>
      </c>
      <c r="E489" s="7" t="s">
        <v>2726</v>
      </c>
      <c r="F489" s="512"/>
      <c r="G489" s="97" t="s">
        <v>374</v>
      </c>
      <c r="H489" s="92">
        <v>46101</v>
      </c>
      <c r="I489" s="13">
        <v>9.6562319999999993</v>
      </c>
      <c r="J489" s="13">
        <v>125.92850199999999</v>
      </c>
      <c r="K489" s="13" t="s">
        <v>1815</v>
      </c>
      <c r="L489" s="13" t="s">
        <v>89</v>
      </c>
    </row>
    <row r="490" spans="1:12" ht="12.75">
      <c r="A490" s="6">
        <v>489</v>
      </c>
      <c r="B490" s="4" t="s">
        <v>140</v>
      </c>
      <c r="C490" s="61" t="s">
        <v>2727</v>
      </c>
      <c r="D490" s="6" t="s">
        <v>2119</v>
      </c>
      <c r="E490" s="7" t="s">
        <v>2728</v>
      </c>
      <c r="F490" s="525" t="s">
        <v>2729</v>
      </c>
      <c r="G490" s="97" t="s">
        <v>374</v>
      </c>
      <c r="H490" s="92">
        <v>46101</v>
      </c>
      <c r="I490" s="13">
        <v>9.8432051000000005</v>
      </c>
      <c r="J490" s="13">
        <v>125.986155</v>
      </c>
      <c r="K490" s="13" t="s">
        <v>1815</v>
      </c>
      <c r="L490" s="13" t="s">
        <v>89</v>
      </c>
    </row>
    <row r="491" spans="1:12" ht="12.75">
      <c r="A491" s="6">
        <v>490</v>
      </c>
      <c r="B491" s="4" t="s">
        <v>140</v>
      </c>
      <c r="C491" s="61" t="s">
        <v>2727</v>
      </c>
      <c r="D491" s="6" t="s">
        <v>2119</v>
      </c>
      <c r="E491" s="7" t="s">
        <v>2730</v>
      </c>
      <c r="F491" s="511"/>
      <c r="G491" s="97" t="s">
        <v>374</v>
      </c>
      <c r="H491" s="92">
        <v>46101</v>
      </c>
      <c r="I491" s="13">
        <v>9.8432051000000005</v>
      </c>
      <c r="J491" s="13">
        <v>125.986155</v>
      </c>
      <c r="K491" s="13" t="s">
        <v>1815</v>
      </c>
      <c r="L491" s="13" t="s">
        <v>89</v>
      </c>
    </row>
    <row r="492" spans="1:12" ht="12.75">
      <c r="A492" s="6">
        <v>491</v>
      </c>
      <c r="B492" s="4" t="s">
        <v>140</v>
      </c>
      <c r="C492" s="61" t="s">
        <v>2727</v>
      </c>
      <c r="D492" s="6" t="s">
        <v>2119</v>
      </c>
      <c r="E492" s="7" t="s">
        <v>2731</v>
      </c>
      <c r="F492" s="512"/>
      <c r="G492" s="97" t="s">
        <v>374</v>
      </c>
      <c r="H492" s="92">
        <v>46101</v>
      </c>
      <c r="I492" s="13">
        <v>9.8432051000000005</v>
      </c>
      <c r="J492" s="13">
        <v>125.986155</v>
      </c>
      <c r="K492" s="13" t="s">
        <v>1815</v>
      </c>
      <c r="L492" s="13" t="s">
        <v>89</v>
      </c>
    </row>
    <row r="493" spans="1:12" ht="12.75">
      <c r="A493" s="6">
        <v>492</v>
      </c>
      <c r="B493" s="4" t="s">
        <v>176</v>
      </c>
      <c r="C493" s="61" t="s">
        <v>356</v>
      </c>
      <c r="D493" s="6" t="s">
        <v>2119</v>
      </c>
      <c r="E493" s="7" t="s">
        <v>2584</v>
      </c>
      <c r="F493" s="525" t="s">
        <v>2585</v>
      </c>
      <c r="G493" s="97" t="s">
        <v>374</v>
      </c>
      <c r="H493" s="92">
        <v>46101</v>
      </c>
      <c r="I493" s="13">
        <v>9.8963397000000004</v>
      </c>
      <c r="J493" s="13">
        <v>125.89482</v>
      </c>
      <c r="K493" s="13" t="s">
        <v>1815</v>
      </c>
      <c r="L493" s="13" t="s">
        <v>89</v>
      </c>
    </row>
    <row r="494" spans="1:12" ht="12.75">
      <c r="A494" s="6">
        <v>493</v>
      </c>
      <c r="B494" s="4" t="s">
        <v>176</v>
      </c>
      <c r="C494" s="61" t="s">
        <v>356</v>
      </c>
      <c r="D494" s="6" t="s">
        <v>2119</v>
      </c>
      <c r="E494" s="7" t="s">
        <v>2586</v>
      </c>
      <c r="F494" s="511"/>
      <c r="G494" s="97" t="s">
        <v>374</v>
      </c>
      <c r="H494" s="92">
        <v>46101</v>
      </c>
      <c r="I494" s="13">
        <v>9.8963397000000004</v>
      </c>
      <c r="J494" s="13">
        <v>125.89482</v>
      </c>
      <c r="K494" s="13" t="s">
        <v>1815</v>
      </c>
      <c r="L494" s="13" t="s">
        <v>89</v>
      </c>
    </row>
    <row r="495" spans="1:12" ht="12.75">
      <c r="A495" s="6">
        <v>494</v>
      </c>
      <c r="B495" s="4" t="s">
        <v>176</v>
      </c>
      <c r="C495" s="61" t="s">
        <v>356</v>
      </c>
      <c r="D495" s="6" t="s">
        <v>2119</v>
      </c>
      <c r="E495" s="7" t="s">
        <v>2587</v>
      </c>
      <c r="F495" s="512"/>
      <c r="G495" s="97" t="s">
        <v>374</v>
      </c>
      <c r="H495" s="92">
        <v>46101</v>
      </c>
      <c r="I495" s="13">
        <v>9.8963397000000004</v>
      </c>
      <c r="J495" s="13">
        <v>125.89482</v>
      </c>
      <c r="K495" s="13" t="s">
        <v>1815</v>
      </c>
      <c r="L495" s="13" t="s">
        <v>89</v>
      </c>
    </row>
    <row r="496" spans="1:12" ht="12.75">
      <c r="A496" s="6">
        <v>495</v>
      </c>
      <c r="B496" s="4" t="s">
        <v>257</v>
      </c>
      <c r="C496" s="61" t="s">
        <v>2237</v>
      </c>
      <c r="D496" s="48" t="s">
        <v>1767</v>
      </c>
      <c r="E496" s="7" t="s">
        <v>2239</v>
      </c>
      <c r="F496" s="525" t="s">
        <v>2238</v>
      </c>
      <c r="G496" s="97" t="s">
        <v>374</v>
      </c>
      <c r="H496" s="92">
        <v>46101</v>
      </c>
      <c r="I496" s="13">
        <v>8.5335689000000006</v>
      </c>
      <c r="J496" s="13">
        <v>126.243048</v>
      </c>
      <c r="K496" s="13" t="s">
        <v>1815</v>
      </c>
      <c r="L496" s="13" t="s">
        <v>89</v>
      </c>
    </row>
    <row r="497" spans="1:12" ht="12.75">
      <c r="A497" s="6">
        <v>496</v>
      </c>
      <c r="B497" s="4" t="s">
        <v>257</v>
      </c>
      <c r="C497" s="61" t="s">
        <v>2237</v>
      </c>
      <c r="D497" s="48" t="s">
        <v>1767</v>
      </c>
      <c r="E497" s="7" t="s">
        <v>2243</v>
      </c>
      <c r="F497" s="511"/>
      <c r="G497" s="97" t="s">
        <v>374</v>
      </c>
      <c r="H497" s="92">
        <v>46101</v>
      </c>
      <c r="I497" s="13">
        <v>8.5335689000000006</v>
      </c>
      <c r="J497" s="13">
        <v>126.243048</v>
      </c>
      <c r="K497" s="13" t="s">
        <v>1815</v>
      </c>
      <c r="L497" s="13" t="s">
        <v>89</v>
      </c>
    </row>
    <row r="498" spans="1:12" ht="12.75">
      <c r="A498" s="6">
        <v>497</v>
      </c>
      <c r="B498" s="4" t="s">
        <v>257</v>
      </c>
      <c r="C498" s="61" t="s">
        <v>2237</v>
      </c>
      <c r="D498" s="48" t="s">
        <v>1767</v>
      </c>
      <c r="E498" s="7" t="s">
        <v>2246</v>
      </c>
      <c r="F498" s="512"/>
      <c r="G498" s="97" t="s">
        <v>374</v>
      </c>
      <c r="H498" s="92">
        <v>46101</v>
      </c>
      <c r="I498" s="13">
        <v>8.5335689000000006</v>
      </c>
      <c r="J498" s="13">
        <v>126.243048</v>
      </c>
      <c r="K498" s="13" t="s">
        <v>1815</v>
      </c>
      <c r="L498" s="13" t="s">
        <v>89</v>
      </c>
    </row>
    <row r="499" spans="1:12" ht="12.75">
      <c r="A499" s="6">
        <v>498</v>
      </c>
      <c r="B499" s="4" t="s">
        <v>257</v>
      </c>
      <c r="C499" s="61" t="s">
        <v>140</v>
      </c>
      <c r="D499" s="48" t="s">
        <v>1767</v>
      </c>
      <c r="E499" s="7" t="s">
        <v>2251</v>
      </c>
      <c r="F499" s="525" t="s">
        <v>2248</v>
      </c>
      <c r="G499" s="97" t="s">
        <v>374</v>
      </c>
      <c r="H499" s="92">
        <v>46101</v>
      </c>
      <c r="I499" s="13">
        <v>8.3005829999999996</v>
      </c>
      <c r="J499" s="13">
        <v>126.391293</v>
      </c>
      <c r="K499" s="13" t="s">
        <v>1815</v>
      </c>
      <c r="L499" s="13" t="s">
        <v>89</v>
      </c>
    </row>
    <row r="500" spans="1:12" ht="12.75">
      <c r="A500" s="6">
        <v>499</v>
      </c>
      <c r="B500" s="4" t="s">
        <v>257</v>
      </c>
      <c r="C500" s="61" t="s">
        <v>140</v>
      </c>
      <c r="D500" s="48" t="s">
        <v>1767</v>
      </c>
      <c r="E500" s="7" t="s">
        <v>2253</v>
      </c>
      <c r="F500" s="511"/>
      <c r="G500" s="97" t="s">
        <v>374</v>
      </c>
      <c r="H500" s="92">
        <v>46101</v>
      </c>
      <c r="I500" s="13">
        <v>8.3005829999999996</v>
      </c>
      <c r="J500" s="13">
        <v>126.391293</v>
      </c>
      <c r="K500" s="13" t="s">
        <v>1815</v>
      </c>
      <c r="L500" s="13" t="s">
        <v>89</v>
      </c>
    </row>
    <row r="501" spans="1:12" ht="12.75">
      <c r="A501" s="6">
        <v>500</v>
      </c>
      <c r="B501" s="4" t="s">
        <v>257</v>
      </c>
      <c r="C501" s="61" t="s">
        <v>140</v>
      </c>
      <c r="D501" s="48" t="s">
        <v>1767</v>
      </c>
      <c r="E501" s="7" t="s">
        <v>2255</v>
      </c>
      <c r="F501" s="512"/>
      <c r="G501" s="97" t="s">
        <v>374</v>
      </c>
      <c r="H501" s="92">
        <v>46101</v>
      </c>
      <c r="I501" s="13">
        <v>8.3005829999999996</v>
      </c>
      <c r="J501" s="13">
        <v>126.391293</v>
      </c>
      <c r="K501" s="13" t="s">
        <v>1815</v>
      </c>
      <c r="L501" s="13" t="s">
        <v>89</v>
      </c>
    </row>
    <row r="502" spans="1:12" ht="12.75">
      <c r="A502" s="6">
        <v>501</v>
      </c>
      <c r="B502" s="4" t="s">
        <v>257</v>
      </c>
      <c r="C502" s="61" t="s">
        <v>2164</v>
      </c>
      <c r="D502" s="48" t="s">
        <v>1767</v>
      </c>
      <c r="E502" s="7" t="s">
        <v>2169</v>
      </c>
      <c r="F502" s="525" t="s">
        <v>2167</v>
      </c>
      <c r="G502" s="97" t="s">
        <v>374</v>
      </c>
      <c r="H502" s="92">
        <v>46101</v>
      </c>
      <c r="I502" s="13">
        <v>8.1283650000000005</v>
      </c>
      <c r="J502" s="13">
        <v>126.35202099999999</v>
      </c>
      <c r="K502" s="13" t="s">
        <v>1815</v>
      </c>
      <c r="L502" s="13" t="s">
        <v>89</v>
      </c>
    </row>
    <row r="503" spans="1:12" ht="12.75">
      <c r="A503" s="6">
        <v>502</v>
      </c>
      <c r="B503" s="4" t="s">
        <v>257</v>
      </c>
      <c r="C503" s="61" t="s">
        <v>2164</v>
      </c>
      <c r="D503" s="48" t="s">
        <v>1767</v>
      </c>
      <c r="E503" s="7" t="s">
        <v>2176</v>
      </c>
      <c r="F503" s="511"/>
      <c r="G503" s="97" t="s">
        <v>374</v>
      </c>
      <c r="H503" s="92">
        <v>46101</v>
      </c>
      <c r="I503" s="13">
        <v>8.1283650000000005</v>
      </c>
      <c r="J503" s="13">
        <v>126.35202099999999</v>
      </c>
      <c r="K503" s="13" t="s">
        <v>1815</v>
      </c>
      <c r="L503" s="13" t="s">
        <v>89</v>
      </c>
    </row>
    <row r="504" spans="1:12" ht="12.75">
      <c r="A504" s="6">
        <v>503</v>
      </c>
      <c r="B504" s="4" t="s">
        <v>257</v>
      </c>
      <c r="C504" s="61" t="s">
        <v>2164</v>
      </c>
      <c r="D504" s="48" t="s">
        <v>1767</v>
      </c>
      <c r="E504" s="7" t="s">
        <v>2177</v>
      </c>
      <c r="F504" s="512"/>
      <c r="G504" s="97" t="s">
        <v>374</v>
      </c>
      <c r="H504" s="92">
        <v>46101</v>
      </c>
      <c r="I504" s="13">
        <v>8.1283650000000005</v>
      </c>
      <c r="J504" s="13">
        <v>126.35202099999999</v>
      </c>
      <c r="K504" s="13" t="s">
        <v>1815</v>
      </c>
      <c r="L504" s="13" t="s">
        <v>89</v>
      </c>
    </row>
    <row r="505" spans="1:12" ht="12.75">
      <c r="A505" s="6">
        <v>504</v>
      </c>
      <c r="B505" s="4" t="s">
        <v>196</v>
      </c>
      <c r="C505" s="61" t="s">
        <v>2734</v>
      </c>
      <c r="D505" s="6" t="s">
        <v>2119</v>
      </c>
      <c r="E505" s="7" t="s">
        <v>2735</v>
      </c>
      <c r="F505" s="525" t="s">
        <v>2736</v>
      </c>
      <c r="G505" s="97" t="s">
        <v>374</v>
      </c>
      <c r="H505" s="92">
        <v>46101</v>
      </c>
      <c r="I505" s="13">
        <v>9.9053970000000007</v>
      </c>
      <c r="J505" s="13">
        <v>125.59242999999999</v>
      </c>
      <c r="K505" s="13" t="s">
        <v>1815</v>
      </c>
      <c r="L505" s="13" t="s">
        <v>89</v>
      </c>
    </row>
    <row r="506" spans="1:12" ht="12.75">
      <c r="A506" s="6">
        <v>505</v>
      </c>
      <c r="B506" s="4" t="s">
        <v>196</v>
      </c>
      <c r="C506" s="61" t="s">
        <v>2734</v>
      </c>
      <c r="D506" s="6" t="s">
        <v>2119</v>
      </c>
      <c r="E506" s="7" t="s">
        <v>2737</v>
      </c>
      <c r="F506" s="511"/>
      <c r="G506" s="97" t="s">
        <v>374</v>
      </c>
      <c r="H506" s="92">
        <v>46101</v>
      </c>
      <c r="I506" s="13">
        <v>9.9053970000000007</v>
      </c>
      <c r="J506" s="13">
        <v>125.59242999999999</v>
      </c>
      <c r="K506" s="13" t="s">
        <v>1815</v>
      </c>
      <c r="L506" s="13" t="s">
        <v>89</v>
      </c>
    </row>
    <row r="507" spans="1:12" ht="12.75">
      <c r="A507" s="6">
        <v>506</v>
      </c>
      <c r="B507" s="4" t="s">
        <v>196</v>
      </c>
      <c r="C507" s="61" t="s">
        <v>2734</v>
      </c>
      <c r="D507" s="6" t="s">
        <v>2119</v>
      </c>
      <c r="E507" s="7" t="s">
        <v>2738</v>
      </c>
      <c r="F507" s="512"/>
      <c r="G507" s="97" t="s">
        <v>374</v>
      </c>
      <c r="H507" s="92">
        <v>46101</v>
      </c>
      <c r="I507" s="13">
        <v>9.9053970000000007</v>
      </c>
      <c r="J507" s="13">
        <v>125.59242999999999</v>
      </c>
      <c r="K507" s="13" t="s">
        <v>1815</v>
      </c>
      <c r="L507" s="13" t="s">
        <v>89</v>
      </c>
    </row>
    <row r="508" spans="1:12" ht="12.75">
      <c r="A508" s="6">
        <v>507</v>
      </c>
      <c r="B508" s="4" t="s">
        <v>196</v>
      </c>
      <c r="C508" s="61" t="s">
        <v>2266</v>
      </c>
      <c r="D508" s="6" t="s">
        <v>2119</v>
      </c>
      <c r="E508" s="7" t="s">
        <v>2739</v>
      </c>
      <c r="F508" s="525" t="s">
        <v>2740</v>
      </c>
      <c r="G508" s="97" t="s">
        <v>374</v>
      </c>
      <c r="H508" s="92">
        <v>46101</v>
      </c>
      <c r="I508" s="13">
        <v>9.7612310000000004</v>
      </c>
      <c r="J508" s="13">
        <v>125.6365</v>
      </c>
      <c r="K508" s="13" t="s">
        <v>1815</v>
      </c>
      <c r="L508" s="13" t="s">
        <v>89</v>
      </c>
    </row>
    <row r="509" spans="1:12" ht="12.75">
      <c r="A509" s="6">
        <v>508</v>
      </c>
      <c r="B509" s="4" t="s">
        <v>196</v>
      </c>
      <c r="C509" s="61" t="s">
        <v>2266</v>
      </c>
      <c r="D509" s="6" t="s">
        <v>2119</v>
      </c>
      <c r="E509" s="7" t="s">
        <v>2741</v>
      </c>
      <c r="F509" s="511"/>
      <c r="G509" s="97" t="s">
        <v>374</v>
      </c>
      <c r="H509" s="92">
        <v>46101</v>
      </c>
      <c r="I509" s="13">
        <v>9.7612310000000004</v>
      </c>
      <c r="J509" s="13">
        <v>125.6365</v>
      </c>
      <c r="K509" s="13" t="s">
        <v>1815</v>
      </c>
      <c r="L509" s="13" t="s">
        <v>89</v>
      </c>
    </row>
    <row r="510" spans="1:12" ht="12.75">
      <c r="A510" s="6">
        <v>509</v>
      </c>
      <c r="B510" s="4" t="s">
        <v>196</v>
      </c>
      <c r="C510" s="61" t="s">
        <v>2266</v>
      </c>
      <c r="D510" s="6" t="s">
        <v>2119</v>
      </c>
      <c r="E510" s="7" t="s">
        <v>2742</v>
      </c>
      <c r="F510" s="512"/>
      <c r="G510" s="97" t="s">
        <v>374</v>
      </c>
      <c r="H510" s="92">
        <v>46101</v>
      </c>
      <c r="I510" s="13">
        <v>9.7612310000000004</v>
      </c>
      <c r="J510" s="13">
        <v>125.6365</v>
      </c>
      <c r="K510" s="13" t="s">
        <v>1815</v>
      </c>
      <c r="L510" s="13" t="s">
        <v>89</v>
      </c>
    </row>
    <row r="511" spans="1:12" ht="12.75">
      <c r="A511" s="6">
        <v>510</v>
      </c>
      <c r="B511" s="4" t="s">
        <v>196</v>
      </c>
      <c r="C511" s="61" t="s">
        <v>2743</v>
      </c>
      <c r="D511" s="6" t="s">
        <v>2119</v>
      </c>
      <c r="E511" s="7" t="s">
        <v>2744</v>
      </c>
      <c r="F511" s="525" t="s">
        <v>2745</v>
      </c>
      <c r="G511" s="97" t="s">
        <v>374</v>
      </c>
      <c r="H511" s="92">
        <v>46101</v>
      </c>
      <c r="I511" s="13">
        <v>9.6887419999999995</v>
      </c>
      <c r="J511" s="13">
        <v>125.479145</v>
      </c>
      <c r="K511" s="13" t="s">
        <v>1815</v>
      </c>
      <c r="L511" s="13" t="s">
        <v>89</v>
      </c>
    </row>
    <row r="512" spans="1:12" ht="12.75">
      <c r="A512" s="6">
        <v>511</v>
      </c>
      <c r="B512" s="4" t="s">
        <v>196</v>
      </c>
      <c r="C512" s="61" t="s">
        <v>2743</v>
      </c>
      <c r="D512" s="6" t="s">
        <v>2119</v>
      </c>
      <c r="E512" s="7" t="s">
        <v>2746</v>
      </c>
      <c r="F512" s="511"/>
      <c r="G512" s="97" t="s">
        <v>374</v>
      </c>
      <c r="H512" s="92">
        <v>46101</v>
      </c>
      <c r="I512" s="13">
        <v>9.6887419999999995</v>
      </c>
      <c r="J512" s="13">
        <v>125.479145</v>
      </c>
      <c r="K512" s="13" t="s">
        <v>1815</v>
      </c>
      <c r="L512" s="13" t="s">
        <v>89</v>
      </c>
    </row>
    <row r="513" spans="1:12" ht="12.75">
      <c r="A513" s="6">
        <v>512</v>
      </c>
      <c r="B513" s="4" t="s">
        <v>196</v>
      </c>
      <c r="C513" s="61" t="s">
        <v>2743</v>
      </c>
      <c r="D513" s="6" t="s">
        <v>2119</v>
      </c>
      <c r="E513" s="7" t="s">
        <v>2747</v>
      </c>
      <c r="F513" s="512"/>
      <c r="G513" s="97" t="s">
        <v>374</v>
      </c>
      <c r="H513" s="92">
        <v>46101</v>
      </c>
      <c r="I513" s="13">
        <v>9.6887419999999995</v>
      </c>
      <c r="J513" s="13">
        <v>125.479145</v>
      </c>
      <c r="K513" s="13" t="s">
        <v>1815</v>
      </c>
      <c r="L513" s="13" t="s">
        <v>89</v>
      </c>
    </row>
    <row r="514" spans="1:12" ht="12.75">
      <c r="A514" s="6">
        <v>513</v>
      </c>
      <c r="B514" s="4" t="s">
        <v>196</v>
      </c>
      <c r="C514" s="61" t="s">
        <v>2748</v>
      </c>
      <c r="D514" s="6" t="s">
        <v>2119</v>
      </c>
      <c r="E514" s="7" t="s">
        <v>2749</v>
      </c>
      <c r="F514" s="525" t="s">
        <v>2750</v>
      </c>
      <c r="G514" s="97" t="s">
        <v>374</v>
      </c>
      <c r="H514" s="92">
        <v>46101</v>
      </c>
      <c r="I514" s="13">
        <v>9.8504880000000004</v>
      </c>
      <c r="J514" s="13">
        <v>125.59005000000001</v>
      </c>
      <c r="K514" s="13" t="s">
        <v>1815</v>
      </c>
      <c r="L514" s="13" t="s">
        <v>89</v>
      </c>
    </row>
    <row r="515" spans="1:12" ht="12.75">
      <c r="A515" s="6">
        <v>514</v>
      </c>
      <c r="B515" s="4" t="s">
        <v>196</v>
      </c>
      <c r="C515" s="61" t="s">
        <v>2748</v>
      </c>
      <c r="D515" s="6" t="s">
        <v>2119</v>
      </c>
      <c r="E515" s="7" t="s">
        <v>2751</v>
      </c>
      <c r="F515" s="511"/>
      <c r="G515" s="97" t="s">
        <v>374</v>
      </c>
      <c r="H515" s="92">
        <v>46101</v>
      </c>
      <c r="I515" s="13">
        <v>9.8504880000000004</v>
      </c>
      <c r="J515" s="13">
        <v>125.59005000000001</v>
      </c>
      <c r="K515" s="13" t="s">
        <v>1815</v>
      </c>
      <c r="L515" s="13" t="s">
        <v>89</v>
      </c>
    </row>
    <row r="516" spans="1:12" ht="12.75">
      <c r="A516" s="6">
        <v>515</v>
      </c>
      <c r="B516" s="4" t="s">
        <v>196</v>
      </c>
      <c r="C516" s="61" t="s">
        <v>2748</v>
      </c>
      <c r="D516" s="6" t="s">
        <v>2119</v>
      </c>
      <c r="E516" s="7" t="s">
        <v>2752</v>
      </c>
      <c r="F516" s="512"/>
      <c r="G516" s="97" t="s">
        <v>374</v>
      </c>
      <c r="H516" s="92">
        <v>46101</v>
      </c>
      <c r="I516" s="13">
        <v>9.8504880000000004</v>
      </c>
      <c r="J516" s="13">
        <v>125.59005000000001</v>
      </c>
      <c r="K516" s="13" t="s">
        <v>1815</v>
      </c>
      <c r="L516" s="13" t="s">
        <v>89</v>
      </c>
    </row>
    <row r="517" spans="1:12" ht="12.75">
      <c r="A517" s="6">
        <v>516</v>
      </c>
      <c r="B517" s="4" t="s">
        <v>196</v>
      </c>
      <c r="C517" s="61" t="s">
        <v>2753</v>
      </c>
      <c r="D517" s="6" t="s">
        <v>2119</v>
      </c>
      <c r="E517" s="7" t="s">
        <v>2754</v>
      </c>
      <c r="F517" s="525" t="s">
        <v>2755</v>
      </c>
      <c r="G517" s="97" t="s">
        <v>207</v>
      </c>
      <c r="H517" s="92">
        <v>46101</v>
      </c>
      <c r="I517" s="13">
        <v>9.9185104000000006</v>
      </c>
      <c r="J517" s="13">
        <v>125.514689</v>
      </c>
      <c r="K517" s="13" t="s">
        <v>1815</v>
      </c>
      <c r="L517" s="13" t="s">
        <v>89</v>
      </c>
    </row>
    <row r="518" spans="1:12" ht="12.75">
      <c r="A518" s="6">
        <v>517</v>
      </c>
      <c r="B518" s="4" t="s">
        <v>196</v>
      </c>
      <c r="C518" s="61" t="s">
        <v>2753</v>
      </c>
      <c r="D518" s="6" t="s">
        <v>2119</v>
      </c>
      <c r="E518" s="7" t="s">
        <v>2756</v>
      </c>
      <c r="F518" s="511"/>
      <c r="G518" s="97" t="s">
        <v>207</v>
      </c>
      <c r="H518" s="92">
        <v>46101</v>
      </c>
      <c r="I518" s="13">
        <v>9.9185104000000006</v>
      </c>
      <c r="J518" s="13">
        <v>125.514689</v>
      </c>
      <c r="K518" s="13" t="s">
        <v>1815</v>
      </c>
      <c r="L518" s="13" t="s">
        <v>89</v>
      </c>
    </row>
    <row r="519" spans="1:12" ht="12.75">
      <c r="A519" s="6">
        <v>518</v>
      </c>
      <c r="B519" s="4" t="s">
        <v>196</v>
      </c>
      <c r="C519" s="61" t="s">
        <v>2753</v>
      </c>
      <c r="D519" s="6" t="s">
        <v>2119</v>
      </c>
      <c r="E519" s="7" t="s">
        <v>2757</v>
      </c>
      <c r="F519" s="511"/>
      <c r="G519" s="97" t="s">
        <v>207</v>
      </c>
      <c r="H519" s="92">
        <v>46101</v>
      </c>
      <c r="I519" s="13">
        <v>9.9185104000000006</v>
      </c>
      <c r="J519" s="13">
        <v>125.514689</v>
      </c>
      <c r="K519" s="13" t="s">
        <v>1815</v>
      </c>
      <c r="L519" s="13" t="s">
        <v>89</v>
      </c>
    </row>
    <row r="520" spans="1:12" ht="12.75">
      <c r="A520" s="6">
        <v>519</v>
      </c>
      <c r="B520" s="4" t="s">
        <v>268</v>
      </c>
      <c r="C520" s="61" t="s">
        <v>2375</v>
      </c>
      <c r="D520" s="48" t="s">
        <v>1767</v>
      </c>
      <c r="E520" s="7" t="s">
        <v>2378</v>
      </c>
      <c r="F520" s="525" t="s">
        <v>2376</v>
      </c>
      <c r="G520" s="97" t="s">
        <v>207</v>
      </c>
      <c r="H520" s="92">
        <v>46101</v>
      </c>
      <c r="I520" s="13">
        <v>9.7162640000000007</v>
      </c>
      <c r="J520" s="13">
        <v>125.430817</v>
      </c>
      <c r="K520" s="13" t="s">
        <v>1815</v>
      </c>
      <c r="L520" s="13" t="s">
        <v>89</v>
      </c>
    </row>
    <row r="521" spans="1:12" ht="12.75">
      <c r="A521" s="6">
        <v>520</v>
      </c>
      <c r="B521" s="4" t="s">
        <v>268</v>
      </c>
      <c r="C521" s="61" t="s">
        <v>2375</v>
      </c>
      <c r="D521" s="48" t="s">
        <v>1767</v>
      </c>
      <c r="E521" s="7" t="s">
        <v>2384</v>
      </c>
      <c r="F521" s="511"/>
      <c r="G521" s="97" t="s">
        <v>207</v>
      </c>
      <c r="H521" s="92">
        <v>46101</v>
      </c>
      <c r="I521" s="13">
        <v>9.7162640000000007</v>
      </c>
      <c r="J521" s="13">
        <v>125.430817</v>
      </c>
      <c r="K521" s="13" t="s">
        <v>1815</v>
      </c>
      <c r="L521" s="13" t="s">
        <v>89</v>
      </c>
    </row>
    <row r="522" spans="1:12" ht="12.75">
      <c r="A522" s="6">
        <v>521</v>
      </c>
      <c r="B522" s="4" t="s">
        <v>268</v>
      </c>
      <c r="C522" s="61" t="s">
        <v>2375</v>
      </c>
      <c r="D522" s="48" t="s">
        <v>1767</v>
      </c>
      <c r="E522" s="7" t="s">
        <v>2386</v>
      </c>
      <c r="F522" s="512"/>
      <c r="G522" s="97" t="s">
        <v>207</v>
      </c>
      <c r="H522" s="92">
        <v>46101</v>
      </c>
      <c r="I522" s="13">
        <v>9.7162640000000007</v>
      </c>
      <c r="J522" s="13">
        <v>125.430817</v>
      </c>
      <c r="K522" s="13" t="s">
        <v>1815</v>
      </c>
      <c r="L522" s="13" t="s">
        <v>89</v>
      </c>
    </row>
    <row r="523" spans="1:12" ht="12.75">
      <c r="A523" s="6">
        <v>522</v>
      </c>
      <c r="B523" s="4" t="s">
        <v>268</v>
      </c>
      <c r="C523" s="61" t="s">
        <v>29</v>
      </c>
      <c r="D523" s="48" t="s">
        <v>1767</v>
      </c>
      <c r="E523" s="7" t="s">
        <v>2389</v>
      </c>
      <c r="F523" s="525" t="s">
        <v>2388</v>
      </c>
      <c r="G523" s="97" t="s">
        <v>374</v>
      </c>
      <c r="H523" s="92">
        <v>46101</v>
      </c>
      <c r="I523" s="13">
        <v>9.5590639999999993</v>
      </c>
      <c r="J523" s="13">
        <v>125.63517</v>
      </c>
      <c r="K523" s="13" t="s">
        <v>1815</v>
      </c>
      <c r="L523" s="13" t="s">
        <v>89</v>
      </c>
    </row>
    <row r="524" spans="1:12" ht="12.75">
      <c r="A524" s="6">
        <v>523</v>
      </c>
      <c r="B524" s="4" t="s">
        <v>268</v>
      </c>
      <c r="C524" s="61" t="s">
        <v>29</v>
      </c>
      <c r="D524" s="48" t="s">
        <v>1767</v>
      </c>
      <c r="E524" s="7" t="s">
        <v>2394</v>
      </c>
      <c r="F524" s="511"/>
      <c r="G524" s="97" t="s">
        <v>374</v>
      </c>
      <c r="H524" s="92">
        <v>46101</v>
      </c>
      <c r="I524" s="13">
        <v>9.5590639999999993</v>
      </c>
      <c r="J524" s="13">
        <v>125.63517</v>
      </c>
      <c r="K524" s="13" t="s">
        <v>1815</v>
      </c>
      <c r="L524" s="13" t="s">
        <v>89</v>
      </c>
    </row>
    <row r="525" spans="1:12" ht="12.75">
      <c r="A525" s="6">
        <v>524</v>
      </c>
      <c r="B525" s="4" t="s">
        <v>268</v>
      </c>
      <c r="C525" s="61" t="s">
        <v>29</v>
      </c>
      <c r="D525" s="48" t="s">
        <v>1767</v>
      </c>
      <c r="E525" s="7" t="s">
        <v>2395</v>
      </c>
      <c r="F525" s="512"/>
      <c r="G525" s="97" t="s">
        <v>374</v>
      </c>
      <c r="H525" s="92">
        <v>46101</v>
      </c>
      <c r="I525" s="13">
        <v>9.5590639999999993</v>
      </c>
      <c r="J525" s="13">
        <v>125.63517</v>
      </c>
      <c r="K525" s="13" t="s">
        <v>1815</v>
      </c>
      <c r="L525" s="13" t="s">
        <v>89</v>
      </c>
    </row>
    <row r="526" spans="1:12" ht="12.75">
      <c r="A526" s="6">
        <v>525</v>
      </c>
      <c r="B526" s="4" t="s">
        <v>268</v>
      </c>
      <c r="C526" s="61" t="s">
        <v>2396</v>
      </c>
      <c r="D526" s="48" t="s">
        <v>1767</v>
      </c>
      <c r="E526" s="7" t="s">
        <v>2398</v>
      </c>
      <c r="F526" s="525" t="s">
        <v>2397</v>
      </c>
      <c r="G526" s="97" t="s">
        <v>374</v>
      </c>
      <c r="H526" s="92">
        <v>46101</v>
      </c>
      <c r="I526" s="13">
        <v>9.5758720000000004</v>
      </c>
      <c r="J526" s="13">
        <v>125.76409700000001</v>
      </c>
      <c r="K526" s="13" t="s">
        <v>1815</v>
      </c>
      <c r="L526" s="13" t="s">
        <v>89</v>
      </c>
    </row>
    <row r="527" spans="1:12" ht="12.75">
      <c r="A527" s="6">
        <v>526</v>
      </c>
      <c r="B527" s="4" t="s">
        <v>268</v>
      </c>
      <c r="C527" s="61" t="s">
        <v>2396</v>
      </c>
      <c r="D527" s="48" t="s">
        <v>1767</v>
      </c>
      <c r="E527" s="7" t="s">
        <v>2400</v>
      </c>
      <c r="F527" s="511"/>
      <c r="G527" s="97" t="s">
        <v>374</v>
      </c>
      <c r="H527" s="92">
        <v>46101</v>
      </c>
      <c r="I527" s="13">
        <v>9.5758720000000004</v>
      </c>
      <c r="J527" s="13">
        <v>125.76409700000001</v>
      </c>
      <c r="K527" s="13" t="s">
        <v>1815</v>
      </c>
      <c r="L527" s="13" t="s">
        <v>89</v>
      </c>
    </row>
    <row r="528" spans="1:12" ht="12.75">
      <c r="A528" s="6">
        <v>527</v>
      </c>
      <c r="B528" s="4" t="s">
        <v>268</v>
      </c>
      <c r="C528" s="61" t="s">
        <v>2396</v>
      </c>
      <c r="D528" s="48" t="s">
        <v>1767</v>
      </c>
      <c r="E528" s="7" t="s">
        <v>2401</v>
      </c>
      <c r="F528" s="512"/>
      <c r="G528" s="97" t="s">
        <v>374</v>
      </c>
      <c r="H528" s="92">
        <v>46101</v>
      </c>
      <c r="I528" s="13">
        <v>9.5758720000000004</v>
      </c>
      <c r="J528" s="13">
        <v>125.76409700000001</v>
      </c>
      <c r="K528" s="13" t="s">
        <v>1815</v>
      </c>
      <c r="L528" s="13" t="s">
        <v>89</v>
      </c>
    </row>
    <row r="529" spans="1:12" ht="12.75">
      <c r="A529" s="6">
        <v>528</v>
      </c>
      <c r="B529" s="4" t="s">
        <v>268</v>
      </c>
      <c r="C529" s="61" t="s">
        <v>2402</v>
      </c>
      <c r="D529" s="48" t="s">
        <v>1767</v>
      </c>
      <c r="E529" s="7" t="s">
        <v>2404</v>
      </c>
      <c r="F529" s="525" t="s">
        <v>2403</v>
      </c>
      <c r="G529" s="97" t="s">
        <v>374</v>
      </c>
      <c r="H529" s="92">
        <v>46101</v>
      </c>
      <c r="I529" s="13">
        <v>9.5761690000000002</v>
      </c>
      <c r="J529" s="13">
        <v>125.712332</v>
      </c>
      <c r="K529" s="13" t="s">
        <v>1815</v>
      </c>
      <c r="L529" s="13" t="s">
        <v>89</v>
      </c>
    </row>
    <row r="530" spans="1:12" ht="12.75">
      <c r="A530" s="6">
        <v>529</v>
      </c>
      <c r="B530" s="4" t="s">
        <v>268</v>
      </c>
      <c r="C530" s="61" t="s">
        <v>2402</v>
      </c>
      <c r="D530" s="48" t="s">
        <v>1767</v>
      </c>
      <c r="E530" s="7" t="s">
        <v>2406</v>
      </c>
      <c r="F530" s="511"/>
      <c r="G530" s="97" t="s">
        <v>374</v>
      </c>
      <c r="H530" s="92">
        <v>46101</v>
      </c>
      <c r="I530" s="13">
        <v>9.5761690000000002</v>
      </c>
      <c r="J530" s="13">
        <v>125.712332</v>
      </c>
      <c r="K530" s="13" t="s">
        <v>1815</v>
      </c>
      <c r="L530" s="13" t="s">
        <v>89</v>
      </c>
    </row>
    <row r="531" spans="1:12" ht="12.75">
      <c r="A531" s="6">
        <v>530</v>
      </c>
      <c r="B531" s="4" t="s">
        <v>268</v>
      </c>
      <c r="C531" s="61" t="s">
        <v>2402</v>
      </c>
      <c r="D531" s="48" t="s">
        <v>1767</v>
      </c>
      <c r="E531" s="7" t="s">
        <v>2407</v>
      </c>
      <c r="F531" s="512"/>
      <c r="G531" s="97" t="s">
        <v>374</v>
      </c>
      <c r="H531" s="92">
        <v>46101</v>
      </c>
      <c r="I531" s="13">
        <v>9.5761690000000002</v>
      </c>
      <c r="J531" s="13">
        <v>125.712332</v>
      </c>
      <c r="K531" s="13" t="s">
        <v>1815</v>
      </c>
      <c r="L531" s="13" t="s">
        <v>89</v>
      </c>
    </row>
    <row r="532" spans="1:12" ht="12.75">
      <c r="A532" s="6">
        <v>531</v>
      </c>
      <c r="B532" s="4" t="s">
        <v>268</v>
      </c>
      <c r="C532" s="61" t="s">
        <v>2408</v>
      </c>
      <c r="D532" s="48" t="s">
        <v>1767</v>
      </c>
      <c r="E532" s="7" t="s">
        <v>2410</v>
      </c>
      <c r="F532" s="525" t="s">
        <v>2409</v>
      </c>
      <c r="G532" s="97" t="s">
        <v>374</v>
      </c>
      <c r="H532" s="92">
        <v>46101</v>
      </c>
      <c r="I532" s="13">
        <v>9.5324369999999998</v>
      </c>
      <c r="J532" s="13">
        <v>125.728662</v>
      </c>
      <c r="K532" s="13" t="s">
        <v>1815</v>
      </c>
      <c r="L532" s="13" t="s">
        <v>89</v>
      </c>
    </row>
    <row r="533" spans="1:12" ht="12.75">
      <c r="A533" s="6">
        <v>532</v>
      </c>
      <c r="B533" s="4" t="s">
        <v>268</v>
      </c>
      <c r="C533" s="61" t="s">
        <v>2408</v>
      </c>
      <c r="D533" s="48" t="s">
        <v>1767</v>
      </c>
      <c r="E533" s="7" t="s">
        <v>2412</v>
      </c>
      <c r="F533" s="511"/>
      <c r="G533" s="97" t="s">
        <v>374</v>
      </c>
      <c r="H533" s="92">
        <v>46101</v>
      </c>
      <c r="I533" s="13">
        <v>9.5324369999999998</v>
      </c>
      <c r="J533" s="13">
        <v>125.728662</v>
      </c>
      <c r="K533" s="13" t="s">
        <v>1815</v>
      </c>
      <c r="L533" s="13" t="s">
        <v>89</v>
      </c>
    </row>
    <row r="534" spans="1:12" ht="12.75">
      <c r="A534" s="6">
        <v>533</v>
      </c>
      <c r="B534" s="4" t="s">
        <v>268</v>
      </c>
      <c r="C534" s="61" t="s">
        <v>2408</v>
      </c>
      <c r="D534" s="48" t="s">
        <v>1767</v>
      </c>
      <c r="E534" s="7" t="s">
        <v>2413</v>
      </c>
      <c r="F534" s="512"/>
      <c r="G534" s="97" t="s">
        <v>374</v>
      </c>
      <c r="H534" s="92">
        <v>46101</v>
      </c>
      <c r="I534" s="13">
        <v>9.5324369999999998</v>
      </c>
      <c r="J534" s="13">
        <v>125.728662</v>
      </c>
      <c r="K534" s="13" t="s">
        <v>1815</v>
      </c>
      <c r="L534" s="13" t="s">
        <v>89</v>
      </c>
    </row>
    <row r="535" spans="1:12" ht="12.75">
      <c r="A535" s="6">
        <v>534</v>
      </c>
      <c r="B535" s="4" t="s">
        <v>268</v>
      </c>
      <c r="C535" s="61" t="s">
        <v>2416</v>
      </c>
      <c r="D535" s="48" t="s">
        <v>1767</v>
      </c>
      <c r="E535" s="7" t="s">
        <v>2418</v>
      </c>
      <c r="F535" s="525" t="s">
        <v>2417</v>
      </c>
      <c r="G535" s="97" t="s">
        <v>374</v>
      </c>
      <c r="H535" s="92">
        <v>46101</v>
      </c>
      <c r="I535" s="13">
        <v>9.5626599999999993</v>
      </c>
      <c r="J535" s="13">
        <v>125.70233399999999</v>
      </c>
      <c r="K535" s="13" t="s">
        <v>1815</v>
      </c>
      <c r="L535" s="13" t="s">
        <v>89</v>
      </c>
    </row>
    <row r="536" spans="1:12" ht="12.75">
      <c r="A536" s="6">
        <v>535</v>
      </c>
      <c r="B536" s="4" t="s">
        <v>268</v>
      </c>
      <c r="C536" s="61" t="s">
        <v>2416</v>
      </c>
      <c r="D536" s="48" t="s">
        <v>1767</v>
      </c>
      <c r="E536" s="7" t="s">
        <v>2422</v>
      </c>
      <c r="F536" s="511"/>
      <c r="G536" s="97" t="s">
        <v>374</v>
      </c>
      <c r="H536" s="92">
        <v>46101</v>
      </c>
      <c r="I536" s="13">
        <v>9.5626599999999993</v>
      </c>
      <c r="J536" s="13">
        <v>125.70233399999999</v>
      </c>
      <c r="K536" s="13" t="s">
        <v>1815</v>
      </c>
      <c r="L536" s="13" t="s">
        <v>89</v>
      </c>
    </row>
    <row r="537" spans="1:12" ht="12.75">
      <c r="A537" s="6">
        <v>536</v>
      </c>
      <c r="B537" s="4" t="s">
        <v>268</v>
      </c>
      <c r="C537" s="61" t="s">
        <v>2416</v>
      </c>
      <c r="D537" s="48" t="s">
        <v>1767</v>
      </c>
      <c r="E537" s="7" t="s">
        <v>2426</v>
      </c>
      <c r="F537" s="512"/>
      <c r="G537" s="97" t="s">
        <v>374</v>
      </c>
      <c r="H537" s="92">
        <v>46101</v>
      </c>
      <c r="I537" s="13">
        <v>9.5626599999999993</v>
      </c>
      <c r="J537" s="13">
        <v>125.70233399999999</v>
      </c>
      <c r="K537" s="13" t="s">
        <v>1815</v>
      </c>
      <c r="L537" s="13" t="s">
        <v>89</v>
      </c>
    </row>
    <row r="538" spans="1:12" ht="12.75">
      <c r="A538" s="6">
        <v>537</v>
      </c>
      <c r="B538" s="4" t="s">
        <v>268</v>
      </c>
      <c r="C538" s="61" t="s">
        <v>2429</v>
      </c>
      <c r="D538" s="48" t="s">
        <v>1767</v>
      </c>
      <c r="E538" s="7" t="s">
        <v>2435</v>
      </c>
      <c r="F538" s="525" t="s">
        <v>2430</v>
      </c>
      <c r="G538" s="97" t="s">
        <v>374</v>
      </c>
      <c r="H538" s="92">
        <v>46101</v>
      </c>
      <c r="I538" s="13">
        <v>9.5097550000000002</v>
      </c>
      <c r="J538" s="13">
        <v>125.6157807</v>
      </c>
      <c r="K538" s="13" t="s">
        <v>1815</v>
      </c>
      <c r="L538" s="13" t="s">
        <v>89</v>
      </c>
    </row>
    <row r="539" spans="1:12" ht="12.75">
      <c r="A539" s="6">
        <v>538</v>
      </c>
      <c r="B539" s="4" t="s">
        <v>268</v>
      </c>
      <c r="C539" s="61" t="s">
        <v>2429</v>
      </c>
      <c r="D539" s="48" t="s">
        <v>1767</v>
      </c>
      <c r="E539" s="7" t="s">
        <v>2444</v>
      </c>
      <c r="F539" s="511"/>
      <c r="G539" s="97" t="s">
        <v>374</v>
      </c>
      <c r="H539" s="92">
        <v>46101</v>
      </c>
      <c r="I539" s="13">
        <v>9.5097550000000002</v>
      </c>
      <c r="J539" s="13">
        <v>125.6157807</v>
      </c>
      <c r="K539" s="13" t="s">
        <v>1815</v>
      </c>
      <c r="L539" s="13" t="s">
        <v>89</v>
      </c>
    </row>
    <row r="540" spans="1:12" ht="12.75">
      <c r="A540" s="6">
        <v>539</v>
      </c>
      <c r="B540" s="4" t="s">
        <v>268</v>
      </c>
      <c r="C540" s="61" t="s">
        <v>2429</v>
      </c>
      <c r="D540" s="48" t="s">
        <v>1767</v>
      </c>
      <c r="E540" s="7" t="s">
        <v>2447</v>
      </c>
      <c r="F540" s="512"/>
      <c r="G540" s="97" t="s">
        <v>374</v>
      </c>
      <c r="H540" s="92">
        <v>46101</v>
      </c>
      <c r="I540" s="13">
        <v>9.5097550000000002</v>
      </c>
      <c r="J540" s="13">
        <v>125.6157807</v>
      </c>
      <c r="K540" s="13" t="s">
        <v>1815</v>
      </c>
      <c r="L540" s="13" t="s">
        <v>89</v>
      </c>
    </row>
    <row r="541" spans="1:12" ht="12.75">
      <c r="A541" s="6">
        <v>540</v>
      </c>
      <c r="B541" s="4" t="s">
        <v>268</v>
      </c>
      <c r="C541" s="61" t="s">
        <v>1487</v>
      </c>
      <c r="D541" s="48" t="s">
        <v>1767</v>
      </c>
      <c r="E541" s="7" t="s">
        <v>2452</v>
      </c>
      <c r="F541" s="525" t="s">
        <v>1488</v>
      </c>
      <c r="G541" s="97" t="s">
        <v>207</v>
      </c>
      <c r="H541" s="92">
        <v>46101</v>
      </c>
      <c r="I541" s="13">
        <v>9.5047219999999992</v>
      </c>
      <c r="J541" s="13">
        <v>125.671666</v>
      </c>
      <c r="K541" s="13" t="s">
        <v>1815</v>
      </c>
      <c r="L541" s="13" t="s">
        <v>89</v>
      </c>
    </row>
    <row r="542" spans="1:12" ht="12.75">
      <c r="A542" s="6">
        <v>541</v>
      </c>
      <c r="B542" s="4" t="s">
        <v>268</v>
      </c>
      <c r="C542" s="61" t="s">
        <v>1487</v>
      </c>
      <c r="D542" s="48" t="s">
        <v>1767</v>
      </c>
      <c r="E542" s="7" t="s">
        <v>2458</v>
      </c>
      <c r="F542" s="511"/>
      <c r="G542" s="97" t="s">
        <v>207</v>
      </c>
      <c r="H542" s="92">
        <v>46101</v>
      </c>
      <c r="I542" s="13">
        <v>9.5047219999999992</v>
      </c>
      <c r="J542" s="13">
        <v>125.671666</v>
      </c>
      <c r="K542" s="13" t="s">
        <v>1815</v>
      </c>
      <c r="L542" s="13" t="s">
        <v>89</v>
      </c>
    </row>
    <row r="543" spans="1:12" ht="12.75">
      <c r="A543" s="6">
        <v>542</v>
      </c>
      <c r="B543" s="4" t="s">
        <v>268</v>
      </c>
      <c r="C543" s="61" t="s">
        <v>1487</v>
      </c>
      <c r="D543" s="48" t="s">
        <v>1767</v>
      </c>
      <c r="E543" s="7" t="s">
        <v>2461</v>
      </c>
      <c r="F543" s="512"/>
      <c r="G543" s="97" t="s">
        <v>207</v>
      </c>
      <c r="H543" s="92">
        <v>46101</v>
      </c>
      <c r="I543" s="13">
        <v>9.5047219999999992</v>
      </c>
      <c r="J543" s="13">
        <v>125.671666</v>
      </c>
      <c r="K543" s="13" t="s">
        <v>1815</v>
      </c>
      <c r="L543" s="13" t="s">
        <v>89</v>
      </c>
    </row>
    <row r="544" spans="1:12" ht="12.75">
      <c r="A544" s="6">
        <v>543</v>
      </c>
      <c r="B544" s="4" t="s">
        <v>268</v>
      </c>
      <c r="C544" s="61" t="s">
        <v>2463</v>
      </c>
      <c r="D544" s="48" t="s">
        <v>1767</v>
      </c>
      <c r="E544" s="7" t="s">
        <v>2466</v>
      </c>
      <c r="F544" s="525" t="s">
        <v>2464</v>
      </c>
      <c r="G544" s="97" t="s">
        <v>374</v>
      </c>
      <c r="H544" s="92">
        <v>46101</v>
      </c>
      <c r="I544" s="13">
        <v>9.6142973000000005</v>
      </c>
      <c r="J544" s="13">
        <v>125.41128399999999</v>
      </c>
      <c r="K544" s="13" t="s">
        <v>1815</v>
      </c>
      <c r="L544" s="13" t="s">
        <v>89</v>
      </c>
    </row>
    <row r="545" spans="1:12" ht="12.75">
      <c r="A545" s="6">
        <v>544</v>
      </c>
      <c r="B545" s="4" t="s">
        <v>268</v>
      </c>
      <c r="C545" s="61" t="s">
        <v>2463</v>
      </c>
      <c r="D545" s="48" t="s">
        <v>1767</v>
      </c>
      <c r="E545" s="7" t="s">
        <v>2471</v>
      </c>
      <c r="F545" s="511"/>
      <c r="G545" s="97" t="s">
        <v>374</v>
      </c>
      <c r="H545" s="92">
        <v>46101</v>
      </c>
      <c r="I545" s="13">
        <v>9.6142973000000005</v>
      </c>
      <c r="J545" s="13">
        <v>125.41128399999999</v>
      </c>
      <c r="K545" s="13" t="s">
        <v>1815</v>
      </c>
      <c r="L545" s="13" t="s">
        <v>89</v>
      </c>
    </row>
    <row r="546" spans="1:12" ht="12.75">
      <c r="A546" s="6">
        <v>545</v>
      </c>
      <c r="B546" s="4" t="s">
        <v>268</v>
      </c>
      <c r="C546" s="61" t="s">
        <v>2463</v>
      </c>
      <c r="D546" s="48" t="s">
        <v>1767</v>
      </c>
      <c r="E546" s="7" t="s">
        <v>2477</v>
      </c>
      <c r="F546" s="512"/>
      <c r="G546" s="97" t="s">
        <v>374</v>
      </c>
      <c r="H546" s="92">
        <v>46101</v>
      </c>
      <c r="I546" s="13">
        <v>9.6142973000000005</v>
      </c>
      <c r="J546" s="13">
        <v>125.41128399999999</v>
      </c>
      <c r="K546" s="13" t="s">
        <v>1815</v>
      </c>
      <c r="L546" s="13" t="s">
        <v>89</v>
      </c>
    </row>
    <row r="547" spans="1:12" ht="12.75">
      <c r="A547" s="6">
        <v>546</v>
      </c>
      <c r="B547" s="4" t="s">
        <v>268</v>
      </c>
      <c r="C547" s="61" t="s">
        <v>2482</v>
      </c>
      <c r="D547" s="48" t="s">
        <v>1767</v>
      </c>
      <c r="E547" s="7" t="s">
        <v>2485</v>
      </c>
      <c r="F547" s="525" t="s">
        <v>2483</v>
      </c>
      <c r="G547" s="97" t="s">
        <v>207</v>
      </c>
      <c r="H547" s="92">
        <v>46101</v>
      </c>
      <c r="I547" s="13">
        <v>9.6915829999999996</v>
      </c>
      <c r="J547" s="13">
        <v>125.654656</v>
      </c>
      <c r="K547" s="13" t="s">
        <v>1815</v>
      </c>
      <c r="L547" s="13" t="s">
        <v>89</v>
      </c>
    </row>
    <row r="548" spans="1:12" ht="12.75">
      <c r="A548" s="6">
        <v>547</v>
      </c>
      <c r="B548" s="4" t="s">
        <v>268</v>
      </c>
      <c r="C548" s="61" t="s">
        <v>2482</v>
      </c>
      <c r="D548" s="48" t="s">
        <v>1767</v>
      </c>
      <c r="E548" s="7" t="s">
        <v>2492</v>
      </c>
      <c r="F548" s="511"/>
      <c r="G548" s="97" t="s">
        <v>207</v>
      </c>
      <c r="H548" s="92">
        <v>46101</v>
      </c>
      <c r="I548" s="13">
        <v>9.6915829999999996</v>
      </c>
      <c r="J548" s="13">
        <v>125.654656</v>
      </c>
      <c r="K548" s="13" t="s">
        <v>1815</v>
      </c>
      <c r="L548" s="13" t="s">
        <v>89</v>
      </c>
    </row>
    <row r="549" spans="1:12" ht="12.75">
      <c r="A549" s="6">
        <v>548</v>
      </c>
      <c r="B549" s="4" t="s">
        <v>268</v>
      </c>
      <c r="C549" s="61" t="s">
        <v>2482</v>
      </c>
      <c r="D549" s="48" t="s">
        <v>1767</v>
      </c>
      <c r="E549" s="7" t="s">
        <v>2496</v>
      </c>
      <c r="F549" s="512"/>
      <c r="G549" s="97" t="s">
        <v>207</v>
      </c>
      <c r="H549" s="92">
        <v>46101</v>
      </c>
      <c r="I549" s="13">
        <v>9.6915829999999996</v>
      </c>
      <c r="J549" s="13">
        <v>125.654656</v>
      </c>
      <c r="K549" s="13" t="s">
        <v>1815</v>
      </c>
      <c r="L549" s="13" t="s">
        <v>89</v>
      </c>
    </row>
    <row r="550" spans="1:12" ht="12.75">
      <c r="A550" s="6">
        <v>549</v>
      </c>
      <c r="B550" s="4" t="s">
        <v>2601</v>
      </c>
      <c r="C550" s="61" t="s">
        <v>2602</v>
      </c>
      <c r="D550" s="48" t="s">
        <v>1767</v>
      </c>
      <c r="E550" s="7" t="s">
        <v>2604</v>
      </c>
      <c r="F550" s="525" t="s">
        <v>2603</v>
      </c>
      <c r="G550" s="97" t="s">
        <v>374</v>
      </c>
      <c r="H550" s="92">
        <v>46101</v>
      </c>
      <c r="I550" s="13">
        <v>8.6728710000000007</v>
      </c>
      <c r="J550" s="13">
        <v>126.08508399999999</v>
      </c>
      <c r="K550" s="13" t="s">
        <v>1815</v>
      </c>
      <c r="L550" s="13" t="s">
        <v>89</v>
      </c>
    </row>
    <row r="551" spans="1:12" ht="12.75">
      <c r="A551" s="6">
        <v>550</v>
      </c>
      <c r="B551" s="4" t="s">
        <v>2601</v>
      </c>
      <c r="C551" s="61" t="s">
        <v>2602</v>
      </c>
      <c r="D551" s="48" t="s">
        <v>1767</v>
      </c>
      <c r="E551" s="7" t="s">
        <v>2606</v>
      </c>
      <c r="F551" s="511"/>
      <c r="G551" s="97" t="s">
        <v>374</v>
      </c>
      <c r="H551" s="92">
        <v>46101</v>
      </c>
      <c r="I551" s="13">
        <v>8.6728710000000007</v>
      </c>
      <c r="J551" s="13">
        <v>126.08508399999999</v>
      </c>
      <c r="K551" s="13" t="s">
        <v>1815</v>
      </c>
      <c r="L551" s="13" t="s">
        <v>89</v>
      </c>
    </row>
    <row r="552" spans="1:12" ht="12.75">
      <c r="A552" s="6">
        <v>551</v>
      </c>
      <c r="B552" s="4" t="s">
        <v>2601</v>
      </c>
      <c r="C552" s="61" t="s">
        <v>2602</v>
      </c>
      <c r="D552" s="48" t="s">
        <v>1767</v>
      </c>
      <c r="E552" s="7" t="s">
        <v>2607</v>
      </c>
      <c r="F552" s="512"/>
      <c r="G552" s="97" t="s">
        <v>374</v>
      </c>
      <c r="H552" s="92">
        <v>46101</v>
      </c>
      <c r="I552" s="13">
        <v>8.6728710000000007</v>
      </c>
      <c r="J552" s="13">
        <v>126.08508399999999</v>
      </c>
      <c r="K552" s="13" t="s">
        <v>1815</v>
      </c>
      <c r="L552" s="13" t="s">
        <v>89</v>
      </c>
    </row>
    <row r="553" spans="1:12" ht="12.75">
      <c r="A553" s="6">
        <v>552</v>
      </c>
      <c r="B553" s="4" t="s">
        <v>2601</v>
      </c>
      <c r="C553" s="61" t="s">
        <v>2609</v>
      </c>
      <c r="D553" s="48" t="s">
        <v>1767</v>
      </c>
      <c r="E553" s="7" t="s">
        <v>2612</v>
      </c>
      <c r="F553" s="525" t="s">
        <v>2610</v>
      </c>
      <c r="G553" s="97" t="s">
        <v>374</v>
      </c>
      <c r="H553" s="92">
        <v>46101</v>
      </c>
      <c r="I553" s="13">
        <v>8.8595881999999992</v>
      </c>
      <c r="J553" s="13">
        <v>126.306595</v>
      </c>
      <c r="K553" s="13" t="s">
        <v>1815</v>
      </c>
      <c r="L553" s="13" t="s">
        <v>89</v>
      </c>
    </row>
    <row r="554" spans="1:12" ht="12.75">
      <c r="A554" s="6">
        <v>553</v>
      </c>
      <c r="B554" s="4" t="s">
        <v>2601</v>
      </c>
      <c r="C554" s="61" t="s">
        <v>2609</v>
      </c>
      <c r="D554" s="48" t="s">
        <v>1767</v>
      </c>
      <c r="E554" s="7" t="s">
        <v>2615</v>
      </c>
      <c r="F554" s="511"/>
      <c r="G554" s="97" t="s">
        <v>374</v>
      </c>
      <c r="H554" s="92">
        <v>46101</v>
      </c>
      <c r="I554" s="13">
        <v>8.8595881999999992</v>
      </c>
      <c r="J554" s="13">
        <v>126.306595</v>
      </c>
      <c r="K554" s="13" t="s">
        <v>1815</v>
      </c>
      <c r="L554" s="13" t="s">
        <v>89</v>
      </c>
    </row>
    <row r="555" spans="1:12" ht="12.75">
      <c r="A555" s="6">
        <v>554</v>
      </c>
      <c r="B555" s="4" t="s">
        <v>2601</v>
      </c>
      <c r="C555" s="61" t="s">
        <v>2609</v>
      </c>
      <c r="D555" s="48" t="s">
        <v>1767</v>
      </c>
      <c r="E555" s="7" t="s">
        <v>2619</v>
      </c>
      <c r="F555" s="512"/>
      <c r="G555" s="97" t="s">
        <v>374</v>
      </c>
      <c r="H555" s="92">
        <v>46101</v>
      </c>
      <c r="I555" s="13">
        <v>8.8595881999999992</v>
      </c>
      <c r="J555" s="13">
        <v>126.306595</v>
      </c>
      <c r="K555" s="13" t="s">
        <v>1815</v>
      </c>
      <c r="L555" s="13" t="s">
        <v>89</v>
      </c>
    </row>
    <row r="556" spans="1:12" ht="12.75">
      <c r="A556" s="6">
        <v>555</v>
      </c>
      <c r="B556" s="4" t="s">
        <v>2601</v>
      </c>
      <c r="C556" s="61" t="s">
        <v>2623</v>
      </c>
      <c r="D556" s="48" t="s">
        <v>1767</v>
      </c>
      <c r="E556" s="7" t="s">
        <v>2628</v>
      </c>
      <c r="F556" s="525" t="s">
        <v>2626</v>
      </c>
      <c r="G556" s="97" t="s">
        <v>374</v>
      </c>
      <c r="H556" s="92">
        <v>46101</v>
      </c>
      <c r="I556" s="13">
        <v>9.2714119999999998</v>
      </c>
      <c r="J556" s="13">
        <v>125.98943</v>
      </c>
      <c r="K556" s="13" t="s">
        <v>1815</v>
      </c>
      <c r="L556" s="13" t="s">
        <v>89</v>
      </c>
    </row>
    <row r="557" spans="1:12" ht="12.75">
      <c r="A557" s="6">
        <v>556</v>
      </c>
      <c r="B557" s="4" t="s">
        <v>2601</v>
      </c>
      <c r="C557" s="61" t="s">
        <v>2623</v>
      </c>
      <c r="D557" s="48" t="s">
        <v>1767</v>
      </c>
      <c r="E557" s="7" t="s">
        <v>2636</v>
      </c>
      <c r="F557" s="511"/>
      <c r="G557" s="97" t="s">
        <v>374</v>
      </c>
      <c r="H557" s="92">
        <v>46101</v>
      </c>
      <c r="I557" s="13">
        <v>9.2714119999999998</v>
      </c>
      <c r="J557" s="13">
        <v>125.98943</v>
      </c>
      <c r="K557" s="13" t="s">
        <v>1815</v>
      </c>
      <c r="L557" s="13" t="s">
        <v>89</v>
      </c>
    </row>
    <row r="558" spans="1:12" ht="12.75">
      <c r="A558" s="6">
        <v>557</v>
      </c>
      <c r="B558" s="4" t="s">
        <v>2601</v>
      </c>
      <c r="C558" s="61" t="s">
        <v>2623</v>
      </c>
      <c r="D558" s="48" t="s">
        <v>1767</v>
      </c>
      <c r="E558" s="7" t="s">
        <v>2641</v>
      </c>
      <c r="F558" s="512"/>
      <c r="G558" s="97" t="s">
        <v>374</v>
      </c>
      <c r="H558" s="92">
        <v>46101</v>
      </c>
      <c r="I558" s="13">
        <v>9.2714119999999998</v>
      </c>
      <c r="J558" s="13">
        <v>125.98943</v>
      </c>
      <c r="K558" s="13" t="s">
        <v>1815</v>
      </c>
      <c r="L558" s="13" t="s">
        <v>89</v>
      </c>
    </row>
    <row r="559" spans="1:12" ht="12.75">
      <c r="A559" s="6">
        <v>558</v>
      </c>
      <c r="B559" s="4" t="s">
        <v>2601</v>
      </c>
      <c r="C559" s="61" t="s">
        <v>2602</v>
      </c>
      <c r="D559" s="48" t="s">
        <v>1767</v>
      </c>
      <c r="E559" s="7" t="s">
        <v>2649</v>
      </c>
      <c r="F559" s="525" t="s">
        <v>2646</v>
      </c>
      <c r="G559" s="97" t="s">
        <v>374</v>
      </c>
      <c r="H559" s="92">
        <v>46101</v>
      </c>
      <c r="I559" s="13">
        <v>9.4155320000000007</v>
      </c>
      <c r="J559" s="13">
        <v>126.003719</v>
      </c>
      <c r="K559" s="13" t="s">
        <v>1815</v>
      </c>
      <c r="L559" s="13" t="s">
        <v>89</v>
      </c>
    </row>
    <row r="560" spans="1:12" ht="12.75">
      <c r="A560" s="6">
        <v>559</v>
      </c>
      <c r="B560" s="4" t="s">
        <v>2601</v>
      </c>
      <c r="C560" s="61" t="s">
        <v>2602</v>
      </c>
      <c r="D560" s="48" t="s">
        <v>1767</v>
      </c>
      <c r="E560" s="7" t="s">
        <v>2653</v>
      </c>
      <c r="F560" s="511"/>
      <c r="G560" s="97" t="s">
        <v>374</v>
      </c>
      <c r="H560" s="92">
        <v>46101</v>
      </c>
      <c r="I560" s="13">
        <v>9.4155320000000007</v>
      </c>
      <c r="J560" s="13">
        <v>126.003719</v>
      </c>
      <c r="K560" s="13" t="s">
        <v>1815</v>
      </c>
      <c r="L560" s="13" t="s">
        <v>89</v>
      </c>
    </row>
    <row r="561" spans="1:12" ht="12.75">
      <c r="A561" s="6">
        <v>560</v>
      </c>
      <c r="B561" s="4" t="s">
        <v>2601</v>
      </c>
      <c r="C561" s="61" t="s">
        <v>2602</v>
      </c>
      <c r="D561" s="48" t="s">
        <v>1767</v>
      </c>
      <c r="E561" s="7" t="s">
        <v>2656</v>
      </c>
      <c r="F561" s="512"/>
      <c r="G561" s="97" t="s">
        <v>374</v>
      </c>
      <c r="H561" s="92">
        <v>46101</v>
      </c>
      <c r="I561" s="13">
        <v>9.4155320000000007</v>
      </c>
      <c r="J561" s="13">
        <v>126.003719</v>
      </c>
      <c r="K561" s="13" t="s">
        <v>1815</v>
      </c>
      <c r="L561" s="13" t="s">
        <v>89</v>
      </c>
    </row>
    <row r="562" spans="1:12" ht="12.75">
      <c r="A562" s="6">
        <v>561</v>
      </c>
      <c r="B562" s="4" t="s">
        <v>2601</v>
      </c>
      <c r="C562" s="61" t="s">
        <v>2623</v>
      </c>
      <c r="D562" s="48" t="s">
        <v>1767</v>
      </c>
      <c r="E562" s="7" t="s">
        <v>2659</v>
      </c>
      <c r="F562" s="525" t="s">
        <v>2657</v>
      </c>
      <c r="G562" s="97" t="s">
        <v>374</v>
      </c>
      <c r="H562" s="92">
        <v>46101</v>
      </c>
      <c r="I562" s="13">
        <v>9.3484400000000001</v>
      </c>
      <c r="J562" s="13">
        <v>125.89825</v>
      </c>
      <c r="K562" s="13" t="s">
        <v>1815</v>
      </c>
      <c r="L562" s="13" t="s">
        <v>89</v>
      </c>
    </row>
    <row r="563" spans="1:12" ht="12.75">
      <c r="A563" s="6">
        <v>562</v>
      </c>
      <c r="B563" s="4" t="s">
        <v>2601</v>
      </c>
      <c r="C563" s="61" t="s">
        <v>2623</v>
      </c>
      <c r="D563" s="48" t="s">
        <v>1767</v>
      </c>
      <c r="E563" s="7" t="s">
        <v>2664</v>
      </c>
      <c r="F563" s="511"/>
      <c r="G563" s="97" t="s">
        <v>374</v>
      </c>
      <c r="H563" s="92">
        <v>46101</v>
      </c>
      <c r="I563" s="13">
        <v>9.3484400000000001</v>
      </c>
      <c r="J563" s="13">
        <v>125.89825</v>
      </c>
      <c r="K563" s="13" t="s">
        <v>1815</v>
      </c>
      <c r="L563" s="13" t="s">
        <v>89</v>
      </c>
    </row>
    <row r="564" spans="1:12" ht="12.75">
      <c r="A564" s="6">
        <v>563</v>
      </c>
      <c r="B564" s="4" t="s">
        <v>2601</v>
      </c>
      <c r="C564" s="61" t="s">
        <v>2623</v>
      </c>
      <c r="D564" s="48" t="s">
        <v>1767</v>
      </c>
      <c r="E564" s="7" t="s">
        <v>2666</v>
      </c>
      <c r="F564" s="512"/>
      <c r="G564" s="97" t="s">
        <v>374</v>
      </c>
      <c r="H564" s="92">
        <v>46101</v>
      </c>
      <c r="I564" s="13">
        <v>9.3484400000000001</v>
      </c>
      <c r="J564" s="13">
        <v>125.89825</v>
      </c>
      <c r="K564" s="13" t="s">
        <v>1815</v>
      </c>
      <c r="L564" s="13" t="s">
        <v>89</v>
      </c>
    </row>
    <row r="565" spans="1:12" ht="12.75">
      <c r="A565" s="6">
        <v>564</v>
      </c>
      <c r="B565" s="4" t="s">
        <v>2601</v>
      </c>
      <c r="C565" s="61" t="s">
        <v>2669</v>
      </c>
      <c r="D565" s="48" t="s">
        <v>1767</v>
      </c>
      <c r="E565" s="7" t="s">
        <v>2672</v>
      </c>
      <c r="F565" s="525" t="s">
        <v>2671</v>
      </c>
      <c r="G565" s="97" t="s">
        <v>207</v>
      </c>
      <c r="H565" s="92">
        <v>46101</v>
      </c>
      <c r="I565" s="13">
        <v>9.2169319489999992</v>
      </c>
      <c r="J565" s="13">
        <v>125.96694599999999</v>
      </c>
      <c r="K565" s="13" t="s">
        <v>1815</v>
      </c>
      <c r="L565" s="13" t="s">
        <v>89</v>
      </c>
    </row>
    <row r="566" spans="1:12" ht="12.75">
      <c r="A566" s="6">
        <v>565</v>
      </c>
      <c r="B566" s="4" t="s">
        <v>2601</v>
      </c>
      <c r="C566" s="61" t="s">
        <v>2669</v>
      </c>
      <c r="D566" s="48" t="s">
        <v>1767</v>
      </c>
      <c r="E566" s="7" t="s">
        <v>2677</v>
      </c>
      <c r="F566" s="511"/>
      <c r="G566" s="97" t="s">
        <v>207</v>
      </c>
      <c r="H566" s="92">
        <v>46101</v>
      </c>
      <c r="I566" s="13">
        <v>9.2169319489999992</v>
      </c>
      <c r="J566" s="13">
        <v>125.96694599999999</v>
      </c>
      <c r="K566" s="13" t="s">
        <v>1815</v>
      </c>
      <c r="L566" s="13" t="s">
        <v>89</v>
      </c>
    </row>
    <row r="567" spans="1:12" ht="12.75">
      <c r="A567" s="6">
        <v>566</v>
      </c>
      <c r="B567" s="4" t="s">
        <v>2601</v>
      </c>
      <c r="C567" s="61" t="s">
        <v>2669</v>
      </c>
      <c r="D567" s="48" t="s">
        <v>1767</v>
      </c>
      <c r="E567" s="7" t="s">
        <v>2679</v>
      </c>
      <c r="F567" s="512"/>
      <c r="G567" s="97" t="s">
        <v>207</v>
      </c>
      <c r="H567" s="92">
        <v>46101</v>
      </c>
      <c r="I567" s="13">
        <v>9.2169319489999992</v>
      </c>
      <c r="J567" s="13">
        <v>125.96694599999999</v>
      </c>
      <c r="K567" s="13" t="s">
        <v>1815</v>
      </c>
      <c r="L567" s="13" t="s">
        <v>89</v>
      </c>
    </row>
    <row r="568" spans="1:12" ht="12.75">
      <c r="A568" s="6">
        <v>567</v>
      </c>
      <c r="B568" s="4" t="s">
        <v>325</v>
      </c>
      <c r="C568" s="61" t="s">
        <v>2703</v>
      </c>
      <c r="D568" s="48" t="s">
        <v>1767</v>
      </c>
      <c r="E568" s="7" t="s">
        <v>2707</v>
      </c>
      <c r="F568" s="525" t="s">
        <v>2705</v>
      </c>
      <c r="G568" s="97" t="s">
        <v>374</v>
      </c>
      <c r="H568" s="92">
        <v>46101</v>
      </c>
      <c r="I568" s="13">
        <v>7.9905094999999999</v>
      </c>
      <c r="J568" s="13">
        <v>126.439459</v>
      </c>
      <c r="K568" s="13" t="s">
        <v>1815</v>
      </c>
      <c r="L568" s="13" t="s">
        <v>89</v>
      </c>
    </row>
    <row r="569" spans="1:12" ht="12.75">
      <c r="A569" s="6">
        <v>568</v>
      </c>
      <c r="B569" s="4" t="s">
        <v>325</v>
      </c>
      <c r="C569" s="61" t="s">
        <v>2703</v>
      </c>
      <c r="D569" s="48" t="s">
        <v>1767</v>
      </c>
      <c r="E569" s="7" t="s">
        <v>2713</v>
      </c>
      <c r="F569" s="511"/>
      <c r="G569" s="97" t="s">
        <v>374</v>
      </c>
      <c r="H569" s="92">
        <v>46101</v>
      </c>
      <c r="I569" s="13">
        <v>7.9905094999999999</v>
      </c>
      <c r="J569" s="13">
        <v>126.439459</v>
      </c>
      <c r="K569" s="13" t="s">
        <v>1815</v>
      </c>
      <c r="L569" s="13" t="s">
        <v>89</v>
      </c>
    </row>
    <row r="570" spans="1:12" ht="12.75">
      <c r="A570" s="6">
        <v>569</v>
      </c>
      <c r="B570" s="4" t="s">
        <v>325</v>
      </c>
      <c r="C570" s="61" t="s">
        <v>2703</v>
      </c>
      <c r="D570" s="48" t="s">
        <v>1767</v>
      </c>
      <c r="E570" s="7" t="s">
        <v>2716</v>
      </c>
      <c r="F570" s="512"/>
      <c r="G570" s="97" t="s">
        <v>374</v>
      </c>
      <c r="H570" s="92">
        <v>46101</v>
      </c>
      <c r="I570" s="13">
        <v>7.9905094999999999</v>
      </c>
      <c r="J570" s="13">
        <v>126.439459</v>
      </c>
      <c r="K570" s="13" t="s">
        <v>1815</v>
      </c>
      <c r="L570" s="13" t="s">
        <v>89</v>
      </c>
    </row>
    <row r="571" spans="1:12" ht="12.75">
      <c r="A571" s="6">
        <v>570</v>
      </c>
      <c r="B571" s="16" t="s">
        <v>268</v>
      </c>
      <c r="C571" s="16" t="s">
        <v>40</v>
      </c>
      <c r="D571" s="48" t="s">
        <v>1767</v>
      </c>
      <c r="E571" s="102" t="s">
        <v>1437</v>
      </c>
      <c r="F571" s="538" t="s">
        <v>1437</v>
      </c>
      <c r="G571" s="16" t="s">
        <v>553</v>
      </c>
      <c r="H571" s="92">
        <v>46127</v>
      </c>
      <c r="I571" s="16">
        <v>9.7844300000000004</v>
      </c>
      <c r="J571" s="16">
        <v>125.49003</v>
      </c>
      <c r="K571" s="13" t="s">
        <v>1695</v>
      </c>
      <c r="L571" s="13" t="s">
        <v>89</v>
      </c>
    </row>
    <row r="572" spans="1:12" ht="12.75">
      <c r="A572" s="6">
        <v>571</v>
      </c>
      <c r="B572" s="16" t="s">
        <v>268</v>
      </c>
      <c r="C572" s="16" t="s">
        <v>40</v>
      </c>
      <c r="D572" s="48" t="s">
        <v>1767</v>
      </c>
      <c r="E572" s="102" t="s">
        <v>1437</v>
      </c>
      <c r="F572" s="511"/>
      <c r="G572" s="16" t="s">
        <v>553</v>
      </c>
      <c r="H572" s="92">
        <v>46127</v>
      </c>
      <c r="I572" s="16">
        <v>9.7844300000000004</v>
      </c>
      <c r="J572" s="16">
        <v>125.49003</v>
      </c>
      <c r="K572" s="13" t="s">
        <v>1695</v>
      </c>
      <c r="L572" s="13" t="s">
        <v>89</v>
      </c>
    </row>
    <row r="573" spans="1:12" ht="12.75">
      <c r="A573" s="6">
        <v>572</v>
      </c>
      <c r="B573" s="16" t="s">
        <v>268</v>
      </c>
      <c r="C573" s="16" t="s">
        <v>40</v>
      </c>
      <c r="D573" s="48" t="s">
        <v>1767</v>
      </c>
      <c r="E573" s="102" t="s">
        <v>1437</v>
      </c>
      <c r="F573" s="512"/>
      <c r="G573" s="16" t="s">
        <v>553</v>
      </c>
      <c r="H573" s="92">
        <v>46127</v>
      </c>
      <c r="I573" s="16">
        <v>9.7844300000000004</v>
      </c>
      <c r="J573" s="16">
        <v>125.49003</v>
      </c>
      <c r="K573" s="13" t="s">
        <v>1695</v>
      </c>
      <c r="L573" s="13" t="s">
        <v>89</v>
      </c>
    </row>
    <row r="574" spans="1:12" ht="12.75">
      <c r="A574" s="6">
        <v>573</v>
      </c>
      <c r="B574" s="16" t="s">
        <v>81</v>
      </c>
      <c r="C574" s="16" t="s">
        <v>141</v>
      </c>
      <c r="D574" s="6" t="s">
        <v>2119</v>
      </c>
      <c r="E574" s="102" t="s">
        <v>1439</v>
      </c>
      <c r="F574" s="538" t="s">
        <v>1439</v>
      </c>
      <c r="G574" s="16" t="s">
        <v>553</v>
      </c>
      <c r="H574" s="92">
        <v>46127</v>
      </c>
      <c r="I574" s="16">
        <v>9.87148</v>
      </c>
      <c r="J574" s="16">
        <v>125.97338999999999</v>
      </c>
      <c r="K574" s="13" t="s">
        <v>1695</v>
      </c>
      <c r="L574" s="13" t="s">
        <v>89</v>
      </c>
    </row>
    <row r="575" spans="1:12" ht="12.75">
      <c r="A575" s="6">
        <v>574</v>
      </c>
      <c r="B575" s="16" t="s">
        <v>81</v>
      </c>
      <c r="C575" s="16" t="s">
        <v>141</v>
      </c>
      <c r="D575" s="6" t="s">
        <v>2119</v>
      </c>
      <c r="E575" s="102" t="s">
        <v>1439</v>
      </c>
      <c r="F575" s="511"/>
      <c r="G575" s="16" t="s">
        <v>553</v>
      </c>
      <c r="H575" s="92">
        <v>46127</v>
      </c>
      <c r="I575" s="16">
        <v>9.87148</v>
      </c>
      <c r="J575" s="16">
        <v>125.97338999999999</v>
      </c>
      <c r="K575" s="13" t="s">
        <v>1695</v>
      </c>
      <c r="L575" s="13" t="s">
        <v>89</v>
      </c>
    </row>
    <row r="576" spans="1:12" ht="12.75">
      <c r="A576" s="6">
        <v>575</v>
      </c>
      <c r="B576" s="16" t="s">
        <v>81</v>
      </c>
      <c r="C576" s="16" t="s">
        <v>141</v>
      </c>
      <c r="D576" s="6" t="s">
        <v>2119</v>
      </c>
      <c r="E576" s="102" t="s">
        <v>1439</v>
      </c>
      <c r="F576" s="512"/>
      <c r="G576" s="16" t="s">
        <v>553</v>
      </c>
      <c r="H576" s="92">
        <v>46127</v>
      </c>
      <c r="I576" s="16">
        <v>9.87148</v>
      </c>
      <c r="J576" s="16">
        <v>125.97338999999999</v>
      </c>
      <c r="K576" s="13" t="s">
        <v>1695</v>
      </c>
      <c r="L576" s="13" t="s">
        <v>89</v>
      </c>
    </row>
    <row r="577" spans="1:12" ht="12.75">
      <c r="A577" s="6">
        <v>576</v>
      </c>
      <c r="B577" s="16" t="s">
        <v>167</v>
      </c>
      <c r="C577" s="16" t="s">
        <v>140</v>
      </c>
      <c r="D577" s="48" t="s">
        <v>1767</v>
      </c>
      <c r="E577" s="102" t="s">
        <v>1440</v>
      </c>
      <c r="F577" s="538" t="s">
        <v>1440</v>
      </c>
      <c r="G577" s="16" t="s">
        <v>553</v>
      </c>
      <c r="H577" s="92">
        <v>46127</v>
      </c>
      <c r="I577" s="16">
        <v>9.5601299999999991</v>
      </c>
      <c r="J577" s="16">
        <v>125.68634</v>
      </c>
      <c r="K577" s="13" t="s">
        <v>1695</v>
      </c>
      <c r="L577" s="13" t="s">
        <v>89</v>
      </c>
    </row>
    <row r="578" spans="1:12" ht="12.75">
      <c r="A578" s="6">
        <v>577</v>
      </c>
      <c r="B578" s="16" t="s">
        <v>167</v>
      </c>
      <c r="C578" s="16" t="s">
        <v>140</v>
      </c>
      <c r="D578" s="48" t="s">
        <v>1767</v>
      </c>
      <c r="E578" s="102" t="s">
        <v>1440</v>
      </c>
      <c r="F578" s="511"/>
      <c r="G578" s="16" t="s">
        <v>553</v>
      </c>
      <c r="H578" s="92">
        <v>46127</v>
      </c>
      <c r="I578" s="16">
        <v>9.5601299999999991</v>
      </c>
      <c r="J578" s="16">
        <v>125.68634</v>
      </c>
      <c r="K578" s="13" t="s">
        <v>1695</v>
      </c>
      <c r="L578" s="13" t="s">
        <v>89</v>
      </c>
    </row>
    <row r="579" spans="1:12" ht="12.75">
      <c r="A579" s="6">
        <v>578</v>
      </c>
      <c r="B579" s="16" t="s">
        <v>167</v>
      </c>
      <c r="C579" s="16" t="s">
        <v>140</v>
      </c>
      <c r="D579" s="48" t="s">
        <v>1767</v>
      </c>
      <c r="E579" s="102" t="s">
        <v>1440</v>
      </c>
      <c r="F579" s="512"/>
      <c r="G579" s="16" t="s">
        <v>553</v>
      </c>
      <c r="H579" s="92">
        <v>46127</v>
      </c>
      <c r="I579" s="16">
        <v>9.5601299999999991</v>
      </c>
      <c r="J579" s="16">
        <v>125.68634</v>
      </c>
      <c r="K579" s="13" t="s">
        <v>1695</v>
      </c>
      <c r="L579" s="13" t="s">
        <v>89</v>
      </c>
    </row>
    <row r="580" spans="1:12" ht="12.75">
      <c r="A580" s="6">
        <v>579</v>
      </c>
      <c r="B580" s="16" t="s">
        <v>198</v>
      </c>
      <c r="C580" s="16" t="s">
        <v>327</v>
      </c>
      <c r="D580" s="48" t="s">
        <v>1767</v>
      </c>
      <c r="E580" s="102" t="s">
        <v>1441</v>
      </c>
      <c r="F580" s="538" t="s">
        <v>1441</v>
      </c>
      <c r="G580" s="16" t="s">
        <v>553</v>
      </c>
      <c r="H580" s="92">
        <v>46127</v>
      </c>
      <c r="I580" s="16">
        <v>9.5401100000000003</v>
      </c>
      <c r="J580" s="16">
        <v>125.52427</v>
      </c>
      <c r="K580" s="13" t="s">
        <v>1695</v>
      </c>
      <c r="L580" s="13" t="s">
        <v>89</v>
      </c>
    </row>
    <row r="581" spans="1:12" ht="12.75">
      <c r="A581" s="6">
        <v>580</v>
      </c>
      <c r="B581" s="16" t="s">
        <v>198</v>
      </c>
      <c r="C581" s="16" t="s">
        <v>327</v>
      </c>
      <c r="D581" s="48" t="s">
        <v>1767</v>
      </c>
      <c r="E581" s="102" t="s">
        <v>1441</v>
      </c>
      <c r="F581" s="511"/>
      <c r="G581" s="16" t="s">
        <v>553</v>
      </c>
      <c r="H581" s="92">
        <v>46127</v>
      </c>
      <c r="I581" s="16">
        <v>9.5401100000000003</v>
      </c>
      <c r="J581" s="16">
        <v>125.52427</v>
      </c>
      <c r="K581" s="13" t="s">
        <v>1695</v>
      </c>
      <c r="L581" s="13" t="s">
        <v>89</v>
      </c>
    </row>
    <row r="582" spans="1:12" ht="12.75">
      <c r="A582" s="6">
        <v>581</v>
      </c>
      <c r="B582" s="16" t="s">
        <v>198</v>
      </c>
      <c r="C582" s="16" t="s">
        <v>327</v>
      </c>
      <c r="D582" s="48" t="s">
        <v>1767</v>
      </c>
      <c r="E582" s="102" t="s">
        <v>1441</v>
      </c>
      <c r="F582" s="512"/>
      <c r="G582" s="16" t="s">
        <v>553</v>
      </c>
      <c r="H582" s="92">
        <v>46127</v>
      </c>
      <c r="I582" s="16">
        <v>9.5401100000000003</v>
      </c>
      <c r="J582" s="16">
        <v>125.52427</v>
      </c>
      <c r="K582" s="13" t="s">
        <v>1695</v>
      </c>
      <c r="L582" s="13" t="s">
        <v>89</v>
      </c>
    </row>
    <row r="583" spans="1:12" ht="12.75">
      <c r="A583" s="6">
        <v>582</v>
      </c>
      <c r="B583" s="16" t="s">
        <v>79</v>
      </c>
      <c r="C583" s="16" t="s">
        <v>191</v>
      </c>
      <c r="D583" s="6" t="s">
        <v>2119</v>
      </c>
      <c r="E583" s="102" t="s">
        <v>2797</v>
      </c>
      <c r="F583" s="538" t="s">
        <v>2797</v>
      </c>
      <c r="G583" s="16" t="s">
        <v>553</v>
      </c>
      <c r="H583" s="92">
        <v>46127</v>
      </c>
      <c r="I583" s="16">
        <v>9.7926300000000008</v>
      </c>
      <c r="J583" s="16">
        <v>126.15622999999999</v>
      </c>
      <c r="K583" s="13" t="s">
        <v>1695</v>
      </c>
      <c r="L583" s="13" t="s">
        <v>89</v>
      </c>
    </row>
    <row r="584" spans="1:12" ht="12.75">
      <c r="A584" s="6">
        <v>583</v>
      </c>
      <c r="B584" s="16" t="s">
        <v>79</v>
      </c>
      <c r="C584" s="16" t="s">
        <v>191</v>
      </c>
      <c r="D584" s="6" t="s">
        <v>2119</v>
      </c>
      <c r="E584" s="102" t="s">
        <v>2797</v>
      </c>
      <c r="F584" s="511"/>
      <c r="G584" s="16" t="s">
        <v>553</v>
      </c>
      <c r="H584" s="92">
        <v>46127</v>
      </c>
      <c r="I584" s="16">
        <v>9.7926300000000008</v>
      </c>
      <c r="J584" s="16">
        <v>126.15622999999999</v>
      </c>
      <c r="K584" s="13" t="s">
        <v>1695</v>
      </c>
      <c r="L584" s="13" t="s">
        <v>89</v>
      </c>
    </row>
    <row r="585" spans="1:12" ht="12.75">
      <c r="A585" s="6">
        <v>584</v>
      </c>
      <c r="B585" s="16" t="s">
        <v>79</v>
      </c>
      <c r="C585" s="16" t="s">
        <v>191</v>
      </c>
      <c r="D585" s="6" t="s">
        <v>2119</v>
      </c>
      <c r="E585" s="102" t="s">
        <v>2797</v>
      </c>
      <c r="F585" s="512"/>
      <c r="G585" s="16" t="s">
        <v>553</v>
      </c>
      <c r="H585" s="92">
        <v>46127</v>
      </c>
      <c r="I585" s="16">
        <v>9.7926300000000008</v>
      </c>
      <c r="J585" s="16">
        <v>126.15622999999999</v>
      </c>
      <c r="K585" s="13" t="s">
        <v>1695</v>
      </c>
      <c r="L585" s="13" t="s">
        <v>89</v>
      </c>
    </row>
    <row r="586" spans="1:12" ht="12.75">
      <c r="A586" s="6">
        <v>585</v>
      </c>
      <c r="B586" s="16" t="s">
        <v>176</v>
      </c>
      <c r="C586" s="16" t="s">
        <v>82</v>
      </c>
      <c r="D586" s="6" t="s">
        <v>2119</v>
      </c>
      <c r="E586" s="102" t="s">
        <v>1444</v>
      </c>
      <c r="F586" s="538" t="s">
        <v>1444</v>
      </c>
      <c r="G586" s="16" t="s">
        <v>553</v>
      </c>
      <c r="H586" s="92">
        <v>46127</v>
      </c>
      <c r="I586" s="16">
        <v>10.019209999999999</v>
      </c>
      <c r="J586" s="16">
        <v>126.03989</v>
      </c>
      <c r="K586" s="13" t="s">
        <v>1695</v>
      </c>
      <c r="L586" s="13" t="s">
        <v>89</v>
      </c>
    </row>
    <row r="587" spans="1:12" ht="12.75">
      <c r="A587" s="6">
        <v>586</v>
      </c>
      <c r="B587" s="16" t="s">
        <v>176</v>
      </c>
      <c r="C587" s="16" t="s">
        <v>82</v>
      </c>
      <c r="D587" s="6" t="s">
        <v>2119</v>
      </c>
      <c r="E587" s="102" t="s">
        <v>1444</v>
      </c>
      <c r="F587" s="511"/>
      <c r="G587" s="16" t="s">
        <v>553</v>
      </c>
      <c r="H587" s="92">
        <v>46127</v>
      </c>
      <c r="I587" s="16">
        <v>10.019209999999999</v>
      </c>
      <c r="J587" s="16">
        <v>126.03989</v>
      </c>
      <c r="K587" s="13" t="s">
        <v>1695</v>
      </c>
      <c r="L587" s="13" t="s">
        <v>89</v>
      </c>
    </row>
    <row r="588" spans="1:12" ht="12.75">
      <c r="A588" s="6">
        <v>587</v>
      </c>
      <c r="B588" s="16" t="s">
        <v>176</v>
      </c>
      <c r="C588" s="16" t="s">
        <v>82</v>
      </c>
      <c r="D588" s="6" t="s">
        <v>2119</v>
      </c>
      <c r="E588" s="102" t="s">
        <v>1444</v>
      </c>
      <c r="F588" s="512"/>
      <c r="G588" s="16" t="s">
        <v>553</v>
      </c>
      <c r="H588" s="92">
        <v>46127</v>
      </c>
      <c r="I588" s="16">
        <v>10.019209999999999</v>
      </c>
      <c r="J588" s="16">
        <v>126.03989</v>
      </c>
      <c r="K588" s="13" t="s">
        <v>1695</v>
      </c>
      <c r="L588" s="13" t="s">
        <v>89</v>
      </c>
    </row>
    <row r="589" spans="1:12" ht="12.75">
      <c r="A589" s="64"/>
      <c r="B589" s="64"/>
      <c r="C589" s="64"/>
      <c r="D589" s="65"/>
      <c r="E589" s="64"/>
      <c r="F589" s="64"/>
      <c r="G589" s="64"/>
    </row>
    <row r="590" spans="1:12" ht="12.75">
      <c r="A590" s="64"/>
      <c r="B590" s="64"/>
      <c r="C590" s="64"/>
      <c r="D590" s="65"/>
      <c r="E590" s="64"/>
      <c r="F590" s="64"/>
      <c r="G590" s="64"/>
    </row>
    <row r="591" spans="1:12" ht="12.75">
      <c r="A591" s="64"/>
      <c r="B591" s="64"/>
      <c r="C591" s="64"/>
      <c r="D591" s="65"/>
      <c r="E591" s="64"/>
      <c r="F591" s="64"/>
      <c r="G591" s="64"/>
    </row>
    <row r="592" spans="1:12" ht="12.75">
      <c r="A592" s="64"/>
      <c r="B592" s="64"/>
      <c r="C592" s="64"/>
      <c r="D592" s="65"/>
      <c r="E592" s="64"/>
      <c r="F592" s="64"/>
      <c r="G592" s="64"/>
    </row>
    <row r="593" spans="1:7" ht="12.75">
      <c r="A593" s="64"/>
      <c r="B593" s="64"/>
      <c r="C593" s="64"/>
      <c r="D593" s="65"/>
      <c r="E593" s="64"/>
      <c r="F593" s="64"/>
      <c r="G593" s="64"/>
    </row>
    <row r="594" spans="1:7" ht="12.75">
      <c r="A594" s="64"/>
      <c r="B594" s="64"/>
      <c r="C594" s="64"/>
      <c r="D594" s="65"/>
      <c r="E594" s="64"/>
      <c r="F594" s="64"/>
      <c r="G594" s="64"/>
    </row>
    <row r="595" spans="1:7" ht="12.75">
      <c r="A595" s="64"/>
      <c r="B595" s="64"/>
      <c r="C595" s="64"/>
      <c r="D595" s="65"/>
      <c r="E595" s="64"/>
      <c r="F595" s="64"/>
      <c r="G595" s="64"/>
    </row>
    <row r="596" spans="1:7" ht="12.75">
      <c r="A596" s="64"/>
      <c r="B596" s="64"/>
      <c r="C596" s="64"/>
      <c r="D596" s="65"/>
      <c r="E596" s="64"/>
      <c r="F596" s="64"/>
      <c r="G596" s="64"/>
    </row>
    <row r="597" spans="1:7" ht="12.75">
      <c r="A597" s="64"/>
      <c r="B597" s="64"/>
      <c r="C597" s="64"/>
      <c r="D597" s="65"/>
      <c r="E597" s="64"/>
      <c r="F597" s="64"/>
      <c r="G597" s="64"/>
    </row>
    <row r="598" spans="1:7" ht="12.75">
      <c r="A598" s="64"/>
      <c r="B598" s="64"/>
      <c r="C598" s="64"/>
      <c r="D598" s="65"/>
      <c r="E598" s="64"/>
      <c r="F598" s="64"/>
      <c r="G598" s="64"/>
    </row>
    <row r="599" spans="1:7" ht="12.75">
      <c r="A599" s="64"/>
      <c r="B599" s="64"/>
      <c r="C599" s="64"/>
      <c r="D599" s="65"/>
      <c r="E599" s="64"/>
      <c r="F599" s="64"/>
      <c r="G599" s="64"/>
    </row>
    <row r="600" spans="1:7" ht="12.75">
      <c r="A600" s="64"/>
      <c r="B600" s="64"/>
      <c r="C600" s="64"/>
      <c r="D600" s="65"/>
      <c r="E600" s="64"/>
      <c r="F600" s="64"/>
      <c r="G600" s="64"/>
    </row>
    <row r="601" spans="1:7" ht="12.75">
      <c r="A601" s="64"/>
      <c r="B601" s="64"/>
      <c r="C601" s="64"/>
      <c r="D601" s="65"/>
      <c r="E601" s="64"/>
      <c r="F601" s="64"/>
      <c r="G601" s="64"/>
    </row>
    <row r="602" spans="1:7" ht="12.75">
      <c r="A602" s="64"/>
      <c r="B602" s="64"/>
      <c r="C602" s="64"/>
      <c r="D602" s="65"/>
      <c r="E602" s="64"/>
      <c r="F602" s="64"/>
      <c r="G602" s="64"/>
    </row>
    <row r="603" spans="1:7" ht="12.75">
      <c r="A603" s="64"/>
      <c r="B603" s="64"/>
      <c r="C603" s="64"/>
      <c r="D603" s="65"/>
      <c r="E603" s="64"/>
      <c r="F603" s="64"/>
      <c r="G603" s="64"/>
    </row>
    <row r="604" spans="1:7" ht="12.75">
      <c r="A604" s="64"/>
      <c r="B604" s="64"/>
      <c r="C604" s="64"/>
      <c r="D604" s="65"/>
      <c r="E604" s="64"/>
      <c r="F604" s="64"/>
      <c r="G604" s="64"/>
    </row>
    <row r="605" spans="1:7" ht="12.75">
      <c r="A605" s="64"/>
      <c r="B605" s="64"/>
      <c r="C605" s="64"/>
      <c r="D605" s="65"/>
      <c r="E605" s="64"/>
      <c r="F605" s="64"/>
      <c r="G605" s="64"/>
    </row>
    <row r="606" spans="1:7" ht="12.75">
      <c r="A606" s="64"/>
      <c r="B606" s="64"/>
      <c r="C606" s="64"/>
      <c r="D606" s="65"/>
      <c r="E606" s="64"/>
      <c r="F606" s="64"/>
      <c r="G606" s="64"/>
    </row>
    <row r="607" spans="1:7" ht="12.75">
      <c r="A607" s="64"/>
      <c r="B607" s="64"/>
      <c r="C607" s="64"/>
      <c r="D607" s="65"/>
      <c r="E607" s="64"/>
      <c r="F607" s="64"/>
      <c r="G607" s="64"/>
    </row>
    <row r="608" spans="1:7" ht="12.75">
      <c r="A608" s="64"/>
      <c r="B608" s="64"/>
      <c r="C608" s="64"/>
      <c r="D608" s="65"/>
      <c r="E608" s="64"/>
      <c r="F608" s="64"/>
      <c r="G608" s="64"/>
    </row>
    <row r="609" spans="1:7" ht="12.75">
      <c r="A609" s="64"/>
      <c r="B609" s="64"/>
      <c r="C609" s="64"/>
      <c r="D609" s="65"/>
      <c r="E609" s="64"/>
      <c r="F609" s="64"/>
      <c r="G609" s="64"/>
    </row>
    <row r="610" spans="1:7" ht="12.75">
      <c r="A610" s="64"/>
      <c r="B610" s="64"/>
      <c r="C610" s="64"/>
      <c r="D610" s="65"/>
      <c r="E610" s="64"/>
      <c r="F610" s="64"/>
      <c r="G610" s="64"/>
    </row>
    <row r="611" spans="1:7" ht="12.75">
      <c r="A611" s="64"/>
      <c r="B611" s="64"/>
      <c r="C611" s="64"/>
      <c r="D611" s="65"/>
      <c r="E611" s="64"/>
      <c r="F611" s="64"/>
      <c r="G611" s="64"/>
    </row>
    <row r="612" spans="1:7" ht="12.75">
      <c r="A612" s="64"/>
      <c r="B612" s="64"/>
      <c r="C612" s="64"/>
      <c r="D612" s="65"/>
      <c r="E612" s="64"/>
      <c r="F612" s="64"/>
      <c r="G612" s="64"/>
    </row>
    <row r="613" spans="1:7" ht="12.75">
      <c r="A613" s="64"/>
      <c r="B613" s="64"/>
      <c r="C613" s="64"/>
      <c r="D613" s="65"/>
      <c r="E613" s="64"/>
      <c r="F613" s="64"/>
      <c r="G613" s="64"/>
    </row>
    <row r="614" spans="1:7" ht="12.75">
      <c r="A614" s="64"/>
      <c r="B614" s="64"/>
      <c r="C614" s="64"/>
      <c r="D614" s="65"/>
      <c r="E614" s="64"/>
      <c r="F614" s="64"/>
      <c r="G614" s="64"/>
    </row>
    <row r="615" spans="1:7" ht="12.75">
      <c r="A615" s="64"/>
      <c r="B615" s="64"/>
      <c r="C615" s="64"/>
      <c r="D615" s="65"/>
      <c r="E615" s="64"/>
      <c r="F615" s="64"/>
      <c r="G615" s="64"/>
    </row>
    <row r="616" spans="1:7" ht="12.75">
      <c r="A616" s="64"/>
      <c r="B616" s="64"/>
      <c r="C616" s="64"/>
      <c r="D616" s="65"/>
      <c r="E616" s="64"/>
      <c r="F616" s="64"/>
      <c r="G616" s="64"/>
    </row>
    <row r="617" spans="1:7" ht="12.75">
      <c r="A617" s="64"/>
      <c r="B617" s="64"/>
      <c r="C617" s="64"/>
      <c r="D617" s="65"/>
      <c r="E617" s="64"/>
      <c r="F617" s="64"/>
      <c r="G617" s="64"/>
    </row>
    <row r="618" spans="1:7" ht="12.75">
      <c r="A618" s="64"/>
      <c r="B618" s="64"/>
      <c r="C618" s="64"/>
      <c r="D618" s="65"/>
      <c r="E618" s="64"/>
      <c r="F618" s="64"/>
      <c r="G618" s="64"/>
    </row>
    <row r="619" spans="1:7" ht="12.75">
      <c r="A619" s="64"/>
      <c r="B619" s="64"/>
      <c r="C619" s="64"/>
      <c r="D619" s="65"/>
      <c r="E619" s="64"/>
      <c r="F619" s="64"/>
      <c r="G619" s="64"/>
    </row>
    <row r="620" spans="1:7" ht="12.75">
      <c r="A620" s="64"/>
      <c r="B620" s="64"/>
      <c r="C620" s="64"/>
      <c r="D620" s="65"/>
      <c r="E620" s="64"/>
      <c r="F620" s="64"/>
      <c r="G620" s="64"/>
    </row>
    <row r="621" spans="1:7" ht="12.75">
      <c r="A621" s="64"/>
      <c r="B621" s="64"/>
      <c r="C621" s="64"/>
      <c r="D621" s="65"/>
      <c r="E621" s="64"/>
      <c r="F621" s="64"/>
      <c r="G621" s="64"/>
    </row>
    <row r="622" spans="1:7" ht="12.75">
      <c r="A622" s="64"/>
      <c r="B622" s="64"/>
      <c r="C622" s="64"/>
      <c r="D622" s="65"/>
      <c r="E622" s="64"/>
      <c r="F622" s="64"/>
      <c r="G622" s="64"/>
    </row>
    <row r="623" spans="1:7" ht="12.75">
      <c r="A623" s="64"/>
      <c r="B623" s="64"/>
      <c r="C623" s="64"/>
      <c r="D623" s="65"/>
      <c r="E623" s="64"/>
      <c r="F623" s="64"/>
      <c r="G623" s="64"/>
    </row>
    <row r="624" spans="1:7" ht="12.75">
      <c r="A624" s="64"/>
      <c r="B624" s="64"/>
      <c r="C624" s="64"/>
      <c r="D624" s="65"/>
      <c r="E624" s="64"/>
      <c r="F624" s="64"/>
      <c r="G624" s="64"/>
    </row>
    <row r="625" spans="1:7" ht="12.75">
      <c r="A625" s="64"/>
      <c r="B625" s="64"/>
      <c r="C625" s="64"/>
      <c r="D625" s="65"/>
      <c r="E625" s="64"/>
      <c r="F625" s="64"/>
      <c r="G625" s="64"/>
    </row>
    <row r="626" spans="1:7" ht="12.75">
      <c r="A626" s="64"/>
      <c r="B626" s="64"/>
      <c r="C626" s="64"/>
      <c r="D626" s="65"/>
      <c r="E626" s="64"/>
      <c r="F626" s="64"/>
      <c r="G626" s="64"/>
    </row>
    <row r="627" spans="1:7" ht="12.75">
      <c r="A627" s="64"/>
      <c r="B627" s="64"/>
      <c r="C627" s="64"/>
      <c r="D627" s="65"/>
      <c r="E627" s="64"/>
      <c r="F627" s="64"/>
      <c r="G627" s="64"/>
    </row>
    <row r="628" spans="1:7" ht="12.75">
      <c r="A628" s="64"/>
      <c r="B628" s="64"/>
      <c r="C628" s="64"/>
      <c r="D628" s="65"/>
      <c r="E628" s="64"/>
      <c r="F628" s="64"/>
      <c r="G628" s="64"/>
    </row>
    <row r="629" spans="1:7" ht="12.75">
      <c r="A629" s="64"/>
      <c r="B629" s="64"/>
      <c r="C629" s="64"/>
      <c r="D629" s="65"/>
      <c r="E629" s="64"/>
      <c r="F629" s="64"/>
      <c r="G629" s="64"/>
    </row>
    <row r="630" spans="1:7" ht="12.75">
      <c r="A630" s="64"/>
      <c r="B630" s="64"/>
      <c r="C630" s="64"/>
      <c r="D630" s="65"/>
      <c r="E630" s="64"/>
      <c r="F630" s="64"/>
      <c r="G630" s="64"/>
    </row>
    <row r="631" spans="1:7" ht="12.75">
      <c r="A631" s="64"/>
      <c r="B631" s="64"/>
      <c r="C631" s="64"/>
      <c r="D631" s="65"/>
      <c r="E631" s="64"/>
      <c r="F631" s="64"/>
      <c r="G631" s="64"/>
    </row>
    <row r="632" spans="1:7" ht="12.75">
      <c r="A632" s="64"/>
      <c r="B632" s="64"/>
      <c r="C632" s="64"/>
      <c r="D632" s="65"/>
      <c r="E632" s="64"/>
      <c r="F632" s="64"/>
      <c r="G632" s="64"/>
    </row>
    <row r="633" spans="1:7" ht="12.75">
      <c r="A633" s="64"/>
      <c r="B633" s="64"/>
      <c r="C633" s="64"/>
      <c r="D633" s="65"/>
      <c r="E633" s="64"/>
      <c r="F633" s="64"/>
      <c r="G633" s="64"/>
    </row>
    <row r="634" spans="1:7" ht="12.75">
      <c r="A634" s="64"/>
      <c r="B634" s="64"/>
      <c r="C634" s="64"/>
      <c r="D634" s="65"/>
      <c r="E634" s="64"/>
      <c r="F634" s="64"/>
      <c r="G634" s="64"/>
    </row>
    <row r="635" spans="1:7" ht="12.75">
      <c r="A635" s="64"/>
      <c r="B635" s="64"/>
      <c r="C635" s="64"/>
      <c r="D635" s="65"/>
      <c r="E635" s="64"/>
      <c r="F635" s="64"/>
      <c r="G635" s="64"/>
    </row>
    <row r="636" spans="1:7" ht="12.75">
      <c r="A636" s="64"/>
      <c r="B636" s="64"/>
      <c r="C636" s="64"/>
      <c r="D636" s="65"/>
      <c r="E636" s="64"/>
      <c r="F636" s="64"/>
      <c r="G636" s="64"/>
    </row>
    <row r="637" spans="1:7" ht="12.75">
      <c r="A637" s="64"/>
      <c r="B637" s="64"/>
      <c r="C637" s="64"/>
      <c r="D637" s="65"/>
      <c r="E637" s="64"/>
      <c r="F637" s="64"/>
      <c r="G637" s="64"/>
    </row>
    <row r="638" spans="1:7" ht="12.75">
      <c r="A638" s="64"/>
      <c r="B638" s="64"/>
      <c r="C638" s="64"/>
      <c r="D638" s="65"/>
      <c r="E638" s="64"/>
      <c r="F638" s="64"/>
      <c r="G638" s="64"/>
    </row>
    <row r="639" spans="1:7" ht="12.75">
      <c r="A639" s="64"/>
      <c r="B639" s="64"/>
      <c r="C639" s="64"/>
      <c r="D639" s="65"/>
      <c r="E639" s="64"/>
      <c r="F639" s="64"/>
      <c r="G639" s="64"/>
    </row>
    <row r="640" spans="1:7" ht="12.75">
      <c r="A640" s="64"/>
      <c r="B640" s="64"/>
      <c r="C640" s="64"/>
      <c r="D640" s="65"/>
      <c r="E640" s="64"/>
      <c r="F640" s="64"/>
      <c r="G640" s="64"/>
    </row>
    <row r="641" spans="1:7" ht="12.75">
      <c r="A641" s="64"/>
      <c r="B641" s="64"/>
      <c r="C641" s="64"/>
      <c r="D641" s="65"/>
      <c r="E641" s="64"/>
      <c r="F641" s="64"/>
      <c r="G641" s="64"/>
    </row>
    <row r="642" spans="1:7" ht="12.75">
      <c r="A642" s="64"/>
      <c r="B642" s="64"/>
      <c r="C642" s="64"/>
      <c r="D642" s="65"/>
      <c r="E642" s="64"/>
      <c r="F642" s="64"/>
      <c r="G642" s="64"/>
    </row>
    <row r="643" spans="1:7" ht="12.75">
      <c r="A643" s="64"/>
      <c r="B643" s="64"/>
      <c r="C643" s="64"/>
      <c r="D643" s="65"/>
      <c r="E643" s="64"/>
      <c r="F643" s="64"/>
      <c r="G643" s="64"/>
    </row>
  </sheetData>
  <autoFilter ref="A1:L263" xr:uid="{00000000-0009-0000-0000-00000F000000}"/>
  <customSheetViews>
    <customSheetView guid="{877D9670-7082-4435-A97C-BD943AD43CDB}" filter="1" showAutoFilter="1">
      <pageMargins left="0.7" right="0.7" top="0.75" bottom="0.75" header="0.3" footer="0.3"/>
      <autoFilter ref="A1:L570" xr:uid="{C3FFE768-2739-4182-82F0-B22A7B1C9E59}"/>
    </customSheetView>
  </customSheetViews>
  <mergeCells count="175">
    <mergeCell ref="F484:F486"/>
    <mergeCell ref="F487:F489"/>
    <mergeCell ref="F490:F492"/>
    <mergeCell ref="F493:F495"/>
    <mergeCell ref="F496:F498"/>
    <mergeCell ref="F499:F501"/>
    <mergeCell ref="F502:F504"/>
    <mergeCell ref="F457:F459"/>
    <mergeCell ref="F460:F462"/>
    <mergeCell ref="F463:F465"/>
    <mergeCell ref="F466:F468"/>
    <mergeCell ref="F469:F471"/>
    <mergeCell ref="F472:F474"/>
    <mergeCell ref="F475:F477"/>
    <mergeCell ref="F478:F480"/>
    <mergeCell ref="F481:F483"/>
    <mergeCell ref="F430:F432"/>
    <mergeCell ref="F433:F435"/>
    <mergeCell ref="F436:F438"/>
    <mergeCell ref="F439:F441"/>
    <mergeCell ref="F442:F444"/>
    <mergeCell ref="F445:F447"/>
    <mergeCell ref="F448:F450"/>
    <mergeCell ref="F451:F453"/>
    <mergeCell ref="F454:F456"/>
    <mergeCell ref="F403:F405"/>
    <mergeCell ref="F406:F408"/>
    <mergeCell ref="F409:F411"/>
    <mergeCell ref="F412:F414"/>
    <mergeCell ref="F415:F417"/>
    <mergeCell ref="F418:F420"/>
    <mergeCell ref="F421:F423"/>
    <mergeCell ref="F424:F426"/>
    <mergeCell ref="F427:F429"/>
    <mergeCell ref="F583:F585"/>
    <mergeCell ref="F586:F588"/>
    <mergeCell ref="F547:F549"/>
    <mergeCell ref="F550:F552"/>
    <mergeCell ref="F553:F555"/>
    <mergeCell ref="F556:F558"/>
    <mergeCell ref="F559:F561"/>
    <mergeCell ref="F562:F564"/>
    <mergeCell ref="F565:F567"/>
    <mergeCell ref="F535:F537"/>
    <mergeCell ref="F538:F540"/>
    <mergeCell ref="F541:F543"/>
    <mergeCell ref="F544:F546"/>
    <mergeCell ref="F568:F570"/>
    <mergeCell ref="F571:F573"/>
    <mergeCell ref="F574:F576"/>
    <mergeCell ref="F577:F579"/>
    <mergeCell ref="F580:F582"/>
    <mergeCell ref="F508:F510"/>
    <mergeCell ref="F511:F513"/>
    <mergeCell ref="F514:F516"/>
    <mergeCell ref="F517:F519"/>
    <mergeCell ref="F520:F522"/>
    <mergeCell ref="F523:F525"/>
    <mergeCell ref="F526:F528"/>
    <mergeCell ref="F529:F531"/>
    <mergeCell ref="F532:F534"/>
    <mergeCell ref="F334:F336"/>
    <mergeCell ref="F337:F339"/>
    <mergeCell ref="F340:F342"/>
    <mergeCell ref="F343:F345"/>
    <mergeCell ref="F346:F348"/>
    <mergeCell ref="F349:F351"/>
    <mergeCell ref="F352:F354"/>
    <mergeCell ref="F355:F357"/>
    <mergeCell ref="F505:F507"/>
    <mergeCell ref="F358:F360"/>
    <mergeCell ref="F361:F363"/>
    <mergeCell ref="F364:F366"/>
    <mergeCell ref="F367:F369"/>
    <mergeCell ref="F370:F372"/>
    <mergeCell ref="F373:F375"/>
    <mergeCell ref="F376:F378"/>
    <mergeCell ref="F379:F381"/>
    <mergeCell ref="F382:F384"/>
    <mergeCell ref="F385:F387"/>
    <mergeCell ref="F388:F390"/>
    <mergeCell ref="F391:F393"/>
    <mergeCell ref="F394:F396"/>
    <mergeCell ref="F397:F399"/>
    <mergeCell ref="F400:F402"/>
    <mergeCell ref="F307:F309"/>
    <mergeCell ref="F310:F312"/>
    <mergeCell ref="F313:F315"/>
    <mergeCell ref="F316:F318"/>
    <mergeCell ref="F319:F321"/>
    <mergeCell ref="F322:F324"/>
    <mergeCell ref="F325:F327"/>
    <mergeCell ref="F328:F330"/>
    <mergeCell ref="F331:F333"/>
    <mergeCell ref="F284:F285"/>
    <mergeCell ref="F286:F287"/>
    <mergeCell ref="F288:F289"/>
    <mergeCell ref="F290:F291"/>
    <mergeCell ref="F292:F294"/>
    <mergeCell ref="F295:F297"/>
    <mergeCell ref="F298:F300"/>
    <mergeCell ref="F301:F303"/>
    <mergeCell ref="F304:F306"/>
    <mergeCell ref="F254:F257"/>
    <mergeCell ref="F258:F261"/>
    <mergeCell ref="F262:F263"/>
    <mergeCell ref="F264:F265"/>
    <mergeCell ref="F266:F267"/>
    <mergeCell ref="F268:F269"/>
    <mergeCell ref="F270:F271"/>
    <mergeCell ref="F280:F281"/>
    <mergeCell ref="F282:F283"/>
    <mergeCell ref="F226:F228"/>
    <mergeCell ref="F229:F231"/>
    <mergeCell ref="F232:F233"/>
    <mergeCell ref="F234:F237"/>
    <mergeCell ref="F238:F241"/>
    <mergeCell ref="F242:F244"/>
    <mergeCell ref="F245:F247"/>
    <mergeCell ref="F248:F250"/>
    <mergeCell ref="F251:F253"/>
    <mergeCell ref="F199:F201"/>
    <mergeCell ref="F202:F204"/>
    <mergeCell ref="F205:F207"/>
    <mergeCell ref="F208:F210"/>
    <mergeCell ref="F211:F213"/>
    <mergeCell ref="F214:F216"/>
    <mergeCell ref="F217:F219"/>
    <mergeCell ref="F220:F222"/>
    <mergeCell ref="F223:F225"/>
    <mergeCell ref="F173:F175"/>
    <mergeCell ref="F176:F179"/>
    <mergeCell ref="F180:F182"/>
    <mergeCell ref="F183:F184"/>
    <mergeCell ref="F185:F189"/>
    <mergeCell ref="F190:F192"/>
    <mergeCell ref="F193:F194"/>
    <mergeCell ref="F195:F196"/>
    <mergeCell ref="F197:F198"/>
    <mergeCell ref="F140:F142"/>
    <mergeCell ref="F143:F144"/>
    <mergeCell ref="F145:F147"/>
    <mergeCell ref="F148:F150"/>
    <mergeCell ref="F151:F158"/>
    <mergeCell ref="F159:F161"/>
    <mergeCell ref="F162:F165"/>
    <mergeCell ref="F166:F168"/>
    <mergeCell ref="F169:F172"/>
    <mergeCell ref="F92:F93"/>
    <mergeCell ref="F94:F95"/>
    <mergeCell ref="F96:F98"/>
    <mergeCell ref="F102:F108"/>
    <mergeCell ref="F109:F115"/>
    <mergeCell ref="F116:F118"/>
    <mergeCell ref="F123:F126"/>
    <mergeCell ref="F131:F137"/>
    <mergeCell ref="F138:F139"/>
    <mergeCell ref="F51:F53"/>
    <mergeCell ref="F57:F58"/>
    <mergeCell ref="F63:F64"/>
    <mergeCell ref="F69:F70"/>
    <mergeCell ref="F71:F76"/>
    <mergeCell ref="F77:F83"/>
    <mergeCell ref="F85:F86"/>
    <mergeCell ref="F88:F89"/>
    <mergeCell ref="F90:F91"/>
    <mergeCell ref="F3:F5"/>
    <mergeCell ref="F8:F10"/>
    <mergeCell ref="F12:F13"/>
    <mergeCell ref="F14:F15"/>
    <mergeCell ref="F20:F22"/>
    <mergeCell ref="F27:F28"/>
    <mergeCell ref="F33:F35"/>
    <mergeCell ref="F39:F40"/>
    <mergeCell ref="F45:F46"/>
  </mergeCells>
  <dataValidations count="1">
    <dataValidation type="list" allowBlank="1" showErrorMessage="1" sqref="L2:L588" xr:uid="{00000000-0002-0000-0F00-000000000000}">
      <formula1>"Active,Inactive,Ongoing,Assist,Terminated,Deactivated,Ongoing Acceptance"</formula1>
    </dataValidation>
  </dataValidations>
  <printOptions horizontalCentered="1" gridLines="1"/>
  <pageMargins left="0.25" right="0.25" top="0.75" bottom="0.75" header="0" footer="0"/>
  <pageSetup paperSize="6" fitToHeight="0" pageOrder="overThenDown" orientation="landscape" cellComments="atEnd"/>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G6"/>
  <sheetViews>
    <sheetView workbookViewId="0"/>
  </sheetViews>
  <sheetFormatPr defaultColWidth="12.5703125" defaultRowHeight="15.75" customHeight="1"/>
  <cols>
    <col min="1" max="1" width="28.7109375" customWidth="1"/>
    <col min="2" max="2" width="37.42578125" customWidth="1"/>
    <col min="5" max="5" width="39.5703125" customWidth="1"/>
    <col min="6" max="6" width="26.140625" customWidth="1"/>
    <col min="7" max="7" width="17.85546875" customWidth="1"/>
  </cols>
  <sheetData>
    <row r="1" spans="1:7" ht="12.75">
      <c r="A1" s="602" t="s">
        <v>2304</v>
      </c>
      <c r="B1" s="603"/>
      <c r="C1" s="603"/>
      <c r="D1" s="603"/>
      <c r="E1" s="603"/>
      <c r="F1" s="603"/>
      <c r="G1" s="520"/>
    </row>
    <row r="2" spans="1:7" ht="12.75">
      <c r="A2" s="237" t="s">
        <v>2307</v>
      </c>
      <c r="B2" s="238"/>
      <c r="C2" s="239" t="s">
        <v>2309</v>
      </c>
      <c r="D2" s="239" t="s">
        <v>2310</v>
      </c>
      <c r="E2" s="239" t="s">
        <v>2312</v>
      </c>
      <c r="F2" s="239" t="s">
        <v>2314</v>
      </c>
      <c r="G2" s="239" t="s">
        <v>2316</v>
      </c>
    </row>
    <row r="3" spans="1:7" ht="15.75" customHeight="1">
      <c r="A3" s="604" t="s">
        <v>2317</v>
      </c>
      <c r="B3" s="543"/>
      <c r="C3" s="543"/>
      <c r="D3" s="543"/>
      <c r="E3" s="543"/>
      <c r="F3" s="543"/>
      <c r="G3" s="544"/>
    </row>
    <row r="4" spans="1:7" ht="12.75">
      <c r="A4" s="240" t="s">
        <v>2321</v>
      </c>
      <c r="B4" s="240" t="s">
        <v>2322</v>
      </c>
      <c r="C4" s="240">
        <v>1</v>
      </c>
      <c r="D4" s="241" t="s">
        <v>2323</v>
      </c>
      <c r="E4" s="242" t="s">
        <v>2324</v>
      </c>
      <c r="F4" s="241" t="s">
        <v>2326</v>
      </c>
      <c r="G4" s="243" t="s">
        <v>2327</v>
      </c>
    </row>
    <row r="5" spans="1:7" ht="12.75">
      <c r="A5" s="244"/>
      <c r="B5" s="244"/>
      <c r="C5" s="244"/>
      <c r="D5" s="244"/>
      <c r="E5" s="245" t="s">
        <v>2328</v>
      </c>
      <c r="F5" s="39" t="s">
        <v>2329</v>
      </c>
      <c r="G5" s="246" t="s">
        <v>2330</v>
      </c>
    </row>
    <row r="6" spans="1:7" ht="38.25">
      <c r="A6" s="23" t="s">
        <v>2331</v>
      </c>
      <c r="B6" s="23" t="s">
        <v>2332</v>
      </c>
      <c r="C6" s="23">
        <v>4</v>
      </c>
      <c r="D6" s="23" t="s">
        <v>2333</v>
      </c>
      <c r="E6" s="247" t="s">
        <v>2334</v>
      </c>
      <c r="F6" s="61" t="s">
        <v>2335</v>
      </c>
      <c r="G6" s="23" t="s">
        <v>2336</v>
      </c>
    </row>
  </sheetData>
  <mergeCells count="2">
    <mergeCell ref="A1:G1"/>
    <mergeCell ref="A3:G3"/>
  </mergeCells>
  <hyperlinks>
    <hyperlink ref="E4" r:id="rId1" xr:uid="{00000000-0004-0000-1000-000000000000}"/>
    <hyperlink ref="E5" r:id="rId2" xr:uid="{00000000-0004-0000-1000-000001000000}"/>
    <hyperlink ref="E6" r:id="rId3" xr:uid="{00000000-0004-0000-1000-000002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outlinePr summaryBelow="0" summaryRight="0"/>
    <pageSetUpPr fitToPage="1"/>
  </sheetPr>
  <dimension ref="A1:H851"/>
  <sheetViews>
    <sheetView showGridLines="0" workbookViewId="0">
      <pane xSplit="4" topLeftCell="E1" activePane="topRight" state="frozen"/>
      <selection pane="topRight" activeCell="F2" sqref="F2"/>
    </sheetView>
  </sheetViews>
  <sheetFormatPr defaultColWidth="12.5703125" defaultRowHeight="15.75" customHeight="1"/>
  <cols>
    <col min="1" max="1" width="19.85546875" customWidth="1"/>
    <col min="2" max="2" width="17.42578125" customWidth="1"/>
    <col min="3" max="3" width="8.85546875" customWidth="1"/>
    <col min="4" max="4" width="52.28515625" customWidth="1"/>
    <col min="5" max="5" width="16.5703125" customWidth="1"/>
    <col min="6" max="6" width="26.42578125" customWidth="1"/>
    <col min="7" max="7" width="12.5703125" hidden="1"/>
    <col min="8" max="8" width="19.140625" customWidth="1"/>
    <col min="9" max="9" width="28.42578125" customWidth="1"/>
  </cols>
  <sheetData>
    <row r="1" spans="1:8" ht="26.25" customHeight="1">
      <c r="A1" s="2" t="s">
        <v>2</v>
      </c>
      <c r="B1" s="3" t="s">
        <v>1</v>
      </c>
      <c r="C1" s="1" t="s">
        <v>0</v>
      </c>
      <c r="D1" s="3" t="s">
        <v>3</v>
      </c>
      <c r="E1" s="3" t="s">
        <v>14</v>
      </c>
      <c r="F1" s="90" t="s">
        <v>20</v>
      </c>
      <c r="G1" s="90" t="s">
        <v>20</v>
      </c>
      <c r="H1" s="90" t="s">
        <v>2393</v>
      </c>
    </row>
    <row r="2" spans="1:8" ht="26.25" customHeight="1">
      <c r="A2" s="15" t="s">
        <v>57</v>
      </c>
      <c r="B2" s="15" t="s">
        <v>191</v>
      </c>
      <c r="C2" s="6">
        <v>2</v>
      </c>
      <c r="D2" s="14" t="s">
        <v>26</v>
      </c>
      <c r="E2" s="15" t="s">
        <v>31</v>
      </c>
      <c r="F2" s="96"/>
    </row>
    <row r="3" spans="1:8" ht="26.25" customHeight="1">
      <c r="A3" s="15" t="s">
        <v>57</v>
      </c>
      <c r="B3" s="15" t="s">
        <v>212</v>
      </c>
      <c r="C3" s="6">
        <v>2</v>
      </c>
      <c r="D3" s="14" t="s">
        <v>61</v>
      </c>
      <c r="E3" s="15" t="s">
        <v>65</v>
      </c>
      <c r="F3" s="96"/>
    </row>
    <row r="4" spans="1:8" ht="26.25" customHeight="1">
      <c r="A4" s="15" t="s">
        <v>57</v>
      </c>
      <c r="B4" s="15" t="s">
        <v>212</v>
      </c>
      <c r="C4" s="6">
        <v>2</v>
      </c>
      <c r="D4" s="14" t="s">
        <v>87</v>
      </c>
      <c r="E4" s="15" t="s">
        <v>65</v>
      </c>
      <c r="F4" s="96"/>
    </row>
    <row r="5" spans="1:8" ht="26.25" customHeight="1">
      <c r="A5" s="15" t="s">
        <v>57</v>
      </c>
      <c r="B5" s="15" t="s">
        <v>212</v>
      </c>
      <c r="C5" s="6">
        <v>2</v>
      </c>
      <c r="D5" s="14" t="s">
        <v>91</v>
      </c>
      <c r="E5" s="15" t="s">
        <v>65</v>
      </c>
      <c r="F5" s="96"/>
    </row>
    <row r="6" spans="1:8" ht="26.25" customHeight="1">
      <c r="A6" s="15" t="s">
        <v>57</v>
      </c>
      <c r="B6" s="15" t="s">
        <v>212</v>
      </c>
      <c r="C6" s="6">
        <v>2</v>
      </c>
      <c r="D6" s="14" t="s">
        <v>96</v>
      </c>
      <c r="E6" s="15" t="s">
        <v>99</v>
      </c>
      <c r="F6" s="96"/>
    </row>
    <row r="7" spans="1:8" ht="26.25" customHeight="1">
      <c r="A7" s="15" t="s">
        <v>57</v>
      </c>
      <c r="B7" s="15" t="s">
        <v>212</v>
      </c>
      <c r="C7" s="6">
        <v>2</v>
      </c>
      <c r="D7" s="14" t="s">
        <v>102</v>
      </c>
      <c r="E7" s="15" t="s">
        <v>103</v>
      </c>
      <c r="F7" s="96"/>
    </row>
    <row r="8" spans="1:8" ht="26.25" customHeight="1">
      <c r="A8" s="15" t="s">
        <v>117</v>
      </c>
      <c r="B8" s="15" t="s">
        <v>191</v>
      </c>
      <c r="C8" s="6">
        <v>2</v>
      </c>
      <c r="D8" s="14" t="s">
        <v>105</v>
      </c>
      <c r="E8" s="15" t="s">
        <v>65</v>
      </c>
      <c r="F8" s="96"/>
    </row>
    <row r="9" spans="1:8" ht="26.25" customHeight="1">
      <c r="A9" s="15" t="s">
        <v>117</v>
      </c>
      <c r="B9" s="15" t="s">
        <v>191</v>
      </c>
      <c r="C9" s="6">
        <v>2</v>
      </c>
      <c r="D9" s="14" t="s">
        <v>120</v>
      </c>
      <c r="E9" s="15" t="s">
        <v>65</v>
      </c>
      <c r="F9" s="96"/>
    </row>
    <row r="10" spans="1:8" ht="26.25" customHeight="1">
      <c r="A10" s="15" t="s">
        <v>117</v>
      </c>
      <c r="B10" s="15" t="s">
        <v>191</v>
      </c>
      <c r="C10" s="6">
        <v>2</v>
      </c>
      <c r="D10" s="14" t="s">
        <v>124</v>
      </c>
      <c r="E10" s="15" t="s">
        <v>65</v>
      </c>
      <c r="F10" s="96"/>
    </row>
    <row r="11" spans="1:8" ht="26.25" customHeight="1">
      <c r="A11" s="15" t="s">
        <v>117</v>
      </c>
      <c r="B11" s="15" t="s">
        <v>191</v>
      </c>
      <c r="C11" s="6">
        <v>2</v>
      </c>
      <c r="D11" s="50" t="s">
        <v>234</v>
      </c>
      <c r="E11" s="15" t="s">
        <v>128</v>
      </c>
      <c r="F11" s="96"/>
    </row>
    <row r="12" spans="1:8" ht="26.25" customHeight="1">
      <c r="A12" s="15" t="s">
        <v>117</v>
      </c>
      <c r="B12" s="15" t="s">
        <v>191</v>
      </c>
      <c r="C12" s="6">
        <v>2</v>
      </c>
      <c r="D12" s="14" t="s">
        <v>130</v>
      </c>
      <c r="E12" s="15" t="s">
        <v>31</v>
      </c>
      <c r="F12" s="96"/>
    </row>
    <row r="13" spans="1:8" ht="26.25" customHeight="1">
      <c r="A13" s="15" t="s">
        <v>117</v>
      </c>
      <c r="B13" s="15" t="s">
        <v>191</v>
      </c>
      <c r="C13" s="6">
        <v>2</v>
      </c>
      <c r="D13" s="14" t="s">
        <v>131</v>
      </c>
      <c r="E13" s="15" t="s">
        <v>103</v>
      </c>
      <c r="F13" s="96"/>
    </row>
    <row r="14" spans="1:8" ht="26.25" customHeight="1">
      <c r="A14" s="15" t="s">
        <v>136</v>
      </c>
      <c r="B14" s="15" t="s">
        <v>251</v>
      </c>
      <c r="C14" s="6">
        <v>2</v>
      </c>
      <c r="D14" s="14" t="s">
        <v>133</v>
      </c>
      <c r="E14" s="15" t="s">
        <v>65</v>
      </c>
      <c r="F14" s="96"/>
    </row>
    <row r="15" spans="1:8" ht="26.25" customHeight="1">
      <c r="A15" s="15" t="s">
        <v>136</v>
      </c>
      <c r="B15" s="15" t="s">
        <v>251</v>
      </c>
      <c r="C15" s="6">
        <v>2</v>
      </c>
      <c r="D15" s="14" t="s">
        <v>138</v>
      </c>
      <c r="E15" s="15" t="s">
        <v>65</v>
      </c>
      <c r="F15" s="96"/>
    </row>
    <row r="16" spans="1:8" ht="26.25" customHeight="1">
      <c r="A16" s="15" t="s">
        <v>136</v>
      </c>
      <c r="B16" s="15" t="s">
        <v>251</v>
      </c>
      <c r="C16" s="6">
        <v>2</v>
      </c>
      <c r="D16" s="14" t="s">
        <v>145</v>
      </c>
      <c r="E16" s="15" t="s">
        <v>65</v>
      </c>
      <c r="F16" s="96"/>
    </row>
    <row r="17" spans="1:6" ht="26.25" customHeight="1">
      <c r="A17" s="15" t="s">
        <v>136</v>
      </c>
      <c r="B17" s="15" t="s">
        <v>251</v>
      </c>
      <c r="C17" s="6">
        <v>2</v>
      </c>
      <c r="D17" s="14" t="s">
        <v>147</v>
      </c>
      <c r="E17" s="15" t="s">
        <v>103</v>
      </c>
      <c r="F17" s="96"/>
    </row>
    <row r="18" spans="1:6" ht="26.25" customHeight="1">
      <c r="A18" s="15" t="s">
        <v>136</v>
      </c>
      <c r="B18" s="15" t="s">
        <v>251</v>
      </c>
      <c r="C18" s="6">
        <v>2</v>
      </c>
      <c r="D18" s="14" t="s">
        <v>150</v>
      </c>
      <c r="E18" s="15" t="s">
        <v>151</v>
      </c>
      <c r="F18" s="96"/>
    </row>
    <row r="19" spans="1:6" ht="26.25" customHeight="1">
      <c r="A19" s="15" t="s">
        <v>136</v>
      </c>
      <c r="B19" s="15" t="s">
        <v>283</v>
      </c>
      <c r="C19" s="6">
        <v>2</v>
      </c>
      <c r="D19" s="14" t="s">
        <v>154</v>
      </c>
      <c r="E19" s="15" t="s">
        <v>155</v>
      </c>
      <c r="F19" s="96"/>
    </row>
    <row r="20" spans="1:6" ht="26.25" customHeight="1">
      <c r="A20" s="8" t="s">
        <v>167</v>
      </c>
      <c r="B20" s="8" t="s">
        <v>290</v>
      </c>
      <c r="C20" s="6">
        <v>2</v>
      </c>
      <c r="D20" s="11" t="s">
        <v>159</v>
      </c>
      <c r="E20" s="15" t="s">
        <v>65</v>
      </c>
      <c r="F20" s="96"/>
    </row>
    <row r="21" spans="1:6" ht="26.25" customHeight="1">
      <c r="A21" s="8" t="s">
        <v>167</v>
      </c>
      <c r="B21" s="8" t="s">
        <v>290</v>
      </c>
      <c r="C21" s="6">
        <v>2</v>
      </c>
      <c r="D21" s="11" t="s">
        <v>169</v>
      </c>
      <c r="E21" s="15" t="s">
        <v>65</v>
      </c>
      <c r="F21" s="96"/>
    </row>
    <row r="22" spans="1:6" ht="26.25" customHeight="1">
      <c r="A22" s="8" t="s">
        <v>167</v>
      </c>
      <c r="B22" s="8" t="s">
        <v>290</v>
      </c>
      <c r="C22" s="6">
        <v>2</v>
      </c>
      <c r="D22" s="11" t="s">
        <v>174</v>
      </c>
      <c r="E22" s="15" t="s">
        <v>65</v>
      </c>
      <c r="F22" s="96"/>
    </row>
    <row r="23" spans="1:6" ht="26.25" customHeight="1">
      <c r="A23" s="8" t="s">
        <v>167</v>
      </c>
      <c r="B23" s="8" t="s">
        <v>290</v>
      </c>
      <c r="C23" s="6">
        <v>2</v>
      </c>
      <c r="D23" s="11" t="s">
        <v>177</v>
      </c>
      <c r="E23" s="15" t="s">
        <v>103</v>
      </c>
      <c r="F23" s="96"/>
    </row>
    <row r="24" spans="1:6" ht="26.25" customHeight="1">
      <c r="A24" s="8" t="s">
        <v>167</v>
      </c>
      <c r="B24" s="8" t="s">
        <v>140</v>
      </c>
      <c r="C24" s="6">
        <v>2</v>
      </c>
      <c r="D24" s="11" t="s">
        <v>181</v>
      </c>
      <c r="E24" s="15" t="s">
        <v>65</v>
      </c>
      <c r="F24" s="96"/>
    </row>
    <row r="25" spans="1:6" ht="26.25" customHeight="1">
      <c r="A25" s="8" t="s">
        <v>167</v>
      </c>
      <c r="B25" s="8" t="s">
        <v>290</v>
      </c>
      <c r="C25" s="6">
        <v>2</v>
      </c>
      <c r="D25" s="11" t="s">
        <v>184</v>
      </c>
      <c r="E25" s="15" t="s">
        <v>155</v>
      </c>
      <c r="F25" s="96"/>
    </row>
    <row r="26" spans="1:6" ht="26.25" customHeight="1">
      <c r="A26" s="8" t="s">
        <v>198</v>
      </c>
      <c r="B26" s="8" t="s">
        <v>327</v>
      </c>
      <c r="C26" s="6">
        <v>2</v>
      </c>
      <c r="D26" s="11" t="s">
        <v>188</v>
      </c>
      <c r="E26" s="15" t="s">
        <v>65</v>
      </c>
      <c r="F26" s="96"/>
    </row>
    <row r="27" spans="1:6" ht="26.25" customHeight="1">
      <c r="A27" s="8" t="s">
        <v>198</v>
      </c>
      <c r="B27" s="8" t="s">
        <v>327</v>
      </c>
      <c r="C27" s="6">
        <v>2</v>
      </c>
      <c r="D27" s="11" t="s">
        <v>201</v>
      </c>
      <c r="E27" s="15" t="s">
        <v>65</v>
      </c>
      <c r="F27" s="96"/>
    </row>
    <row r="28" spans="1:6" ht="26.25" customHeight="1">
      <c r="A28" s="8" t="s">
        <v>198</v>
      </c>
      <c r="B28" s="8" t="s">
        <v>327</v>
      </c>
      <c r="C28" s="6">
        <v>2</v>
      </c>
      <c r="D28" s="11" t="s">
        <v>203</v>
      </c>
      <c r="E28" s="15" t="s">
        <v>65</v>
      </c>
      <c r="F28" s="96"/>
    </row>
    <row r="29" spans="1:6" ht="26.25" customHeight="1">
      <c r="A29" s="8" t="s">
        <v>198</v>
      </c>
      <c r="B29" s="8" t="s">
        <v>345</v>
      </c>
      <c r="C29" s="6">
        <v>2</v>
      </c>
      <c r="D29" s="11" t="s">
        <v>205</v>
      </c>
      <c r="E29" s="15" t="s">
        <v>207</v>
      </c>
      <c r="F29" s="96"/>
    </row>
    <row r="30" spans="1:6" ht="26.25" customHeight="1">
      <c r="A30" s="8" t="s">
        <v>198</v>
      </c>
      <c r="B30" s="8" t="s">
        <v>327</v>
      </c>
      <c r="C30" s="6">
        <v>2</v>
      </c>
      <c r="D30" s="11" t="s">
        <v>208</v>
      </c>
      <c r="E30" s="15" t="s">
        <v>103</v>
      </c>
      <c r="F30" s="96"/>
    </row>
    <row r="31" spans="1:6" ht="26.25" customHeight="1">
      <c r="A31" s="8" t="s">
        <v>198</v>
      </c>
      <c r="B31" s="8" t="s">
        <v>327</v>
      </c>
      <c r="C31" s="6">
        <v>2</v>
      </c>
      <c r="D31" s="11" t="s">
        <v>209</v>
      </c>
      <c r="E31" s="15" t="s">
        <v>155</v>
      </c>
      <c r="F31" s="96"/>
    </row>
    <row r="32" spans="1:6" ht="26.25" customHeight="1">
      <c r="A32" s="8" t="s">
        <v>216</v>
      </c>
      <c r="B32" s="8" t="s">
        <v>376</v>
      </c>
      <c r="C32" s="6">
        <v>2</v>
      </c>
      <c r="D32" s="11" t="s">
        <v>213</v>
      </c>
      <c r="E32" s="15" t="s">
        <v>65</v>
      </c>
      <c r="F32" s="96"/>
    </row>
    <row r="33" spans="1:6" ht="26.25" customHeight="1">
      <c r="A33" s="8" t="s">
        <v>216</v>
      </c>
      <c r="B33" s="8" t="s">
        <v>376</v>
      </c>
      <c r="C33" s="6">
        <v>2</v>
      </c>
      <c r="D33" s="11" t="s">
        <v>218</v>
      </c>
      <c r="E33" s="15" t="s">
        <v>65</v>
      </c>
      <c r="F33" s="96"/>
    </row>
    <row r="34" spans="1:6" ht="26.25" customHeight="1">
      <c r="A34" s="8" t="s">
        <v>216</v>
      </c>
      <c r="B34" s="8" t="s">
        <v>376</v>
      </c>
      <c r="C34" s="6">
        <v>2</v>
      </c>
      <c r="D34" s="11" t="s">
        <v>220</v>
      </c>
      <c r="E34" s="15" t="s">
        <v>65</v>
      </c>
      <c r="F34" s="96"/>
    </row>
    <row r="35" spans="1:6" ht="26.25" customHeight="1">
      <c r="A35" s="8" t="s">
        <v>216</v>
      </c>
      <c r="B35" s="8" t="s">
        <v>356</v>
      </c>
      <c r="C35" s="6">
        <v>2</v>
      </c>
      <c r="D35" s="11" t="s">
        <v>221</v>
      </c>
      <c r="E35" s="15" t="s">
        <v>155</v>
      </c>
      <c r="F35" s="96"/>
    </row>
    <row r="36" spans="1:6" ht="26.25" customHeight="1">
      <c r="A36" s="8" t="s">
        <v>216</v>
      </c>
      <c r="B36" s="8" t="s">
        <v>376</v>
      </c>
      <c r="C36" s="6">
        <v>2</v>
      </c>
      <c r="D36" s="11" t="s">
        <v>223</v>
      </c>
      <c r="E36" s="15" t="s">
        <v>31</v>
      </c>
      <c r="F36" s="96"/>
    </row>
    <row r="37" spans="1:6" ht="26.25" customHeight="1">
      <c r="A37" s="8" t="s">
        <v>216</v>
      </c>
      <c r="B37" s="8" t="s">
        <v>376</v>
      </c>
      <c r="C37" s="6">
        <v>2</v>
      </c>
      <c r="D37" s="11" t="s">
        <v>225</v>
      </c>
      <c r="E37" s="15" t="s">
        <v>103</v>
      </c>
      <c r="F37" s="96"/>
    </row>
    <row r="38" spans="1:6" ht="26.25" customHeight="1">
      <c r="A38" s="8" t="s">
        <v>229</v>
      </c>
      <c r="B38" s="8" t="s">
        <v>191</v>
      </c>
      <c r="C38" s="6">
        <v>2</v>
      </c>
      <c r="D38" s="11" t="s">
        <v>226</v>
      </c>
      <c r="E38" s="15" t="s">
        <v>65</v>
      </c>
      <c r="F38" s="96"/>
    </row>
    <row r="39" spans="1:6" ht="26.25" customHeight="1">
      <c r="A39" s="8" t="s">
        <v>229</v>
      </c>
      <c r="B39" s="8" t="s">
        <v>191</v>
      </c>
      <c r="C39" s="6">
        <v>2</v>
      </c>
      <c r="D39" s="11" t="s">
        <v>233</v>
      </c>
      <c r="E39" s="15" t="s">
        <v>65</v>
      </c>
      <c r="F39" s="96"/>
    </row>
    <row r="40" spans="1:6" ht="26.25" customHeight="1">
      <c r="A40" s="8" t="s">
        <v>229</v>
      </c>
      <c r="B40" s="8" t="s">
        <v>191</v>
      </c>
      <c r="C40" s="6">
        <v>2</v>
      </c>
      <c r="D40" s="11" t="s">
        <v>236</v>
      </c>
      <c r="E40" s="15" t="s">
        <v>238</v>
      </c>
      <c r="F40" s="96"/>
    </row>
    <row r="41" spans="1:6" ht="26.25" customHeight="1">
      <c r="A41" s="8" t="s">
        <v>229</v>
      </c>
      <c r="B41" s="8" t="s">
        <v>191</v>
      </c>
      <c r="C41" s="6">
        <v>2</v>
      </c>
      <c r="D41" s="11" t="s">
        <v>243</v>
      </c>
      <c r="E41" s="15" t="s">
        <v>238</v>
      </c>
      <c r="F41" s="96"/>
    </row>
    <row r="42" spans="1:6" ht="26.25" customHeight="1">
      <c r="A42" s="8" t="s">
        <v>229</v>
      </c>
      <c r="B42" s="8" t="s">
        <v>191</v>
      </c>
      <c r="C42" s="6">
        <v>2</v>
      </c>
      <c r="D42" s="11" t="s">
        <v>246</v>
      </c>
      <c r="E42" s="15" t="s">
        <v>103</v>
      </c>
      <c r="F42" s="96"/>
    </row>
    <row r="43" spans="1:6" ht="26.25" customHeight="1">
      <c r="A43" s="8" t="s">
        <v>229</v>
      </c>
      <c r="B43" s="8" t="s">
        <v>403</v>
      </c>
      <c r="C43" s="6">
        <v>2</v>
      </c>
      <c r="D43" s="11" t="s">
        <v>248</v>
      </c>
      <c r="E43" s="15" t="s">
        <v>207</v>
      </c>
      <c r="F43" s="96"/>
    </row>
    <row r="44" spans="1:6" ht="26.25" customHeight="1">
      <c r="A44" s="8" t="s">
        <v>257</v>
      </c>
      <c r="B44" s="8" t="s">
        <v>405</v>
      </c>
      <c r="C44" s="6">
        <v>2</v>
      </c>
      <c r="D44" s="11" t="s">
        <v>252</v>
      </c>
      <c r="E44" s="15" t="s">
        <v>65</v>
      </c>
      <c r="F44" s="96"/>
    </row>
    <row r="45" spans="1:6" ht="26.25" customHeight="1">
      <c r="A45" s="8" t="s">
        <v>257</v>
      </c>
      <c r="B45" s="8" t="s">
        <v>405</v>
      </c>
      <c r="C45" s="6">
        <v>2</v>
      </c>
      <c r="D45" s="11" t="s">
        <v>262</v>
      </c>
      <c r="E45" s="15" t="s">
        <v>65</v>
      </c>
      <c r="F45" s="96"/>
    </row>
    <row r="46" spans="1:6" ht="26.25" customHeight="1">
      <c r="A46" s="8" t="s">
        <v>257</v>
      </c>
      <c r="B46" s="8" t="s">
        <v>405</v>
      </c>
      <c r="C46" s="6">
        <v>2</v>
      </c>
      <c r="D46" s="11" t="s">
        <v>266</v>
      </c>
      <c r="E46" s="15" t="s">
        <v>31</v>
      </c>
      <c r="F46" s="96"/>
    </row>
    <row r="47" spans="1:6" ht="26.25" customHeight="1">
      <c r="A47" s="8" t="s">
        <v>257</v>
      </c>
      <c r="B47" s="8" t="s">
        <v>405</v>
      </c>
      <c r="C47" s="6">
        <v>2</v>
      </c>
      <c r="D47" s="11" t="s">
        <v>270</v>
      </c>
      <c r="E47" s="15" t="s">
        <v>271</v>
      </c>
      <c r="F47" s="96"/>
    </row>
    <row r="48" spans="1:6" ht="26.25" customHeight="1">
      <c r="A48" s="8" t="s">
        <v>257</v>
      </c>
      <c r="B48" s="8" t="s">
        <v>405</v>
      </c>
      <c r="C48" s="6">
        <v>2</v>
      </c>
      <c r="D48" s="11" t="s">
        <v>272</v>
      </c>
      <c r="E48" s="15" t="s">
        <v>103</v>
      </c>
      <c r="F48" s="96"/>
    </row>
    <row r="49" spans="1:6" ht="26.25" customHeight="1">
      <c r="A49" s="8" t="s">
        <v>257</v>
      </c>
      <c r="B49" s="8" t="s">
        <v>405</v>
      </c>
      <c r="C49" s="6">
        <v>2</v>
      </c>
      <c r="D49" s="11" t="s">
        <v>274</v>
      </c>
      <c r="E49" s="15" t="s">
        <v>155</v>
      </c>
      <c r="F49" s="96"/>
    </row>
    <row r="50" spans="1:6" ht="26.25" customHeight="1">
      <c r="A50" s="8" t="s">
        <v>291</v>
      </c>
      <c r="B50" s="8" t="s">
        <v>411</v>
      </c>
      <c r="C50" s="6">
        <v>2</v>
      </c>
      <c r="D50" s="11" t="s">
        <v>280</v>
      </c>
      <c r="E50" s="15" t="s">
        <v>65</v>
      </c>
      <c r="F50" s="96"/>
    </row>
    <row r="51" spans="1:6" ht="26.25" customHeight="1">
      <c r="A51" s="8" t="s">
        <v>291</v>
      </c>
      <c r="B51" s="8" t="s">
        <v>411</v>
      </c>
      <c r="C51" s="6">
        <v>2</v>
      </c>
      <c r="D51" s="11" t="s">
        <v>298</v>
      </c>
      <c r="E51" s="15" t="s">
        <v>65</v>
      </c>
      <c r="F51" s="96"/>
    </row>
    <row r="52" spans="1:6" ht="26.25" customHeight="1">
      <c r="A52" s="8" t="s">
        <v>291</v>
      </c>
      <c r="B52" s="8" t="s">
        <v>411</v>
      </c>
      <c r="C52" s="6">
        <v>2</v>
      </c>
      <c r="D52" s="11" t="s">
        <v>302</v>
      </c>
      <c r="E52" s="15" t="s">
        <v>65</v>
      </c>
      <c r="F52" s="96"/>
    </row>
    <row r="53" spans="1:6" ht="26.25" customHeight="1">
      <c r="A53" s="8" t="s">
        <v>291</v>
      </c>
      <c r="B53" s="8" t="s">
        <v>411</v>
      </c>
      <c r="C53" s="6">
        <v>2</v>
      </c>
      <c r="D53" s="11" t="s">
        <v>305</v>
      </c>
      <c r="E53" s="15" t="s">
        <v>31</v>
      </c>
      <c r="F53" s="96"/>
    </row>
    <row r="54" spans="1:6" ht="26.25" customHeight="1">
      <c r="A54" s="8" t="s">
        <v>291</v>
      </c>
      <c r="B54" s="8" t="s">
        <v>411</v>
      </c>
      <c r="C54" s="6">
        <v>2</v>
      </c>
      <c r="D54" s="11" t="s">
        <v>312</v>
      </c>
      <c r="E54" s="15" t="s">
        <v>103</v>
      </c>
      <c r="F54" s="96"/>
    </row>
    <row r="55" spans="1:6" ht="26.25" customHeight="1">
      <c r="A55" s="8" t="s">
        <v>291</v>
      </c>
      <c r="B55" s="8" t="s">
        <v>411</v>
      </c>
      <c r="C55" s="6">
        <v>2</v>
      </c>
      <c r="D55" s="11" t="s">
        <v>315</v>
      </c>
      <c r="E55" s="15" t="s">
        <v>155</v>
      </c>
      <c r="F55" s="96"/>
    </row>
    <row r="56" spans="1:6" ht="26.25" customHeight="1">
      <c r="A56" s="8" t="s">
        <v>325</v>
      </c>
      <c r="B56" s="8" t="s">
        <v>415</v>
      </c>
      <c r="C56" s="6">
        <v>2</v>
      </c>
      <c r="D56" s="11" t="s">
        <v>319</v>
      </c>
      <c r="E56" s="15" t="s">
        <v>65</v>
      </c>
      <c r="F56" s="96"/>
    </row>
    <row r="57" spans="1:6" ht="26.25" customHeight="1">
      <c r="A57" s="8" t="s">
        <v>325</v>
      </c>
      <c r="B57" s="8" t="s">
        <v>415</v>
      </c>
      <c r="C57" s="6">
        <v>2</v>
      </c>
      <c r="D57" s="7" t="s">
        <v>332</v>
      </c>
      <c r="E57" s="13" t="s">
        <v>207</v>
      </c>
      <c r="F57" s="96"/>
    </row>
    <row r="58" spans="1:6" ht="26.25" customHeight="1">
      <c r="A58" s="8" t="s">
        <v>325</v>
      </c>
      <c r="B58" s="8" t="s">
        <v>415</v>
      </c>
      <c r="C58" s="6">
        <v>2</v>
      </c>
      <c r="D58" s="11" t="s">
        <v>328</v>
      </c>
      <c r="E58" s="15" t="s">
        <v>65</v>
      </c>
      <c r="F58" s="96"/>
    </row>
    <row r="59" spans="1:6" ht="26.25" customHeight="1">
      <c r="A59" s="8" t="s">
        <v>325</v>
      </c>
      <c r="B59" s="8" t="s">
        <v>415</v>
      </c>
      <c r="C59" s="6">
        <v>2</v>
      </c>
      <c r="D59" s="11" t="s">
        <v>336</v>
      </c>
      <c r="E59" s="15" t="s">
        <v>155</v>
      </c>
      <c r="F59" s="96"/>
    </row>
    <row r="60" spans="1:6" ht="26.25" customHeight="1">
      <c r="A60" s="8" t="s">
        <v>325</v>
      </c>
      <c r="B60" s="8" t="s">
        <v>415</v>
      </c>
      <c r="C60" s="6">
        <v>2</v>
      </c>
      <c r="D60" s="11" t="s">
        <v>340</v>
      </c>
      <c r="E60" s="15" t="s">
        <v>31</v>
      </c>
      <c r="F60" s="96"/>
    </row>
    <row r="61" spans="1:6" ht="26.25" customHeight="1">
      <c r="A61" s="8" t="s">
        <v>325</v>
      </c>
      <c r="B61" s="8" t="s">
        <v>415</v>
      </c>
      <c r="C61" s="6">
        <v>2</v>
      </c>
      <c r="D61" s="11" t="s">
        <v>344</v>
      </c>
      <c r="E61" s="15" t="s">
        <v>103</v>
      </c>
      <c r="F61" s="96"/>
    </row>
    <row r="62" spans="1:6" ht="26.25" customHeight="1">
      <c r="A62" s="8" t="s">
        <v>268</v>
      </c>
      <c r="B62" s="8" t="s">
        <v>40</v>
      </c>
      <c r="C62" s="6">
        <v>2</v>
      </c>
      <c r="D62" s="11" t="s">
        <v>42</v>
      </c>
      <c r="E62" s="15" t="s">
        <v>351</v>
      </c>
      <c r="F62" s="96"/>
    </row>
    <row r="63" spans="1:6" ht="26.25" customHeight="1">
      <c r="A63" s="8" t="s">
        <v>268</v>
      </c>
      <c r="B63" s="8" t="s">
        <v>40</v>
      </c>
      <c r="C63" s="6">
        <v>2</v>
      </c>
      <c r="D63" s="11" t="s">
        <v>43</v>
      </c>
      <c r="E63" s="15" t="s">
        <v>351</v>
      </c>
      <c r="F63" s="96"/>
    </row>
    <row r="64" spans="1:6" ht="26.25" customHeight="1">
      <c r="A64" s="8" t="s">
        <v>268</v>
      </c>
      <c r="B64" s="8" t="s">
        <v>40</v>
      </c>
      <c r="C64" s="6">
        <v>2</v>
      </c>
      <c r="D64" s="11" t="s">
        <v>56</v>
      </c>
      <c r="E64" s="15" t="s">
        <v>155</v>
      </c>
      <c r="F64" s="96"/>
    </row>
    <row r="65" spans="1:6" ht="26.25" customHeight="1">
      <c r="A65" s="8" t="s">
        <v>268</v>
      </c>
      <c r="B65" s="8" t="s">
        <v>40</v>
      </c>
      <c r="C65" s="6">
        <v>2</v>
      </c>
      <c r="D65" s="7" t="s">
        <v>423</v>
      </c>
      <c r="E65" s="15" t="s">
        <v>31</v>
      </c>
      <c r="F65" s="96"/>
    </row>
    <row r="66" spans="1:6" ht="26.25" customHeight="1">
      <c r="A66" s="8" t="s">
        <v>268</v>
      </c>
      <c r="B66" s="8" t="s">
        <v>40</v>
      </c>
      <c r="C66" s="6">
        <v>2</v>
      </c>
      <c r="D66" s="11" t="s">
        <v>51</v>
      </c>
      <c r="E66" s="15" t="s">
        <v>374</v>
      </c>
      <c r="F66" s="96"/>
    </row>
    <row r="67" spans="1:6" ht="26.25" customHeight="1">
      <c r="A67" s="8" t="s">
        <v>268</v>
      </c>
      <c r="B67" s="8" t="s">
        <v>40</v>
      </c>
      <c r="C67" s="6">
        <v>2</v>
      </c>
      <c r="D67" s="11" t="s">
        <v>41</v>
      </c>
      <c r="E67" s="15" t="s">
        <v>271</v>
      </c>
      <c r="F67" s="96"/>
    </row>
    <row r="68" spans="1:6" ht="26.25" customHeight="1">
      <c r="A68" s="8" t="s">
        <v>381</v>
      </c>
      <c r="B68" s="8" t="s">
        <v>140</v>
      </c>
      <c r="C68" s="6">
        <v>2</v>
      </c>
      <c r="D68" s="11" t="s">
        <v>378</v>
      </c>
      <c r="E68" s="15" t="s">
        <v>65</v>
      </c>
      <c r="F68" s="96"/>
    </row>
    <row r="69" spans="1:6" ht="26.25" customHeight="1">
      <c r="A69" s="8" t="s">
        <v>381</v>
      </c>
      <c r="B69" s="8" t="s">
        <v>140</v>
      </c>
      <c r="C69" s="6">
        <v>2</v>
      </c>
      <c r="D69" s="11" t="s">
        <v>383</v>
      </c>
      <c r="E69" s="15" t="s">
        <v>65</v>
      </c>
      <c r="F69" s="96"/>
    </row>
    <row r="70" spans="1:6" ht="26.25" customHeight="1">
      <c r="A70" s="8" t="s">
        <v>381</v>
      </c>
      <c r="B70" s="8" t="s">
        <v>140</v>
      </c>
      <c r="C70" s="6">
        <v>2</v>
      </c>
      <c r="D70" s="11" t="s">
        <v>385</v>
      </c>
      <c r="E70" s="15" t="s">
        <v>65</v>
      </c>
      <c r="F70" s="96"/>
    </row>
    <row r="71" spans="1:6" ht="26.25" customHeight="1">
      <c r="A71" s="8" t="s">
        <v>381</v>
      </c>
      <c r="B71" s="8" t="s">
        <v>140</v>
      </c>
      <c r="C71" s="6">
        <v>2</v>
      </c>
      <c r="D71" s="11" t="s">
        <v>387</v>
      </c>
      <c r="E71" s="15" t="s">
        <v>155</v>
      </c>
      <c r="F71" s="96"/>
    </row>
    <row r="72" spans="1:6" ht="26.25" customHeight="1">
      <c r="A72" s="8" t="s">
        <v>381</v>
      </c>
      <c r="B72" s="8" t="s">
        <v>140</v>
      </c>
      <c r="C72" s="6">
        <v>2</v>
      </c>
      <c r="D72" s="11" t="s">
        <v>390</v>
      </c>
      <c r="E72" s="15" t="s">
        <v>103</v>
      </c>
      <c r="F72" s="96"/>
    </row>
    <row r="73" spans="1:6" ht="26.25" customHeight="1">
      <c r="A73" s="8" t="s">
        <v>381</v>
      </c>
      <c r="B73" s="8" t="s">
        <v>140</v>
      </c>
      <c r="C73" s="6">
        <v>2</v>
      </c>
      <c r="D73" s="11" t="s">
        <v>391</v>
      </c>
      <c r="E73" s="15" t="s">
        <v>31</v>
      </c>
      <c r="F73" s="96"/>
    </row>
    <row r="74" spans="1:6" ht="26.25" customHeight="1">
      <c r="A74" s="8" t="s">
        <v>13</v>
      </c>
      <c r="B74" s="8" t="s">
        <v>15</v>
      </c>
      <c r="C74" s="6">
        <v>1</v>
      </c>
      <c r="D74" s="11" t="s">
        <v>21</v>
      </c>
      <c r="E74" s="15" t="s">
        <v>65</v>
      </c>
      <c r="F74" s="96"/>
    </row>
    <row r="75" spans="1:6" ht="26.25" customHeight="1">
      <c r="A75" s="8" t="s">
        <v>13</v>
      </c>
      <c r="B75" s="8" t="s">
        <v>15</v>
      </c>
      <c r="C75" s="6">
        <v>1</v>
      </c>
      <c r="D75" s="11" t="s">
        <v>44</v>
      </c>
      <c r="E75" s="15" t="s">
        <v>65</v>
      </c>
      <c r="F75" s="96"/>
    </row>
    <row r="76" spans="1:6" ht="26.25" customHeight="1">
      <c r="A76" s="8" t="s">
        <v>13</v>
      </c>
      <c r="B76" s="8" t="s">
        <v>15</v>
      </c>
      <c r="C76" s="6">
        <v>1</v>
      </c>
      <c r="D76" s="11" t="s">
        <v>49</v>
      </c>
      <c r="E76" s="15" t="s">
        <v>65</v>
      </c>
      <c r="F76" s="96"/>
    </row>
    <row r="77" spans="1:6" ht="26.25" customHeight="1">
      <c r="A77" s="8" t="s">
        <v>13</v>
      </c>
      <c r="B77" s="8" t="s">
        <v>15</v>
      </c>
      <c r="C77" s="6">
        <v>1</v>
      </c>
      <c r="D77" s="11" t="s">
        <v>53</v>
      </c>
      <c r="E77" s="15" t="s">
        <v>238</v>
      </c>
      <c r="F77" s="96"/>
    </row>
    <row r="78" spans="1:6" ht="26.25" customHeight="1">
      <c r="A78" s="8" t="s">
        <v>13</v>
      </c>
      <c r="B78" s="8" t="s">
        <v>15</v>
      </c>
      <c r="C78" s="6">
        <v>1</v>
      </c>
      <c r="D78" s="11" t="s">
        <v>58</v>
      </c>
      <c r="E78" s="15" t="s">
        <v>103</v>
      </c>
      <c r="F78" s="96"/>
    </row>
    <row r="79" spans="1:6" ht="26.25" customHeight="1">
      <c r="A79" s="8" t="s">
        <v>13</v>
      </c>
      <c r="B79" s="8" t="s">
        <v>15</v>
      </c>
      <c r="C79" s="6">
        <v>1</v>
      </c>
      <c r="D79" s="11" t="s">
        <v>60</v>
      </c>
      <c r="E79" s="15" t="s">
        <v>31</v>
      </c>
      <c r="F79" s="96"/>
    </row>
    <row r="80" spans="1:6" ht="26.25" customHeight="1">
      <c r="A80" s="8" t="s">
        <v>67</v>
      </c>
      <c r="B80" s="8" t="s">
        <v>68</v>
      </c>
      <c r="C80" s="6">
        <v>1</v>
      </c>
      <c r="D80" s="11" t="s">
        <v>70</v>
      </c>
      <c r="E80" s="15" t="s">
        <v>65</v>
      </c>
      <c r="F80" s="96"/>
    </row>
    <row r="81" spans="1:6" ht="26.25" customHeight="1">
      <c r="A81" s="8" t="s">
        <v>67</v>
      </c>
      <c r="B81" s="8" t="s">
        <v>68</v>
      </c>
      <c r="C81" s="6">
        <v>1</v>
      </c>
      <c r="D81" s="11" t="s">
        <v>73</v>
      </c>
      <c r="E81" s="15" t="s">
        <v>65</v>
      </c>
      <c r="F81" s="96"/>
    </row>
    <row r="82" spans="1:6" ht="26.25" customHeight="1">
      <c r="A82" s="8" t="s">
        <v>67</v>
      </c>
      <c r="B82" s="8" t="s">
        <v>68</v>
      </c>
      <c r="C82" s="6">
        <v>1</v>
      </c>
      <c r="D82" s="11" t="s">
        <v>74</v>
      </c>
      <c r="E82" s="15" t="s">
        <v>238</v>
      </c>
      <c r="F82" s="96"/>
    </row>
    <row r="83" spans="1:6" ht="26.25" customHeight="1">
      <c r="A83" s="8" t="s">
        <v>67</v>
      </c>
      <c r="B83" s="8" t="s">
        <v>76</v>
      </c>
      <c r="C83" s="6">
        <v>1</v>
      </c>
      <c r="D83" s="11" t="s">
        <v>77</v>
      </c>
      <c r="E83" s="15" t="s">
        <v>99</v>
      </c>
      <c r="F83" s="96"/>
    </row>
    <row r="84" spans="1:6" ht="26.25" customHeight="1">
      <c r="A84" s="8" t="s">
        <v>67</v>
      </c>
      <c r="B84" s="8" t="s">
        <v>76</v>
      </c>
      <c r="C84" s="6">
        <v>1</v>
      </c>
      <c r="D84" s="11" t="s">
        <v>78</v>
      </c>
      <c r="E84" s="15" t="s">
        <v>408</v>
      </c>
      <c r="F84" s="96"/>
    </row>
    <row r="85" spans="1:6" ht="26.25" customHeight="1">
      <c r="A85" s="8" t="s">
        <v>67</v>
      </c>
      <c r="B85" s="8" t="s">
        <v>68</v>
      </c>
      <c r="C85" s="6">
        <v>1</v>
      </c>
      <c r="D85" s="11" t="s">
        <v>80</v>
      </c>
      <c r="E85" s="15" t="s">
        <v>103</v>
      </c>
      <c r="F85" s="96"/>
    </row>
    <row r="86" spans="1:6" ht="26.25" customHeight="1">
      <c r="A86" s="8" t="s">
        <v>81</v>
      </c>
      <c r="B86" s="8" t="s">
        <v>82</v>
      </c>
      <c r="C86" s="6">
        <v>1</v>
      </c>
      <c r="D86" s="11" t="s">
        <v>85</v>
      </c>
      <c r="E86" s="15" t="s">
        <v>65</v>
      </c>
      <c r="F86" s="96"/>
    </row>
    <row r="87" spans="1:6" ht="26.25" customHeight="1">
      <c r="A87" s="8" t="s">
        <v>81</v>
      </c>
      <c r="B87" s="8" t="s">
        <v>82</v>
      </c>
      <c r="C87" s="6">
        <v>1</v>
      </c>
      <c r="D87" s="11" t="s">
        <v>86</v>
      </c>
      <c r="E87" s="15" t="s">
        <v>65</v>
      </c>
      <c r="F87" s="96"/>
    </row>
    <row r="88" spans="1:6" ht="26.25" customHeight="1">
      <c r="A88" s="8" t="s">
        <v>81</v>
      </c>
      <c r="B88" s="8" t="s">
        <v>82</v>
      </c>
      <c r="C88" s="6">
        <v>1</v>
      </c>
      <c r="D88" s="11" t="s">
        <v>88</v>
      </c>
      <c r="E88" s="15" t="s">
        <v>65</v>
      </c>
      <c r="F88" s="96"/>
    </row>
    <row r="89" spans="1:6" ht="26.25" customHeight="1">
      <c r="A89" s="8" t="s">
        <v>81</v>
      </c>
      <c r="B89" s="8" t="s">
        <v>82</v>
      </c>
      <c r="C89" s="6">
        <v>1</v>
      </c>
      <c r="D89" s="11" t="s">
        <v>90</v>
      </c>
      <c r="E89" s="15" t="s">
        <v>65</v>
      </c>
      <c r="F89" s="96"/>
    </row>
    <row r="90" spans="1:6" ht="26.25" customHeight="1">
      <c r="A90" s="8" t="s">
        <v>81</v>
      </c>
      <c r="B90" s="8" t="s">
        <v>82</v>
      </c>
      <c r="C90" s="6">
        <v>1</v>
      </c>
      <c r="D90" s="11" t="s">
        <v>92</v>
      </c>
      <c r="E90" s="15" t="s">
        <v>31</v>
      </c>
      <c r="F90" s="96"/>
    </row>
    <row r="91" spans="1:6" ht="26.25" customHeight="1">
      <c r="A91" s="8" t="s">
        <v>81</v>
      </c>
      <c r="B91" s="8" t="s">
        <v>82</v>
      </c>
      <c r="C91" s="6">
        <v>1</v>
      </c>
      <c r="D91" s="11" t="s">
        <v>94</v>
      </c>
      <c r="E91" s="15" t="s">
        <v>238</v>
      </c>
      <c r="F91" s="96"/>
    </row>
    <row r="92" spans="1:6" ht="26.25" customHeight="1">
      <c r="A92" s="8" t="s">
        <v>79</v>
      </c>
      <c r="B92" s="8" t="s">
        <v>97</v>
      </c>
      <c r="C92" s="6">
        <v>1</v>
      </c>
      <c r="D92" s="11" t="s">
        <v>100</v>
      </c>
      <c r="E92" s="15" t="s">
        <v>65</v>
      </c>
      <c r="F92" s="96"/>
    </row>
    <row r="93" spans="1:6" ht="26.25" customHeight="1">
      <c r="A93" s="8" t="s">
        <v>79</v>
      </c>
      <c r="B93" s="8" t="s">
        <v>97</v>
      </c>
      <c r="C93" s="6">
        <v>1</v>
      </c>
      <c r="D93" s="11" t="s">
        <v>101</v>
      </c>
      <c r="E93" s="15" t="s">
        <v>65</v>
      </c>
      <c r="F93" s="96"/>
    </row>
    <row r="94" spans="1:6" ht="26.25" customHeight="1">
      <c r="A94" s="8" t="s">
        <v>79</v>
      </c>
      <c r="B94" s="8" t="s">
        <v>97</v>
      </c>
      <c r="C94" s="6">
        <v>1</v>
      </c>
      <c r="D94" s="11" t="s">
        <v>104</v>
      </c>
      <c r="E94" s="15" t="s">
        <v>65</v>
      </c>
      <c r="F94" s="96"/>
    </row>
    <row r="95" spans="1:6" ht="26.25" customHeight="1">
      <c r="A95" s="8" t="s">
        <v>79</v>
      </c>
      <c r="B95" s="8" t="s">
        <v>97</v>
      </c>
      <c r="C95" s="6">
        <v>1</v>
      </c>
      <c r="D95" s="11" t="s">
        <v>107</v>
      </c>
      <c r="E95" s="15" t="s">
        <v>238</v>
      </c>
      <c r="F95" s="96"/>
    </row>
    <row r="96" spans="1:6" ht="26.25" customHeight="1">
      <c r="A96" s="8" t="s">
        <v>79</v>
      </c>
      <c r="B96" s="8" t="s">
        <v>97</v>
      </c>
      <c r="C96" s="6">
        <v>1</v>
      </c>
      <c r="D96" s="11" t="s">
        <v>109</v>
      </c>
      <c r="E96" s="15" t="s">
        <v>103</v>
      </c>
      <c r="F96" s="96"/>
    </row>
    <row r="97" spans="1:6" ht="26.25" customHeight="1">
      <c r="A97" s="8" t="s">
        <v>79</v>
      </c>
      <c r="B97" s="8" t="s">
        <v>97</v>
      </c>
      <c r="C97" s="6">
        <v>1</v>
      </c>
      <c r="D97" s="11" t="s">
        <v>111</v>
      </c>
      <c r="E97" s="15" t="s">
        <v>31</v>
      </c>
      <c r="F97" s="96"/>
    </row>
    <row r="98" spans="1:6" ht="26.25" customHeight="1">
      <c r="A98" s="8" t="s">
        <v>113</v>
      </c>
      <c r="B98" s="8" t="s">
        <v>114</v>
      </c>
      <c r="C98" s="6">
        <v>1</v>
      </c>
      <c r="D98" s="11" t="s">
        <v>116</v>
      </c>
      <c r="E98" s="15" t="s">
        <v>65</v>
      </c>
      <c r="F98" s="96"/>
    </row>
    <row r="99" spans="1:6" ht="26.25" customHeight="1">
      <c r="A99" s="8" t="s">
        <v>113</v>
      </c>
      <c r="B99" s="8" t="s">
        <v>114</v>
      </c>
      <c r="C99" s="6">
        <v>1</v>
      </c>
      <c r="D99" s="11" t="s">
        <v>119</v>
      </c>
      <c r="E99" s="15" t="s">
        <v>238</v>
      </c>
      <c r="F99" s="96"/>
    </row>
    <row r="100" spans="1:6" ht="26.25" customHeight="1">
      <c r="A100" s="8" t="s">
        <v>113</v>
      </c>
      <c r="B100" s="8" t="s">
        <v>114</v>
      </c>
      <c r="C100" s="6">
        <v>1</v>
      </c>
      <c r="D100" s="11" t="s">
        <v>121</v>
      </c>
      <c r="E100" s="15" t="s">
        <v>238</v>
      </c>
      <c r="F100" s="96"/>
    </row>
    <row r="101" spans="1:6" ht="26.25" customHeight="1">
      <c r="A101" s="8" t="s">
        <v>113</v>
      </c>
      <c r="B101" s="8" t="s">
        <v>114</v>
      </c>
      <c r="C101" s="6">
        <v>1</v>
      </c>
      <c r="D101" s="11" t="s">
        <v>123</v>
      </c>
      <c r="E101" s="15" t="s">
        <v>103</v>
      </c>
      <c r="F101" s="96"/>
    </row>
    <row r="102" spans="1:6" ht="26.25" customHeight="1">
      <c r="A102" s="8" t="s">
        <v>113</v>
      </c>
      <c r="B102" s="8" t="s">
        <v>114</v>
      </c>
      <c r="C102" s="6">
        <v>1</v>
      </c>
      <c r="D102" s="11" t="s">
        <v>125</v>
      </c>
      <c r="E102" s="15" t="s">
        <v>31</v>
      </c>
      <c r="F102" s="96"/>
    </row>
    <row r="103" spans="1:6" ht="26.25" customHeight="1">
      <c r="A103" s="8" t="s">
        <v>113</v>
      </c>
      <c r="B103" s="8" t="s">
        <v>114</v>
      </c>
      <c r="C103" s="6">
        <v>1</v>
      </c>
      <c r="D103" s="11" t="s">
        <v>127</v>
      </c>
      <c r="E103" s="15" t="s">
        <v>155</v>
      </c>
      <c r="F103" s="96"/>
    </row>
    <row r="104" spans="1:6" ht="26.25" customHeight="1">
      <c r="A104" s="8" t="s">
        <v>140</v>
      </c>
      <c r="B104" s="8" t="s">
        <v>141</v>
      </c>
      <c r="C104" s="6">
        <v>1</v>
      </c>
      <c r="D104" s="11" t="s">
        <v>146</v>
      </c>
      <c r="E104" s="15" t="s">
        <v>65</v>
      </c>
      <c r="F104" s="96"/>
    </row>
    <row r="105" spans="1:6" ht="26.25" customHeight="1">
      <c r="A105" s="8" t="s">
        <v>140</v>
      </c>
      <c r="B105" s="8" t="s">
        <v>141</v>
      </c>
      <c r="C105" s="6">
        <v>1</v>
      </c>
      <c r="D105" s="11" t="s">
        <v>148</v>
      </c>
      <c r="E105" s="15" t="s">
        <v>65</v>
      </c>
      <c r="F105" s="96"/>
    </row>
    <row r="106" spans="1:6" ht="26.25" customHeight="1">
      <c r="A106" s="8" t="s">
        <v>140</v>
      </c>
      <c r="B106" s="8" t="s">
        <v>141</v>
      </c>
      <c r="C106" s="6">
        <v>1</v>
      </c>
      <c r="D106" s="11" t="s">
        <v>153</v>
      </c>
      <c r="E106" s="15" t="s">
        <v>31</v>
      </c>
      <c r="F106" s="96"/>
    </row>
    <row r="107" spans="1:6" ht="26.25" customHeight="1">
      <c r="A107" s="8" t="s">
        <v>140</v>
      </c>
      <c r="B107" s="8" t="s">
        <v>141</v>
      </c>
      <c r="C107" s="6">
        <v>1</v>
      </c>
      <c r="D107" s="11" t="s">
        <v>158</v>
      </c>
      <c r="E107" s="15" t="s">
        <v>238</v>
      </c>
      <c r="F107" s="96"/>
    </row>
    <row r="108" spans="1:6" ht="26.25" customHeight="1">
      <c r="A108" s="8" t="s">
        <v>140</v>
      </c>
      <c r="B108" s="8" t="s">
        <v>141</v>
      </c>
      <c r="C108" s="6">
        <v>1</v>
      </c>
      <c r="D108" s="11" t="s">
        <v>157</v>
      </c>
      <c r="E108" s="15" t="s">
        <v>31</v>
      </c>
      <c r="F108" s="96"/>
    </row>
    <row r="109" spans="1:6" ht="26.25" customHeight="1">
      <c r="A109" s="8" t="s">
        <v>140</v>
      </c>
      <c r="B109" s="8" t="s">
        <v>141</v>
      </c>
      <c r="C109" s="6">
        <v>1</v>
      </c>
      <c r="D109" s="11" t="s">
        <v>164</v>
      </c>
      <c r="E109" s="15" t="s">
        <v>103</v>
      </c>
      <c r="F109" s="96"/>
    </row>
    <row r="110" spans="1:6" ht="26.25" customHeight="1">
      <c r="A110" s="8" t="s">
        <v>165</v>
      </c>
      <c r="B110" s="8" t="s">
        <v>172</v>
      </c>
      <c r="C110" s="6">
        <v>1</v>
      </c>
      <c r="D110" s="11" t="s">
        <v>175</v>
      </c>
      <c r="E110" s="15" t="s">
        <v>65</v>
      </c>
      <c r="F110" s="96"/>
    </row>
    <row r="111" spans="1:6" ht="26.25" customHeight="1">
      <c r="A111" s="8" t="s">
        <v>165</v>
      </c>
      <c r="B111" s="8" t="s">
        <v>172</v>
      </c>
      <c r="C111" s="6">
        <v>1</v>
      </c>
      <c r="D111" s="11" t="s">
        <v>178</v>
      </c>
      <c r="E111" s="15" t="s">
        <v>65</v>
      </c>
      <c r="F111" s="96"/>
    </row>
    <row r="112" spans="1:6" ht="26.25" customHeight="1">
      <c r="A112" s="8" t="s">
        <v>165</v>
      </c>
      <c r="B112" s="8" t="s">
        <v>172</v>
      </c>
      <c r="C112" s="6">
        <v>1</v>
      </c>
      <c r="D112" s="11" t="s">
        <v>180</v>
      </c>
      <c r="E112" s="15" t="s">
        <v>65</v>
      </c>
      <c r="F112" s="96"/>
    </row>
    <row r="113" spans="1:8" ht="26.25" customHeight="1">
      <c r="A113" s="8" t="s">
        <v>165</v>
      </c>
      <c r="B113" s="8" t="s">
        <v>183</v>
      </c>
      <c r="C113" s="6">
        <v>1</v>
      </c>
      <c r="D113" s="11" t="s">
        <v>187</v>
      </c>
      <c r="E113" s="15" t="s">
        <v>65</v>
      </c>
      <c r="F113" s="96"/>
    </row>
    <row r="114" spans="1:8" ht="26.25" customHeight="1">
      <c r="A114" s="8" t="s">
        <v>165</v>
      </c>
      <c r="B114" s="8" t="s">
        <v>172</v>
      </c>
      <c r="C114" s="6">
        <v>1</v>
      </c>
      <c r="D114" s="11" t="s">
        <v>192</v>
      </c>
      <c r="E114" s="15" t="s">
        <v>103</v>
      </c>
      <c r="F114" s="96"/>
    </row>
    <row r="115" spans="1:8" ht="26.25" customHeight="1">
      <c r="A115" s="8" t="s">
        <v>165</v>
      </c>
      <c r="B115" s="8" t="s">
        <v>29</v>
      </c>
      <c r="C115" s="6">
        <v>1</v>
      </c>
      <c r="D115" s="11" t="s">
        <v>195</v>
      </c>
      <c r="E115" s="15" t="s">
        <v>31</v>
      </c>
      <c r="F115" s="96"/>
    </row>
    <row r="116" spans="1:8" ht="26.25" customHeight="1">
      <c r="A116" s="15" t="s">
        <v>176</v>
      </c>
      <c r="B116" s="8" t="s">
        <v>210</v>
      </c>
      <c r="C116" s="6">
        <v>1</v>
      </c>
      <c r="D116" s="7" t="s">
        <v>215</v>
      </c>
      <c r="E116" s="15" t="s">
        <v>65</v>
      </c>
      <c r="F116" s="96"/>
    </row>
    <row r="117" spans="1:8" ht="26.25" customHeight="1">
      <c r="A117" s="15" t="s">
        <v>176</v>
      </c>
      <c r="B117" s="8" t="s">
        <v>210</v>
      </c>
      <c r="C117" s="6">
        <v>1</v>
      </c>
      <c r="D117" s="7" t="s">
        <v>217</v>
      </c>
      <c r="E117" s="15" t="s">
        <v>65</v>
      </c>
      <c r="F117" s="96"/>
    </row>
    <row r="118" spans="1:8" ht="26.25" customHeight="1">
      <c r="A118" s="15" t="s">
        <v>176</v>
      </c>
      <c r="B118" s="8" t="s">
        <v>210</v>
      </c>
      <c r="C118" s="6">
        <v>1</v>
      </c>
      <c r="D118" s="7" t="s">
        <v>219</v>
      </c>
      <c r="E118" s="15" t="s">
        <v>65</v>
      </c>
      <c r="F118" s="96"/>
    </row>
    <row r="119" spans="1:8" ht="26.25" customHeight="1">
      <c r="A119" s="15" t="s">
        <v>176</v>
      </c>
      <c r="B119" s="8" t="s">
        <v>210</v>
      </c>
      <c r="C119" s="6">
        <v>1</v>
      </c>
      <c r="D119" s="7" t="s">
        <v>222</v>
      </c>
      <c r="E119" s="15" t="s">
        <v>238</v>
      </c>
      <c r="F119" s="96"/>
    </row>
    <row r="120" spans="1:8" ht="26.25" customHeight="1">
      <c r="A120" s="15" t="s">
        <v>176</v>
      </c>
      <c r="B120" s="8" t="s">
        <v>210</v>
      </c>
      <c r="C120" s="6">
        <v>1</v>
      </c>
      <c r="D120" s="7" t="s">
        <v>224</v>
      </c>
      <c r="E120" s="15" t="s">
        <v>103</v>
      </c>
      <c r="F120" s="96"/>
    </row>
    <row r="121" spans="1:8" ht="26.25" customHeight="1">
      <c r="A121" s="15" t="s">
        <v>176</v>
      </c>
      <c r="B121" s="8" t="s">
        <v>210</v>
      </c>
      <c r="C121" s="6">
        <v>1</v>
      </c>
      <c r="D121" s="11" t="s">
        <v>227</v>
      </c>
      <c r="E121" s="15" t="s">
        <v>374</v>
      </c>
      <c r="F121" s="96" t="s">
        <v>2465</v>
      </c>
      <c r="G121" s="96"/>
      <c r="H121" s="96" t="s">
        <v>2469</v>
      </c>
    </row>
    <row r="122" spans="1:8" ht="26.25" customHeight="1">
      <c r="A122" s="8" t="s">
        <v>196</v>
      </c>
      <c r="B122" s="8" t="s">
        <v>241</v>
      </c>
      <c r="C122" s="6">
        <v>1</v>
      </c>
      <c r="D122" s="11" t="s">
        <v>242</v>
      </c>
      <c r="E122" s="15" t="s">
        <v>238</v>
      </c>
      <c r="F122" s="96"/>
    </row>
    <row r="123" spans="1:8" ht="26.25" customHeight="1">
      <c r="A123" s="8" t="s">
        <v>196</v>
      </c>
      <c r="B123" s="8" t="s">
        <v>241</v>
      </c>
      <c r="C123" s="6">
        <v>1</v>
      </c>
      <c r="D123" s="11" t="s">
        <v>247</v>
      </c>
      <c r="E123" s="15" t="s">
        <v>65</v>
      </c>
      <c r="F123" s="96"/>
    </row>
    <row r="124" spans="1:8" ht="26.25" customHeight="1">
      <c r="A124" s="8" t="s">
        <v>196</v>
      </c>
      <c r="B124" s="8" t="s">
        <v>241</v>
      </c>
      <c r="C124" s="6">
        <v>1</v>
      </c>
      <c r="D124" s="11" t="s">
        <v>249</v>
      </c>
      <c r="E124" s="15" t="s">
        <v>31</v>
      </c>
      <c r="F124" s="96"/>
    </row>
    <row r="125" spans="1:8" ht="26.25" customHeight="1">
      <c r="A125" s="8" t="s">
        <v>196</v>
      </c>
      <c r="B125" s="8" t="s">
        <v>241</v>
      </c>
      <c r="C125" s="6">
        <v>1</v>
      </c>
      <c r="D125" s="11" t="s">
        <v>250</v>
      </c>
      <c r="E125" s="15" t="s">
        <v>65</v>
      </c>
      <c r="F125" s="96"/>
    </row>
    <row r="126" spans="1:8" ht="26.25" customHeight="1">
      <c r="A126" s="8" t="s">
        <v>196</v>
      </c>
      <c r="B126" s="8" t="s">
        <v>241</v>
      </c>
      <c r="C126" s="6">
        <v>1</v>
      </c>
      <c r="D126" s="11" t="s">
        <v>254</v>
      </c>
      <c r="E126" s="15" t="s">
        <v>103</v>
      </c>
      <c r="F126" s="96"/>
    </row>
    <row r="127" spans="1:8" ht="26.25" customHeight="1">
      <c r="A127" s="8" t="s">
        <v>196</v>
      </c>
      <c r="B127" s="8" t="s">
        <v>241</v>
      </c>
      <c r="C127" s="6">
        <v>1</v>
      </c>
      <c r="D127" s="11" t="s">
        <v>255</v>
      </c>
      <c r="E127" s="15" t="s">
        <v>408</v>
      </c>
      <c r="F127" s="96"/>
    </row>
    <row r="128" spans="1:8" ht="26.25" customHeight="1">
      <c r="A128" s="8" t="s">
        <v>67</v>
      </c>
      <c r="B128" s="8" t="s">
        <v>258</v>
      </c>
      <c r="C128" s="6">
        <v>1</v>
      </c>
      <c r="D128" s="7" t="s">
        <v>260</v>
      </c>
      <c r="E128" s="15" t="s">
        <v>155</v>
      </c>
      <c r="F128" s="96"/>
    </row>
    <row r="129" spans="1:8" ht="26.25" customHeight="1">
      <c r="A129" s="8" t="s">
        <v>67</v>
      </c>
      <c r="B129" s="8" t="s">
        <v>258</v>
      </c>
      <c r="C129" s="6">
        <v>1</v>
      </c>
      <c r="D129" s="7" t="s">
        <v>264</v>
      </c>
      <c r="E129" s="15" t="s">
        <v>374</v>
      </c>
      <c r="F129" s="96" t="s">
        <v>2476</v>
      </c>
      <c r="G129" s="96"/>
      <c r="H129" s="96" t="s">
        <v>2282</v>
      </c>
    </row>
    <row r="130" spans="1:8" ht="26.25" customHeight="1">
      <c r="A130" s="8" t="s">
        <v>67</v>
      </c>
      <c r="B130" s="8" t="s">
        <v>265</v>
      </c>
      <c r="C130" s="6">
        <v>1</v>
      </c>
      <c r="D130" s="54" t="s">
        <v>269</v>
      </c>
      <c r="E130" s="15" t="s">
        <v>374</v>
      </c>
      <c r="F130" s="96" t="s">
        <v>2465</v>
      </c>
      <c r="G130" s="96"/>
      <c r="H130" s="96" t="s">
        <v>2481</v>
      </c>
    </row>
    <row r="131" spans="1:8" ht="26.25" customHeight="1">
      <c r="A131" s="8" t="s">
        <v>67</v>
      </c>
      <c r="B131" s="8" t="s">
        <v>265</v>
      </c>
      <c r="C131" s="6">
        <v>1</v>
      </c>
      <c r="D131" s="55" t="s">
        <v>273</v>
      </c>
      <c r="E131" s="15" t="s">
        <v>374</v>
      </c>
      <c r="F131" s="96" t="s">
        <v>2465</v>
      </c>
      <c r="G131" s="96"/>
      <c r="H131" s="96" t="s">
        <v>2481</v>
      </c>
    </row>
    <row r="132" spans="1:8" ht="26.25" customHeight="1">
      <c r="A132" s="15" t="s">
        <v>67</v>
      </c>
      <c r="B132" s="15" t="s">
        <v>275</v>
      </c>
      <c r="C132" s="6">
        <v>1</v>
      </c>
      <c r="D132" s="55" t="s">
        <v>277</v>
      </c>
      <c r="E132" s="15" t="s">
        <v>155</v>
      </c>
      <c r="F132" s="96"/>
    </row>
    <row r="133" spans="1:8" ht="26.25" customHeight="1">
      <c r="A133" s="8" t="s">
        <v>67</v>
      </c>
      <c r="B133" s="8" t="s">
        <v>278</v>
      </c>
      <c r="C133" s="6">
        <v>1</v>
      </c>
      <c r="D133" s="11" t="s">
        <v>281</v>
      </c>
      <c r="E133" s="15" t="s">
        <v>155</v>
      </c>
      <c r="F133" s="96"/>
    </row>
    <row r="134" spans="1:8" ht="26.25" customHeight="1">
      <c r="A134" s="8" t="s">
        <v>67</v>
      </c>
      <c r="B134" s="8" t="s">
        <v>278</v>
      </c>
      <c r="C134" s="6">
        <v>1</v>
      </c>
      <c r="D134" s="11" t="s">
        <v>285</v>
      </c>
      <c r="E134" s="15" t="s">
        <v>374</v>
      </c>
      <c r="F134" s="96" t="s">
        <v>2476</v>
      </c>
      <c r="G134" s="96"/>
      <c r="H134" s="96" t="s">
        <v>1782</v>
      </c>
    </row>
    <row r="135" spans="1:8" ht="26.25" customHeight="1">
      <c r="A135" s="8" t="s">
        <v>81</v>
      </c>
      <c r="B135" s="8" t="s">
        <v>286</v>
      </c>
      <c r="C135" s="6">
        <v>1</v>
      </c>
      <c r="D135" s="20" t="s">
        <v>289</v>
      </c>
      <c r="E135" s="15" t="s">
        <v>155</v>
      </c>
      <c r="F135" s="96"/>
    </row>
    <row r="136" spans="1:8" ht="26.25" customHeight="1">
      <c r="A136" s="8" t="s">
        <v>81</v>
      </c>
      <c r="B136" s="8" t="s">
        <v>286</v>
      </c>
      <c r="C136" s="6">
        <v>1</v>
      </c>
      <c r="D136" s="20" t="s">
        <v>293</v>
      </c>
      <c r="E136" s="15" t="s">
        <v>374</v>
      </c>
      <c r="F136" s="96" t="s">
        <v>2476</v>
      </c>
      <c r="G136" s="96"/>
      <c r="H136" s="96" t="s">
        <v>1782</v>
      </c>
    </row>
    <row r="137" spans="1:8" ht="26.25" customHeight="1">
      <c r="A137" s="8" t="s">
        <v>81</v>
      </c>
      <c r="B137" s="8" t="s">
        <v>294</v>
      </c>
      <c r="C137" s="6">
        <v>1</v>
      </c>
      <c r="D137" s="20" t="s">
        <v>297</v>
      </c>
      <c r="E137" s="15" t="s">
        <v>155</v>
      </c>
      <c r="F137" s="96"/>
    </row>
    <row r="138" spans="1:8" ht="26.25" customHeight="1">
      <c r="A138" s="15" t="s">
        <v>140</v>
      </c>
      <c r="B138" s="15" t="s">
        <v>299</v>
      </c>
      <c r="C138" s="6">
        <v>1</v>
      </c>
      <c r="D138" s="20" t="s">
        <v>301</v>
      </c>
      <c r="E138" s="15" t="s">
        <v>155</v>
      </c>
      <c r="F138" s="96"/>
    </row>
    <row r="139" spans="1:8" ht="26.25" customHeight="1">
      <c r="A139" s="8" t="s">
        <v>140</v>
      </c>
      <c r="B139" s="8" t="s">
        <v>299</v>
      </c>
      <c r="C139" s="6">
        <v>1</v>
      </c>
      <c r="D139" s="20" t="s">
        <v>304</v>
      </c>
      <c r="E139" s="15" t="s">
        <v>374</v>
      </c>
      <c r="F139" s="96" t="s">
        <v>2476</v>
      </c>
      <c r="G139" s="96"/>
      <c r="H139" s="96" t="s">
        <v>1782</v>
      </c>
    </row>
    <row r="140" spans="1:8" ht="26.25" customHeight="1">
      <c r="A140" s="8" t="s">
        <v>268</v>
      </c>
      <c r="B140" s="8" t="s">
        <v>40</v>
      </c>
      <c r="C140" s="6">
        <v>2</v>
      </c>
      <c r="D140" s="20" t="s">
        <v>45</v>
      </c>
      <c r="E140" s="15" t="s">
        <v>351</v>
      </c>
      <c r="F140" s="96"/>
    </row>
    <row r="141" spans="1:8" ht="26.25" customHeight="1">
      <c r="A141" s="8" t="s">
        <v>268</v>
      </c>
      <c r="B141" s="8" t="s">
        <v>29</v>
      </c>
      <c r="C141" s="6">
        <v>2</v>
      </c>
      <c r="D141" s="20" t="s">
        <v>30</v>
      </c>
      <c r="E141" s="15" t="s">
        <v>207</v>
      </c>
      <c r="F141" s="96" t="s">
        <v>1519</v>
      </c>
    </row>
    <row r="142" spans="1:8" ht="26.25" customHeight="1">
      <c r="A142" s="8" t="s">
        <v>268</v>
      </c>
      <c r="B142" s="8" t="s">
        <v>29</v>
      </c>
      <c r="C142" s="6">
        <v>2</v>
      </c>
      <c r="D142" s="20" t="s">
        <v>32</v>
      </c>
      <c r="E142" s="15" t="s">
        <v>207</v>
      </c>
      <c r="F142" s="96"/>
    </row>
    <row r="143" spans="1:8" ht="26.25" customHeight="1">
      <c r="A143" s="8" t="s">
        <v>268</v>
      </c>
      <c r="B143" s="8" t="s">
        <v>18</v>
      </c>
      <c r="C143" s="6">
        <v>2</v>
      </c>
      <c r="D143" s="20" t="s">
        <v>444</v>
      </c>
      <c r="E143" s="15" t="s">
        <v>271</v>
      </c>
      <c r="F143" s="96" t="s">
        <v>1519</v>
      </c>
    </row>
    <row r="144" spans="1:8" ht="26.25" customHeight="1">
      <c r="A144" s="8" t="s">
        <v>268</v>
      </c>
      <c r="B144" s="8" t="s">
        <v>23</v>
      </c>
      <c r="C144" s="6">
        <v>2</v>
      </c>
      <c r="D144" s="20" t="s">
        <v>447</v>
      </c>
      <c r="E144" s="15" t="s">
        <v>207</v>
      </c>
      <c r="F144" s="96" t="s">
        <v>1519</v>
      </c>
    </row>
    <row r="145" spans="1:6" ht="26.25" customHeight="1">
      <c r="A145" s="8" t="s">
        <v>268</v>
      </c>
      <c r="B145" s="8" t="s">
        <v>23</v>
      </c>
      <c r="C145" s="6">
        <v>2</v>
      </c>
      <c r="D145" s="20" t="s">
        <v>27</v>
      </c>
      <c r="E145" s="15" t="s">
        <v>155</v>
      </c>
      <c r="F145" s="96"/>
    </row>
    <row r="146" spans="1:6" ht="26.25" customHeight="1">
      <c r="A146" s="8" t="s">
        <v>268</v>
      </c>
      <c r="B146" s="8" t="s">
        <v>23</v>
      </c>
      <c r="C146" s="6">
        <v>2</v>
      </c>
      <c r="D146" s="20" t="s">
        <v>24</v>
      </c>
      <c r="E146" s="15" t="s">
        <v>374</v>
      </c>
      <c r="F146" s="96"/>
    </row>
    <row r="147" spans="1:6" ht="26.25" customHeight="1">
      <c r="A147" s="8" t="s">
        <v>268</v>
      </c>
      <c r="B147" s="8" t="s">
        <v>23</v>
      </c>
      <c r="C147" s="6">
        <v>2</v>
      </c>
      <c r="D147" s="20" t="s">
        <v>28</v>
      </c>
      <c r="E147" s="15" t="s">
        <v>207</v>
      </c>
      <c r="F147" s="96"/>
    </row>
    <row r="148" spans="1:6" ht="26.25" customHeight="1">
      <c r="A148" s="8" t="s">
        <v>268</v>
      </c>
      <c r="B148" s="8" t="s">
        <v>40</v>
      </c>
      <c r="C148" s="6">
        <v>2</v>
      </c>
      <c r="D148" s="70" t="s">
        <v>454</v>
      </c>
      <c r="E148" s="15" t="s">
        <v>491</v>
      </c>
      <c r="F148" s="96" t="s">
        <v>1519</v>
      </c>
    </row>
    <row r="149" spans="1:6" ht="26.25" customHeight="1">
      <c r="A149" s="8" t="s">
        <v>268</v>
      </c>
      <c r="B149" s="8" t="s">
        <v>40</v>
      </c>
      <c r="C149" s="6">
        <v>2</v>
      </c>
      <c r="D149" s="20" t="s">
        <v>54</v>
      </c>
      <c r="E149" s="15" t="s">
        <v>65</v>
      </c>
      <c r="F149" s="96"/>
    </row>
    <row r="150" spans="1:6" ht="26.25" customHeight="1">
      <c r="A150" s="8" t="s">
        <v>268</v>
      </c>
      <c r="B150" s="8" t="s">
        <v>40</v>
      </c>
      <c r="C150" s="6">
        <v>2</v>
      </c>
      <c r="D150" s="20" t="s">
        <v>55</v>
      </c>
      <c r="E150" s="15" t="s">
        <v>103</v>
      </c>
      <c r="F150" s="96"/>
    </row>
    <row r="151" spans="1:6" ht="26.25" customHeight="1">
      <c r="A151" s="8" t="s">
        <v>268</v>
      </c>
      <c r="B151" s="8" t="s">
        <v>40</v>
      </c>
      <c r="C151" s="6">
        <v>2</v>
      </c>
      <c r="D151" s="70" t="s">
        <v>46</v>
      </c>
      <c r="E151" s="15" t="s">
        <v>493</v>
      </c>
      <c r="F151" s="96" t="s">
        <v>1519</v>
      </c>
    </row>
    <row r="152" spans="1:6" ht="26.25" customHeight="1">
      <c r="A152" s="8" t="s">
        <v>268</v>
      </c>
      <c r="B152" s="8" t="s">
        <v>40</v>
      </c>
      <c r="C152" s="6">
        <v>2</v>
      </c>
      <c r="D152" s="70" t="s">
        <v>47</v>
      </c>
      <c r="E152" s="15" t="s">
        <v>493</v>
      </c>
      <c r="F152" s="96"/>
    </row>
    <row r="153" spans="1:6" ht="26.25" customHeight="1">
      <c r="A153" s="8" t="s">
        <v>268</v>
      </c>
      <c r="B153" s="8" t="s">
        <v>40</v>
      </c>
      <c r="C153" s="6">
        <v>2</v>
      </c>
      <c r="D153" s="70" t="s">
        <v>48</v>
      </c>
      <c r="E153" s="15" t="s">
        <v>493</v>
      </c>
      <c r="F153" s="96"/>
    </row>
    <row r="154" spans="1:6" ht="26.25" customHeight="1">
      <c r="A154" s="8" t="s">
        <v>268</v>
      </c>
      <c r="B154" s="8" t="s">
        <v>40</v>
      </c>
      <c r="C154" s="6">
        <v>2</v>
      </c>
      <c r="D154" s="75" t="s">
        <v>463</v>
      </c>
      <c r="E154" s="15" t="s">
        <v>238</v>
      </c>
      <c r="F154" s="96"/>
    </row>
    <row r="155" spans="1:6" ht="26.25" customHeight="1">
      <c r="A155" s="8" t="s">
        <v>268</v>
      </c>
      <c r="B155" s="8" t="s">
        <v>29</v>
      </c>
      <c r="C155" s="6">
        <v>2</v>
      </c>
      <c r="D155" s="70" t="s">
        <v>33</v>
      </c>
      <c r="E155" s="15" t="s">
        <v>155</v>
      </c>
      <c r="F155" s="96"/>
    </row>
    <row r="156" spans="1:6" ht="26.25" customHeight="1">
      <c r="A156" s="8" t="s">
        <v>268</v>
      </c>
      <c r="B156" s="8" t="s">
        <v>29</v>
      </c>
      <c r="C156" s="6">
        <v>2</v>
      </c>
      <c r="D156" s="70" t="s">
        <v>429</v>
      </c>
      <c r="E156" s="15" t="s">
        <v>31</v>
      </c>
      <c r="F156" s="96"/>
    </row>
    <row r="157" spans="1:6" ht="26.25" customHeight="1">
      <c r="A157" s="15" t="s">
        <v>176</v>
      </c>
      <c r="B157" s="15" t="s">
        <v>82</v>
      </c>
      <c r="C157" s="6">
        <v>1</v>
      </c>
      <c r="D157" s="20" t="s">
        <v>231</v>
      </c>
      <c r="E157" s="15" t="s">
        <v>155</v>
      </c>
      <c r="F157" s="96"/>
    </row>
    <row r="158" spans="1:6" ht="26.25" customHeight="1">
      <c r="A158" s="17" t="s">
        <v>176</v>
      </c>
      <c r="B158" s="17" t="s">
        <v>210</v>
      </c>
      <c r="C158" s="48">
        <v>1</v>
      </c>
      <c r="D158" s="20" t="s">
        <v>239</v>
      </c>
      <c r="E158" s="86" t="s">
        <v>238</v>
      </c>
      <c r="F158" s="96"/>
    </row>
    <row r="159" spans="1:6" ht="26.25" customHeight="1">
      <c r="A159" s="15" t="s">
        <v>165</v>
      </c>
      <c r="B159" s="15" t="s">
        <v>183</v>
      </c>
      <c r="C159" s="6">
        <v>1</v>
      </c>
      <c r="D159" s="20" t="s">
        <v>206</v>
      </c>
      <c r="E159" s="15" t="s">
        <v>155</v>
      </c>
      <c r="F159" s="96"/>
    </row>
    <row r="160" spans="1:6" ht="26.25" customHeight="1">
      <c r="A160" s="8" t="s">
        <v>198</v>
      </c>
      <c r="B160" s="8" t="s">
        <v>356</v>
      </c>
      <c r="C160" s="6">
        <v>2</v>
      </c>
      <c r="D160" s="20" t="s">
        <v>363</v>
      </c>
      <c r="E160" s="15" t="s">
        <v>155</v>
      </c>
      <c r="F160" s="96"/>
    </row>
    <row r="161" spans="1:8" ht="26.25" customHeight="1">
      <c r="A161" s="8" t="s">
        <v>196</v>
      </c>
      <c r="B161" s="8" t="s">
        <v>241</v>
      </c>
      <c r="C161" s="6">
        <v>1</v>
      </c>
      <c r="D161" s="20" t="s">
        <v>256</v>
      </c>
      <c r="E161" s="15" t="s">
        <v>238</v>
      </c>
      <c r="F161" s="96"/>
    </row>
    <row r="162" spans="1:8" ht="26.25" customHeight="1">
      <c r="A162" s="8" t="s">
        <v>13</v>
      </c>
      <c r="B162" s="8" t="s">
        <v>15</v>
      </c>
      <c r="C162" s="6">
        <v>1</v>
      </c>
      <c r="D162" s="20" t="s">
        <v>64</v>
      </c>
      <c r="E162" s="15" t="s">
        <v>155</v>
      </c>
      <c r="F162" s="96"/>
    </row>
    <row r="163" spans="1:8" ht="26.25" customHeight="1">
      <c r="A163" s="8" t="s">
        <v>140</v>
      </c>
      <c r="B163" s="8" t="s">
        <v>306</v>
      </c>
      <c r="C163" s="6">
        <v>1</v>
      </c>
      <c r="D163" s="20" t="s">
        <v>307</v>
      </c>
      <c r="E163" s="15" t="s">
        <v>155</v>
      </c>
      <c r="F163" s="96"/>
    </row>
    <row r="164" spans="1:8" ht="26.25" customHeight="1">
      <c r="A164" s="8" t="s">
        <v>140</v>
      </c>
      <c r="B164" s="8" t="s">
        <v>141</v>
      </c>
      <c r="C164" s="6">
        <v>1</v>
      </c>
      <c r="D164" s="20" t="s">
        <v>168</v>
      </c>
      <c r="E164" s="15" t="s">
        <v>491</v>
      </c>
      <c r="F164" s="96"/>
    </row>
    <row r="165" spans="1:8" ht="26.25" customHeight="1">
      <c r="A165" s="8" t="s">
        <v>113</v>
      </c>
      <c r="B165" s="8" t="s">
        <v>114</v>
      </c>
      <c r="C165" s="6">
        <v>1</v>
      </c>
      <c r="D165" s="20" t="s">
        <v>132</v>
      </c>
      <c r="E165" s="15" t="s">
        <v>491</v>
      </c>
      <c r="F165" s="96"/>
    </row>
    <row r="166" spans="1:8" ht="26.25" hidden="1" customHeight="1">
      <c r="A166" s="8" t="s">
        <v>79</v>
      </c>
      <c r="B166" s="8" t="s">
        <v>1665</v>
      </c>
      <c r="C166" s="6">
        <v>1</v>
      </c>
      <c r="D166" s="54" t="s">
        <v>510</v>
      </c>
      <c r="E166" s="15" t="s">
        <v>128</v>
      </c>
      <c r="F166" s="96"/>
      <c r="G166" s="534" t="b">
        <v>0</v>
      </c>
    </row>
    <row r="167" spans="1:8" ht="26.25" hidden="1" customHeight="1">
      <c r="A167" s="8" t="s">
        <v>79</v>
      </c>
      <c r="B167" s="8" t="s">
        <v>1665</v>
      </c>
      <c r="C167" s="6">
        <v>1</v>
      </c>
      <c r="D167" s="55" t="s">
        <v>517</v>
      </c>
      <c r="E167" s="15" t="s">
        <v>128</v>
      </c>
      <c r="F167" s="96"/>
      <c r="G167" s="517"/>
    </row>
    <row r="168" spans="1:8" ht="26.25" hidden="1" customHeight="1">
      <c r="A168" s="8" t="s">
        <v>79</v>
      </c>
      <c r="B168" s="8" t="s">
        <v>1665</v>
      </c>
      <c r="C168" s="6">
        <v>1</v>
      </c>
      <c r="D168" s="55" t="s">
        <v>518</v>
      </c>
      <c r="E168" s="15" t="s">
        <v>128</v>
      </c>
      <c r="F168" s="96"/>
      <c r="G168" s="517"/>
    </row>
    <row r="169" spans="1:8" ht="26.25" hidden="1" customHeight="1">
      <c r="A169" s="8" t="s">
        <v>79</v>
      </c>
      <c r="B169" s="8" t="s">
        <v>15</v>
      </c>
      <c r="C169" s="6">
        <v>1</v>
      </c>
      <c r="D169" s="55" t="s">
        <v>519</v>
      </c>
      <c r="E169" s="15" t="s">
        <v>207</v>
      </c>
      <c r="F169" s="96" t="s">
        <v>2465</v>
      </c>
      <c r="G169" s="96"/>
      <c r="H169" s="96" t="s">
        <v>2481</v>
      </c>
    </row>
    <row r="170" spans="1:8" ht="26.25" hidden="1" customHeight="1">
      <c r="A170" s="8" t="s">
        <v>79</v>
      </c>
      <c r="B170" s="8" t="s">
        <v>15</v>
      </c>
      <c r="C170" s="6">
        <v>1</v>
      </c>
      <c r="D170" s="70" t="s">
        <v>521</v>
      </c>
      <c r="E170" s="15" t="s">
        <v>207</v>
      </c>
      <c r="F170" s="96" t="s">
        <v>2465</v>
      </c>
      <c r="G170" s="96"/>
      <c r="H170" s="96" t="s">
        <v>2481</v>
      </c>
    </row>
    <row r="171" spans="1:8" ht="26.25" hidden="1" customHeight="1">
      <c r="A171" s="8" t="s">
        <v>79</v>
      </c>
      <c r="B171" s="8" t="s">
        <v>15</v>
      </c>
      <c r="C171" s="6">
        <v>1</v>
      </c>
      <c r="D171" s="70" t="s">
        <v>522</v>
      </c>
      <c r="E171" s="15" t="s">
        <v>374</v>
      </c>
      <c r="F171" s="96" t="s">
        <v>2476</v>
      </c>
      <c r="G171" s="96"/>
      <c r="H171" s="96" t="s">
        <v>1782</v>
      </c>
    </row>
    <row r="172" spans="1:8" ht="26.25" hidden="1" customHeight="1">
      <c r="A172" s="8" t="s">
        <v>79</v>
      </c>
      <c r="B172" s="8" t="s">
        <v>15</v>
      </c>
      <c r="C172" s="6">
        <v>1</v>
      </c>
      <c r="D172" s="70" t="s">
        <v>524</v>
      </c>
      <c r="E172" s="15" t="s">
        <v>238</v>
      </c>
      <c r="F172" s="96"/>
      <c r="G172" s="31" t="b">
        <v>0</v>
      </c>
    </row>
    <row r="173" spans="1:8" ht="26.25" hidden="1" customHeight="1">
      <c r="A173" s="8" t="s">
        <v>79</v>
      </c>
      <c r="B173" s="8" t="s">
        <v>258</v>
      </c>
      <c r="C173" s="6">
        <v>1</v>
      </c>
      <c r="D173" s="70" t="s">
        <v>526</v>
      </c>
      <c r="E173" s="15" t="s">
        <v>238</v>
      </c>
      <c r="F173" s="96"/>
      <c r="G173" s="31" t="b">
        <v>0</v>
      </c>
    </row>
    <row r="174" spans="1:8" ht="26.25" hidden="1" customHeight="1">
      <c r="A174" s="8" t="s">
        <v>79</v>
      </c>
      <c r="B174" s="8" t="s">
        <v>258</v>
      </c>
      <c r="C174" s="6">
        <v>1</v>
      </c>
      <c r="D174" s="70" t="s">
        <v>528</v>
      </c>
      <c r="E174" s="15" t="s">
        <v>155</v>
      </c>
      <c r="F174" s="96"/>
      <c r="G174" s="31" t="b">
        <v>0</v>
      </c>
    </row>
    <row r="175" spans="1:8" ht="26.25" hidden="1" customHeight="1">
      <c r="A175" s="8" t="s">
        <v>79</v>
      </c>
      <c r="B175" s="8" t="s">
        <v>258</v>
      </c>
      <c r="C175" s="6">
        <v>1</v>
      </c>
      <c r="D175" s="70" t="s">
        <v>530</v>
      </c>
      <c r="E175" s="15" t="s">
        <v>374</v>
      </c>
      <c r="F175" s="96" t="s">
        <v>2476</v>
      </c>
      <c r="G175" s="96"/>
      <c r="H175" s="96" t="s">
        <v>1782</v>
      </c>
    </row>
    <row r="176" spans="1:8" ht="26.25" hidden="1" customHeight="1">
      <c r="A176" s="8" t="s">
        <v>79</v>
      </c>
      <c r="B176" s="8" t="s">
        <v>1723</v>
      </c>
      <c r="C176" s="6">
        <v>1</v>
      </c>
      <c r="D176" s="70" t="s">
        <v>531</v>
      </c>
      <c r="E176" s="15" t="s">
        <v>207</v>
      </c>
      <c r="F176" s="96" t="s">
        <v>2476</v>
      </c>
      <c r="G176" s="96"/>
      <c r="H176" s="96" t="s">
        <v>1782</v>
      </c>
    </row>
    <row r="177" spans="1:8" ht="26.25" hidden="1" customHeight="1">
      <c r="A177" s="8" t="s">
        <v>79</v>
      </c>
      <c r="B177" s="8" t="s">
        <v>1723</v>
      </c>
      <c r="C177" s="6">
        <v>1</v>
      </c>
      <c r="D177" s="70" t="s">
        <v>533</v>
      </c>
      <c r="E177" s="15" t="s">
        <v>207</v>
      </c>
      <c r="F177" s="96" t="s">
        <v>2476</v>
      </c>
      <c r="G177" s="96"/>
      <c r="H177" s="96" t="s">
        <v>1782</v>
      </c>
    </row>
    <row r="178" spans="1:8" ht="26.25" hidden="1" customHeight="1">
      <c r="A178" s="8" t="s">
        <v>79</v>
      </c>
      <c r="B178" s="8" t="s">
        <v>1723</v>
      </c>
      <c r="C178" s="6">
        <v>1</v>
      </c>
      <c r="D178" s="70" t="s">
        <v>83</v>
      </c>
      <c r="E178" s="15" t="s">
        <v>155</v>
      </c>
      <c r="F178" s="96"/>
      <c r="G178" s="38" t="b">
        <v>0</v>
      </c>
    </row>
    <row r="179" spans="1:8" ht="26.25" hidden="1" customHeight="1">
      <c r="A179" s="8" t="s">
        <v>13</v>
      </c>
      <c r="B179" s="8" t="s">
        <v>15</v>
      </c>
      <c r="C179" s="6">
        <v>1</v>
      </c>
      <c r="D179" s="70" t="s">
        <v>537</v>
      </c>
      <c r="E179" s="15" t="s">
        <v>207</v>
      </c>
      <c r="F179" s="96" t="s">
        <v>2465</v>
      </c>
      <c r="G179" s="96"/>
      <c r="H179" s="96" t="s">
        <v>2481</v>
      </c>
    </row>
    <row r="180" spans="1:8" ht="26.25" hidden="1" customHeight="1">
      <c r="A180" s="8" t="s">
        <v>13</v>
      </c>
      <c r="B180" s="8" t="s">
        <v>15</v>
      </c>
      <c r="C180" s="6">
        <v>1</v>
      </c>
      <c r="D180" s="70" t="s">
        <v>539</v>
      </c>
      <c r="E180" s="15" t="s">
        <v>207</v>
      </c>
      <c r="F180" s="96" t="s">
        <v>2465</v>
      </c>
      <c r="G180" s="96"/>
      <c r="H180" s="96" t="s">
        <v>2481</v>
      </c>
    </row>
    <row r="181" spans="1:8" ht="26.25" hidden="1" customHeight="1">
      <c r="A181" s="8" t="s">
        <v>13</v>
      </c>
      <c r="B181" s="8" t="s">
        <v>15</v>
      </c>
      <c r="C181" s="6">
        <v>1</v>
      </c>
      <c r="D181" s="70" t="s">
        <v>1778</v>
      </c>
      <c r="E181" s="15" t="s">
        <v>374</v>
      </c>
      <c r="F181" s="96" t="s">
        <v>2476</v>
      </c>
      <c r="G181" s="96"/>
      <c r="H181" s="96" t="s">
        <v>1782</v>
      </c>
    </row>
    <row r="182" spans="1:8" ht="26.25" hidden="1" customHeight="1">
      <c r="A182" s="8" t="s">
        <v>13</v>
      </c>
      <c r="B182" s="8" t="s">
        <v>1788</v>
      </c>
      <c r="C182" s="6">
        <v>1</v>
      </c>
      <c r="D182" s="117" t="s">
        <v>1789</v>
      </c>
      <c r="E182" s="15" t="s">
        <v>155</v>
      </c>
      <c r="F182" s="96"/>
      <c r="G182" s="31" t="b">
        <v>0</v>
      </c>
    </row>
    <row r="183" spans="1:8" ht="26.25" hidden="1" customHeight="1">
      <c r="A183" s="8" t="s">
        <v>13</v>
      </c>
      <c r="B183" s="8" t="s">
        <v>1788</v>
      </c>
      <c r="C183" s="6">
        <v>1</v>
      </c>
      <c r="D183" s="70" t="s">
        <v>544</v>
      </c>
      <c r="E183" s="15" t="s">
        <v>374</v>
      </c>
      <c r="F183" s="96" t="s">
        <v>2476</v>
      </c>
      <c r="G183" s="96"/>
      <c r="H183" s="96" t="s">
        <v>1782</v>
      </c>
    </row>
    <row r="184" spans="1:8" ht="26.25" hidden="1" customHeight="1">
      <c r="A184" s="8" t="s">
        <v>67</v>
      </c>
      <c r="B184" s="8" t="s">
        <v>1804</v>
      </c>
      <c r="C184" s="6">
        <v>1</v>
      </c>
      <c r="D184" s="70" t="s">
        <v>1805</v>
      </c>
      <c r="E184" s="15" t="s">
        <v>155</v>
      </c>
      <c r="F184" s="96"/>
      <c r="G184" s="38" t="b">
        <v>0</v>
      </c>
    </row>
    <row r="185" spans="1:8" ht="26.25" hidden="1" customHeight="1">
      <c r="A185" s="8" t="s">
        <v>67</v>
      </c>
      <c r="B185" s="8" t="s">
        <v>1804</v>
      </c>
      <c r="C185" s="6">
        <v>1</v>
      </c>
      <c r="D185" s="70" t="s">
        <v>1822</v>
      </c>
      <c r="E185" s="15" t="s">
        <v>155</v>
      </c>
      <c r="F185" s="96"/>
      <c r="G185" s="38" t="b">
        <v>0</v>
      </c>
    </row>
    <row r="186" spans="1:8" ht="26.25" hidden="1" customHeight="1">
      <c r="A186" s="8" t="s">
        <v>67</v>
      </c>
      <c r="B186" s="8" t="s">
        <v>1804</v>
      </c>
      <c r="C186" s="6">
        <v>1</v>
      </c>
      <c r="D186" s="70" t="s">
        <v>1826</v>
      </c>
      <c r="E186" s="15" t="s">
        <v>207</v>
      </c>
      <c r="F186" s="96" t="s">
        <v>2476</v>
      </c>
      <c r="G186" s="96"/>
      <c r="H186" s="96" t="s">
        <v>2080</v>
      </c>
    </row>
    <row r="187" spans="1:8" ht="26.25" hidden="1" customHeight="1">
      <c r="A187" s="8" t="s">
        <v>67</v>
      </c>
      <c r="B187" s="8" t="s">
        <v>1804</v>
      </c>
      <c r="C187" s="6">
        <v>1</v>
      </c>
      <c r="D187" s="70" t="s">
        <v>1834</v>
      </c>
      <c r="E187" s="15" t="s">
        <v>207</v>
      </c>
      <c r="F187" s="96" t="s">
        <v>2476</v>
      </c>
      <c r="G187" s="96"/>
      <c r="H187" s="96" t="s">
        <v>2080</v>
      </c>
    </row>
    <row r="188" spans="1:8" ht="26.25" hidden="1" customHeight="1">
      <c r="A188" s="8" t="s">
        <v>67</v>
      </c>
      <c r="B188" s="8" t="s">
        <v>1804</v>
      </c>
      <c r="C188" s="6">
        <v>1</v>
      </c>
      <c r="D188" s="70" t="s">
        <v>1835</v>
      </c>
      <c r="E188" s="15" t="s">
        <v>374</v>
      </c>
      <c r="F188" s="96" t="s">
        <v>2476</v>
      </c>
      <c r="G188" s="96"/>
      <c r="H188" s="96" t="s">
        <v>2080</v>
      </c>
    </row>
    <row r="189" spans="1:8" ht="26.25" hidden="1" customHeight="1">
      <c r="A189" s="8" t="s">
        <v>67</v>
      </c>
      <c r="B189" s="8" t="s">
        <v>1848</v>
      </c>
      <c r="C189" s="6">
        <v>1</v>
      </c>
      <c r="D189" s="50" t="s">
        <v>110</v>
      </c>
      <c r="E189" s="15" t="s">
        <v>553</v>
      </c>
      <c r="F189" s="96"/>
      <c r="G189" s="38" t="b">
        <v>0</v>
      </c>
    </row>
    <row r="190" spans="1:8" ht="26.25" hidden="1" customHeight="1">
      <c r="A190" s="8" t="s">
        <v>67</v>
      </c>
      <c r="B190" s="8" t="s">
        <v>1848</v>
      </c>
      <c r="C190" s="6">
        <v>1</v>
      </c>
      <c r="D190" s="50" t="s">
        <v>129</v>
      </c>
      <c r="E190" s="15" t="s">
        <v>553</v>
      </c>
      <c r="F190" s="96"/>
      <c r="G190" s="38" t="b">
        <v>0</v>
      </c>
    </row>
    <row r="191" spans="1:8" ht="26.25" hidden="1" customHeight="1">
      <c r="A191" s="8" t="s">
        <v>67</v>
      </c>
      <c r="B191" s="8" t="s">
        <v>1848</v>
      </c>
      <c r="C191" s="6">
        <v>1</v>
      </c>
      <c r="D191" s="50" t="s">
        <v>135</v>
      </c>
      <c r="E191" s="15" t="s">
        <v>553</v>
      </c>
      <c r="F191" s="96"/>
      <c r="G191" s="38" t="b">
        <v>0</v>
      </c>
    </row>
    <row r="192" spans="1:8" ht="26.25" hidden="1" customHeight="1">
      <c r="A192" s="8" t="s">
        <v>81</v>
      </c>
      <c r="B192" s="8" t="s">
        <v>1869</v>
      </c>
      <c r="C192" s="6">
        <v>1</v>
      </c>
      <c r="D192" s="70" t="s">
        <v>554</v>
      </c>
      <c r="E192" s="15" t="s">
        <v>155</v>
      </c>
      <c r="F192" s="96"/>
      <c r="G192" s="38" t="b">
        <v>0</v>
      </c>
    </row>
    <row r="193" spans="1:8" ht="26.25" hidden="1" customHeight="1">
      <c r="A193" s="8" t="s">
        <v>81</v>
      </c>
      <c r="B193" s="8" t="s">
        <v>1869</v>
      </c>
      <c r="C193" s="6">
        <v>1</v>
      </c>
      <c r="D193" s="70" t="s">
        <v>556</v>
      </c>
      <c r="E193" s="15" t="s">
        <v>374</v>
      </c>
      <c r="F193" s="96" t="s">
        <v>2476</v>
      </c>
      <c r="G193" s="96"/>
      <c r="H193" s="96" t="s">
        <v>1782</v>
      </c>
    </row>
    <row r="194" spans="1:8" ht="26.25" hidden="1" customHeight="1">
      <c r="A194" s="8" t="s">
        <v>81</v>
      </c>
      <c r="B194" s="8" t="s">
        <v>1889</v>
      </c>
      <c r="C194" s="6">
        <v>1</v>
      </c>
      <c r="D194" s="70" t="s">
        <v>1890</v>
      </c>
      <c r="E194" s="15" t="s">
        <v>155</v>
      </c>
      <c r="F194" s="96"/>
      <c r="G194" s="38" t="b">
        <v>0</v>
      </c>
    </row>
    <row r="195" spans="1:8" ht="26.25" hidden="1" customHeight="1">
      <c r="A195" s="8" t="s">
        <v>81</v>
      </c>
      <c r="B195" s="8" t="s">
        <v>1889</v>
      </c>
      <c r="C195" s="6">
        <v>1</v>
      </c>
      <c r="D195" s="70" t="s">
        <v>1900</v>
      </c>
      <c r="E195" s="15" t="s">
        <v>374</v>
      </c>
      <c r="F195" s="96" t="s">
        <v>2476</v>
      </c>
      <c r="G195" s="96"/>
      <c r="H195" s="96" t="s">
        <v>1782</v>
      </c>
    </row>
    <row r="196" spans="1:8" ht="26.25" hidden="1" customHeight="1">
      <c r="A196" s="8" t="s">
        <v>81</v>
      </c>
      <c r="B196" s="8" t="s">
        <v>283</v>
      </c>
      <c r="C196" s="6">
        <v>1</v>
      </c>
      <c r="D196" s="70" t="s">
        <v>137</v>
      </c>
      <c r="E196" s="15" t="s">
        <v>155</v>
      </c>
      <c r="F196" s="96"/>
      <c r="G196" s="38" t="b">
        <v>0</v>
      </c>
    </row>
    <row r="197" spans="1:8" ht="26.25" hidden="1" customHeight="1">
      <c r="A197" s="8" t="s">
        <v>81</v>
      </c>
      <c r="B197" s="8" t="s">
        <v>283</v>
      </c>
      <c r="C197" s="6">
        <v>1</v>
      </c>
      <c r="D197" s="70" t="s">
        <v>1925</v>
      </c>
      <c r="E197" s="15" t="s">
        <v>374</v>
      </c>
      <c r="F197" s="96" t="s">
        <v>2476</v>
      </c>
      <c r="G197" s="96"/>
      <c r="H197" s="96" t="s">
        <v>1782</v>
      </c>
    </row>
    <row r="198" spans="1:8" ht="26.25" hidden="1" customHeight="1">
      <c r="A198" s="8" t="s">
        <v>81</v>
      </c>
      <c r="B198" s="8" t="s">
        <v>1934</v>
      </c>
      <c r="C198" s="6">
        <v>1</v>
      </c>
      <c r="D198" s="70" t="s">
        <v>562</v>
      </c>
      <c r="E198" s="15" t="s">
        <v>207</v>
      </c>
      <c r="F198" s="96" t="s">
        <v>2465</v>
      </c>
      <c r="G198" s="96"/>
      <c r="H198" s="96" t="s">
        <v>2481</v>
      </c>
    </row>
    <row r="199" spans="1:8" ht="26.25" hidden="1" customHeight="1">
      <c r="A199" s="8" t="s">
        <v>81</v>
      </c>
      <c r="B199" s="8" t="s">
        <v>1934</v>
      </c>
      <c r="C199" s="6">
        <v>1</v>
      </c>
      <c r="D199" s="70" t="s">
        <v>149</v>
      </c>
      <c r="E199" s="13" t="s">
        <v>374</v>
      </c>
      <c r="F199" s="96" t="s">
        <v>2476</v>
      </c>
      <c r="G199" s="96"/>
      <c r="H199" s="96" t="s">
        <v>2080</v>
      </c>
    </row>
    <row r="200" spans="1:8" ht="26.25" hidden="1" customHeight="1">
      <c r="A200" s="8" t="s">
        <v>81</v>
      </c>
      <c r="B200" s="8" t="s">
        <v>1934</v>
      </c>
      <c r="C200" s="6">
        <v>1</v>
      </c>
      <c r="D200" s="70" t="s">
        <v>564</v>
      </c>
      <c r="E200" s="13" t="s">
        <v>207</v>
      </c>
      <c r="F200" s="96" t="s">
        <v>2465</v>
      </c>
      <c r="G200" s="96"/>
      <c r="H200" s="96" t="s">
        <v>2481</v>
      </c>
    </row>
    <row r="201" spans="1:8" ht="26.25" hidden="1" customHeight="1">
      <c r="A201" s="8" t="s">
        <v>113</v>
      </c>
      <c r="B201" s="8" t="s">
        <v>1959</v>
      </c>
      <c r="C201" s="6">
        <v>1</v>
      </c>
      <c r="D201" s="70" t="s">
        <v>565</v>
      </c>
      <c r="E201" s="15" t="s">
        <v>155</v>
      </c>
      <c r="F201" s="96"/>
      <c r="G201" s="38" t="b">
        <v>0</v>
      </c>
    </row>
    <row r="202" spans="1:8" ht="26.25" hidden="1" customHeight="1">
      <c r="A202" s="8" t="s">
        <v>113</v>
      </c>
      <c r="B202" s="8" t="s">
        <v>1959</v>
      </c>
      <c r="C202" s="6">
        <v>1</v>
      </c>
      <c r="D202" s="70" t="s">
        <v>568</v>
      </c>
      <c r="E202" s="15" t="s">
        <v>207</v>
      </c>
      <c r="F202" s="96" t="s">
        <v>2465</v>
      </c>
      <c r="G202" s="96"/>
      <c r="H202" s="96" t="s">
        <v>2481</v>
      </c>
    </row>
    <row r="203" spans="1:8" ht="26.25" hidden="1" customHeight="1">
      <c r="A203" s="8" t="s">
        <v>113</v>
      </c>
      <c r="B203" s="8" t="s">
        <v>1959</v>
      </c>
      <c r="C203" s="6">
        <v>1</v>
      </c>
      <c r="D203" s="70" t="s">
        <v>156</v>
      </c>
      <c r="E203" s="15" t="s">
        <v>374</v>
      </c>
      <c r="F203" s="96" t="s">
        <v>2476</v>
      </c>
      <c r="G203" s="96"/>
      <c r="H203" s="96" t="s">
        <v>1782</v>
      </c>
    </row>
    <row r="204" spans="1:8" ht="26.25" hidden="1" customHeight="1">
      <c r="A204" s="8" t="s">
        <v>113</v>
      </c>
      <c r="B204" s="8" t="s">
        <v>2000</v>
      </c>
      <c r="C204" s="6">
        <v>1</v>
      </c>
      <c r="D204" s="70" t="s">
        <v>2001</v>
      </c>
      <c r="E204" s="15" t="s">
        <v>553</v>
      </c>
      <c r="F204" s="96"/>
      <c r="G204" s="38" t="b">
        <v>0</v>
      </c>
    </row>
    <row r="205" spans="1:8" ht="26.25" hidden="1" customHeight="1">
      <c r="A205" s="8" t="s">
        <v>113</v>
      </c>
      <c r="B205" s="8" t="s">
        <v>2000</v>
      </c>
      <c r="C205" s="6">
        <v>1</v>
      </c>
      <c r="D205" s="70" t="s">
        <v>572</v>
      </c>
      <c r="E205" s="15" t="s">
        <v>207</v>
      </c>
      <c r="F205" s="96" t="s">
        <v>2476</v>
      </c>
      <c r="G205" s="96"/>
      <c r="H205" s="96" t="s">
        <v>1782</v>
      </c>
    </row>
    <row r="206" spans="1:8" ht="26.25" hidden="1" customHeight="1">
      <c r="A206" s="8" t="s">
        <v>113</v>
      </c>
      <c r="B206" s="8" t="s">
        <v>2000</v>
      </c>
      <c r="C206" s="6">
        <v>1</v>
      </c>
      <c r="D206" s="70" t="s">
        <v>574</v>
      </c>
      <c r="E206" s="15" t="s">
        <v>374</v>
      </c>
      <c r="F206" s="96" t="s">
        <v>2465</v>
      </c>
      <c r="G206" s="96"/>
      <c r="H206" s="96" t="s">
        <v>2481</v>
      </c>
    </row>
    <row r="207" spans="1:8" ht="26.25" hidden="1" customHeight="1">
      <c r="A207" s="8" t="s">
        <v>165</v>
      </c>
      <c r="B207" s="8" t="s">
        <v>1981</v>
      </c>
      <c r="C207" s="6">
        <v>1</v>
      </c>
      <c r="D207" s="70" t="s">
        <v>166</v>
      </c>
      <c r="E207" s="15" t="s">
        <v>155</v>
      </c>
      <c r="F207" s="96"/>
      <c r="G207" s="38" t="b">
        <v>0</v>
      </c>
    </row>
    <row r="208" spans="1:8" ht="26.25" hidden="1" customHeight="1">
      <c r="A208" s="8" t="s">
        <v>165</v>
      </c>
      <c r="B208" s="8" t="s">
        <v>1981</v>
      </c>
      <c r="C208" s="6">
        <v>1</v>
      </c>
      <c r="D208" s="70" t="s">
        <v>577</v>
      </c>
      <c r="E208" s="15" t="s">
        <v>374</v>
      </c>
      <c r="F208" s="96" t="s">
        <v>2465</v>
      </c>
      <c r="G208" s="96"/>
      <c r="H208" s="96" t="s">
        <v>2481</v>
      </c>
    </row>
    <row r="209" spans="1:8" ht="26.25" hidden="1" customHeight="1">
      <c r="A209" s="8" t="s">
        <v>165</v>
      </c>
      <c r="B209" s="8" t="s">
        <v>1981</v>
      </c>
      <c r="C209" s="6">
        <v>1</v>
      </c>
      <c r="D209" s="70" t="s">
        <v>170</v>
      </c>
      <c r="E209" s="15" t="s">
        <v>491</v>
      </c>
      <c r="F209" s="96"/>
      <c r="G209" s="38" t="b">
        <v>0</v>
      </c>
    </row>
    <row r="210" spans="1:8" ht="26.25" hidden="1" customHeight="1">
      <c r="A210" s="8" t="s">
        <v>165</v>
      </c>
      <c r="B210" s="8" t="s">
        <v>183</v>
      </c>
      <c r="C210" s="6">
        <v>1</v>
      </c>
      <c r="D210" s="70" t="s">
        <v>580</v>
      </c>
      <c r="E210" s="15" t="s">
        <v>207</v>
      </c>
      <c r="F210" s="96" t="s">
        <v>2465</v>
      </c>
      <c r="G210" s="96"/>
      <c r="H210" s="96" t="s">
        <v>2481</v>
      </c>
    </row>
    <row r="211" spans="1:8" ht="26.25" hidden="1" customHeight="1">
      <c r="A211" s="8" t="s">
        <v>165</v>
      </c>
      <c r="B211" s="8" t="s">
        <v>183</v>
      </c>
      <c r="C211" s="6">
        <v>1</v>
      </c>
      <c r="D211" s="70" t="s">
        <v>582</v>
      </c>
      <c r="E211" s="15" t="s">
        <v>207</v>
      </c>
      <c r="F211" s="96" t="s">
        <v>2465</v>
      </c>
      <c r="G211" s="96"/>
      <c r="H211" s="96" t="s">
        <v>2481</v>
      </c>
    </row>
    <row r="212" spans="1:8" ht="26.25" hidden="1" customHeight="1">
      <c r="A212" s="8" t="s">
        <v>165</v>
      </c>
      <c r="B212" s="8" t="s">
        <v>183</v>
      </c>
      <c r="C212" s="6">
        <v>1</v>
      </c>
      <c r="D212" s="70" t="s">
        <v>2071</v>
      </c>
      <c r="E212" s="15" t="s">
        <v>207</v>
      </c>
      <c r="F212" s="96" t="s">
        <v>2465</v>
      </c>
      <c r="G212" s="96"/>
      <c r="H212" s="96" t="s">
        <v>2481</v>
      </c>
    </row>
    <row r="213" spans="1:8" ht="26.25" hidden="1" customHeight="1">
      <c r="A213" s="8" t="s">
        <v>140</v>
      </c>
      <c r="B213" s="8" t="s">
        <v>2049</v>
      </c>
      <c r="C213" s="6">
        <v>1</v>
      </c>
      <c r="D213" s="70" t="s">
        <v>585</v>
      </c>
      <c r="E213" s="15" t="s">
        <v>207</v>
      </c>
      <c r="F213" s="96" t="s">
        <v>2465</v>
      </c>
      <c r="G213" s="96"/>
      <c r="H213" s="96" t="s">
        <v>2481</v>
      </c>
    </row>
    <row r="214" spans="1:8" ht="26.25" hidden="1" customHeight="1">
      <c r="A214" s="8" t="s">
        <v>140</v>
      </c>
      <c r="B214" s="8" t="s">
        <v>2049</v>
      </c>
      <c r="C214" s="6">
        <v>1</v>
      </c>
      <c r="D214" s="70" t="s">
        <v>587</v>
      </c>
      <c r="E214" s="15" t="s">
        <v>207</v>
      </c>
      <c r="F214" s="96" t="s">
        <v>2465</v>
      </c>
      <c r="G214" s="96"/>
      <c r="H214" s="96" t="s">
        <v>2481</v>
      </c>
    </row>
    <row r="215" spans="1:8" ht="26.25" hidden="1" customHeight="1">
      <c r="A215" s="8" t="s">
        <v>140</v>
      </c>
      <c r="B215" s="8" t="s">
        <v>2049</v>
      </c>
      <c r="C215" s="6">
        <v>1</v>
      </c>
      <c r="D215" s="70" t="s">
        <v>588</v>
      </c>
      <c r="E215" s="15" t="s">
        <v>155</v>
      </c>
      <c r="F215" s="96"/>
      <c r="G215" s="38" t="b">
        <v>0</v>
      </c>
    </row>
    <row r="216" spans="1:8" ht="26.25" hidden="1" customHeight="1">
      <c r="A216" s="8" t="s">
        <v>140</v>
      </c>
      <c r="B216" s="8" t="s">
        <v>2051</v>
      </c>
      <c r="C216" s="6">
        <v>1</v>
      </c>
      <c r="D216" s="70" t="s">
        <v>590</v>
      </c>
      <c r="E216" s="15" t="s">
        <v>207</v>
      </c>
      <c r="F216" s="96" t="s">
        <v>2465</v>
      </c>
      <c r="G216" s="96"/>
      <c r="H216" s="96" t="s">
        <v>2481</v>
      </c>
    </row>
    <row r="217" spans="1:8" ht="26.25" hidden="1" customHeight="1">
      <c r="A217" s="8" t="s">
        <v>140</v>
      </c>
      <c r="B217" s="8" t="s">
        <v>2051</v>
      </c>
      <c r="C217" s="6">
        <v>1</v>
      </c>
      <c r="D217" s="70" t="s">
        <v>592</v>
      </c>
      <c r="E217" s="15" t="s">
        <v>374</v>
      </c>
      <c r="F217" s="96" t="s">
        <v>2476</v>
      </c>
      <c r="G217" s="96"/>
      <c r="H217" s="96" t="s">
        <v>1782</v>
      </c>
    </row>
    <row r="218" spans="1:8" ht="26.25" hidden="1" customHeight="1">
      <c r="A218" s="8" t="s">
        <v>140</v>
      </c>
      <c r="B218" s="8" t="s">
        <v>2051</v>
      </c>
      <c r="C218" s="6">
        <v>1</v>
      </c>
      <c r="D218" s="70" t="s">
        <v>594</v>
      </c>
      <c r="E218" s="15" t="s">
        <v>155</v>
      </c>
      <c r="F218" s="96"/>
      <c r="G218" s="38" t="b">
        <v>0</v>
      </c>
    </row>
    <row r="219" spans="1:8" ht="26.25" hidden="1" customHeight="1">
      <c r="A219" s="4" t="s">
        <v>176</v>
      </c>
      <c r="B219" s="8" t="s">
        <v>210</v>
      </c>
      <c r="C219" s="6">
        <v>1</v>
      </c>
      <c r="D219" s="70" t="s">
        <v>179</v>
      </c>
      <c r="E219" s="15" t="s">
        <v>31</v>
      </c>
      <c r="F219" s="96"/>
      <c r="G219" s="38" t="b">
        <v>0</v>
      </c>
    </row>
    <row r="220" spans="1:8" ht="26.25" hidden="1" customHeight="1">
      <c r="A220" s="4" t="s">
        <v>176</v>
      </c>
      <c r="B220" s="8" t="s">
        <v>210</v>
      </c>
      <c r="C220" s="6">
        <v>1</v>
      </c>
      <c r="D220" s="70" t="s">
        <v>597</v>
      </c>
      <c r="E220" s="15" t="s">
        <v>598</v>
      </c>
      <c r="F220" s="96"/>
      <c r="G220" s="38" t="b">
        <v>0</v>
      </c>
    </row>
    <row r="221" spans="1:8" ht="26.25" hidden="1" customHeight="1">
      <c r="A221" s="4" t="s">
        <v>176</v>
      </c>
      <c r="B221" s="8" t="s">
        <v>210</v>
      </c>
      <c r="C221" s="6">
        <v>1</v>
      </c>
      <c r="D221" s="70" t="s">
        <v>193</v>
      </c>
      <c r="E221" s="15" t="s">
        <v>491</v>
      </c>
      <c r="F221" s="96"/>
      <c r="G221" s="38" t="b">
        <v>0</v>
      </c>
    </row>
    <row r="222" spans="1:8" ht="26.25" hidden="1" customHeight="1">
      <c r="A222" s="8" t="s">
        <v>196</v>
      </c>
      <c r="B222" s="8" t="s">
        <v>241</v>
      </c>
      <c r="C222" s="6">
        <v>1</v>
      </c>
      <c r="D222" s="70" t="s">
        <v>197</v>
      </c>
      <c r="E222" s="15" t="s">
        <v>374</v>
      </c>
      <c r="F222" s="96" t="s">
        <v>2476</v>
      </c>
      <c r="G222" s="96"/>
      <c r="H222" s="96" t="s">
        <v>2080</v>
      </c>
    </row>
    <row r="223" spans="1:8" ht="26.25" hidden="1" customHeight="1">
      <c r="A223" s="8" t="s">
        <v>196</v>
      </c>
      <c r="B223" s="8" t="s">
        <v>241</v>
      </c>
      <c r="C223" s="6">
        <v>1</v>
      </c>
      <c r="D223" s="70" t="s">
        <v>599</v>
      </c>
      <c r="E223" s="15" t="s">
        <v>553</v>
      </c>
      <c r="F223" s="96"/>
      <c r="G223" s="38" t="b">
        <v>0</v>
      </c>
    </row>
    <row r="224" spans="1:8" ht="26.25" hidden="1" customHeight="1">
      <c r="A224" s="8" t="s">
        <v>196</v>
      </c>
      <c r="B224" s="8" t="s">
        <v>241</v>
      </c>
      <c r="C224" s="6">
        <v>1</v>
      </c>
      <c r="D224" s="70" t="s">
        <v>601</v>
      </c>
      <c r="E224" s="15" t="s">
        <v>553</v>
      </c>
      <c r="F224" s="96"/>
      <c r="G224" s="38" t="b">
        <v>0</v>
      </c>
    </row>
    <row r="225" spans="1:8" ht="26.25" hidden="1" customHeight="1">
      <c r="A225" s="8" t="s">
        <v>196</v>
      </c>
      <c r="B225" s="8" t="s">
        <v>2061</v>
      </c>
      <c r="C225" s="6">
        <v>1</v>
      </c>
      <c r="D225" s="70" t="s">
        <v>602</v>
      </c>
      <c r="E225" s="15" t="s">
        <v>207</v>
      </c>
      <c r="F225" s="96" t="s">
        <v>2465</v>
      </c>
      <c r="G225" s="96"/>
      <c r="H225" s="96" t="s">
        <v>2481</v>
      </c>
    </row>
    <row r="226" spans="1:8" ht="26.25" hidden="1" customHeight="1">
      <c r="A226" s="8" t="s">
        <v>196</v>
      </c>
      <c r="B226" s="8" t="s">
        <v>2061</v>
      </c>
      <c r="C226" s="6">
        <v>1</v>
      </c>
      <c r="D226" s="70" t="s">
        <v>604</v>
      </c>
      <c r="E226" s="15" t="s">
        <v>207</v>
      </c>
      <c r="F226" s="96" t="s">
        <v>2465</v>
      </c>
      <c r="G226" s="96"/>
      <c r="H226" s="96" t="s">
        <v>2481</v>
      </c>
    </row>
    <row r="227" spans="1:8" ht="26.25" hidden="1" customHeight="1">
      <c r="A227" s="8" t="s">
        <v>196</v>
      </c>
      <c r="B227" s="8" t="s">
        <v>2061</v>
      </c>
      <c r="C227" s="6">
        <v>1</v>
      </c>
      <c r="D227" s="70" t="s">
        <v>202</v>
      </c>
      <c r="E227" s="15" t="s">
        <v>374</v>
      </c>
      <c r="F227" s="96" t="s">
        <v>2476</v>
      </c>
      <c r="G227" s="96"/>
      <c r="H227" s="96" t="s">
        <v>2080</v>
      </c>
    </row>
    <row r="228" spans="1:8" ht="26.25" hidden="1" customHeight="1">
      <c r="A228" s="15" t="s">
        <v>196</v>
      </c>
      <c r="B228" s="15" t="s">
        <v>1629</v>
      </c>
      <c r="C228" s="6">
        <v>1</v>
      </c>
      <c r="D228" s="70" t="s">
        <v>605</v>
      </c>
      <c r="E228" s="15" t="s">
        <v>155</v>
      </c>
      <c r="F228" s="96"/>
      <c r="G228" s="38" t="b">
        <v>0</v>
      </c>
    </row>
    <row r="229" spans="1:8" ht="26.25" hidden="1" customHeight="1">
      <c r="A229" s="8" t="s">
        <v>196</v>
      </c>
      <c r="B229" s="8" t="s">
        <v>1629</v>
      </c>
      <c r="C229" s="6">
        <v>1</v>
      </c>
      <c r="D229" s="70" t="s">
        <v>608</v>
      </c>
      <c r="E229" s="15" t="s">
        <v>374</v>
      </c>
      <c r="F229" s="96" t="s">
        <v>2476</v>
      </c>
      <c r="G229" s="96"/>
      <c r="H229" s="96" t="s">
        <v>1782</v>
      </c>
    </row>
    <row r="230" spans="1:8" ht="26.25" hidden="1" customHeight="1">
      <c r="A230" s="8" t="s">
        <v>196</v>
      </c>
      <c r="B230" s="8" t="s">
        <v>1629</v>
      </c>
      <c r="C230" s="6">
        <v>1</v>
      </c>
      <c r="D230" s="70" t="s">
        <v>607</v>
      </c>
      <c r="E230" s="15" t="s">
        <v>155</v>
      </c>
      <c r="F230" s="96"/>
      <c r="G230" s="38" t="b">
        <v>0</v>
      </c>
    </row>
    <row r="231" spans="1:8" ht="26.25" hidden="1" customHeight="1">
      <c r="A231" s="8" t="s">
        <v>196</v>
      </c>
      <c r="B231" s="8" t="s">
        <v>1638</v>
      </c>
      <c r="C231" s="6">
        <v>1</v>
      </c>
      <c r="D231" s="70" t="s">
        <v>610</v>
      </c>
      <c r="E231" s="15" t="s">
        <v>128</v>
      </c>
      <c r="F231" s="96" t="s">
        <v>2200</v>
      </c>
      <c r="G231" s="38" t="b">
        <v>0</v>
      </c>
    </row>
    <row r="232" spans="1:8" ht="26.25" hidden="1" customHeight="1">
      <c r="A232" s="8" t="s">
        <v>196</v>
      </c>
      <c r="B232" s="8" t="s">
        <v>1638</v>
      </c>
      <c r="C232" s="6">
        <v>1</v>
      </c>
      <c r="D232" s="117" t="s">
        <v>612</v>
      </c>
      <c r="E232" s="15" t="s">
        <v>128</v>
      </c>
      <c r="F232" s="96"/>
      <c r="G232" s="38" t="b">
        <v>0</v>
      </c>
    </row>
    <row r="233" spans="1:8" ht="26.25" hidden="1" customHeight="1">
      <c r="A233" s="8" t="s">
        <v>268</v>
      </c>
      <c r="B233" s="8" t="s">
        <v>35</v>
      </c>
      <c r="C233" s="6">
        <v>2</v>
      </c>
      <c r="D233" s="117" t="s">
        <v>37</v>
      </c>
      <c r="E233" s="15" t="s">
        <v>151</v>
      </c>
      <c r="F233" s="96"/>
      <c r="G233" s="38" t="b">
        <v>0</v>
      </c>
    </row>
    <row r="234" spans="1:8" ht="26.25" hidden="1" customHeight="1">
      <c r="A234" s="8" t="s">
        <v>268</v>
      </c>
      <c r="B234" s="8" t="s">
        <v>35</v>
      </c>
      <c r="C234" s="6">
        <v>2</v>
      </c>
      <c r="D234" s="117" t="s">
        <v>38</v>
      </c>
      <c r="E234" s="15" t="s">
        <v>151</v>
      </c>
      <c r="F234" s="96"/>
      <c r="G234" s="38" t="b">
        <v>0</v>
      </c>
    </row>
    <row r="235" spans="1:8" ht="26.25" hidden="1" customHeight="1">
      <c r="A235" s="8" t="s">
        <v>268</v>
      </c>
      <c r="B235" s="8" t="s">
        <v>35</v>
      </c>
      <c r="C235" s="6">
        <v>2</v>
      </c>
      <c r="D235" s="117" t="s">
        <v>39</v>
      </c>
      <c r="E235" s="15" t="s">
        <v>151</v>
      </c>
      <c r="F235" s="96"/>
      <c r="G235" s="38" t="b">
        <v>0</v>
      </c>
    </row>
    <row r="236" spans="1:8" ht="26.25" hidden="1" customHeight="1">
      <c r="A236" s="8" t="s">
        <v>268</v>
      </c>
      <c r="B236" s="8" t="s">
        <v>35</v>
      </c>
      <c r="C236" s="6">
        <v>2</v>
      </c>
      <c r="D236" s="117" t="s">
        <v>36</v>
      </c>
      <c r="E236" s="15" t="s">
        <v>103</v>
      </c>
      <c r="F236" s="96"/>
      <c r="G236" s="38" t="b">
        <v>0</v>
      </c>
    </row>
    <row r="237" spans="1:8" ht="26.25" hidden="1" customHeight="1">
      <c r="A237" s="8" t="s">
        <v>216</v>
      </c>
      <c r="B237" s="8" t="s">
        <v>1981</v>
      </c>
      <c r="C237" s="6">
        <v>2</v>
      </c>
      <c r="D237" s="117" t="s">
        <v>615</v>
      </c>
      <c r="E237" s="15" t="s">
        <v>553</v>
      </c>
      <c r="F237" s="96"/>
      <c r="G237" s="38" t="b">
        <v>0</v>
      </c>
    </row>
    <row r="238" spans="1:8" ht="26.25" hidden="1" customHeight="1">
      <c r="A238" s="8" t="s">
        <v>216</v>
      </c>
      <c r="B238" s="8" t="s">
        <v>1981</v>
      </c>
      <c r="C238" s="6">
        <v>2</v>
      </c>
      <c r="D238" s="117" t="s">
        <v>617</v>
      </c>
      <c r="E238" s="15" t="s">
        <v>553</v>
      </c>
      <c r="F238" s="96"/>
      <c r="G238" s="38" t="b">
        <v>0</v>
      </c>
    </row>
    <row r="239" spans="1:8" ht="26.25" hidden="1" customHeight="1">
      <c r="A239" s="8" t="s">
        <v>216</v>
      </c>
      <c r="B239" s="8" t="s">
        <v>1981</v>
      </c>
      <c r="C239" s="6">
        <v>2</v>
      </c>
      <c r="D239" s="117" t="s">
        <v>618</v>
      </c>
      <c r="E239" s="15" t="s">
        <v>553</v>
      </c>
      <c r="F239" s="96"/>
      <c r="G239" s="38" t="b">
        <v>0</v>
      </c>
    </row>
    <row r="240" spans="1:8" ht="26.25" hidden="1" customHeight="1">
      <c r="A240" s="8" t="s">
        <v>216</v>
      </c>
      <c r="B240" s="8" t="s">
        <v>1981</v>
      </c>
      <c r="C240" s="6">
        <v>2</v>
      </c>
      <c r="D240" s="117" t="s">
        <v>619</v>
      </c>
      <c r="E240" s="15" t="s">
        <v>553</v>
      </c>
      <c r="F240" s="96"/>
      <c r="G240" s="38" t="b">
        <v>0</v>
      </c>
    </row>
    <row r="241" spans="1:6" ht="26.25" hidden="1" customHeight="1">
      <c r="A241" s="8" t="s">
        <v>81</v>
      </c>
      <c r="B241" s="8" t="s">
        <v>2230</v>
      </c>
      <c r="C241" s="6">
        <v>1</v>
      </c>
      <c r="D241" s="11" t="s">
        <v>620</v>
      </c>
      <c r="E241" s="15" t="s">
        <v>622</v>
      </c>
      <c r="F241" s="96"/>
    </row>
    <row r="242" spans="1:6" ht="26.25" hidden="1" customHeight="1">
      <c r="A242" s="8" t="s">
        <v>81</v>
      </c>
      <c r="B242" s="8" t="s">
        <v>2230</v>
      </c>
      <c r="C242" s="6">
        <v>1</v>
      </c>
      <c r="D242" s="11" t="s">
        <v>624</v>
      </c>
      <c r="E242" s="15" t="s">
        <v>622</v>
      </c>
      <c r="F242" s="96"/>
    </row>
    <row r="243" spans="1:6" ht="26.25" hidden="1" customHeight="1">
      <c r="A243" s="8" t="s">
        <v>81</v>
      </c>
      <c r="B243" s="8" t="s">
        <v>2230</v>
      </c>
      <c r="C243" s="6">
        <v>1</v>
      </c>
      <c r="D243" s="11" t="s">
        <v>625</v>
      </c>
      <c r="E243" s="15" t="s">
        <v>622</v>
      </c>
      <c r="F243" s="96"/>
    </row>
    <row r="244" spans="1:6" ht="26.25" hidden="1" customHeight="1">
      <c r="A244" s="8" t="s">
        <v>198</v>
      </c>
      <c r="B244" s="8" t="s">
        <v>345</v>
      </c>
      <c r="C244" s="6">
        <v>2</v>
      </c>
      <c r="D244" s="11" t="s">
        <v>626</v>
      </c>
      <c r="E244" s="15" t="s">
        <v>622</v>
      </c>
      <c r="F244" s="96"/>
    </row>
    <row r="245" spans="1:6" ht="26.25" hidden="1" customHeight="1">
      <c r="A245" s="8" t="s">
        <v>198</v>
      </c>
      <c r="B245" s="8" t="s">
        <v>345</v>
      </c>
      <c r="C245" s="6">
        <v>2</v>
      </c>
      <c r="D245" s="11" t="s">
        <v>628</v>
      </c>
      <c r="E245" s="15" t="s">
        <v>622</v>
      </c>
      <c r="F245" s="96"/>
    </row>
    <row r="246" spans="1:6" ht="26.25" hidden="1" customHeight="1">
      <c r="A246" s="8" t="s">
        <v>198</v>
      </c>
      <c r="B246" s="8" t="s">
        <v>345</v>
      </c>
      <c r="C246" s="6">
        <v>2</v>
      </c>
      <c r="D246" s="11" t="s">
        <v>629</v>
      </c>
      <c r="E246" s="15" t="s">
        <v>622</v>
      </c>
      <c r="F246" s="96"/>
    </row>
    <row r="247" spans="1:6" ht="26.25" hidden="1" customHeight="1">
      <c r="A247" s="8" t="s">
        <v>381</v>
      </c>
      <c r="B247" s="8" t="s">
        <v>2082</v>
      </c>
      <c r="C247" s="6">
        <v>2</v>
      </c>
      <c r="D247" s="11" t="s">
        <v>630</v>
      </c>
      <c r="E247" s="15" t="s">
        <v>622</v>
      </c>
      <c r="F247" s="96"/>
    </row>
    <row r="248" spans="1:6" ht="26.25" hidden="1" customHeight="1">
      <c r="A248" s="8" t="s">
        <v>381</v>
      </c>
      <c r="B248" s="8" t="s">
        <v>2082</v>
      </c>
      <c r="C248" s="6">
        <v>2</v>
      </c>
      <c r="D248" s="11" t="s">
        <v>632</v>
      </c>
      <c r="E248" s="15" t="s">
        <v>622</v>
      </c>
      <c r="F248" s="96"/>
    </row>
    <row r="249" spans="1:6" ht="26.25" hidden="1" customHeight="1">
      <c r="A249" s="8" t="s">
        <v>381</v>
      </c>
      <c r="B249" s="8" t="s">
        <v>2082</v>
      </c>
      <c r="C249" s="6">
        <v>2</v>
      </c>
      <c r="D249" s="11" t="s">
        <v>633</v>
      </c>
      <c r="E249" s="15" t="s">
        <v>622</v>
      </c>
      <c r="F249" s="96"/>
    </row>
    <row r="250" spans="1:6" ht="26.25" hidden="1" customHeight="1">
      <c r="A250" s="8" t="s">
        <v>268</v>
      </c>
      <c r="B250" s="8" t="s">
        <v>40</v>
      </c>
      <c r="C250" s="6">
        <v>2</v>
      </c>
      <c r="D250" s="11" t="s">
        <v>634</v>
      </c>
      <c r="E250" s="15" t="s">
        <v>493</v>
      </c>
      <c r="F250" s="96"/>
    </row>
    <row r="251" spans="1:6" ht="26.25" hidden="1" customHeight="1">
      <c r="A251" s="8" t="s">
        <v>176</v>
      </c>
      <c r="B251" s="8" t="s">
        <v>210</v>
      </c>
      <c r="C251" s="6">
        <v>1</v>
      </c>
      <c r="D251" s="11" t="s">
        <v>211</v>
      </c>
      <c r="E251" s="15" t="s">
        <v>65</v>
      </c>
      <c r="F251" s="96"/>
    </row>
    <row r="252" spans="1:6" ht="26.25" hidden="1" customHeight="1">
      <c r="A252" s="8" t="s">
        <v>140</v>
      </c>
      <c r="B252" s="8" t="s">
        <v>81</v>
      </c>
      <c r="C252" s="6">
        <v>1</v>
      </c>
      <c r="D252" s="11" t="s">
        <v>637</v>
      </c>
      <c r="E252" s="15" t="s">
        <v>65</v>
      </c>
      <c r="F252" s="96"/>
    </row>
    <row r="253" spans="1:6" ht="26.25" hidden="1" customHeight="1">
      <c r="A253" s="8" t="s">
        <v>196</v>
      </c>
      <c r="B253" s="8" t="s">
        <v>241</v>
      </c>
      <c r="C253" s="6">
        <v>1</v>
      </c>
      <c r="D253" s="11" t="s">
        <v>638</v>
      </c>
      <c r="E253" s="15" t="s">
        <v>65</v>
      </c>
      <c r="F253" s="96"/>
    </row>
    <row r="254" spans="1:6" ht="26.25" hidden="1" customHeight="1">
      <c r="A254" s="8" t="s">
        <v>67</v>
      </c>
      <c r="B254" s="8" t="s">
        <v>347</v>
      </c>
      <c r="C254" s="6">
        <v>1</v>
      </c>
      <c r="D254" s="11" t="s">
        <v>69</v>
      </c>
      <c r="E254" s="15" t="s">
        <v>65</v>
      </c>
      <c r="F254" s="96"/>
    </row>
    <row r="255" spans="1:6" ht="26.25" hidden="1" customHeight="1">
      <c r="A255" s="8" t="s">
        <v>81</v>
      </c>
      <c r="B255" s="8" t="s">
        <v>2247</v>
      </c>
      <c r="C255" s="6">
        <v>1</v>
      </c>
      <c r="D255" s="11" t="s">
        <v>639</v>
      </c>
      <c r="E255" s="15" t="s">
        <v>65</v>
      </c>
      <c r="F255" s="96"/>
    </row>
    <row r="256" spans="1:6" ht="26.25" hidden="1" customHeight="1">
      <c r="A256" s="8" t="s">
        <v>113</v>
      </c>
      <c r="B256" s="8" t="s">
        <v>286</v>
      </c>
      <c r="C256" s="6">
        <v>1</v>
      </c>
      <c r="D256" s="11" t="s">
        <v>287</v>
      </c>
      <c r="E256" s="15" t="s">
        <v>155</v>
      </c>
      <c r="F256" s="96"/>
    </row>
    <row r="257" spans="1:8" ht="26.25" hidden="1" customHeight="1">
      <c r="A257" s="8" t="s">
        <v>79</v>
      </c>
      <c r="B257" s="8" t="s">
        <v>1665</v>
      </c>
      <c r="C257" s="6">
        <v>1</v>
      </c>
      <c r="D257" s="11" t="s">
        <v>643</v>
      </c>
      <c r="E257" s="15" t="s">
        <v>155</v>
      </c>
      <c r="F257" s="96"/>
    </row>
    <row r="258" spans="1:8" ht="26.25" hidden="1" customHeight="1">
      <c r="A258" s="8" t="s">
        <v>165</v>
      </c>
      <c r="B258" s="8" t="s">
        <v>29</v>
      </c>
      <c r="C258" s="6">
        <v>1</v>
      </c>
      <c r="D258" s="11" t="s">
        <v>425</v>
      </c>
      <c r="E258" s="15" t="s">
        <v>155</v>
      </c>
      <c r="F258" s="96"/>
    </row>
    <row r="259" spans="1:8" ht="26.25" hidden="1" customHeight="1">
      <c r="A259" s="8" t="s">
        <v>229</v>
      </c>
      <c r="B259" s="8" t="s">
        <v>191</v>
      </c>
      <c r="C259" s="6">
        <v>2</v>
      </c>
      <c r="D259" s="11" t="s">
        <v>646</v>
      </c>
      <c r="E259" s="15" t="s">
        <v>31</v>
      </c>
      <c r="F259" s="96"/>
    </row>
    <row r="260" spans="1:8" ht="26.25" hidden="1" customHeight="1">
      <c r="A260" s="8" t="s">
        <v>229</v>
      </c>
      <c r="B260" s="8" t="s">
        <v>191</v>
      </c>
      <c r="C260" s="6">
        <v>2</v>
      </c>
      <c r="D260" s="11" t="s">
        <v>651</v>
      </c>
      <c r="E260" s="15" t="s">
        <v>31</v>
      </c>
      <c r="F260" s="96"/>
    </row>
    <row r="261" spans="1:8" ht="26.25" hidden="1" customHeight="1">
      <c r="A261" s="8" t="s">
        <v>196</v>
      </c>
      <c r="B261" s="8" t="s">
        <v>2266</v>
      </c>
      <c r="C261" s="6">
        <v>1</v>
      </c>
      <c r="D261" s="11" t="s">
        <v>653</v>
      </c>
      <c r="E261" s="15" t="s">
        <v>155</v>
      </c>
      <c r="F261" s="96"/>
    </row>
    <row r="262" spans="1:8" ht="26.25" hidden="1" customHeight="1">
      <c r="A262" s="8" t="s">
        <v>196</v>
      </c>
      <c r="B262" s="8" t="s">
        <v>2266</v>
      </c>
      <c r="C262" s="6">
        <v>1</v>
      </c>
      <c r="D262" s="11" t="s">
        <v>658</v>
      </c>
      <c r="E262" s="15" t="s">
        <v>155</v>
      </c>
      <c r="F262" s="96"/>
    </row>
    <row r="263" spans="1:8" ht="26.25" hidden="1" customHeight="1">
      <c r="A263" s="8" t="s">
        <v>291</v>
      </c>
      <c r="B263" s="8" t="s">
        <v>2268</v>
      </c>
      <c r="C263" s="6">
        <v>2</v>
      </c>
      <c r="D263" s="11" t="s">
        <v>659</v>
      </c>
      <c r="E263" s="15" t="s">
        <v>155</v>
      </c>
      <c r="F263" s="96"/>
    </row>
    <row r="264" spans="1:8" ht="26.25" hidden="1" customHeight="1">
      <c r="A264" s="8" t="s">
        <v>291</v>
      </c>
      <c r="B264" s="8" t="s">
        <v>2268</v>
      </c>
      <c r="C264" s="6">
        <v>2</v>
      </c>
      <c r="D264" s="11" t="s">
        <v>661</v>
      </c>
      <c r="E264" s="15" t="s">
        <v>155</v>
      </c>
      <c r="F264" s="96"/>
    </row>
    <row r="265" spans="1:8" ht="26.25" customHeight="1">
      <c r="A265" s="4" t="s">
        <v>67</v>
      </c>
      <c r="B265" s="4" t="s">
        <v>308</v>
      </c>
      <c r="C265" s="6">
        <v>1</v>
      </c>
      <c r="D265" s="7" t="s">
        <v>310</v>
      </c>
      <c r="E265" s="13" t="s">
        <v>666</v>
      </c>
      <c r="F265" s="96"/>
    </row>
    <row r="266" spans="1:8" ht="26.25" customHeight="1">
      <c r="A266" s="4" t="s">
        <v>67</v>
      </c>
      <c r="B266" s="4" t="s">
        <v>308</v>
      </c>
      <c r="C266" s="6">
        <v>1</v>
      </c>
      <c r="D266" s="7" t="s">
        <v>314</v>
      </c>
      <c r="E266" s="13" t="s">
        <v>666</v>
      </c>
      <c r="F266" s="96"/>
    </row>
    <row r="267" spans="1:8" ht="26.25" customHeight="1">
      <c r="A267" s="4" t="s">
        <v>67</v>
      </c>
      <c r="B267" s="4" t="s">
        <v>308</v>
      </c>
      <c r="C267" s="6">
        <v>1</v>
      </c>
      <c r="D267" s="7" t="s">
        <v>317</v>
      </c>
      <c r="E267" s="13" t="s">
        <v>374</v>
      </c>
      <c r="F267" s="96" t="s">
        <v>2476</v>
      </c>
      <c r="G267" s="96"/>
      <c r="H267" s="96" t="s">
        <v>1782</v>
      </c>
    </row>
    <row r="268" spans="1:8" ht="26.25" customHeight="1">
      <c r="A268" s="4" t="s">
        <v>81</v>
      </c>
      <c r="B268" s="4" t="s">
        <v>320</v>
      </c>
      <c r="C268" s="6">
        <v>1</v>
      </c>
      <c r="D268" s="7" t="s">
        <v>323</v>
      </c>
      <c r="E268" s="13" t="s">
        <v>668</v>
      </c>
      <c r="F268" s="96"/>
    </row>
    <row r="269" spans="1:8" ht="26.25" customHeight="1">
      <c r="A269" s="4" t="s">
        <v>81</v>
      </c>
      <c r="B269" s="4" t="s">
        <v>320</v>
      </c>
      <c r="C269" s="6">
        <v>1</v>
      </c>
      <c r="D269" s="7" t="s">
        <v>324</v>
      </c>
      <c r="E269" s="13" t="s">
        <v>668</v>
      </c>
      <c r="F269" s="96"/>
    </row>
    <row r="270" spans="1:8" ht="26.25" customHeight="1">
      <c r="A270" s="4" t="s">
        <v>81</v>
      </c>
      <c r="B270" s="4" t="s">
        <v>320</v>
      </c>
      <c r="C270" s="6">
        <v>1</v>
      </c>
      <c r="D270" s="7" t="s">
        <v>326</v>
      </c>
      <c r="E270" s="13" t="s">
        <v>668</v>
      </c>
      <c r="F270" s="96"/>
    </row>
    <row r="271" spans="1:8" ht="26.25" customHeight="1">
      <c r="A271" s="4" t="s">
        <v>81</v>
      </c>
      <c r="B271" s="4" t="s">
        <v>320</v>
      </c>
      <c r="C271" s="6">
        <v>1</v>
      </c>
      <c r="D271" s="7" t="s">
        <v>329</v>
      </c>
      <c r="E271" s="13" t="s">
        <v>668</v>
      </c>
      <c r="F271" s="96"/>
    </row>
    <row r="272" spans="1:8" ht="26.25" customHeight="1">
      <c r="A272" s="4" t="s">
        <v>67</v>
      </c>
      <c r="B272" s="4" t="s">
        <v>331</v>
      </c>
      <c r="C272" s="6">
        <v>1</v>
      </c>
      <c r="D272" s="7" t="s">
        <v>335</v>
      </c>
      <c r="E272" s="13" t="s">
        <v>666</v>
      </c>
      <c r="F272" s="522"/>
    </row>
    <row r="273" spans="1:8" ht="26.25" customHeight="1">
      <c r="A273" s="4" t="s">
        <v>67</v>
      </c>
      <c r="B273" s="4" t="s">
        <v>331</v>
      </c>
      <c r="C273" s="6">
        <v>1</v>
      </c>
      <c r="D273" s="7" t="s">
        <v>337</v>
      </c>
      <c r="E273" s="13" t="s">
        <v>666</v>
      </c>
      <c r="F273" s="512"/>
    </row>
    <row r="274" spans="1:8" ht="26.25" customHeight="1">
      <c r="A274" s="4" t="s">
        <v>67</v>
      </c>
      <c r="B274" s="4" t="s">
        <v>331</v>
      </c>
      <c r="C274" s="6">
        <v>1</v>
      </c>
      <c r="D274" s="7" t="s">
        <v>341</v>
      </c>
      <c r="E274" s="13" t="s">
        <v>374</v>
      </c>
      <c r="F274" s="96" t="s">
        <v>2476</v>
      </c>
      <c r="G274" s="96"/>
      <c r="H274" s="96" t="s">
        <v>1782</v>
      </c>
    </row>
    <row r="275" spans="1:8" ht="26.25" customHeight="1">
      <c r="A275" s="4" t="s">
        <v>67</v>
      </c>
      <c r="B275" s="4" t="s">
        <v>331</v>
      </c>
      <c r="C275" s="6">
        <v>1</v>
      </c>
      <c r="D275" s="7" t="s">
        <v>343</v>
      </c>
      <c r="E275" s="13" t="s">
        <v>374</v>
      </c>
      <c r="F275" s="96" t="s">
        <v>2476</v>
      </c>
      <c r="G275" s="96"/>
      <c r="H275" s="96" t="s">
        <v>1782</v>
      </c>
    </row>
    <row r="276" spans="1:8" ht="26.25" customHeight="1">
      <c r="A276" s="61" t="s">
        <v>381</v>
      </c>
      <c r="B276" s="61" t="s">
        <v>466</v>
      </c>
      <c r="C276" s="61">
        <v>2</v>
      </c>
      <c r="D276" s="54" t="s">
        <v>467</v>
      </c>
      <c r="E276" s="97" t="s">
        <v>553</v>
      </c>
      <c r="F276" s="96"/>
    </row>
    <row r="277" spans="1:8" ht="26.25" customHeight="1">
      <c r="A277" s="61" t="s">
        <v>381</v>
      </c>
      <c r="B277" s="61" t="s">
        <v>466</v>
      </c>
      <c r="C277" s="61">
        <v>2</v>
      </c>
      <c r="D277" s="54" t="s">
        <v>469</v>
      </c>
      <c r="E277" s="97" t="s">
        <v>374</v>
      </c>
      <c r="F277" s="96"/>
    </row>
    <row r="278" spans="1:8" ht="26.25" customHeight="1">
      <c r="A278" s="61" t="s">
        <v>67</v>
      </c>
      <c r="B278" s="61" t="s">
        <v>347</v>
      </c>
      <c r="C278" s="61">
        <v>1</v>
      </c>
      <c r="D278" s="55" t="s">
        <v>349</v>
      </c>
      <c r="E278" s="97" t="s">
        <v>207</v>
      </c>
      <c r="F278" s="96" t="s">
        <v>2465</v>
      </c>
      <c r="G278" s="96"/>
      <c r="H278" s="96" t="s">
        <v>2481</v>
      </c>
    </row>
    <row r="279" spans="1:8" ht="26.25" customHeight="1">
      <c r="A279" s="61" t="s">
        <v>67</v>
      </c>
      <c r="B279" s="61" t="s">
        <v>347</v>
      </c>
      <c r="C279" s="61">
        <v>1</v>
      </c>
      <c r="D279" s="55" t="s">
        <v>353</v>
      </c>
      <c r="E279" s="97" t="s">
        <v>207</v>
      </c>
      <c r="F279" s="96" t="s">
        <v>2476</v>
      </c>
      <c r="G279" s="96"/>
      <c r="H279" s="96" t="s">
        <v>1782</v>
      </c>
    </row>
    <row r="280" spans="1:8" ht="26.25" customHeight="1">
      <c r="A280" s="4" t="s">
        <v>216</v>
      </c>
      <c r="B280" s="61" t="s">
        <v>471</v>
      </c>
      <c r="C280" s="61">
        <v>2</v>
      </c>
      <c r="D280" s="55" t="s">
        <v>472</v>
      </c>
      <c r="E280" s="97" t="s">
        <v>374</v>
      </c>
      <c r="F280" s="96"/>
    </row>
    <row r="281" spans="1:8" ht="26.25" customHeight="1">
      <c r="A281" s="4" t="s">
        <v>216</v>
      </c>
      <c r="B281" s="61" t="s">
        <v>471</v>
      </c>
      <c r="C281" s="61">
        <v>2</v>
      </c>
      <c r="D281" s="55" t="s">
        <v>474</v>
      </c>
      <c r="E281" s="97" t="s">
        <v>666</v>
      </c>
      <c r="F281" s="96"/>
    </row>
    <row r="282" spans="1:8" ht="26.25" customHeight="1">
      <c r="A282" s="4" t="s">
        <v>268</v>
      </c>
      <c r="B282" s="61" t="s">
        <v>4</v>
      </c>
      <c r="C282" s="61">
        <v>2</v>
      </c>
      <c r="D282" s="7" t="s">
        <v>11</v>
      </c>
      <c r="E282" s="97" t="s">
        <v>374</v>
      </c>
      <c r="F282" s="96"/>
    </row>
    <row r="283" spans="1:8" ht="26.25" customHeight="1">
      <c r="A283" s="4" t="s">
        <v>268</v>
      </c>
      <c r="B283" s="61" t="s">
        <v>4</v>
      </c>
      <c r="C283" s="61">
        <v>2</v>
      </c>
      <c r="D283" s="7" t="s">
        <v>17</v>
      </c>
      <c r="E283" s="97" t="s">
        <v>207</v>
      </c>
      <c r="F283" s="96"/>
    </row>
    <row r="284" spans="1:8" ht="26.25" customHeight="1">
      <c r="A284" s="4" t="s">
        <v>67</v>
      </c>
      <c r="B284" s="61" t="s">
        <v>354</v>
      </c>
      <c r="C284" s="61">
        <v>1</v>
      </c>
      <c r="D284" s="7" t="s">
        <v>355</v>
      </c>
      <c r="E284" s="97" t="s">
        <v>2030</v>
      </c>
      <c r="F284" s="96"/>
    </row>
    <row r="285" spans="1:8" ht="26.25" customHeight="1">
      <c r="A285" s="4" t="s">
        <v>67</v>
      </c>
      <c r="B285" s="61" t="s">
        <v>354</v>
      </c>
      <c r="C285" s="61">
        <v>1</v>
      </c>
      <c r="D285" s="7" t="s">
        <v>357</v>
      </c>
      <c r="E285" s="97" t="s">
        <v>2030</v>
      </c>
      <c r="F285" s="96"/>
    </row>
    <row r="286" spans="1:8" ht="26.25" customHeight="1">
      <c r="A286" s="4" t="s">
        <v>67</v>
      </c>
      <c r="B286" s="61" t="s">
        <v>360</v>
      </c>
      <c r="C286" s="61">
        <v>1</v>
      </c>
      <c r="D286" s="7" t="s">
        <v>361</v>
      </c>
      <c r="E286" s="97" t="s">
        <v>666</v>
      </c>
      <c r="F286" s="96"/>
    </row>
    <row r="287" spans="1:8" ht="26.25" customHeight="1">
      <c r="A287" s="4" t="s">
        <v>67</v>
      </c>
      <c r="B287" s="61" t="s">
        <v>364</v>
      </c>
      <c r="C287" s="61">
        <v>1</v>
      </c>
      <c r="D287" s="7" t="s">
        <v>365</v>
      </c>
      <c r="E287" s="97" t="s">
        <v>271</v>
      </c>
      <c r="F287" s="96"/>
    </row>
    <row r="288" spans="1:8" ht="26.25" customHeight="1">
      <c r="A288" s="4" t="s">
        <v>67</v>
      </c>
      <c r="B288" s="61" t="s">
        <v>367</v>
      </c>
      <c r="C288" s="61">
        <v>1</v>
      </c>
      <c r="D288" s="7" t="s">
        <v>369</v>
      </c>
      <c r="E288" s="97" t="s">
        <v>666</v>
      </c>
      <c r="F288" s="96"/>
    </row>
    <row r="289" spans="1:8" ht="26.25" customHeight="1">
      <c r="A289" s="4" t="s">
        <v>268</v>
      </c>
      <c r="B289" s="61" t="s">
        <v>1564</v>
      </c>
      <c r="C289" s="61">
        <v>2</v>
      </c>
      <c r="D289" s="7" t="s">
        <v>2337</v>
      </c>
      <c r="E289" s="15" t="s">
        <v>155</v>
      </c>
      <c r="F289" s="96"/>
    </row>
    <row r="290" spans="1:8" ht="26.25" customHeight="1">
      <c r="A290" s="4" t="s">
        <v>268</v>
      </c>
      <c r="B290" s="61" t="s">
        <v>1564</v>
      </c>
      <c r="C290" s="61">
        <v>2</v>
      </c>
      <c r="D290" s="7" t="s">
        <v>2338</v>
      </c>
      <c r="E290" s="86" t="s">
        <v>31</v>
      </c>
      <c r="F290" s="96"/>
    </row>
    <row r="291" spans="1:8" ht="26.25" customHeight="1">
      <c r="A291" s="4" t="s">
        <v>268</v>
      </c>
      <c r="B291" s="61" t="s">
        <v>35</v>
      </c>
      <c r="C291" s="61">
        <v>2</v>
      </c>
      <c r="D291" s="7" t="s">
        <v>2339</v>
      </c>
      <c r="E291" s="86" t="s">
        <v>31</v>
      </c>
      <c r="F291" s="96"/>
    </row>
    <row r="292" spans="1:8" ht="26.25" customHeight="1">
      <c r="A292" s="4" t="s">
        <v>268</v>
      </c>
      <c r="B292" s="61" t="s">
        <v>2340</v>
      </c>
      <c r="C292" s="61">
        <v>2</v>
      </c>
      <c r="D292" s="7" t="s">
        <v>2341</v>
      </c>
      <c r="E292" s="86" t="s">
        <v>31</v>
      </c>
      <c r="F292" s="96"/>
    </row>
    <row r="293" spans="1:8" ht="26.25" customHeight="1">
      <c r="A293" s="4" t="s">
        <v>268</v>
      </c>
      <c r="B293" s="61" t="s">
        <v>2342</v>
      </c>
      <c r="C293" s="61">
        <v>2</v>
      </c>
      <c r="D293" s="7" t="s">
        <v>2343</v>
      </c>
      <c r="E293" s="86" t="s">
        <v>31</v>
      </c>
      <c r="F293" s="96"/>
    </row>
    <row r="294" spans="1:8" ht="26.25" customHeight="1">
      <c r="A294" s="4" t="s">
        <v>79</v>
      </c>
      <c r="B294" s="61" t="s">
        <v>1665</v>
      </c>
      <c r="C294" s="61">
        <v>1</v>
      </c>
      <c r="D294" s="7" t="s">
        <v>643</v>
      </c>
      <c r="E294" s="97" t="s">
        <v>666</v>
      </c>
      <c r="F294" s="96"/>
    </row>
    <row r="295" spans="1:8" ht="26.25" customHeight="1">
      <c r="A295" s="4" t="s">
        <v>79</v>
      </c>
      <c r="B295" s="61" t="s">
        <v>1665</v>
      </c>
      <c r="C295" s="61">
        <v>1</v>
      </c>
      <c r="D295" s="7" t="s">
        <v>2344</v>
      </c>
      <c r="E295" s="97" t="s">
        <v>374</v>
      </c>
      <c r="F295" s="96" t="s">
        <v>2476</v>
      </c>
      <c r="G295" s="96"/>
      <c r="H295" s="96" t="s">
        <v>1782</v>
      </c>
    </row>
    <row r="296" spans="1:8" ht="26.25" customHeight="1">
      <c r="A296" s="4" t="s">
        <v>140</v>
      </c>
      <c r="B296" s="61" t="s">
        <v>1530</v>
      </c>
      <c r="C296" s="61">
        <v>1</v>
      </c>
      <c r="D296" s="7" t="s">
        <v>2345</v>
      </c>
      <c r="E296" s="97" t="s">
        <v>374</v>
      </c>
      <c r="F296" s="96" t="s">
        <v>2465</v>
      </c>
      <c r="G296" s="96"/>
      <c r="H296" s="96" t="s">
        <v>2481</v>
      </c>
    </row>
    <row r="297" spans="1:8" ht="26.25" customHeight="1">
      <c r="A297" s="4" t="s">
        <v>140</v>
      </c>
      <c r="B297" s="61" t="s">
        <v>1530</v>
      </c>
      <c r="C297" s="61">
        <v>1</v>
      </c>
      <c r="D297" s="7" t="s">
        <v>2347</v>
      </c>
      <c r="E297" s="97" t="s">
        <v>374</v>
      </c>
      <c r="F297" s="96" t="s">
        <v>2465</v>
      </c>
      <c r="G297" s="96"/>
      <c r="H297" s="96" t="s">
        <v>2481</v>
      </c>
    </row>
    <row r="298" spans="1:8" ht="26.25" customHeight="1">
      <c r="A298" s="4" t="s">
        <v>113</v>
      </c>
      <c r="B298" s="61" t="s">
        <v>286</v>
      </c>
      <c r="C298" s="61">
        <v>1</v>
      </c>
      <c r="D298" s="7" t="s">
        <v>287</v>
      </c>
      <c r="E298" s="15" t="s">
        <v>155</v>
      </c>
      <c r="F298" s="96"/>
    </row>
    <row r="299" spans="1:8" ht="26.25" customHeight="1">
      <c r="A299" s="4" t="s">
        <v>113</v>
      </c>
      <c r="B299" s="61" t="s">
        <v>286</v>
      </c>
      <c r="C299" s="61">
        <v>1</v>
      </c>
      <c r="D299" s="7" t="s">
        <v>292</v>
      </c>
      <c r="E299" s="97" t="s">
        <v>374</v>
      </c>
      <c r="F299" s="96" t="s">
        <v>2476</v>
      </c>
      <c r="G299" s="96"/>
      <c r="H299" s="96" t="s">
        <v>1782</v>
      </c>
    </row>
    <row r="300" spans="1:8" ht="26.25" customHeight="1">
      <c r="A300" s="4" t="s">
        <v>81</v>
      </c>
      <c r="B300" s="61" t="s">
        <v>2349</v>
      </c>
      <c r="C300" s="61">
        <v>1</v>
      </c>
      <c r="D300" s="7" t="s">
        <v>2350</v>
      </c>
      <c r="E300" s="97" t="s">
        <v>374</v>
      </c>
      <c r="F300" s="96" t="s">
        <v>2465</v>
      </c>
      <c r="G300" s="96"/>
      <c r="H300" s="96" t="s">
        <v>2481</v>
      </c>
    </row>
    <row r="301" spans="1:8" ht="26.25" customHeight="1">
      <c r="A301" s="4" t="s">
        <v>81</v>
      </c>
      <c r="B301" s="61" t="s">
        <v>2349</v>
      </c>
      <c r="C301" s="61">
        <v>1</v>
      </c>
      <c r="D301" s="7" t="s">
        <v>2352</v>
      </c>
      <c r="E301" s="97" t="s">
        <v>374</v>
      </c>
      <c r="F301" s="96" t="s">
        <v>2465</v>
      </c>
      <c r="G301" s="96"/>
      <c r="H301" s="96" t="s">
        <v>2481</v>
      </c>
    </row>
    <row r="302" spans="1:8" ht="12.75">
      <c r="A302" s="4" t="s">
        <v>67</v>
      </c>
      <c r="B302" s="61" t="s">
        <v>354</v>
      </c>
      <c r="C302" s="61">
        <v>1</v>
      </c>
      <c r="D302" s="7" t="s">
        <v>2353</v>
      </c>
      <c r="E302" s="97" t="s">
        <v>2030</v>
      </c>
      <c r="F302" s="96"/>
    </row>
    <row r="303" spans="1:8" ht="12.75">
      <c r="A303" s="4" t="s">
        <v>67</v>
      </c>
      <c r="B303" s="61" t="s">
        <v>354</v>
      </c>
      <c r="C303" s="61">
        <v>1</v>
      </c>
      <c r="D303" s="7" t="s">
        <v>2355</v>
      </c>
      <c r="E303" s="97" t="s">
        <v>2030</v>
      </c>
      <c r="F303" s="96"/>
    </row>
    <row r="304" spans="1:8" ht="12.75">
      <c r="A304" s="4" t="s">
        <v>67</v>
      </c>
      <c r="B304" s="61" t="s">
        <v>265</v>
      </c>
      <c r="C304" s="61">
        <v>1</v>
      </c>
      <c r="D304" s="7" t="s">
        <v>2358</v>
      </c>
      <c r="E304" s="97" t="s">
        <v>493</v>
      </c>
      <c r="F304" s="96"/>
    </row>
    <row r="305" spans="1:6" ht="12.75">
      <c r="A305" s="4" t="s">
        <v>67</v>
      </c>
      <c r="B305" s="61" t="s">
        <v>265</v>
      </c>
      <c r="C305" s="61">
        <v>1</v>
      </c>
      <c r="D305" s="7" t="s">
        <v>2360</v>
      </c>
      <c r="E305" s="97" t="s">
        <v>493</v>
      </c>
      <c r="F305" s="96"/>
    </row>
    <row r="306" spans="1:6" ht="12.75">
      <c r="A306" s="64"/>
      <c r="B306" s="64"/>
      <c r="C306" s="65"/>
      <c r="D306" s="64"/>
      <c r="E306" s="64"/>
    </row>
    <row r="307" spans="1:6" ht="12.75">
      <c r="A307" s="64"/>
      <c r="B307" s="64"/>
      <c r="C307" s="65"/>
      <c r="D307" s="64"/>
      <c r="E307" s="64"/>
    </row>
    <row r="308" spans="1:6" ht="12.75">
      <c r="A308" s="64"/>
      <c r="B308" s="64"/>
      <c r="C308" s="65"/>
      <c r="D308" s="64"/>
      <c r="E308" s="64"/>
    </row>
    <row r="309" spans="1:6" ht="12.75">
      <c r="A309" s="64"/>
      <c r="B309" s="64"/>
      <c r="C309" s="65"/>
      <c r="D309" s="64"/>
      <c r="E309" s="64"/>
    </row>
    <row r="310" spans="1:6" ht="12.75">
      <c r="A310" s="64"/>
      <c r="B310" s="64"/>
      <c r="C310" s="65"/>
      <c r="D310" s="64"/>
      <c r="E310" s="64"/>
    </row>
    <row r="311" spans="1:6" ht="12.75">
      <c r="A311" s="64"/>
      <c r="B311" s="64"/>
      <c r="C311" s="65"/>
      <c r="D311" s="64"/>
      <c r="E311" s="64"/>
    </row>
    <row r="312" spans="1:6" ht="12.75">
      <c r="A312" s="64"/>
      <c r="B312" s="64"/>
      <c r="C312" s="65"/>
      <c r="D312" s="64"/>
      <c r="E312" s="64"/>
    </row>
    <row r="313" spans="1:6" ht="12.75">
      <c r="A313" s="64"/>
      <c r="B313" s="64"/>
      <c r="C313" s="65"/>
      <c r="D313" s="64"/>
      <c r="E313" s="64"/>
    </row>
    <row r="314" spans="1:6" ht="12.75">
      <c r="A314" s="64"/>
      <c r="B314" s="64"/>
      <c r="C314" s="65"/>
      <c r="D314" s="64"/>
      <c r="E314" s="64"/>
    </row>
    <row r="315" spans="1:6" ht="12.75">
      <c r="A315" s="64"/>
      <c r="B315" s="64"/>
      <c r="C315" s="65"/>
      <c r="D315" s="64"/>
      <c r="E315" s="64"/>
    </row>
    <row r="316" spans="1:6" ht="12.75">
      <c r="A316" s="64"/>
      <c r="B316" s="64"/>
      <c r="C316" s="65"/>
      <c r="D316" s="64"/>
      <c r="E316" s="64"/>
    </row>
    <row r="317" spans="1:6" ht="12.75">
      <c r="A317" s="64"/>
      <c r="B317" s="64"/>
      <c r="C317" s="65"/>
      <c r="D317" s="64"/>
      <c r="E317" s="64"/>
    </row>
    <row r="318" spans="1:6" ht="12.75">
      <c r="A318" s="64"/>
      <c r="B318" s="64"/>
      <c r="C318" s="65"/>
      <c r="D318" s="64"/>
      <c r="E318" s="64"/>
    </row>
    <row r="319" spans="1:6" ht="12.75">
      <c r="A319" s="64"/>
      <c r="B319" s="64"/>
      <c r="C319" s="65"/>
      <c r="D319" s="64"/>
      <c r="E319" s="64"/>
    </row>
    <row r="320" spans="1:6" ht="12.75">
      <c r="A320" s="64"/>
      <c r="B320" s="64"/>
      <c r="C320" s="65"/>
      <c r="D320" s="64"/>
      <c r="E320" s="64"/>
    </row>
    <row r="321" spans="1:5" ht="12.75">
      <c r="A321" s="64"/>
      <c r="B321" s="64"/>
      <c r="C321" s="65"/>
      <c r="D321" s="64"/>
      <c r="E321" s="64"/>
    </row>
    <row r="322" spans="1:5" ht="12.75">
      <c r="A322" s="64"/>
      <c r="B322" s="64"/>
      <c r="C322" s="65"/>
      <c r="D322" s="64"/>
      <c r="E322" s="64"/>
    </row>
    <row r="323" spans="1:5" ht="12.75">
      <c r="A323" s="64"/>
      <c r="B323" s="64"/>
      <c r="C323" s="65"/>
      <c r="D323" s="64"/>
      <c r="E323" s="64"/>
    </row>
    <row r="324" spans="1:5" ht="12.75">
      <c r="A324" s="64"/>
      <c r="B324" s="64"/>
      <c r="C324" s="65"/>
      <c r="D324" s="64"/>
      <c r="E324" s="64"/>
    </row>
    <row r="325" spans="1:5" ht="12.75">
      <c r="A325" s="64"/>
      <c r="B325" s="64"/>
      <c r="C325" s="65"/>
      <c r="D325" s="64"/>
      <c r="E325" s="64"/>
    </row>
    <row r="326" spans="1:5" ht="12.75">
      <c r="A326" s="64"/>
      <c r="B326" s="64"/>
      <c r="C326" s="65"/>
      <c r="D326" s="64"/>
      <c r="E326" s="64"/>
    </row>
    <row r="327" spans="1:5" ht="12.75">
      <c r="A327" s="64"/>
      <c r="B327" s="64"/>
      <c r="C327" s="65"/>
      <c r="D327" s="64"/>
      <c r="E327" s="64"/>
    </row>
    <row r="328" spans="1:5" ht="12.75">
      <c r="A328" s="64"/>
      <c r="B328" s="64"/>
      <c r="C328" s="65"/>
      <c r="D328" s="64"/>
      <c r="E328" s="64"/>
    </row>
    <row r="329" spans="1:5" ht="12.75">
      <c r="A329" s="64"/>
      <c r="B329" s="64"/>
      <c r="C329" s="65"/>
      <c r="D329" s="64"/>
      <c r="E329" s="64"/>
    </row>
    <row r="330" spans="1:5" ht="12.75">
      <c r="A330" s="64"/>
      <c r="B330" s="64"/>
      <c r="C330" s="65"/>
      <c r="D330" s="64"/>
      <c r="E330" s="64"/>
    </row>
    <row r="331" spans="1:5" ht="12.75">
      <c r="A331" s="64"/>
      <c r="B331" s="64"/>
      <c r="C331" s="65"/>
      <c r="D331" s="64"/>
      <c r="E331" s="64"/>
    </row>
    <row r="332" spans="1:5" ht="12.75">
      <c r="A332" s="64"/>
      <c r="B332" s="64"/>
      <c r="C332" s="65"/>
      <c r="D332" s="64"/>
      <c r="E332" s="64"/>
    </row>
    <row r="333" spans="1:5" ht="12.75">
      <c r="A333" s="64"/>
      <c r="B333" s="64"/>
      <c r="C333" s="65"/>
      <c r="D333" s="64"/>
      <c r="E333" s="64"/>
    </row>
    <row r="334" spans="1:5" ht="12.75">
      <c r="A334" s="64"/>
      <c r="B334" s="64"/>
      <c r="C334" s="65"/>
      <c r="D334" s="64"/>
      <c r="E334" s="64"/>
    </row>
    <row r="335" spans="1:5" ht="12.75">
      <c r="A335" s="64"/>
      <c r="B335" s="64"/>
      <c r="C335" s="65"/>
      <c r="D335" s="64"/>
      <c r="E335" s="64"/>
    </row>
    <row r="336" spans="1:5" ht="12.75">
      <c r="A336" s="64"/>
      <c r="B336" s="64"/>
      <c r="C336" s="65"/>
      <c r="D336" s="64"/>
      <c r="E336" s="64"/>
    </row>
    <row r="337" spans="1:5" ht="12.75">
      <c r="A337" s="64"/>
      <c r="B337" s="64"/>
      <c r="C337" s="65"/>
      <c r="D337" s="64"/>
      <c r="E337" s="64"/>
    </row>
    <row r="338" spans="1:5" ht="12.75">
      <c r="A338" s="64"/>
      <c r="B338" s="64"/>
      <c r="C338" s="65"/>
      <c r="D338" s="64"/>
      <c r="E338" s="64"/>
    </row>
    <row r="339" spans="1:5" ht="12.75">
      <c r="A339" s="64"/>
      <c r="B339" s="64"/>
      <c r="C339" s="65"/>
      <c r="D339" s="64"/>
      <c r="E339" s="64"/>
    </row>
    <row r="340" spans="1:5" ht="12.75">
      <c r="A340" s="64"/>
      <c r="B340" s="64"/>
      <c r="C340" s="65"/>
      <c r="D340" s="64"/>
      <c r="E340" s="64"/>
    </row>
    <row r="341" spans="1:5" ht="12.75">
      <c r="A341" s="64"/>
      <c r="B341" s="64"/>
      <c r="C341" s="65"/>
      <c r="D341" s="64"/>
      <c r="E341" s="64"/>
    </row>
    <row r="342" spans="1:5" ht="12.75">
      <c r="A342" s="64"/>
      <c r="B342" s="64"/>
      <c r="C342" s="65"/>
      <c r="D342" s="64"/>
      <c r="E342" s="64"/>
    </row>
    <row r="343" spans="1:5" ht="12.75">
      <c r="A343" s="64"/>
      <c r="B343" s="64"/>
      <c r="C343" s="65"/>
      <c r="D343" s="64"/>
      <c r="E343" s="64"/>
    </row>
    <row r="344" spans="1:5" ht="12.75">
      <c r="A344" s="64"/>
      <c r="B344" s="64"/>
      <c r="C344" s="65"/>
      <c r="D344" s="64"/>
      <c r="E344" s="64"/>
    </row>
    <row r="345" spans="1:5" ht="12.75">
      <c r="A345" s="64"/>
      <c r="B345" s="64"/>
      <c r="C345" s="65"/>
      <c r="D345" s="64"/>
      <c r="E345" s="64"/>
    </row>
    <row r="346" spans="1:5" ht="12.75">
      <c r="A346" s="64"/>
      <c r="B346" s="64"/>
      <c r="C346" s="65"/>
      <c r="D346" s="64"/>
      <c r="E346" s="64"/>
    </row>
    <row r="347" spans="1:5" ht="12.75">
      <c r="A347" s="64"/>
      <c r="B347" s="64"/>
      <c r="C347" s="65"/>
      <c r="D347" s="64"/>
      <c r="E347" s="64"/>
    </row>
    <row r="348" spans="1:5" ht="12.75">
      <c r="A348" s="64"/>
      <c r="B348" s="64"/>
      <c r="C348" s="65"/>
      <c r="D348" s="64"/>
      <c r="E348" s="64"/>
    </row>
    <row r="349" spans="1:5" ht="12.75">
      <c r="A349" s="64"/>
      <c r="B349" s="64"/>
      <c r="C349" s="65"/>
      <c r="D349" s="64"/>
      <c r="E349" s="64"/>
    </row>
    <row r="350" spans="1:5" ht="12.75">
      <c r="A350" s="64"/>
      <c r="B350" s="64"/>
      <c r="C350" s="65"/>
      <c r="D350" s="64"/>
      <c r="E350" s="64"/>
    </row>
    <row r="351" spans="1:5" ht="12.75">
      <c r="A351" s="64"/>
      <c r="B351" s="64"/>
      <c r="C351" s="65"/>
      <c r="D351" s="64"/>
      <c r="E351" s="64"/>
    </row>
    <row r="352" spans="1:5" ht="12.75">
      <c r="A352" s="64"/>
      <c r="B352" s="64"/>
      <c r="C352" s="65"/>
      <c r="D352" s="64"/>
      <c r="E352" s="64"/>
    </row>
    <row r="353" spans="1:5" ht="12.75">
      <c r="A353" s="64"/>
      <c r="B353" s="64"/>
      <c r="C353" s="65"/>
      <c r="D353" s="64"/>
      <c r="E353" s="64"/>
    </row>
    <row r="354" spans="1:5" ht="12.75">
      <c r="A354" s="64"/>
      <c r="B354" s="64"/>
      <c r="C354" s="65"/>
      <c r="D354" s="64"/>
      <c r="E354" s="64"/>
    </row>
    <row r="355" spans="1:5" ht="12.75">
      <c r="A355" s="64"/>
      <c r="B355" s="64"/>
      <c r="C355" s="65"/>
      <c r="D355" s="64"/>
      <c r="E355" s="64"/>
    </row>
    <row r="356" spans="1:5" ht="12.75">
      <c r="A356" s="64"/>
      <c r="B356" s="64"/>
      <c r="C356" s="65"/>
      <c r="D356" s="64"/>
      <c r="E356" s="64"/>
    </row>
    <row r="357" spans="1:5" ht="12.75">
      <c r="A357" s="64"/>
      <c r="B357" s="64"/>
      <c r="C357" s="65"/>
      <c r="D357" s="64"/>
      <c r="E357" s="64"/>
    </row>
    <row r="358" spans="1:5" ht="12.75">
      <c r="A358" s="64"/>
      <c r="B358" s="64"/>
      <c r="C358" s="65"/>
      <c r="D358" s="64"/>
      <c r="E358" s="64"/>
    </row>
    <row r="359" spans="1:5" ht="12.75">
      <c r="A359" s="64"/>
      <c r="B359" s="64"/>
      <c r="C359" s="65"/>
      <c r="D359" s="64"/>
      <c r="E359" s="64"/>
    </row>
    <row r="360" spans="1:5" ht="12.75">
      <c r="A360" s="64"/>
      <c r="B360" s="64"/>
      <c r="C360" s="65"/>
      <c r="D360" s="64"/>
      <c r="E360" s="64"/>
    </row>
    <row r="361" spans="1:5" ht="12.75">
      <c r="A361" s="64"/>
      <c r="B361" s="64"/>
      <c r="C361" s="65"/>
      <c r="D361" s="64"/>
      <c r="E361" s="64"/>
    </row>
    <row r="362" spans="1:5" ht="12.75">
      <c r="A362" s="64"/>
      <c r="B362" s="64"/>
      <c r="C362" s="65"/>
      <c r="D362" s="64"/>
      <c r="E362" s="64"/>
    </row>
    <row r="363" spans="1:5" ht="12.75">
      <c r="A363" s="64"/>
      <c r="B363" s="64"/>
      <c r="C363" s="65"/>
      <c r="D363" s="64"/>
      <c r="E363" s="64"/>
    </row>
    <row r="364" spans="1:5" ht="12.75">
      <c r="A364" s="64"/>
      <c r="B364" s="64"/>
      <c r="C364" s="65"/>
      <c r="D364" s="64"/>
      <c r="E364" s="64"/>
    </row>
    <row r="365" spans="1:5" ht="12.75">
      <c r="A365" s="64"/>
      <c r="B365" s="64"/>
      <c r="C365" s="65"/>
      <c r="D365" s="64"/>
      <c r="E365" s="64"/>
    </row>
    <row r="366" spans="1:5" ht="12.75">
      <c r="A366" s="64"/>
      <c r="B366" s="64"/>
      <c r="C366" s="65"/>
      <c r="D366" s="64"/>
      <c r="E366" s="64"/>
    </row>
    <row r="367" spans="1:5" ht="12.75">
      <c r="A367" s="64"/>
      <c r="B367" s="64"/>
      <c r="C367" s="65"/>
      <c r="D367" s="64"/>
      <c r="E367" s="64"/>
    </row>
    <row r="368" spans="1:5" ht="12.75">
      <c r="A368" s="64"/>
      <c r="B368" s="64"/>
      <c r="C368" s="65"/>
      <c r="D368" s="64"/>
      <c r="E368" s="64"/>
    </row>
    <row r="369" spans="1:5" ht="12.75">
      <c r="A369" s="64"/>
      <c r="B369" s="64"/>
      <c r="C369" s="65"/>
      <c r="D369" s="64"/>
      <c r="E369" s="64"/>
    </row>
    <row r="370" spans="1:5" ht="12.75">
      <c r="A370" s="64"/>
      <c r="B370" s="64"/>
      <c r="C370" s="65"/>
      <c r="D370" s="64"/>
      <c r="E370" s="64"/>
    </row>
    <row r="371" spans="1:5" ht="12.75">
      <c r="A371" s="64"/>
      <c r="B371" s="64"/>
      <c r="C371" s="65"/>
      <c r="D371" s="64"/>
      <c r="E371" s="64"/>
    </row>
    <row r="372" spans="1:5" ht="12.75">
      <c r="A372" s="64"/>
      <c r="B372" s="64"/>
      <c r="C372" s="65"/>
      <c r="D372" s="64"/>
      <c r="E372" s="64"/>
    </row>
    <row r="373" spans="1:5" ht="12.75">
      <c r="A373" s="64"/>
      <c r="B373" s="64"/>
      <c r="C373" s="65"/>
      <c r="D373" s="64"/>
      <c r="E373" s="64"/>
    </row>
    <row r="374" spans="1:5" ht="12.75">
      <c r="A374" s="64"/>
      <c r="B374" s="64"/>
      <c r="C374" s="65"/>
      <c r="D374" s="64"/>
      <c r="E374" s="64"/>
    </row>
    <row r="375" spans="1:5" ht="12.75">
      <c r="A375" s="64"/>
      <c r="B375" s="64"/>
      <c r="C375" s="65"/>
      <c r="D375" s="64"/>
      <c r="E375" s="64"/>
    </row>
    <row r="376" spans="1:5" ht="12.75">
      <c r="A376" s="64"/>
      <c r="B376" s="64"/>
      <c r="C376" s="65"/>
      <c r="D376" s="64"/>
      <c r="E376" s="64"/>
    </row>
    <row r="377" spans="1:5" ht="12.75">
      <c r="A377" s="64"/>
      <c r="B377" s="64"/>
      <c r="C377" s="65"/>
      <c r="D377" s="64"/>
      <c r="E377" s="64"/>
    </row>
    <row r="378" spans="1:5" ht="12.75">
      <c r="A378" s="64"/>
      <c r="B378" s="64"/>
      <c r="C378" s="65"/>
      <c r="D378" s="64"/>
      <c r="E378" s="64"/>
    </row>
    <row r="379" spans="1:5" ht="12.75">
      <c r="A379" s="64"/>
      <c r="B379" s="64"/>
      <c r="C379" s="65"/>
      <c r="D379" s="64"/>
      <c r="E379" s="64"/>
    </row>
    <row r="380" spans="1:5" ht="12.75">
      <c r="A380" s="64"/>
      <c r="B380" s="64"/>
      <c r="C380" s="65"/>
      <c r="D380" s="64"/>
      <c r="E380" s="64"/>
    </row>
    <row r="381" spans="1:5" ht="12.75">
      <c r="A381" s="64"/>
      <c r="B381" s="64"/>
      <c r="C381" s="65"/>
      <c r="D381" s="64"/>
      <c r="E381" s="64"/>
    </row>
    <row r="382" spans="1:5" ht="12.75">
      <c r="A382" s="64"/>
      <c r="B382" s="64"/>
      <c r="C382" s="65"/>
      <c r="D382" s="64"/>
      <c r="E382" s="64"/>
    </row>
    <row r="383" spans="1:5" ht="12.75">
      <c r="A383" s="64"/>
      <c r="B383" s="64"/>
      <c r="C383" s="65"/>
      <c r="D383" s="64"/>
      <c r="E383" s="64"/>
    </row>
    <row r="384" spans="1:5" ht="12.75">
      <c r="A384" s="64"/>
      <c r="B384" s="64"/>
      <c r="C384" s="65"/>
      <c r="D384" s="64"/>
      <c r="E384" s="64"/>
    </row>
    <row r="385" spans="1:5" ht="12.75">
      <c r="A385" s="64"/>
      <c r="B385" s="64"/>
      <c r="C385" s="65"/>
      <c r="D385" s="64"/>
      <c r="E385" s="64"/>
    </row>
    <row r="386" spans="1:5" ht="12.75">
      <c r="A386" s="64"/>
      <c r="B386" s="64"/>
      <c r="C386" s="65"/>
      <c r="D386" s="64"/>
      <c r="E386" s="64"/>
    </row>
    <row r="387" spans="1:5" ht="12.75">
      <c r="A387" s="64"/>
      <c r="B387" s="64"/>
      <c r="C387" s="65"/>
      <c r="D387" s="64"/>
      <c r="E387" s="64"/>
    </row>
    <row r="388" spans="1:5" ht="12.75">
      <c r="A388" s="64"/>
      <c r="B388" s="64"/>
      <c r="C388" s="65"/>
      <c r="D388" s="64"/>
      <c r="E388" s="64"/>
    </row>
    <row r="389" spans="1:5" ht="12.75">
      <c r="A389" s="64"/>
      <c r="B389" s="64"/>
      <c r="C389" s="65"/>
      <c r="D389" s="64"/>
      <c r="E389" s="64"/>
    </row>
    <row r="390" spans="1:5" ht="12.75">
      <c r="A390" s="64"/>
      <c r="B390" s="64"/>
      <c r="C390" s="65"/>
      <c r="D390" s="64"/>
      <c r="E390" s="64"/>
    </row>
    <row r="391" spans="1:5" ht="12.75">
      <c r="A391" s="64"/>
      <c r="B391" s="64"/>
      <c r="C391" s="65"/>
      <c r="D391" s="64"/>
      <c r="E391" s="64"/>
    </row>
    <row r="392" spans="1:5" ht="12.75">
      <c r="A392" s="64"/>
      <c r="B392" s="64"/>
      <c r="C392" s="65"/>
      <c r="D392" s="64"/>
      <c r="E392" s="64"/>
    </row>
    <row r="393" spans="1:5" ht="12.75">
      <c r="A393" s="64"/>
      <c r="B393" s="64"/>
      <c r="C393" s="65"/>
      <c r="D393" s="64"/>
      <c r="E393" s="64"/>
    </row>
    <row r="394" spans="1:5" ht="12.75">
      <c r="A394" s="64"/>
      <c r="B394" s="64"/>
      <c r="C394" s="65"/>
      <c r="D394" s="64"/>
      <c r="E394" s="64"/>
    </row>
    <row r="395" spans="1:5" ht="12.75">
      <c r="A395" s="64"/>
      <c r="B395" s="64"/>
      <c r="C395" s="65"/>
      <c r="D395" s="64"/>
      <c r="E395" s="64"/>
    </row>
    <row r="396" spans="1:5" ht="12.75">
      <c r="A396" s="64"/>
      <c r="B396" s="64"/>
      <c r="C396" s="65"/>
      <c r="D396" s="64"/>
      <c r="E396" s="64"/>
    </row>
    <row r="397" spans="1:5" ht="12.75">
      <c r="A397" s="64"/>
      <c r="B397" s="64"/>
      <c r="C397" s="65"/>
      <c r="D397" s="64"/>
      <c r="E397" s="64"/>
    </row>
    <row r="398" spans="1:5" ht="12.75">
      <c r="A398" s="64"/>
      <c r="B398" s="64"/>
      <c r="C398" s="65"/>
      <c r="D398" s="64"/>
      <c r="E398" s="64"/>
    </row>
    <row r="399" spans="1:5" ht="12.75">
      <c r="A399" s="64"/>
      <c r="B399" s="64"/>
      <c r="C399" s="65"/>
      <c r="D399" s="64"/>
      <c r="E399" s="64"/>
    </row>
    <row r="400" spans="1:5" ht="12.75">
      <c r="A400" s="64"/>
      <c r="B400" s="64"/>
      <c r="C400" s="65"/>
      <c r="D400" s="64"/>
      <c r="E400" s="64"/>
    </row>
    <row r="401" spans="1:5" ht="12.75">
      <c r="A401" s="64"/>
      <c r="B401" s="64"/>
      <c r="C401" s="65"/>
      <c r="D401" s="64"/>
      <c r="E401" s="64"/>
    </row>
    <row r="402" spans="1:5" ht="12.75">
      <c r="A402" s="64"/>
      <c r="B402" s="64"/>
      <c r="C402" s="65"/>
      <c r="D402" s="64"/>
      <c r="E402" s="64"/>
    </row>
    <row r="403" spans="1:5" ht="12.75">
      <c r="A403" s="64"/>
      <c r="B403" s="64"/>
      <c r="C403" s="65"/>
      <c r="D403" s="64"/>
      <c r="E403" s="64"/>
    </row>
    <row r="404" spans="1:5" ht="12.75">
      <c r="A404" s="64"/>
      <c r="B404" s="64"/>
      <c r="C404" s="65"/>
      <c r="D404" s="64"/>
      <c r="E404" s="64"/>
    </row>
    <row r="405" spans="1:5" ht="12.75">
      <c r="A405" s="64"/>
      <c r="B405" s="64"/>
      <c r="C405" s="65"/>
      <c r="D405" s="64"/>
      <c r="E405" s="64"/>
    </row>
    <row r="406" spans="1:5" ht="12.75">
      <c r="A406" s="64"/>
      <c r="B406" s="64"/>
      <c r="C406" s="65"/>
      <c r="D406" s="64"/>
      <c r="E406" s="64"/>
    </row>
    <row r="407" spans="1:5" ht="12.75">
      <c r="A407" s="64"/>
      <c r="B407" s="64"/>
      <c r="C407" s="65"/>
      <c r="D407" s="64"/>
      <c r="E407" s="64"/>
    </row>
    <row r="408" spans="1:5" ht="12.75">
      <c r="A408" s="64"/>
      <c r="B408" s="64"/>
      <c r="C408" s="65"/>
      <c r="D408" s="64"/>
      <c r="E408" s="64"/>
    </row>
    <row r="409" spans="1:5" ht="12.75">
      <c r="A409" s="64"/>
      <c r="B409" s="64"/>
      <c r="C409" s="65"/>
      <c r="D409" s="64"/>
      <c r="E409" s="64"/>
    </row>
    <row r="410" spans="1:5" ht="12.75">
      <c r="A410" s="64"/>
      <c r="B410" s="64"/>
      <c r="C410" s="65"/>
      <c r="D410" s="64"/>
      <c r="E410" s="64"/>
    </row>
    <row r="411" spans="1:5" ht="12.75">
      <c r="A411" s="64"/>
      <c r="B411" s="64"/>
      <c r="C411" s="65"/>
      <c r="D411" s="64"/>
      <c r="E411" s="64"/>
    </row>
    <row r="412" spans="1:5" ht="12.75">
      <c r="A412" s="64"/>
      <c r="B412" s="64"/>
      <c r="C412" s="65"/>
      <c r="D412" s="64"/>
      <c r="E412" s="64"/>
    </row>
    <row r="413" spans="1:5" ht="12.75">
      <c r="A413" s="64"/>
      <c r="B413" s="64"/>
      <c r="C413" s="65"/>
      <c r="D413" s="64"/>
      <c r="E413" s="64"/>
    </row>
    <row r="414" spans="1:5" ht="12.75">
      <c r="A414" s="64"/>
      <c r="B414" s="64"/>
      <c r="C414" s="65"/>
      <c r="D414" s="64"/>
      <c r="E414" s="64"/>
    </row>
    <row r="415" spans="1:5" ht="12.75">
      <c r="A415" s="64"/>
      <c r="B415" s="64"/>
      <c r="C415" s="65"/>
      <c r="D415" s="64"/>
      <c r="E415" s="64"/>
    </row>
    <row r="416" spans="1:5" ht="12.75">
      <c r="A416" s="64"/>
      <c r="B416" s="64"/>
      <c r="C416" s="65"/>
      <c r="D416" s="64"/>
      <c r="E416" s="64"/>
    </row>
    <row r="417" spans="1:5" ht="12.75">
      <c r="A417" s="64"/>
      <c r="B417" s="64"/>
      <c r="C417" s="65"/>
      <c r="D417" s="64"/>
      <c r="E417" s="64"/>
    </row>
    <row r="418" spans="1:5" ht="12.75">
      <c r="A418" s="64"/>
      <c r="B418" s="64"/>
      <c r="C418" s="65"/>
      <c r="D418" s="64"/>
      <c r="E418" s="64"/>
    </row>
    <row r="419" spans="1:5" ht="12.75">
      <c r="A419" s="64"/>
      <c r="B419" s="64"/>
      <c r="C419" s="65"/>
      <c r="D419" s="64"/>
      <c r="E419" s="64"/>
    </row>
    <row r="420" spans="1:5" ht="12.75">
      <c r="A420" s="64"/>
      <c r="B420" s="64"/>
      <c r="C420" s="65"/>
      <c r="D420" s="64"/>
      <c r="E420" s="64"/>
    </row>
    <row r="421" spans="1:5" ht="12.75">
      <c r="A421" s="64"/>
      <c r="B421" s="64"/>
      <c r="C421" s="65"/>
      <c r="D421" s="64"/>
      <c r="E421" s="64"/>
    </row>
    <row r="422" spans="1:5" ht="12.75">
      <c r="A422" s="64"/>
      <c r="B422" s="64"/>
      <c r="C422" s="65"/>
      <c r="D422" s="64"/>
      <c r="E422" s="64"/>
    </row>
    <row r="423" spans="1:5" ht="12.75">
      <c r="A423" s="64"/>
      <c r="B423" s="64"/>
      <c r="C423" s="65"/>
      <c r="D423" s="64"/>
      <c r="E423" s="64"/>
    </row>
    <row r="424" spans="1:5" ht="12.75">
      <c r="A424" s="64"/>
      <c r="B424" s="64"/>
      <c r="C424" s="65"/>
      <c r="D424" s="64"/>
      <c r="E424" s="64"/>
    </row>
    <row r="425" spans="1:5" ht="12.75">
      <c r="A425" s="64"/>
      <c r="B425" s="64"/>
      <c r="C425" s="65"/>
      <c r="D425" s="64"/>
      <c r="E425" s="64"/>
    </row>
    <row r="426" spans="1:5" ht="12.75">
      <c r="A426" s="64"/>
      <c r="B426" s="64"/>
      <c r="C426" s="65"/>
      <c r="D426" s="64"/>
      <c r="E426" s="64"/>
    </row>
    <row r="427" spans="1:5" ht="12.75">
      <c r="A427" s="64"/>
      <c r="B427" s="64"/>
      <c r="C427" s="65"/>
      <c r="D427" s="64"/>
      <c r="E427" s="64"/>
    </row>
    <row r="428" spans="1:5" ht="12.75">
      <c r="A428" s="64"/>
      <c r="B428" s="64"/>
      <c r="C428" s="65"/>
      <c r="D428" s="64"/>
      <c r="E428" s="64"/>
    </row>
    <row r="429" spans="1:5" ht="12.75">
      <c r="A429" s="64"/>
      <c r="B429" s="64"/>
      <c r="C429" s="65"/>
      <c r="D429" s="64"/>
      <c r="E429" s="64"/>
    </row>
    <row r="430" spans="1:5" ht="12.75">
      <c r="A430" s="64"/>
      <c r="B430" s="64"/>
      <c r="C430" s="65"/>
      <c r="D430" s="64"/>
      <c r="E430" s="64"/>
    </row>
    <row r="431" spans="1:5" ht="12.75">
      <c r="A431" s="64"/>
      <c r="B431" s="64"/>
      <c r="C431" s="65"/>
      <c r="D431" s="64"/>
      <c r="E431" s="64"/>
    </row>
    <row r="432" spans="1:5" ht="12.75">
      <c r="A432" s="64"/>
      <c r="B432" s="64"/>
      <c r="C432" s="65"/>
      <c r="D432" s="64"/>
      <c r="E432" s="64"/>
    </row>
    <row r="433" spans="1:5" ht="12.75">
      <c r="A433" s="64"/>
      <c r="B433" s="64"/>
      <c r="C433" s="65"/>
      <c r="D433" s="64"/>
      <c r="E433" s="64"/>
    </row>
    <row r="434" spans="1:5" ht="12.75">
      <c r="A434" s="64"/>
      <c r="B434" s="64"/>
      <c r="C434" s="65"/>
      <c r="D434" s="64"/>
      <c r="E434" s="64"/>
    </row>
    <row r="435" spans="1:5" ht="12.75">
      <c r="A435" s="64"/>
      <c r="B435" s="64"/>
      <c r="C435" s="65"/>
      <c r="D435" s="64"/>
      <c r="E435" s="64"/>
    </row>
    <row r="436" spans="1:5" ht="12.75">
      <c r="A436" s="64"/>
      <c r="B436" s="64"/>
      <c r="C436" s="65"/>
      <c r="D436" s="64"/>
      <c r="E436" s="64"/>
    </row>
    <row r="437" spans="1:5" ht="12.75">
      <c r="A437" s="64"/>
      <c r="B437" s="64"/>
      <c r="C437" s="65"/>
      <c r="D437" s="64"/>
      <c r="E437" s="64"/>
    </row>
    <row r="438" spans="1:5" ht="12.75">
      <c r="A438" s="64"/>
      <c r="B438" s="64"/>
      <c r="C438" s="65"/>
      <c r="D438" s="64"/>
      <c r="E438" s="64"/>
    </row>
    <row r="439" spans="1:5" ht="12.75">
      <c r="A439" s="64"/>
      <c r="B439" s="64"/>
      <c r="C439" s="65"/>
      <c r="D439" s="64"/>
      <c r="E439" s="64"/>
    </row>
    <row r="440" spans="1:5" ht="12.75">
      <c r="A440" s="64"/>
      <c r="B440" s="64"/>
      <c r="C440" s="65"/>
      <c r="D440" s="64"/>
      <c r="E440" s="64"/>
    </row>
    <row r="441" spans="1:5" ht="12.75">
      <c r="A441" s="64"/>
      <c r="B441" s="64"/>
      <c r="C441" s="65"/>
      <c r="D441" s="64"/>
      <c r="E441" s="64"/>
    </row>
    <row r="442" spans="1:5" ht="12.75">
      <c r="A442" s="64"/>
      <c r="B442" s="64"/>
      <c r="C442" s="65"/>
      <c r="D442" s="64"/>
      <c r="E442" s="64"/>
    </row>
    <row r="443" spans="1:5" ht="12.75">
      <c r="A443" s="64"/>
      <c r="B443" s="64"/>
      <c r="C443" s="65"/>
      <c r="D443" s="64"/>
      <c r="E443" s="64"/>
    </row>
    <row r="444" spans="1:5" ht="12.75">
      <c r="A444" s="64"/>
      <c r="B444" s="64"/>
      <c r="C444" s="65"/>
      <c r="D444" s="64"/>
      <c r="E444" s="64"/>
    </row>
    <row r="445" spans="1:5" ht="12.75">
      <c r="A445" s="64"/>
      <c r="B445" s="64"/>
      <c r="C445" s="65"/>
      <c r="D445" s="64"/>
      <c r="E445" s="64"/>
    </row>
    <row r="446" spans="1:5" ht="12.75">
      <c r="A446" s="64"/>
      <c r="B446" s="64"/>
      <c r="C446" s="65"/>
      <c r="D446" s="64"/>
      <c r="E446" s="64"/>
    </row>
    <row r="447" spans="1:5" ht="12.75">
      <c r="A447" s="64"/>
      <c r="B447" s="64"/>
      <c r="C447" s="65"/>
      <c r="D447" s="64"/>
      <c r="E447" s="64"/>
    </row>
    <row r="448" spans="1:5" ht="12.75">
      <c r="A448" s="64"/>
      <c r="B448" s="64"/>
      <c r="C448" s="65"/>
      <c r="D448" s="64"/>
      <c r="E448" s="64"/>
    </row>
    <row r="449" spans="1:5" ht="12.75">
      <c r="A449" s="64"/>
      <c r="B449" s="64"/>
      <c r="C449" s="65"/>
      <c r="D449" s="64"/>
      <c r="E449" s="64"/>
    </row>
    <row r="450" spans="1:5" ht="12.75">
      <c r="A450" s="64"/>
      <c r="B450" s="64"/>
      <c r="C450" s="65"/>
      <c r="D450" s="64"/>
      <c r="E450" s="64"/>
    </row>
    <row r="451" spans="1:5" ht="12.75">
      <c r="A451" s="64"/>
      <c r="B451" s="64"/>
      <c r="C451" s="65"/>
      <c r="D451" s="64"/>
      <c r="E451" s="64"/>
    </row>
    <row r="452" spans="1:5" ht="12.75">
      <c r="A452" s="64"/>
      <c r="B452" s="64"/>
      <c r="C452" s="65"/>
      <c r="D452" s="64"/>
      <c r="E452" s="64"/>
    </row>
    <row r="453" spans="1:5" ht="12.75">
      <c r="A453" s="64"/>
      <c r="B453" s="64"/>
      <c r="C453" s="65"/>
      <c r="D453" s="64"/>
      <c r="E453" s="64"/>
    </row>
    <row r="454" spans="1:5" ht="12.75">
      <c r="A454" s="64"/>
      <c r="B454" s="64"/>
      <c r="C454" s="65"/>
      <c r="D454" s="64"/>
      <c r="E454" s="64"/>
    </row>
    <row r="455" spans="1:5" ht="12.75">
      <c r="A455" s="64"/>
      <c r="B455" s="64"/>
      <c r="C455" s="65"/>
      <c r="D455" s="64"/>
      <c r="E455" s="64"/>
    </row>
    <row r="456" spans="1:5" ht="12.75">
      <c r="A456" s="64"/>
      <c r="B456" s="64"/>
      <c r="C456" s="65"/>
      <c r="D456" s="64"/>
      <c r="E456" s="64"/>
    </row>
    <row r="457" spans="1:5" ht="12.75">
      <c r="A457" s="64"/>
      <c r="B457" s="64"/>
      <c r="C457" s="65"/>
      <c r="D457" s="64"/>
      <c r="E457" s="64"/>
    </row>
    <row r="458" spans="1:5" ht="12.75">
      <c r="A458" s="64"/>
      <c r="B458" s="64"/>
      <c r="C458" s="65"/>
      <c r="D458" s="64"/>
      <c r="E458" s="64"/>
    </row>
    <row r="459" spans="1:5" ht="12.75">
      <c r="A459" s="64"/>
      <c r="B459" s="64"/>
      <c r="C459" s="65"/>
      <c r="D459" s="64"/>
      <c r="E459" s="64"/>
    </row>
    <row r="460" spans="1:5" ht="12.75">
      <c r="A460" s="64"/>
      <c r="B460" s="64"/>
      <c r="C460" s="65"/>
      <c r="D460" s="64"/>
      <c r="E460" s="64"/>
    </row>
    <row r="461" spans="1:5" ht="12.75">
      <c r="A461" s="64"/>
      <c r="B461" s="64"/>
      <c r="C461" s="65"/>
      <c r="D461" s="64"/>
      <c r="E461" s="64"/>
    </row>
    <row r="462" spans="1:5" ht="12.75">
      <c r="A462" s="64"/>
      <c r="B462" s="64"/>
      <c r="C462" s="65"/>
      <c r="D462" s="64"/>
      <c r="E462" s="64"/>
    </row>
    <row r="463" spans="1:5" ht="12.75">
      <c r="A463" s="64"/>
      <c r="B463" s="64"/>
      <c r="C463" s="65"/>
      <c r="D463" s="64"/>
      <c r="E463" s="64"/>
    </row>
    <row r="464" spans="1:5" ht="12.75">
      <c r="A464" s="64"/>
      <c r="B464" s="64"/>
      <c r="C464" s="65"/>
      <c r="D464" s="64"/>
      <c r="E464" s="64"/>
    </row>
    <row r="465" spans="1:5" ht="12.75">
      <c r="A465" s="64"/>
      <c r="B465" s="64"/>
      <c r="C465" s="65"/>
      <c r="D465" s="64"/>
      <c r="E465" s="64"/>
    </row>
    <row r="466" spans="1:5" ht="12.75">
      <c r="A466" s="64"/>
      <c r="B466" s="64"/>
      <c r="C466" s="65"/>
      <c r="D466" s="64"/>
      <c r="E466" s="64"/>
    </row>
    <row r="467" spans="1:5" ht="12.75">
      <c r="A467" s="64"/>
      <c r="B467" s="64"/>
      <c r="C467" s="65"/>
      <c r="D467" s="64"/>
      <c r="E467" s="64"/>
    </row>
    <row r="468" spans="1:5" ht="12.75">
      <c r="A468" s="64"/>
      <c r="B468" s="64"/>
      <c r="C468" s="65"/>
      <c r="D468" s="64"/>
      <c r="E468" s="64"/>
    </row>
    <row r="469" spans="1:5" ht="12.75">
      <c r="A469" s="64"/>
      <c r="B469" s="64"/>
      <c r="C469" s="65"/>
      <c r="D469" s="64"/>
      <c r="E469" s="64"/>
    </row>
    <row r="470" spans="1:5" ht="12.75">
      <c r="A470" s="64"/>
      <c r="B470" s="64"/>
      <c r="C470" s="65"/>
      <c r="D470" s="64"/>
      <c r="E470" s="64"/>
    </row>
    <row r="471" spans="1:5" ht="12.75">
      <c r="A471" s="64"/>
      <c r="B471" s="64"/>
      <c r="C471" s="65"/>
      <c r="D471" s="64"/>
      <c r="E471" s="64"/>
    </row>
    <row r="472" spans="1:5" ht="12.75">
      <c r="A472" s="64"/>
      <c r="B472" s="64"/>
      <c r="C472" s="65"/>
      <c r="D472" s="64"/>
      <c r="E472" s="64"/>
    </row>
    <row r="473" spans="1:5" ht="12.75">
      <c r="A473" s="64"/>
      <c r="B473" s="64"/>
      <c r="C473" s="65"/>
      <c r="D473" s="64"/>
      <c r="E473" s="64"/>
    </row>
    <row r="474" spans="1:5" ht="12.75">
      <c r="A474" s="64"/>
      <c r="B474" s="64"/>
      <c r="C474" s="65"/>
      <c r="D474" s="64"/>
      <c r="E474" s="64"/>
    </row>
    <row r="475" spans="1:5" ht="12.75">
      <c r="A475" s="64"/>
      <c r="B475" s="64"/>
      <c r="C475" s="65"/>
      <c r="D475" s="64"/>
      <c r="E475" s="64"/>
    </row>
    <row r="476" spans="1:5" ht="12.75">
      <c r="A476" s="64"/>
      <c r="B476" s="64"/>
      <c r="C476" s="65"/>
      <c r="D476" s="64"/>
      <c r="E476" s="64"/>
    </row>
    <row r="477" spans="1:5" ht="12.75">
      <c r="A477" s="64"/>
      <c r="B477" s="64"/>
      <c r="C477" s="65"/>
      <c r="D477" s="64"/>
      <c r="E477" s="64"/>
    </row>
    <row r="478" spans="1:5" ht="12.75">
      <c r="A478" s="64"/>
      <c r="B478" s="64"/>
      <c r="C478" s="65"/>
      <c r="D478" s="64"/>
      <c r="E478" s="64"/>
    </row>
    <row r="479" spans="1:5" ht="12.75">
      <c r="A479" s="64"/>
      <c r="B479" s="64"/>
      <c r="C479" s="65"/>
      <c r="D479" s="64"/>
      <c r="E479" s="64"/>
    </row>
    <row r="480" spans="1:5" ht="12.75">
      <c r="A480" s="64"/>
      <c r="B480" s="64"/>
      <c r="C480" s="65"/>
      <c r="D480" s="64"/>
      <c r="E480" s="64"/>
    </row>
    <row r="481" spans="1:5" ht="12.75">
      <c r="A481" s="64"/>
      <c r="B481" s="64"/>
      <c r="C481" s="65"/>
      <c r="D481" s="64"/>
      <c r="E481" s="64"/>
    </row>
    <row r="482" spans="1:5" ht="12.75">
      <c r="A482" s="64"/>
      <c r="B482" s="64"/>
      <c r="C482" s="65"/>
      <c r="D482" s="64"/>
      <c r="E482" s="64"/>
    </row>
    <row r="483" spans="1:5" ht="12.75">
      <c r="A483" s="64"/>
      <c r="B483" s="64"/>
      <c r="C483" s="65"/>
      <c r="D483" s="64"/>
      <c r="E483" s="64"/>
    </row>
    <row r="484" spans="1:5" ht="12.75">
      <c r="A484" s="64"/>
      <c r="B484" s="64"/>
      <c r="C484" s="65"/>
      <c r="D484" s="64"/>
      <c r="E484" s="64"/>
    </row>
    <row r="485" spans="1:5" ht="12.75">
      <c r="A485" s="64"/>
      <c r="B485" s="64"/>
      <c r="C485" s="65"/>
      <c r="D485" s="64"/>
      <c r="E485" s="64"/>
    </row>
    <row r="486" spans="1:5" ht="12.75">
      <c r="A486" s="64"/>
      <c r="B486" s="64"/>
      <c r="C486" s="65"/>
      <c r="D486" s="64"/>
      <c r="E486" s="64"/>
    </row>
    <row r="487" spans="1:5" ht="12.75">
      <c r="A487" s="64"/>
      <c r="B487" s="64"/>
      <c r="C487" s="65"/>
      <c r="D487" s="64"/>
      <c r="E487" s="64"/>
    </row>
    <row r="488" spans="1:5" ht="12.75">
      <c r="A488" s="64"/>
      <c r="B488" s="64"/>
      <c r="C488" s="65"/>
      <c r="D488" s="64"/>
      <c r="E488" s="64"/>
    </row>
    <row r="489" spans="1:5" ht="12.75">
      <c r="A489" s="64"/>
      <c r="B489" s="64"/>
      <c r="C489" s="65"/>
      <c r="D489" s="64"/>
      <c r="E489" s="64"/>
    </row>
    <row r="490" spans="1:5" ht="12.75">
      <c r="A490" s="64"/>
      <c r="B490" s="64"/>
      <c r="C490" s="65"/>
      <c r="D490" s="64"/>
      <c r="E490" s="64"/>
    </row>
    <row r="491" spans="1:5" ht="12.75">
      <c r="A491" s="64"/>
      <c r="B491" s="64"/>
      <c r="C491" s="65"/>
      <c r="D491" s="64"/>
      <c r="E491" s="64"/>
    </row>
    <row r="492" spans="1:5" ht="12.75">
      <c r="A492" s="64"/>
      <c r="B492" s="64"/>
      <c r="C492" s="65"/>
      <c r="D492" s="64"/>
      <c r="E492" s="64"/>
    </row>
    <row r="493" spans="1:5" ht="12.75">
      <c r="A493" s="64"/>
      <c r="B493" s="64"/>
      <c r="C493" s="65"/>
      <c r="D493" s="64"/>
      <c r="E493" s="64"/>
    </row>
    <row r="494" spans="1:5" ht="12.75">
      <c r="A494" s="64"/>
      <c r="B494" s="64"/>
      <c r="C494" s="65"/>
      <c r="D494" s="64"/>
      <c r="E494" s="64"/>
    </row>
    <row r="495" spans="1:5" ht="12.75">
      <c r="A495" s="64"/>
      <c r="B495" s="64"/>
      <c r="C495" s="65"/>
      <c r="D495" s="64"/>
      <c r="E495" s="64"/>
    </row>
    <row r="496" spans="1:5" ht="12.75">
      <c r="A496" s="64"/>
      <c r="B496" s="64"/>
      <c r="C496" s="65"/>
      <c r="D496" s="64"/>
      <c r="E496" s="64"/>
    </row>
    <row r="497" spans="1:5" ht="12.75">
      <c r="A497" s="64"/>
      <c r="B497" s="64"/>
      <c r="C497" s="65"/>
      <c r="D497" s="64"/>
      <c r="E497" s="64"/>
    </row>
    <row r="498" spans="1:5" ht="12.75">
      <c r="A498" s="64"/>
      <c r="B498" s="64"/>
      <c r="C498" s="65"/>
      <c r="D498" s="64"/>
      <c r="E498" s="64"/>
    </row>
    <row r="499" spans="1:5" ht="12.75">
      <c r="A499" s="64"/>
      <c r="B499" s="64"/>
      <c r="C499" s="65"/>
      <c r="D499" s="64"/>
      <c r="E499" s="64"/>
    </row>
    <row r="500" spans="1:5" ht="12.75">
      <c r="A500" s="64"/>
      <c r="B500" s="64"/>
      <c r="C500" s="65"/>
      <c r="D500" s="64"/>
      <c r="E500" s="64"/>
    </row>
    <row r="501" spans="1:5" ht="12.75">
      <c r="A501" s="64"/>
      <c r="B501" s="64"/>
      <c r="C501" s="65"/>
      <c r="D501" s="64"/>
      <c r="E501" s="64"/>
    </row>
    <row r="502" spans="1:5" ht="12.75">
      <c r="A502" s="64"/>
      <c r="B502" s="64"/>
      <c r="C502" s="65"/>
      <c r="D502" s="64"/>
      <c r="E502" s="64"/>
    </row>
    <row r="503" spans="1:5" ht="12.75">
      <c r="A503" s="64"/>
      <c r="B503" s="64"/>
      <c r="C503" s="65"/>
      <c r="D503" s="64"/>
      <c r="E503" s="64"/>
    </row>
    <row r="504" spans="1:5" ht="12.75">
      <c r="A504" s="64"/>
      <c r="B504" s="64"/>
      <c r="C504" s="65"/>
      <c r="D504" s="64"/>
      <c r="E504" s="64"/>
    </row>
    <row r="505" spans="1:5" ht="12.75">
      <c r="A505" s="64"/>
      <c r="B505" s="64"/>
      <c r="C505" s="65"/>
      <c r="D505" s="64"/>
      <c r="E505" s="64"/>
    </row>
    <row r="506" spans="1:5" ht="12.75">
      <c r="A506" s="64"/>
      <c r="B506" s="64"/>
      <c r="C506" s="65"/>
      <c r="D506" s="64"/>
      <c r="E506" s="64"/>
    </row>
    <row r="507" spans="1:5" ht="12.75">
      <c r="A507" s="64"/>
      <c r="B507" s="64"/>
      <c r="C507" s="65"/>
      <c r="D507" s="64"/>
      <c r="E507" s="64"/>
    </row>
    <row r="508" spans="1:5" ht="12.75">
      <c r="A508" s="64"/>
      <c r="B508" s="64"/>
      <c r="C508" s="65"/>
      <c r="D508" s="64"/>
      <c r="E508" s="64"/>
    </row>
    <row r="509" spans="1:5" ht="12.75">
      <c r="A509" s="64"/>
      <c r="B509" s="64"/>
      <c r="C509" s="65"/>
      <c r="D509" s="64"/>
      <c r="E509" s="64"/>
    </row>
    <row r="510" spans="1:5" ht="12.75">
      <c r="A510" s="64"/>
      <c r="B510" s="64"/>
      <c r="C510" s="65"/>
      <c r="D510" s="64"/>
      <c r="E510" s="64"/>
    </row>
    <row r="511" spans="1:5" ht="12.75">
      <c r="A511" s="64"/>
      <c r="B511" s="64"/>
      <c r="C511" s="65"/>
      <c r="D511" s="64"/>
      <c r="E511" s="64"/>
    </row>
    <row r="512" spans="1:5" ht="12.75">
      <c r="A512" s="64"/>
      <c r="B512" s="64"/>
      <c r="C512" s="65"/>
      <c r="D512" s="64"/>
      <c r="E512" s="64"/>
    </row>
    <row r="513" spans="1:5" ht="12.75">
      <c r="A513" s="64"/>
      <c r="B513" s="64"/>
      <c r="C513" s="65"/>
      <c r="D513" s="64"/>
      <c r="E513" s="64"/>
    </row>
    <row r="514" spans="1:5" ht="12.75">
      <c r="A514" s="64"/>
      <c r="B514" s="64"/>
      <c r="C514" s="65"/>
      <c r="D514" s="64"/>
      <c r="E514" s="64"/>
    </row>
    <row r="515" spans="1:5" ht="12.75">
      <c r="A515" s="64"/>
      <c r="B515" s="64"/>
      <c r="C515" s="65"/>
      <c r="D515" s="64"/>
      <c r="E515" s="64"/>
    </row>
    <row r="516" spans="1:5" ht="12.75">
      <c r="A516" s="64"/>
      <c r="B516" s="64"/>
      <c r="C516" s="65"/>
      <c r="D516" s="64"/>
      <c r="E516" s="64"/>
    </row>
    <row r="517" spans="1:5" ht="12.75">
      <c r="A517" s="64"/>
      <c r="B517" s="64"/>
      <c r="C517" s="65"/>
      <c r="D517" s="64"/>
      <c r="E517" s="64"/>
    </row>
    <row r="518" spans="1:5" ht="12.75">
      <c r="A518" s="64"/>
      <c r="B518" s="64"/>
      <c r="C518" s="65"/>
      <c r="D518" s="64"/>
      <c r="E518" s="64"/>
    </row>
    <row r="519" spans="1:5" ht="12.75">
      <c r="A519" s="64"/>
      <c r="B519" s="64"/>
      <c r="C519" s="65"/>
      <c r="D519" s="64"/>
      <c r="E519" s="64"/>
    </row>
    <row r="520" spans="1:5" ht="12.75">
      <c r="A520" s="64"/>
      <c r="B520" s="64"/>
      <c r="C520" s="65"/>
      <c r="D520" s="64"/>
      <c r="E520" s="64"/>
    </row>
    <row r="521" spans="1:5" ht="12.75">
      <c r="A521" s="64"/>
      <c r="B521" s="64"/>
      <c r="C521" s="65"/>
      <c r="D521" s="64"/>
      <c r="E521" s="64"/>
    </row>
    <row r="522" spans="1:5" ht="12.75">
      <c r="A522" s="64"/>
      <c r="B522" s="64"/>
      <c r="C522" s="65"/>
      <c r="D522" s="64"/>
      <c r="E522" s="64"/>
    </row>
    <row r="523" spans="1:5" ht="12.75">
      <c r="A523" s="64"/>
      <c r="B523" s="64"/>
      <c r="C523" s="65"/>
      <c r="D523" s="64"/>
      <c r="E523" s="64"/>
    </row>
    <row r="524" spans="1:5" ht="12.75">
      <c r="A524" s="64"/>
      <c r="B524" s="64"/>
      <c r="C524" s="65"/>
      <c r="D524" s="64"/>
      <c r="E524" s="64"/>
    </row>
    <row r="525" spans="1:5" ht="12.75">
      <c r="A525" s="64"/>
      <c r="B525" s="64"/>
      <c r="C525" s="65"/>
      <c r="D525" s="64"/>
      <c r="E525" s="64"/>
    </row>
    <row r="526" spans="1:5" ht="12.75">
      <c r="A526" s="64"/>
      <c r="B526" s="64"/>
      <c r="C526" s="65"/>
      <c r="D526" s="64"/>
      <c r="E526" s="64"/>
    </row>
    <row r="527" spans="1:5" ht="12.75">
      <c r="A527" s="64"/>
      <c r="B527" s="64"/>
      <c r="C527" s="65"/>
      <c r="D527" s="64"/>
      <c r="E527" s="64"/>
    </row>
    <row r="528" spans="1:5" ht="12.75">
      <c r="A528" s="64"/>
      <c r="B528" s="64"/>
      <c r="C528" s="65"/>
      <c r="D528" s="64"/>
      <c r="E528" s="64"/>
    </row>
    <row r="529" spans="1:5" ht="12.75">
      <c r="A529" s="64"/>
      <c r="B529" s="64"/>
      <c r="C529" s="65"/>
      <c r="D529" s="64"/>
      <c r="E529" s="64"/>
    </row>
    <row r="530" spans="1:5" ht="12.75">
      <c r="A530" s="64"/>
      <c r="B530" s="64"/>
      <c r="C530" s="65"/>
      <c r="D530" s="64"/>
      <c r="E530" s="64"/>
    </row>
    <row r="531" spans="1:5" ht="12.75">
      <c r="A531" s="64"/>
      <c r="B531" s="64"/>
      <c r="C531" s="65"/>
      <c r="D531" s="64"/>
      <c r="E531" s="64"/>
    </row>
    <row r="532" spans="1:5" ht="12.75">
      <c r="A532" s="64"/>
      <c r="B532" s="64"/>
      <c r="C532" s="65"/>
      <c r="D532" s="64"/>
      <c r="E532" s="64"/>
    </row>
    <row r="533" spans="1:5" ht="12.75">
      <c r="A533" s="64"/>
      <c r="B533" s="64"/>
      <c r="C533" s="65"/>
      <c r="D533" s="64"/>
      <c r="E533" s="64"/>
    </row>
    <row r="534" spans="1:5" ht="12.75">
      <c r="A534" s="64"/>
      <c r="B534" s="64"/>
      <c r="C534" s="65"/>
      <c r="D534" s="64"/>
      <c r="E534" s="64"/>
    </row>
    <row r="535" spans="1:5" ht="12.75">
      <c r="A535" s="64"/>
      <c r="B535" s="64"/>
      <c r="C535" s="65"/>
      <c r="D535" s="64"/>
      <c r="E535" s="64"/>
    </row>
    <row r="536" spans="1:5" ht="12.75">
      <c r="A536" s="64"/>
      <c r="B536" s="64"/>
      <c r="C536" s="65"/>
      <c r="D536" s="64"/>
      <c r="E536" s="64"/>
    </row>
    <row r="537" spans="1:5" ht="12.75">
      <c r="A537" s="64"/>
      <c r="B537" s="64"/>
      <c r="C537" s="65"/>
      <c r="D537" s="64"/>
      <c r="E537" s="64"/>
    </row>
    <row r="538" spans="1:5" ht="12.75">
      <c r="A538" s="64"/>
      <c r="B538" s="64"/>
      <c r="C538" s="65"/>
      <c r="D538" s="64"/>
      <c r="E538" s="64"/>
    </row>
    <row r="539" spans="1:5" ht="12.75">
      <c r="A539" s="64"/>
      <c r="B539" s="64"/>
      <c r="C539" s="65"/>
      <c r="D539" s="64"/>
      <c r="E539" s="64"/>
    </row>
    <row r="540" spans="1:5" ht="12.75">
      <c r="A540" s="64"/>
      <c r="B540" s="64"/>
      <c r="C540" s="65"/>
      <c r="D540" s="64"/>
      <c r="E540" s="64"/>
    </row>
    <row r="541" spans="1:5" ht="12.75">
      <c r="A541" s="64"/>
      <c r="B541" s="64"/>
      <c r="C541" s="65"/>
      <c r="D541" s="64"/>
      <c r="E541" s="64"/>
    </row>
    <row r="542" spans="1:5" ht="12.75">
      <c r="A542" s="64"/>
      <c r="B542" s="64"/>
      <c r="C542" s="65"/>
      <c r="D542" s="64"/>
      <c r="E542" s="64"/>
    </row>
    <row r="543" spans="1:5" ht="12.75">
      <c r="A543" s="64"/>
      <c r="B543" s="64"/>
      <c r="C543" s="65"/>
      <c r="D543" s="64"/>
      <c r="E543" s="64"/>
    </row>
    <row r="544" spans="1:5" ht="12.75">
      <c r="A544" s="64"/>
      <c r="B544" s="64"/>
      <c r="C544" s="65"/>
      <c r="D544" s="64"/>
      <c r="E544" s="64"/>
    </row>
    <row r="545" spans="1:5" ht="12.75">
      <c r="A545" s="64"/>
      <c r="B545" s="64"/>
      <c r="C545" s="65"/>
      <c r="D545" s="64"/>
      <c r="E545" s="64"/>
    </row>
    <row r="546" spans="1:5" ht="12.75">
      <c r="A546" s="64"/>
      <c r="B546" s="64"/>
      <c r="C546" s="65"/>
      <c r="D546" s="64"/>
      <c r="E546" s="64"/>
    </row>
    <row r="547" spans="1:5" ht="12.75">
      <c r="A547" s="64"/>
      <c r="B547" s="64"/>
      <c r="C547" s="65"/>
      <c r="D547" s="64"/>
      <c r="E547" s="64"/>
    </row>
    <row r="548" spans="1:5" ht="12.75">
      <c r="A548" s="64"/>
      <c r="B548" s="64"/>
      <c r="C548" s="65"/>
      <c r="D548" s="64"/>
      <c r="E548" s="64"/>
    </row>
    <row r="549" spans="1:5" ht="12.75">
      <c r="A549" s="64"/>
      <c r="B549" s="64"/>
      <c r="C549" s="65"/>
      <c r="D549" s="64"/>
      <c r="E549" s="64"/>
    </row>
    <row r="550" spans="1:5" ht="12.75">
      <c r="A550" s="64"/>
      <c r="B550" s="64"/>
      <c r="C550" s="65"/>
      <c r="D550" s="64"/>
      <c r="E550" s="64"/>
    </row>
    <row r="551" spans="1:5" ht="12.75">
      <c r="A551" s="64"/>
      <c r="B551" s="64"/>
      <c r="C551" s="65"/>
      <c r="D551" s="64"/>
      <c r="E551" s="64"/>
    </row>
    <row r="552" spans="1:5" ht="12.75">
      <c r="A552" s="64"/>
      <c r="B552" s="64"/>
      <c r="C552" s="65"/>
      <c r="D552" s="64"/>
      <c r="E552" s="64"/>
    </row>
    <row r="553" spans="1:5" ht="12.75">
      <c r="A553" s="64"/>
      <c r="B553" s="64"/>
      <c r="C553" s="65"/>
      <c r="D553" s="64"/>
      <c r="E553" s="64"/>
    </row>
    <row r="554" spans="1:5" ht="12.75">
      <c r="A554" s="64"/>
      <c r="B554" s="64"/>
      <c r="C554" s="65"/>
      <c r="D554" s="64"/>
      <c r="E554" s="64"/>
    </row>
    <row r="555" spans="1:5" ht="12.75">
      <c r="A555" s="64"/>
      <c r="B555" s="64"/>
      <c r="C555" s="65"/>
      <c r="D555" s="64"/>
      <c r="E555" s="64"/>
    </row>
    <row r="556" spans="1:5" ht="12.75">
      <c r="A556" s="64"/>
      <c r="B556" s="64"/>
      <c r="C556" s="65"/>
      <c r="D556" s="64"/>
      <c r="E556" s="64"/>
    </row>
    <row r="557" spans="1:5" ht="12.75">
      <c r="A557" s="64"/>
      <c r="B557" s="64"/>
      <c r="C557" s="65"/>
      <c r="D557" s="64"/>
      <c r="E557" s="64"/>
    </row>
    <row r="558" spans="1:5" ht="12.75">
      <c r="A558" s="64"/>
      <c r="B558" s="64"/>
      <c r="C558" s="65"/>
      <c r="D558" s="64"/>
      <c r="E558" s="64"/>
    </row>
    <row r="559" spans="1:5" ht="12.75">
      <c r="A559" s="64"/>
      <c r="B559" s="64"/>
      <c r="C559" s="65"/>
      <c r="D559" s="64"/>
      <c r="E559" s="64"/>
    </row>
    <row r="560" spans="1:5" ht="12.75">
      <c r="A560" s="64"/>
      <c r="B560" s="64"/>
      <c r="C560" s="65"/>
      <c r="D560" s="64"/>
      <c r="E560" s="64"/>
    </row>
    <row r="561" spans="1:5" ht="12.75">
      <c r="A561" s="64"/>
      <c r="B561" s="64"/>
      <c r="C561" s="65"/>
      <c r="D561" s="64"/>
      <c r="E561" s="64"/>
    </row>
    <row r="562" spans="1:5" ht="12.75">
      <c r="A562" s="64"/>
      <c r="B562" s="64"/>
      <c r="C562" s="65"/>
      <c r="D562" s="64"/>
      <c r="E562" s="64"/>
    </row>
    <row r="563" spans="1:5" ht="12.75">
      <c r="A563" s="64"/>
      <c r="B563" s="64"/>
      <c r="C563" s="65"/>
      <c r="D563" s="64"/>
      <c r="E563" s="64"/>
    </row>
    <row r="564" spans="1:5" ht="12.75">
      <c r="A564" s="64"/>
      <c r="B564" s="64"/>
      <c r="C564" s="65"/>
      <c r="D564" s="64"/>
      <c r="E564" s="64"/>
    </row>
    <row r="565" spans="1:5" ht="12.75">
      <c r="A565" s="64"/>
      <c r="B565" s="64"/>
      <c r="C565" s="65"/>
      <c r="D565" s="64"/>
      <c r="E565" s="64"/>
    </row>
    <row r="566" spans="1:5" ht="12.75">
      <c r="A566" s="64"/>
      <c r="B566" s="64"/>
      <c r="C566" s="65"/>
      <c r="D566" s="64"/>
      <c r="E566" s="64"/>
    </row>
    <row r="567" spans="1:5" ht="12.75">
      <c r="A567" s="64"/>
      <c r="B567" s="64"/>
      <c r="C567" s="65"/>
      <c r="D567" s="64"/>
      <c r="E567" s="64"/>
    </row>
    <row r="568" spans="1:5" ht="12.75">
      <c r="A568" s="64"/>
      <c r="B568" s="64"/>
      <c r="C568" s="65"/>
      <c r="D568" s="64"/>
      <c r="E568" s="64"/>
    </row>
    <row r="569" spans="1:5" ht="12.75">
      <c r="A569" s="64"/>
      <c r="B569" s="64"/>
      <c r="C569" s="65"/>
      <c r="D569" s="64"/>
      <c r="E569" s="64"/>
    </row>
    <row r="570" spans="1:5" ht="12.75">
      <c r="A570" s="64"/>
      <c r="B570" s="64"/>
      <c r="C570" s="65"/>
      <c r="D570" s="64"/>
      <c r="E570" s="64"/>
    </row>
    <row r="571" spans="1:5" ht="12.75">
      <c r="A571" s="64"/>
      <c r="B571" s="64"/>
      <c r="C571" s="65"/>
      <c r="D571" s="64"/>
      <c r="E571" s="64"/>
    </row>
    <row r="572" spans="1:5" ht="12.75">
      <c r="A572" s="64"/>
      <c r="B572" s="64"/>
      <c r="C572" s="65"/>
      <c r="D572" s="64"/>
      <c r="E572" s="64"/>
    </row>
    <row r="573" spans="1:5" ht="12.75">
      <c r="A573" s="64"/>
      <c r="B573" s="64"/>
      <c r="C573" s="65"/>
      <c r="D573" s="64"/>
      <c r="E573" s="64"/>
    </row>
    <row r="574" spans="1:5" ht="12.75">
      <c r="A574" s="64"/>
      <c r="B574" s="64"/>
      <c r="C574" s="65"/>
      <c r="D574" s="64"/>
      <c r="E574" s="64"/>
    </row>
    <row r="575" spans="1:5" ht="12.75">
      <c r="A575" s="64"/>
      <c r="B575" s="64"/>
      <c r="C575" s="65"/>
      <c r="D575" s="64"/>
      <c r="E575" s="64"/>
    </row>
    <row r="576" spans="1:5" ht="12.75">
      <c r="A576" s="64"/>
      <c r="B576" s="64"/>
      <c r="C576" s="65"/>
      <c r="D576" s="64"/>
      <c r="E576" s="64"/>
    </row>
    <row r="577" spans="1:5" ht="12.75">
      <c r="A577" s="64"/>
      <c r="B577" s="64"/>
      <c r="C577" s="65"/>
      <c r="D577" s="64"/>
      <c r="E577" s="64"/>
    </row>
    <row r="578" spans="1:5" ht="12.75">
      <c r="A578" s="64"/>
      <c r="B578" s="64"/>
      <c r="C578" s="65"/>
      <c r="D578" s="64"/>
      <c r="E578" s="64"/>
    </row>
    <row r="579" spans="1:5" ht="12.75">
      <c r="A579" s="64"/>
      <c r="B579" s="64"/>
      <c r="C579" s="65"/>
      <c r="D579" s="64"/>
      <c r="E579" s="64"/>
    </row>
    <row r="580" spans="1:5" ht="12.75">
      <c r="A580" s="64"/>
      <c r="B580" s="64"/>
      <c r="C580" s="65"/>
      <c r="D580" s="64"/>
      <c r="E580" s="64"/>
    </row>
    <row r="581" spans="1:5" ht="12.75">
      <c r="A581" s="64"/>
      <c r="B581" s="64"/>
      <c r="C581" s="65"/>
      <c r="D581" s="64"/>
      <c r="E581" s="64"/>
    </row>
    <row r="582" spans="1:5" ht="12.75">
      <c r="A582" s="64"/>
      <c r="B582" s="64"/>
      <c r="C582" s="65"/>
      <c r="D582" s="64"/>
      <c r="E582" s="64"/>
    </row>
    <row r="583" spans="1:5" ht="12.75">
      <c r="A583" s="64"/>
      <c r="B583" s="64"/>
      <c r="C583" s="65"/>
      <c r="D583" s="64"/>
      <c r="E583" s="64"/>
    </row>
    <row r="584" spans="1:5" ht="12.75">
      <c r="A584" s="64"/>
      <c r="B584" s="64"/>
      <c r="C584" s="65"/>
      <c r="D584" s="64"/>
      <c r="E584" s="64"/>
    </row>
    <row r="585" spans="1:5" ht="12.75">
      <c r="A585" s="64"/>
      <c r="B585" s="64"/>
      <c r="C585" s="65"/>
      <c r="D585" s="64"/>
      <c r="E585" s="64"/>
    </row>
    <row r="586" spans="1:5" ht="12.75">
      <c r="A586" s="64"/>
      <c r="B586" s="64"/>
      <c r="C586" s="65"/>
      <c r="D586" s="64"/>
      <c r="E586" s="64"/>
    </row>
    <row r="587" spans="1:5" ht="12.75">
      <c r="A587" s="64"/>
      <c r="B587" s="64"/>
      <c r="C587" s="65"/>
      <c r="D587" s="64"/>
      <c r="E587" s="64"/>
    </row>
    <row r="588" spans="1:5" ht="12.75">
      <c r="A588" s="64"/>
      <c r="B588" s="64"/>
      <c r="C588" s="65"/>
      <c r="D588" s="64"/>
      <c r="E588" s="64"/>
    </row>
    <row r="589" spans="1:5" ht="12.75">
      <c r="A589" s="64"/>
      <c r="B589" s="64"/>
      <c r="C589" s="65"/>
      <c r="D589" s="64"/>
      <c r="E589" s="64"/>
    </row>
    <row r="590" spans="1:5" ht="12.75">
      <c r="A590" s="64"/>
      <c r="B590" s="64"/>
      <c r="C590" s="65"/>
      <c r="D590" s="64"/>
      <c r="E590" s="64"/>
    </row>
    <row r="591" spans="1:5" ht="12.75">
      <c r="A591" s="64"/>
      <c r="B591" s="64"/>
      <c r="C591" s="65"/>
      <c r="D591" s="64"/>
      <c r="E591" s="64"/>
    </row>
    <row r="592" spans="1:5" ht="12.75">
      <c r="A592" s="64"/>
      <c r="B592" s="64"/>
      <c r="C592" s="65"/>
      <c r="D592" s="64"/>
      <c r="E592" s="64"/>
    </row>
    <row r="593" spans="1:5" ht="12.75">
      <c r="A593" s="64"/>
      <c r="B593" s="64"/>
      <c r="C593" s="65"/>
      <c r="D593" s="64"/>
      <c r="E593" s="64"/>
    </row>
    <row r="594" spans="1:5" ht="12.75">
      <c r="A594" s="64"/>
      <c r="B594" s="64"/>
      <c r="C594" s="65"/>
      <c r="D594" s="64"/>
      <c r="E594" s="64"/>
    </row>
    <row r="595" spans="1:5" ht="12.75">
      <c r="A595" s="64"/>
      <c r="B595" s="64"/>
      <c r="C595" s="65"/>
      <c r="D595" s="64"/>
      <c r="E595" s="64"/>
    </row>
    <row r="596" spans="1:5" ht="12.75">
      <c r="A596" s="64"/>
      <c r="B596" s="64"/>
      <c r="C596" s="65"/>
      <c r="D596" s="64"/>
      <c r="E596" s="64"/>
    </row>
    <row r="597" spans="1:5" ht="12.75">
      <c r="A597" s="64"/>
      <c r="B597" s="64"/>
      <c r="C597" s="65"/>
      <c r="D597" s="64"/>
      <c r="E597" s="64"/>
    </row>
    <row r="598" spans="1:5" ht="12.75">
      <c r="A598" s="64"/>
      <c r="B598" s="64"/>
      <c r="C598" s="65"/>
      <c r="D598" s="64"/>
      <c r="E598" s="64"/>
    </row>
    <row r="599" spans="1:5" ht="12.75">
      <c r="A599" s="64"/>
      <c r="B599" s="64"/>
      <c r="C599" s="65"/>
      <c r="D599" s="64"/>
      <c r="E599" s="64"/>
    </row>
    <row r="600" spans="1:5" ht="12.75">
      <c r="A600" s="64"/>
      <c r="B600" s="64"/>
      <c r="C600" s="65"/>
      <c r="D600" s="64"/>
      <c r="E600" s="64"/>
    </row>
    <row r="601" spans="1:5" ht="12.75">
      <c r="A601" s="64"/>
      <c r="B601" s="64"/>
      <c r="C601" s="65"/>
      <c r="D601" s="64"/>
      <c r="E601" s="64"/>
    </row>
    <row r="602" spans="1:5" ht="12.75">
      <c r="A602" s="64"/>
      <c r="B602" s="64"/>
      <c r="C602" s="65"/>
      <c r="D602" s="64"/>
      <c r="E602" s="64"/>
    </row>
    <row r="603" spans="1:5" ht="12.75">
      <c r="A603" s="64"/>
      <c r="B603" s="64"/>
      <c r="C603" s="65"/>
      <c r="D603" s="64"/>
      <c r="E603" s="64"/>
    </row>
    <row r="604" spans="1:5" ht="12.75">
      <c r="A604" s="64"/>
      <c r="B604" s="64"/>
      <c r="C604" s="65"/>
      <c r="D604" s="64"/>
      <c r="E604" s="64"/>
    </row>
    <row r="605" spans="1:5" ht="12.75">
      <c r="A605" s="64"/>
      <c r="B605" s="64"/>
      <c r="C605" s="65"/>
      <c r="D605" s="64"/>
      <c r="E605" s="64"/>
    </row>
    <row r="606" spans="1:5" ht="12.75">
      <c r="A606" s="64"/>
      <c r="B606" s="64"/>
      <c r="C606" s="65"/>
      <c r="D606" s="64"/>
      <c r="E606" s="64"/>
    </row>
    <row r="607" spans="1:5" ht="12.75">
      <c r="A607" s="64"/>
      <c r="B607" s="64"/>
      <c r="C607" s="65"/>
      <c r="D607" s="64"/>
      <c r="E607" s="64"/>
    </row>
    <row r="608" spans="1:5" ht="12.75">
      <c r="A608" s="64"/>
      <c r="B608" s="64"/>
      <c r="C608" s="65"/>
      <c r="D608" s="64"/>
      <c r="E608" s="64"/>
    </row>
    <row r="609" spans="1:5" ht="12.75">
      <c r="A609" s="64"/>
      <c r="B609" s="64"/>
      <c r="C609" s="65"/>
      <c r="D609" s="64"/>
      <c r="E609" s="64"/>
    </row>
    <row r="610" spans="1:5" ht="12.75">
      <c r="A610" s="64"/>
      <c r="B610" s="64"/>
      <c r="C610" s="65"/>
      <c r="D610" s="64"/>
      <c r="E610" s="64"/>
    </row>
    <row r="611" spans="1:5" ht="12.75">
      <c r="A611" s="64"/>
      <c r="B611" s="64"/>
      <c r="C611" s="65"/>
      <c r="D611" s="64"/>
      <c r="E611" s="64"/>
    </row>
    <row r="612" spans="1:5" ht="12.75">
      <c r="A612" s="64"/>
      <c r="B612" s="64"/>
      <c r="C612" s="65"/>
      <c r="D612" s="64"/>
      <c r="E612" s="64"/>
    </row>
    <row r="613" spans="1:5" ht="12.75">
      <c r="A613" s="64"/>
      <c r="B613" s="64"/>
      <c r="C613" s="65"/>
      <c r="D613" s="64"/>
      <c r="E613" s="64"/>
    </row>
    <row r="614" spans="1:5" ht="12.75">
      <c r="A614" s="64"/>
      <c r="B614" s="64"/>
      <c r="C614" s="65"/>
      <c r="D614" s="64"/>
      <c r="E614" s="64"/>
    </row>
    <row r="615" spans="1:5" ht="12.75">
      <c r="A615" s="64"/>
      <c r="B615" s="64"/>
      <c r="C615" s="65"/>
      <c r="D615" s="64"/>
      <c r="E615" s="64"/>
    </row>
    <row r="616" spans="1:5" ht="12.75">
      <c r="A616" s="64"/>
      <c r="B616" s="64"/>
      <c r="C616" s="65"/>
      <c r="D616" s="64"/>
      <c r="E616" s="64"/>
    </row>
    <row r="617" spans="1:5" ht="12.75">
      <c r="A617" s="64"/>
      <c r="B617" s="64"/>
      <c r="C617" s="65"/>
      <c r="D617" s="64"/>
      <c r="E617" s="64"/>
    </row>
    <row r="618" spans="1:5" ht="12.75">
      <c r="A618" s="64"/>
      <c r="B618" s="64"/>
      <c r="C618" s="65"/>
      <c r="D618" s="64"/>
      <c r="E618" s="64"/>
    </row>
    <row r="619" spans="1:5" ht="12.75">
      <c r="A619" s="64"/>
      <c r="B619" s="64"/>
      <c r="C619" s="65"/>
      <c r="D619" s="64"/>
      <c r="E619" s="64"/>
    </row>
    <row r="620" spans="1:5" ht="12.75">
      <c r="A620" s="64"/>
      <c r="B620" s="64"/>
      <c r="C620" s="65"/>
      <c r="D620" s="64"/>
      <c r="E620" s="64"/>
    </row>
    <row r="621" spans="1:5" ht="12.75">
      <c r="A621" s="64"/>
      <c r="B621" s="64"/>
      <c r="C621" s="65"/>
      <c r="D621" s="64"/>
      <c r="E621" s="64"/>
    </row>
    <row r="622" spans="1:5" ht="12.75">
      <c r="A622" s="64"/>
      <c r="B622" s="64"/>
      <c r="C622" s="65"/>
      <c r="D622" s="64"/>
      <c r="E622" s="64"/>
    </row>
    <row r="623" spans="1:5" ht="12.75">
      <c r="A623" s="64"/>
      <c r="B623" s="64"/>
      <c r="C623" s="65"/>
      <c r="D623" s="64"/>
      <c r="E623" s="64"/>
    </row>
    <row r="624" spans="1:5" ht="12.75">
      <c r="A624" s="64"/>
      <c r="B624" s="64"/>
      <c r="C624" s="65"/>
      <c r="D624" s="64"/>
      <c r="E624" s="64"/>
    </row>
    <row r="625" spans="1:5" ht="12.75">
      <c r="A625" s="64"/>
      <c r="B625" s="64"/>
      <c r="C625" s="65"/>
      <c r="D625" s="64"/>
      <c r="E625" s="64"/>
    </row>
    <row r="626" spans="1:5" ht="12.75">
      <c r="A626" s="64"/>
      <c r="B626" s="64"/>
      <c r="C626" s="65"/>
      <c r="D626" s="64"/>
      <c r="E626" s="64"/>
    </row>
    <row r="627" spans="1:5" ht="12.75">
      <c r="A627" s="64"/>
      <c r="B627" s="64"/>
      <c r="C627" s="65"/>
      <c r="D627" s="64"/>
      <c r="E627" s="64"/>
    </row>
    <row r="628" spans="1:5" ht="12.75">
      <c r="A628" s="64"/>
      <c r="B628" s="64"/>
      <c r="C628" s="65"/>
      <c r="D628" s="64"/>
      <c r="E628" s="64"/>
    </row>
    <row r="629" spans="1:5" ht="12.75">
      <c r="A629" s="64"/>
      <c r="B629" s="64"/>
      <c r="C629" s="65"/>
      <c r="D629" s="64"/>
      <c r="E629" s="64"/>
    </row>
    <row r="630" spans="1:5" ht="12.75">
      <c r="A630" s="64"/>
      <c r="B630" s="64"/>
      <c r="C630" s="65"/>
      <c r="D630" s="64"/>
      <c r="E630" s="64"/>
    </row>
    <row r="631" spans="1:5" ht="12.75">
      <c r="A631" s="64"/>
      <c r="B631" s="64"/>
      <c r="C631" s="65"/>
      <c r="D631" s="64"/>
      <c r="E631" s="64"/>
    </row>
    <row r="632" spans="1:5" ht="12.75">
      <c r="A632" s="64"/>
      <c r="B632" s="64"/>
      <c r="C632" s="65"/>
      <c r="D632" s="64"/>
      <c r="E632" s="64"/>
    </row>
    <row r="633" spans="1:5" ht="12.75">
      <c r="A633" s="64"/>
      <c r="B633" s="64"/>
      <c r="C633" s="65"/>
      <c r="D633" s="64"/>
      <c r="E633" s="64"/>
    </row>
    <row r="634" spans="1:5" ht="12.75">
      <c r="A634" s="64"/>
      <c r="B634" s="64"/>
      <c r="C634" s="65"/>
      <c r="D634" s="64"/>
      <c r="E634" s="64"/>
    </row>
    <row r="635" spans="1:5" ht="12.75">
      <c r="A635" s="64"/>
      <c r="B635" s="64"/>
      <c r="C635" s="65"/>
      <c r="D635" s="64"/>
      <c r="E635" s="64"/>
    </row>
    <row r="636" spans="1:5" ht="12.75">
      <c r="A636" s="64"/>
      <c r="B636" s="64"/>
      <c r="C636" s="65"/>
      <c r="D636" s="64"/>
      <c r="E636" s="64"/>
    </row>
    <row r="637" spans="1:5" ht="12.75">
      <c r="A637" s="64"/>
      <c r="B637" s="64"/>
      <c r="C637" s="65"/>
      <c r="D637" s="64"/>
      <c r="E637" s="64"/>
    </row>
    <row r="638" spans="1:5" ht="12.75">
      <c r="A638" s="64"/>
      <c r="B638" s="64"/>
      <c r="C638" s="65"/>
      <c r="D638" s="64"/>
      <c r="E638" s="64"/>
    </row>
    <row r="639" spans="1:5" ht="12.75">
      <c r="A639" s="64"/>
      <c r="B639" s="64"/>
      <c r="C639" s="65"/>
      <c r="D639" s="64"/>
      <c r="E639" s="64"/>
    </row>
    <row r="640" spans="1:5" ht="12.75">
      <c r="A640" s="64"/>
      <c r="B640" s="64"/>
      <c r="C640" s="65"/>
      <c r="D640" s="64"/>
      <c r="E640" s="64"/>
    </row>
    <row r="641" spans="1:5" ht="12.75">
      <c r="A641" s="64"/>
      <c r="B641" s="64"/>
      <c r="C641" s="65"/>
      <c r="D641" s="64"/>
      <c r="E641" s="64"/>
    </row>
    <row r="642" spans="1:5" ht="12.75">
      <c r="A642" s="64"/>
      <c r="B642" s="64"/>
      <c r="C642" s="65"/>
      <c r="D642" s="64"/>
      <c r="E642" s="64"/>
    </row>
    <row r="643" spans="1:5" ht="12.75">
      <c r="A643" s="64"/>
      <c r="B643" s="64"/>
      <c r="C643" s="65"/>
      <c r="D643" s="64"/>
      <c r="E643" s="64"/>
    </row>
    <row r="644" spans="1:5" ht="12.75">
      <c r="A644" s="64"/>
      <c r="B644" s="64"/>
      <c r="C644" s="65"/>
      <c r="D644" s="64"/>
      <c r="E644" s="64"/>
    </row>
    <row r="645" spans="1:5" ht="12.75">
      <c r="A645" s="64"/>
      <c r="B645" s="64"/>
      <c r="C645" s="65"/>
      <c r="D645" s="64"/>
      <c r="E645" s="64"/>
    </row>
    <row r="646" spans="1:5" ht="12.75">
      <c r="A646" s="64"/>
      <c r="B646" s="64"/>
      <c r="C646" s="65"/>
      <c r="D646" s="64"/>
      <c r="E646" s="64"/>
    </row>
    <row r="647" spans="1:5" ht="12.75">
      <c r="A647" s="64"/>
      <c r="B647" s="64"/>
      <c r="C647" s="65"/>
      <c r="D647" s="64"/>
      <c r="E647" s="64"/>
    </row>
    <row r="648" spans="1:5" ht="12.75">
      <c r="A648" s="64"/>
      <c r="B648" s="64"/>
      <c r="C648" s="65"/>
      <c r="D648" s="64"/>
      <c r="E648" s="64"/>
    </row>
    <row r="649" spans="1:5" ht="12.75">
      <c r="A649" s="64"/>
      <c r="B649" s="64"/>
      <c r="C649" s="65"/>
      <c r="D649" s="64"/>
      <c r="E649" s="64"/>
    </row>
    <row r="650" spans="1:5" ht="12.75">
      <c r="A650" s="64"/>
      <c r="B650" s="64"/>
      <c r="C650" s="65"/>
      <c r="D650" s="64"/>
      <c r="E650" s="64"/>
    </row>
    <row r="651" spans="1:5" ht="12.75">
      <c r="A651" s="64"/>
      <c r="B651" s="64"/>
      <c r="C651" s="65"/>
      <c r="D651" s="64"/>
      <c r="E651" s="64"/>
    </row>
    <row r="652" spans="1:5" ht="12.75">
      <c r="A652" s="64"/>
      <c r="B652" s="64"/>
      <c r="C652" s="65"/>
      <c r="D652" s="64"/>
      <c r="E652" s="64"/>
    </row>
    <row r="653" spans="1:5" ht="12.75">
      <c r="A653" s="64"/>
      <c r="B653" s="64"/>
      <c r="C653" s="65"/>
      <c r="D653" s="64"/>
      <c r="E653" s="64"/>
    </row>
    <row r="654" spans="1:5" ht="12.75">
      <c r="A654" s="64"/>
      <c r="B654" s="64"/>
      <c r="C654" s="65"/>
      <c r="D654" s="64"/>
      <c r="E654" s="64"/>
    </row>
    <row r="655" spans="1:5" ht="12.75">
      <c r="A655" s="64"/>
      <c r="B655" s="64"/>
      <c r="C655" s="65"/>
      <c r="D655" s="64"/>
      <c r="E655" s="64"/>
    </row>
    <row r="656" spans="1:5" ht="12.75">
      <c r="A656" s="64"/>
      <c r="B656" s="64"/>
      <c r="C656" s="65"/>
      <c r="D656" s="64"/>
      <c r="E656" s="64"/>
    </row>
    <row r="657" spans="1:5" ht="12.75">
      <c r="A657" s="64"/>
      <c r="B657" s="64"/>
      <c r="C657" s="65"/>
      <c r="D657" s="64"/>
      <c r="E657" s="64"/>
    </row>
    <row r="658" spans="1:5" ht="12.75">
      <c r="A658" s="64"/>
      <c r="B658" s="64"/>
      <c r="C658" s="65"/>
      <c r="D658" s="64"/>
      <c r="E658" s="64"/>
    </row>
    <row r="659" spans="1:5" ht="12.75">
      <c r="A659" s="64"/>
      <c r="B659" s="64"/>
      <c r="C659" s="65"/>
      <c r="D659" s="64"/>
      <c r="E659" s="64"/>
    </row>
    <row r="660" spans="1:5" ht="12.75">
      <c r="A660" s="64"/>
      <c r="B660" s="64"/>
      <c r="C660" s="65"/>
      <c r="D660" s="64"/>
      <c r="E660" s="64"/>
    </row>
    <row r="661" spans="1:5" ht="12.75">
      <c r="A661" s="64"/>
      <c r="B661" s="64"/>
      <c r="C661" s="65"/>
      <c r="D661" s="64"/>
      <c r="E661" s="64"/>
    </row>
    <row r="662" spans="1:5" ht="12.75">
      <c r="A662" s="64"/>
      <c r="B662" s="64"/>
      <c r="C662" s="65"/>
      <c r="D662" s="64"/>
      <c r="E662" s="64"/>
    </row>
    <row r="663" spans="1:5" ht="12.75">
      <c r="A663" s="64"/>
      <c r="B663" s="64"/>
      <c r="C663" s="65"/>
      <c r="D663" s="64"/>
      <c r="E663" s="64"/>
    </row>
    <row r="664" spans="1:5" ht="12.75">
      <c r="A664" s="64"/>
      <c r="B664" s="64"/>
      <c r="C664" s="65"/>
      <c r="D664" s="64"/>
      <c r="E664" s="64"/>
    </row>
    <row r="665" spans="1:5" ht="12.75">
      <c r="A665" s="64"/>
      <c r="B665" s="64"/>
      <c r="C665" s="65"/>
      <c r="D665" s="64"/>
      <c r="E665" s="64"/>
    </row>
    <row r="666" spans="1:5" ht="12.75">
      <c r="A666" s="64"/>
      <c r="B666" s="64"/>
      <c r="C666" s="65"/>
      <c r="D666" s="64"/>
      <c r="E666" s="64"/>
    </row>
    <row r="667" spans="1:5" ht="12.75">
      <c r="A667" s="64"/>
      <c r="B667" s="64"/>
      <c r="C667" s="65"/>
      <c r="D667" s="64"/>
      <c r="E667" s="64"/>
    </row>
    <row r="668" spans="1:5" ht="12.75">
      <c r="A668" s="64"/>
      <c r="B668" s="64"/>
      <c r="C668" s="65"/>
      <c r="D668" s="64"/>
      <c r="E668" s="64"/>
    </row>
    <row r="669" spans="1:5" ht="12.75">
      <c r="A669" s="64"/>
      <c r="B669" s="64"/>
      <c r="C669" s="65"/>
      <c r="D669" s="64"/>
      <c r="E669" s="64"/>
    </row>
    <row r="670" spans="1:5" ht="12.75">
      <c r="A670" s="64"/>
      <c r="B670" s="64"/>
      <c r="C670" s="65"/>
      <c r="D670" s="64"/>
      <c r="E670" s="64"/>
    </row>
    <row r="671" spans="1:5" ht="12.75">
      <c r="A671" s="64"/>
      <c r="B671" s="64"/>
      <c r="C671" s="65"/>
      <c r="D671" s="64"/>
      <c r="E671" s="64"/>
    </row>
    <row r="672" spans="1:5" ht="12.75">
      <c r="A672" s="64"/>
      <c r="B672" s="64"/>
      <c r="C672" s="65"/>
      <c r="D672" s="64"/>
      <c r="E672" s="64"/>
    </row>
    <row r="673" spans="1:5" ht="12.75">
      <c r="A673" s="64"/>
      <c r="B673" s="64"/>
      <c r="C673" s="65"/>
      <c r="D673" s="64"/>
      <c r="E673" s="64"/>
    </row>
    <row r="674" spans="1:5" ht="12.75">
      <c r="A674" s="64"/>
      <c r="B674" s="64"/>
      <c r="C674" s="65"/>
      <c r="D674" s="64"/>
      <c r="E674" s="64"/>
    </row>
    <row r="675" spans="1:5" ht="12.75">
      <c r="A675" s="64"/>
      <c r="B675" s="64"/>
      <c r="C675" s="65"/>
      <c r="D675" s="64"/>
      <c r="E675" s="64"/>
    </row>
    <row r="676" spans="1:5" ht="12.75">
      <c r="A676" s="64"/>
      <c r="B676" s="64"/>
      <c r="C676" s="65"/>
      <c r="D676" s="64"/>
      <c r="E676" s="64"/>
    </row>
    <row r="677" spans="1:5" ht="12.75">
      <c r="A677" s="64"/>
      <c r="B677" s="64"/>
      <c r="C677" s="65"/>
      <c r="D677" s="64"/>
      <c r="E677" s="64"/>
    </row>
    <row r="678" spans="1:5" ht="12.75">
      <c r="A678" s="64"/>
      <c r="B678" s="64"/>
      <c r="C678" s="65"/>
      <c r="D678" s="64"/>
      <c r="E678" s="64"/>
    </row>
    <row r="679" spans="1:5" ht="12.75">
      <c r="A679" s="64"/>
      <c r="B679" s="64"/>
      <c r="C679" s="65"/>
      <c r="D679" s="64"/>
      <c r="E679" s="64"/>
    </row>
    <row r="680" spans="1:5" ht="12.75">
      <c r="A680" s="64"/>
      <c r="B680" s="64"/>
      <c r="C680" s="65"/>
      <c r="D680" s="64"/>
      <c r="E680" s="64"/>
    </row>
    <row r="681" spans="1:5" ht="12.75">
      <c r="A681" s="64"/>
      <c r="B681" s="64"/>
      <c r="C681" s="65"/>
      <c r="D681" s="64"/>
      <c r="E681" s="64"/>
    </row>
    <row r="682" spans="1:5" ht="12.75">
      <c r="A682" s="64"/>
      <c r="B682" s="64"/>
      <c r="C682" s="65"/>
      <c r="D682" s="64"/>
      <c r="E682" s="64"/>
    </row>
    <row r="683" spans="1:5" ht="12.75">
      <c r="A683" s="64"/>
      <c r="B683" s="64"/>
      <c r="C683" s="65"/>
      <c r="D683" s="64"/>
      <c r="E683" s="64"/>
    </row>
    <row r="684" spans="1:5" ht="12.75">
      <c r="A684" s="64"/>
      <c r="B684" s="64"/>
      <c r="C684" s="65"/>
      <c r="D684" s="64"/>
      <c r="E684" s="64"/>
    </row>
    <row r="685" spans="1:5" ht="12.75">
      <c r="A685" s="64"/>
      <c r="B685" s="64"/>
      <c r="C685" s="65"/>
      <c r="D685" s="64"/>
      <c r="E685" s="64"/>
    </row>
    <row r="686" spans="1:5" ht="12.75">
      <c r="A686" s="64"/>
      <c r="B686" s="64"/>
      <c r="C686" s="65"/>
      <c r="D686" s="64"/>
      <c r="E686" s="64"/>
    </row>
    <row r="687" spans="1:5" ht="12.75">
      <c r="A687" s="64"/>
      <c r="B687" s="64"/>
      <c r="C687" s="65"/>
      <c r="D687" s="64"/>
      <c r="E687" s="64"/>
    </row>
    <row r="688" spans="1:5" ht="12.75">
      <c r="A688" s="64"/>
      <c r="B688" s="64"/>
      <c r="C688" s="65"/>
      <c r="D688" s="64"/>
      <c r="E688" s="64"/>
    </row>
    <row r="689" spans="1:5" ht="12.75">
      <c r="A689" s="64"/>
      <c r="B689" s="64"/>
      <c r="C689" s="65"/>
      <c r="D689" s="64"/>
      <c r="E689" s="64"/>
    </row>
    <row r="690" spans="1:5" ht="12.75">
      <c r="A690" s="64"/>
      <c r="B690" s="64"/>
      <c r="C690" s="65"/>
      <c r="D690" s="64"/>
      <c r="E690" s="64"/>
    </row>
    <row r="691" spans="1:5" ht="12.75">
      <c r="A691" s="64"/>
      <c r="B691" s="64"/>
      <c r="C691" s="65"/>
      <c r="D691" s="64"/>
      <c r="E691" s="64"/>
    </row>
    <row r="692" spans="1:5" ht="12.75">
      <c r="A692" s="64"/>
      <c r="B692" s="64"/>
      <c r="C692" s="65"/>
      <c r="D692" s="64"/>
      <c r="E692" s="64"/>
    </row>
    <row r="693" spans="1:5" ht="12.75">
      <c r="A693" s="64"/>
      <c r="B693" s="64"/>
      <c r="C693" s="65"/>
      <c r="D693" s="64"/>
      <c r="E693" s="64"/>
    </row>
    <row r="694" spans="1:5" ht="12.75">
      <c r="A694" s="64"/>
      <c r="B694" s="64"/>
      <c r="C694" s="65"/>
      <c r="D694" s="64"/>
      <c r="E694" s="64"/>
    </row>
    <row r="695" spans="1:5" ht="12.75">
      <c r="A695" s="64"/>
      <c r="B695" s="64"/>
      <c r="C695" s="65"/>
      <c r="D695" s="64"/>
      <c r="E695" s="64"/>
    </row>
    <row r="696" spans="1:5" ht="12.75">
      <c r="A696" s="64"/>
      <c r="B696" s="64"/>
      <c r="C696" s="65"/>
      <c r="D696" s="64"/>
      <c r="E696" s="64"/>
    </row>
    <row r="697" spans="1:5" ht="12.75">
      <c r="A697" s="64"/>
      <c r="B697" s="64"/>
      <c r="C697" s="65"/>
      <c r="D697" s="64"/>
      <c r="E697" s="64"/>
    </row>
    <row r="698" spans="1:5" ht="12.75">
      <c r="A698" s="64"/>
      <c r="B698" s="64"/>
      <c r="C698" s="65"/>
      <c r="D698" s="64"/>
      <c r="E698" s="64"/>
    </row>
    <row r="699" spans="1:5" ht="12.75">
      <c r="A699" s="64"/>
      <c r="B699" s="64"/>
      <c r="C699" s="65"/>
      <c r="D699" s="64"/>
      <c r="E699" s="64"/>
    </row>
    <row r="700" spans="1:5" ht="12.75">
      <c r="A700" s="64"/>
      <c r="B700" s="64"/>
      <c r="C700" s="65"/>
      <c r="D700" s="64"/>
      <c r="E700" s="64"/>
    </row>
    <row r="701" spans="1:5" ht="12.75">
      <c r="A701" s="64"/>
      <c r="B701" s="64"/>
      <c r="C701" s="65"/>
      <c r="D701" s="64"/>
      <c r="E701" s="64"/>
    </row>
    <row r="702" spans="1:5" ht="12.75">
      <c r="A702" s="64"/>
      <c r="B702" s="64"/>
      <c r="C702" s="65"/>
      <c r="D702" s="64"/>
      <c r="E702" s="64"/>
    </row>
    <row r="703" spans="1:5" ht="12.75">
      <c r="A703" s="64"/>
      <c r="B703" s="64"/>
      <c r="C703" s="65"/>
      <c r="D703" s="64"/>
      <c r="E703" s="64"/>
    </row>
    <row r="704" spans="1:5" ht="12.75">
      <c r="A704" s="64"/>
      <c r="B704" s="64"/>
      <c r="C704" s="65"/>
      <c r="D704" s="64"/>
      <c r="E704" s="64"/>
    </row>
    <row r="705" spans="1:5" ht="12.75">
      <c r="A705" s="64"/>
      <c r="B705" s="64"/>
      <c r="C705" s="65"/>
      <c r="D705" s="64"/>
      <c r="E705" s="64"/>
    </row>
    <row r="706" spans="1:5" ht="12.75">
      <c r="A706" s="64"/>
      <c r="B706" s="64"/>
      <c r="C706" s="65"/>
      <c r="D706" s="64"/>
      <c r="E706" s="64"/>
    </row>
    <row r="707" spans="1:5" ht="12.75">
      <c r="A707" s="64"/>
      <c r="B707" s="64"/>
      <c r="C707" s="65"/>
      <c r="D707" s="64"/>
      <c r="E707" s="64"/>
    </row>
    <row r="708" spans="1:5" ht="12.75">
      <c r="A708" s="64"/>
      <c r="B708" s="64"/>
      <c r="C708" s="65"/>
      <c r="D708" s="64"/>
      <c r="E708" s="64"/>
    </row>
    <row r="709" spans="1:5" ht="12.75">
      <c r="A709" s="64"/>
      <c r="B709" s="64"/>
      <c r="C709" s="65"/>
      <c r="D709" s="64"/>
      <c r="E709" s="64"/>
    </row>
    <row r="710" spans="1:5" ht="12.75">
      <c r="A710" s="64"/>
      <c r="B710" s="64"/>
      <c r="C710" s="65"/>
      <c r="D710" s="64"/>
      <c r="E710" s="64"/>
    </row>
    <row r="711" spans="1:5" ht="12.75">
      <c r="A711" s="64"/>
      <c r="B711" s="64"/>
      <c r="C711" s="65"/>
      <c r="D711" s="64"/>
      <c r="E711" s="64"/>
    </row>
    <row r="712" spans="1:5" ht="12.75">
      <c r="A712" s="64"/>
      <c r="B712" s="64"/>
      <c r="C712" s="65"/>
      <c r="D712" s="64"/>
      <c r="E712" s="64"/>
    </row>
    <row r="713" spans="1:5" ht="12.75">
      <c r="A713" s="64"/>
      <c r="B713" s="64"/>
      <c r="C713" s="65"/>
      <c r="D713" s="64"/>
      <c r="E713" s="64"/>
    </row>
    <row r="714" spans="1:5" ht="12.75">
      <c r="A714" s="64"/>
      <c r="B714" s="64"/>
      <c r="C714" s="65"/>
      <c r="D714" s="64"/>
      <c r="E714" s="64"/>
    </row>
    <row r="715" spans="1:5" ht="12.75">
      <c r="A715" s="64"/>
      <c r="B715" s="64"/>
      <c r="C715" s="65"/>
      <c r="D715" s="64"/>
      <c r="E715" s="64"/>
    </row>
    <row r="716" spans="1:5" ht="12.75">
      <c r="A716" s="64"/>
      <c r="B716" s="64"/>
      <c r="C716" s="65"/>
      <c r="D716" s="64"/>
      <c r="E716" s="64"/>
    </row>
    <row r="717" spans="1:5" ht="12.75">
      <c r="A717" s="64"/>
      <c r="B717" s="64"/>
      <c r="C717" s="65"/>
      <c r="D717" s="64"/>
      <c r="E717" s="64"/>
    </row>
    <row r="718" spans="1:5" ht="12.75">
      <c r="A718" s="64"/>
      <c r="B718" s="64"/>
      <c r="C718" s="65"/>
      <c r="D718" s="64"/>
      <c r="E718" s="64"/>
    </row>
    <row r="719" spans="1:5" ht="12.75">
      <c r="A719" s="64"/>
      <c r="B719" s="64"/>
      <c r="C719" s="65"/>
      <c r="D719" s="64"/>
      <c r="E719" s="64"/>
    </row>
    <row r="720" spans="1:5" ht="12.75">
      <c r="A720" s="64"/>
      <c r="B720" s="64"/>
      <c r="C720" s="65"/>
      <c r="D720" s="64"/>
      <c r="E720" s="64"/>
    </row>
    <row r="721" spans="1:5" ht="12.75">
      <c r="A721" s="64"/>
      <c r="B721" s="64"/>
      <c r="C721" s="65"/>
      <c r="D721" s="64"/>
      <c r="E721" s="64"/>
    </row>
    <row r="722" spans="1:5" ht="12.75">
      <c r="A722" s="64"/>
      <c r="B722" s="64"/>
      <c r="C722" s="65"/>
      <c r="D722" s="64"/>
      <c r="E722" s="64"/>
    </row>
    <row r="723" spans="1:5" ht="12.75">
      <c r="A723" s="64"/>
      <c r="B723" s="64"/>
      <c r="C723" s="65"/>
      <c r="D723" s="64"/>
      <c r="E723" s="64"/>
    </row>
    <row r="724" spans="1:5" ht="12.75">
      <c r="A724" s="64"/>
      <c r="B724" s="64"/>
      <c r="C724" s="65"/>
      <c r="D724" s="64"/>
      <c r="E724" s="64"/>
    </row>
    <row r="725" spans="1:5" ht="12.75">
      <c r="A725" s="64"/>
      <c r="B725" s="64"/>
      <c r="C725" s="65"/>
      <c r="D725" s="64"/>
      <c r="E725" s="64"/>
    </row>
    <row r="726" spans="1:5" ht="12.75">
      <c r="A726" s="64"/>
      <c r="B726" s="64"/>
      <c r="C726" s="65"/>
      <c r="D726" s="64"/>
      <c r="E726" s="64"/>
    </row>
    <row r="727" spans="1:5" ht="12.75">
      <c r="A727" s="64"/>
      <c r="B727" s="64"/>
      <c r="C727" s="65"/>
      <c r="D727" s="64"/>
      <c r="E727" s="64"/>
    </row>
    <row r="728" spans="1:5" ht="12.75">
      <c r="A728" s="64"/>
      <c r="B728" s="64"/>
      <c r="C728" s="65"/>
      <c r="D728" s="64"/>
      <c r="E728" s="64"/>
    </row>
    <row r="729" spans="1:5" ht="12.75">
      <c r="A729" s="64"/>
      <c r="B729" s="64"/>
      <c r="C729" s="65"/>
      <c r="D729" s="64"/>
      <c r="E729" s="64"/>
    </row>
    <row r="730" spans="1:5" ht="12.75">
      <c r="A730" s="64"/>
      <c r="B730" s="64"/>
      <c r="C730" s="65"/>
      <c r="D730" s="64"/>
      <c r="E730" s="64"/>
    </row>
    <row r="731" spans="1:5" ht="12.75">
      <c r="A731" s="64"/>
      <c r="B731" s="64"/>
      <c r="C731" s="65"/>
      <c r="D731" s="64"/>
      <c r="E731" s="64"/>
    </row>
    <row r="732" spans="1:5" ht="12.75">
      <c r="A732" s="64"/>
      <c r="B732" s="64"/>
      <c r="C732" s="65"/>
      <c r="D732" s="64"/>
      <c r="E732" s="64"/>
    </row>
    <row r="733" spans="1:5" ht="12.75">
      <c r="A733" s="64"/>
      <c r="B733" s="64"/>
      <c r="C733" s="65"/>
      <c r="D733" s="64"/>
      <c r="E733" s="64"/>
    </row>
    <row r="734" spans="1:5" ht="12.75">
      <c r="A734" s="64"/>
      <c r="B734" s="64"/>
      <c r="C734" s="65"/>
      <c r="D734" s="64"/>
      <c r="E734" s="64"/>
    </row>
    <row r="735" spans="1:5" ht="12.75">
      <c r="A735" s="64"/>
      <c r="B735" s="64"/>
      <c r="C735" s="65"/>
      <c r="D735" s="64"/>
      <c r="E735" s="64"/>
    </row>
    <row r="736" spans="1:5" ht="12.75">
      <c r="A736" s="64"/>
      <c r="B736" s="64"/>
      <c r="C736" s="65"/>
      <c r="D736" s="64"/>
      <c r="E736" s="64"/>
    </row>
    <row r="737" spans="1:5" ht="12.75">
      <c r="A737" s="64"/>
      <c r="B737" s="64"/>
      <c r="C737" s="65"/>
      <c r="D737" s="64"/>
      <c r="E737" s="64"/>
    </row>
    <row r="738" spans="1:5" ht="12.75">
      <c r="A738" s="64"/>
      <c r="B738" s="64"/>
      <c r="C738" s="65"/>
      <c r="D738" s="64"/>
      <c r="E738" s="64"/>
    </row>
    <row r="739" spans="1:5" ht="12.75">
      <c r="A739" s="64"/>
      <c r="B739" s="64"/>
      <c r="C739" s="65"/>
      <c r="D739" s="64"/>
      <c r="E739" s="64"/>
    </row>
    <row r="740" spans="1:5" ht="12.75">
      <c r="A740" s="64"/>
      <c r="B740" s="64"/>
      <c r="C740" s="65"/>
      <c r="D740" s="64"/>
      <c r="E740" s="64"/>
    </row>
    <row r="741" spans="1:5" ht="12.75">
      <c r="A741" s="64"/>
      <c r="B741" s="64"/>
      <c r="C741" s="65"/>
      <c r="D741" s="64"/>
      <c r="E741" s="64"/>
    </row>
    <row r="742" spans="1:5" ht="12.75">
      <c r="A742" s="64"/>
      <c r="B742" s="64"/>
      <c r="C742" s="65"/>
      <c r="D742" s="64"/>
      <c r="E742" s="64"/>
    </row>
    <row r="743" spans="1:5" ht="12.75">
      <c r="A743" s="64"/>
      <c r="B743" s="64"/>
      <c r="C743" s="65"/>
      <c r="D743" s="64"/>
      <c r="E743" s="64"/>
    </row>
    <row r="744" spans="1:5" ht="12.75">
      <c r="A744" s="64"/>
      <c r="B744" s="64"/>
      <c r="C744" s="65"/>
      <c r="D744" s="64"/>
      <c r="E744" s="64"/>
    </row>
    <row r="745" spans="1:5" ht="12.75">
      <c r="A745" s="64"/>
      <c r="B745" s="64"/>
      <c r="C745" s="65"/>
      <c r="D745" s="64"/>
      <c r="E745" s="64"/>
    </row>
    <row r="746" spans="1:5" ht="12.75">
      <c r="A746" s="64"/>
      <c r="B746" s="64"/>
      <c r="C746" s="65"/>
      <c r="D746" s="64"/>
      <c r="E746" s="64"/>
    </row>
    <row r="747" spans="1:5" ht="12.75">
      <c r="A747" s="64"/>
      <c r="B747" s="64"/>
      <c r="C747" s="65"/>
      <c r="D747" s="64"/>
      <c r="E747" s="64"/>
    </row>
    <row r="748" spans="1:5" ht="12.75">
      <c r="A748" s="64"/>
      <c r="B748" s="64"/>
      <c r="C748" s="65"/>
      <c r="D748" s="64"/>
      <c r="E748" s="64"/>
    </row>
    <row r="749" spans="1:5" ht="12.75">
      <c r="A749" s="64"/>
      <c r="B749" s="64"/>
      <c r="C749" s="65"/>
      <c r="D749" s="64"/>
      <c r="E749" s="64"/>
    </row>
    <row r="750" spans="1:5" ht="12.75">
      <c r="A750" s="64"/>
      <c r="B750" s="64"/>
      <c r="C750" s="65"/>
      <c r="D750" s="64"/>
      <c r="E750" s="64"/>
    </row>
    <row r="751" spans="1:5" ht="12.75">
      <c r="A751" s="64"/>
      <c r="B751" s="64"/>
      <c r="C751" s="65"/>
      <c r="D751" s="64"/>
      <c r="E751" s="64"/>
    </row>
    <row r="752" spans="1:5" ht="12.75">
      <c r="A752" s="64"/>
      <c r="B752" s="64"/>
      <c r="C752" s="65"/>
      <c r="D752" s="64"/>
      <c r="E752" s="64"/>
    </row>
    <row r="753" spans="1:5" ht="12.75">
      <c r="A753" s="64"/>
      <c r="B753" s="64"/>
      <c r="C753" s="65"/>
      <c r="D753" s="64"/>
      <c r="E753" s="64"/>
    </row>
    <row r="754" spans="1:5" ht="12.75">
      <c r="A754" s="64"/>
      <c r="B754" s="64"/>
      <c r="C754" s="65"/>
      <c r="D754" s="64"/>
      <c r="E754" s="64"/>
    </row>
    <row r="755" spans="1:5" ht="12.75">
      <c r="A755" s="64"/>
      <c r="B755" s="64"/>
      <c r="C755" s="65"/>
      <c r="D755" s="64"/>
      <c r="E755" s="64"/>
    </row>
    <row r="756" spans="1:5" ht="12.75">
      <c r="A756" s="64"/>
      <c r="B756" s="64"/>
      <c r="C756" s="65"/>
      <c r="D756" s="64"/>
      <c r="E756" s="64"/>
    </row>
    <row r="757" spans="1:5" ht="12.75">
      <c r="A757" s="64"/>
      <c r="B757" s="64"/>
      <c r="C757" s="65"/>
      <c r="D757" s="64"/>
      <c r="E757" s="64"/>
    </row>
    <row r="758" spans="1:5" ht="12.75">
      <c r="A758" s="64"/>
      <c r="B758" s="64"/>
      <c r="C758" s="65"/>
      <c r="D758" s="64"/>
      <c r="E758" s="64"/>
    </row>
    <row r="759" spans="1:5" ht="12.75">
      <c r="A759" s="64"/>
      <c r="B759" s="64"/>
      <c r="C759" s="65"/>
      <c r="D759" s="64"/>
      <c r="E759" s="64"/>
    </row>
    <row r="760" spans="1:5" ht="12.75">
      <c r="A760" s="64"/>
      <c r="B760" s="64"/>
      <c r="C760" s="65"/>
      <c r="D760" s="64"/>
      <c r="E760" s="64"/>
    </row>
    <row r="761" spans="1:5" ht="12.75">
      <c r="A761" s="64"/>
      <c r="B761" s="64"/>
      <c r="C761" s="65"/>
      <c r="D761" s="64"/>
      <c r="E761" s="64"/>
    </row>
    <row r="762" spans="1:5" ht="12.75">
      <c r="A762" s="64"/>
      <c r="B762" s="64"/>
      <c r="C762" s="65"/>
      <c r="D762" s="64"/>
      <c r="E762" s="64"/>
    </row>
    <row r="763" spans="1:5" ht="12.75">
      <c r="A763" s="64"/>
      <c r="B763" s="64"/>
      <c r="C763" s="65"/>
      <c r="D763" s="64"/>
      <c r="E763" s="64"/>
    </row>
    <row r="764" spans="1:5" ht="12.75">
      <c r="A764" s="64"/>
      <c r="B764" s="64"/>
      <c r="C764" s="65"/>
      <c r="D764" s="64"/>
      <c r="E764" s="64"/>
    </row>
    <row r="765" spans="1:5" ht="12.75">
      <c r="A765" s="64"/>
      <c r="B765" s="64"/>
      <c r="C765" s="65"/>
      <c r="D765" s="64"/>
      <c r="E765" s="64"/>
    </row>
    <row r="766" spans="1:5" ht="12.75">
      <c r="A766" s="64"/>
      <c r="B766" s="64"/>
      <c r="C766" s="65"/>
      <c r="D766" s="64"/>
      <c r="E766" s="64"/>
    </row>
    <row r="767" spans="1:5" ht="12.75">
      <c r="A767" s="64"/>
      <c r="B767" s="64"/>
      <c r="C767" s="65"/>
      <c r="D767" s="64"/>
      <c r="E767" s="64"/>
    </row>
    <row r="768" spans="1:5" ht="12.75">
      <c r="A768" s="64"/>
      <c r="B768" s="64"/>
      <c r="C768" s="65"/>
      <c r="D768" s="64"/>
      <c r="E768" s="64"/>
    </row>
    <row r="769" spans="1:5" ht="12.75">
      <c r="A769" s="64"/>
      <c r="B769" s="64"/>
      <c r="C769" s="65"/>
      <c r="D769" s="64"/>
      <c r="E769" s="64"/>
    </row>
    <row r="770" spans="1:5" ht="12.75">
      <c r="A770" s="64"/>
      <c r="B770" s="64"/>
      <c r="C770" s="65"/>
      <c r="D770" s="64"/>
      <c r="E770" s="64"/>
    </row>
    <row r="771" spans="1:5" ht="12.75">
      <c r="A771" s="64"/>
      <c r="B771" s="64"/>
      <c r="C771" s="65"/>
      <c r="D771" s="64"/>
      <c r="E771" s="64"/>
    </row>
    <row r="772" spans="1:5" ht="12.75">
      <c r="A772" s="64"/>
      <c r="B772" s="64"/>
      <c r="C772" s="65"/>
      <c r="D772" s="64"/>
      <c r="E772" s="64"/>
    </row>
    <row r="773" spans="1:5" ht="12.75">
      <c r="A773" s="64"/>
      <c r="B773" s="64"/>
      <c r="C773" s="65"/>
      <c r="D773" s="64"/>
      <c r="E773" s="64"/>
    </row>
    <row r="774" spans="1:5" ht="12.75">
      <c r="A774" s="64"/>
      <c r="B774" s="64"/>
      <c r="C774" s="65"/>
      <c r="D774" s="64"/>
      <c r="E774" s="64"/>
    </row>
    <row r="775" spans="1:5" ht="12.75">
      <c r="A775" s="64"/>
      <c r="B775" s="64"/>
      <c r="C775" s="65"/>
      <c r="D775" s="64"/>
      <c r="E775" s="64"/>
    </row>
    <row r="776" spans="1:5" ht="12.75">
      <c r="A776" s="64"/>
      <c r="B776" s="64"/>
      <c r="C776" s="65"/>
      <c r="D776" s="64"/>
      <c r="E776" s="64"/>
    </row>
    <row r="777" spans="1:5" ht="12.75">
      <c r="A777" s="64"/>
      <c r="B777" s="64"/>
      <c r="C777" s="65"/>
      <c r="D777" s="64"/>
      <c r="E777" s="64"/>
    </row>
    <row r="778" spans="1:5" ht="12.75">
      <c r="A778" s="64"/>
      <c r="B778" s="64"/>
      <c r="C778" s="65"/>
      <c r="D778" s="64"/>
      <c r="E778" s="64"/>
    </row>
    <row r="779" spans="1:5" ht="12.75">
      <c r="A779" s="64"/>
      <c r="B779" s="64"/>
      <c r="C779" s="65"/>
      <c r="D779" s="64"/>
      <c r="E779" s="64"/>
    </row>
    <row r="780" spans="1:5" ht="12.75">
      <c r="A780" s="64"/>
      <c r="B780" s="64"/>
      <c r="C780" s="65"/>
      <c r="D780" s="64"/>
      <c r="E780" s="64"/>
    </row>
    <row r="781" spans="1:5" ht="12.75">
      <c r="A781" s="64"/>
      <c r="B781" s="64"/>
      <c r="C781" s="65"/>
      <c r="D781" s="64"/>
      <c r="E781" s="64"/>
    </row>
    <row r="782" spans="1:5" ht="12.75">
      <c r="A782" s="64"/>
      <c r="B782" s="64"/>
      <c r="C782" s="65"/>
      <c r="D782" s="64"/>
      <c r="E782" s="64"/>
    </row>
    <row r="783" spans="1:5" ht="12.75">
      <c r="A783" s="64"/>
      <c r="B783" s="64"/>
      <c r="C783" s="65"/>
      <c r="D783" s="64"/>
      <c r="E783" s="64"/>
    </row>
    <row r="784" spans="1:5" ht="12.75">
      <c r="A784" s="64"/>
      <c r="B784" s="64"/>
      <c r="C784" s="65"/>
      <c r="D784" s="64"/>
      <c r="E784" s="64"/>
    </row>
    <row r="785" spans="1:5" ht="12.75">
      <c r="A785" s="64"/>
      <c r="B785" s="64"/>
      <c r="C785" s="65"/>
      <c r="D785" s="64"/>
      <c r="E785" s="64"/>
    </row>
    <row r="786" spans="1:5" ht="12.75">
      <c r="A786" s="64"/>
      <c r="B786" s="64"/>
      <c r="C786" s="65"/>
      <c r="D786" s="64"/>
      <c r="E786" s="64"/>
    </row>
    <row r="787" spans="1:5" ht="12.75">
      <c r="A787" s="64"/>
      <c r="B787" s="64"/>
      <c r="C787" s="65"/>
      <c r="D787" s="64"/>
      <c r="E787" s="64"/>
    </row>
    <row r="788" spans="1:5" ht="12.75">
      <c r="A788" s="64"/>
      <c r="B788" s="64"/>
      <c r="C788" s="65"/>
      <c r="D788" s="64"/>
      <c r="E788" s="64"/>
    </row>
    <row r="789" spans="1:5" ht="12.75">
      <c r="A789" s="64"/>
      <c r="B789" s="64"/>
      <c r="C789" s="65"/>
      <c r="D789" s="64"/>
      <c r="E789" s="64"/>
    </row>
    <row r="790" spans="1:5" ht="12.75">
      <c r="A790" s="64"/>
      <c r="B790" s="64"/>
      <c r="C790" s="65"/>
      <c r="D790" s="64"/>
      <c r="E790" s="64"/>
    </row>
    <row r="791" spans="1:5" ht="12.75">
      <c r="A791" s="64"/>
      <c r="B791" s="64"/>
      <c r="C791" s="65"/>
      <c r="D791" s="64"/>
      <c r="E791" s="64"/>
    </row>
    <row r="792" spans="1:5" ht="12.75">
      <c r="A792" s="64"/>
      <c r="B792" s="64"/>
      <c r="C792" s="65"/>
      <c r="D792" s="64"/>
      <c r="E792" s="64"/>
    </row>
    <row r="793" spans="1:5" ht="12.75">
      <c r="A793" s="64"/>
      <c r="B793" s="64"/>
      <c r="C793" s="65"/>
      <c r="D793" s="64"/>
      <c r="E793" s="64"/>
    </row>
    <row r="794" spans="1:5" ht="12.75">
      <c r="A794" s="64"/>
      <c r="B794" s="64"/>
      <c r="C794" s="65"/>
      <c r="D794" s="64"/>
      <c r="E794" s="64"/>
    </row>
    <row r="795" spans="1:5" ht="12.75">
      <c r="A795" s="64"/>
      <c r="B795" s="64"/>
      <c r="C795" s="65"/>
      <c r="D795" s="64"/>
      <c r="E795" s="64"/>
    </row>
    <row r="796" spans="1:5" ht="12.75">
      <c r="A796" s="64"/>
      <c r="B796" s="64"/>
      <c r="C796" s="65"/>
      <c r="D796" s="64"/>
      <c r="E796" s="64"/>
    </row>
    <row r="797" spans="1:5" ht="12.75">
      <c r="A797" s="64"/>
      <c r="B797" s="64"/>
      <c r="C797" s="65"/>
      <c r="D797" s="64"/>
      <c r="E797" s="64"/>
    </row>
    <row r="798" spans="1:5" ht="12.75">
      <c r="A798" s="64"/>
      <c r="B798" s="64"/>
      <c r="C798" s="65"/>
      <c r="D798" s="64"/>
      <c r="E798" s="64"/>
    </row>
    <row r="799" spans="1:5" ht="12.75">
      <c r="A799" s="64"/>
      <c r="B799" s="64"/>
      <c r="C799" s="65"/>
      <c r="D799" s="64"/>
      <c r="E799" s="64"/>
    </row>
    <row r="800" spans="1:5" ht="12.75">
      <c r="A800" s="64"/>
      <c r="B800" s="64"/>
      <c r="C800" s="65"/>
      <c r="D800" s="64"/>
      <c r="E800" s="64"/>
    </row>
    <row r="801" spans="1:5" ht="12.75">
      <c r="A801" s="64"/>
      <c r="B801" s="64"/>
      <c r="C801" s="65"/>
      <c r="D801" s="64"/>
      <c r="E801" s="64"/>
    </row>
    <row r="802" spans="1:5" ht="12.75">
      <c r="A802" s="64"/>
      <c r="B802" s="64"/>
      <c r="C802" s="65"/>
      <c r="D802" s="64"/>
      <c r="E802" s="64"/>
    </row>
    <row r="803" spans="1:5" ht="12.75">
      <c r="A803" s="64"/>
      <c r="B803" s="64"/>
      <c r="C803" s="65"/>
      <c r="D803" s="64"/>
      <c r="E803" s="64"/>
    </row>
    <row r="804" spans="1:5" ht="12.75">
      <c r="A804" s="64"/>
      <c r="B804" s="64"/>
      <c r="C804" s="65"/>
      <c r="D804" s="64"/>
      <c r="E804" s="64"/>
    </row>
    <row r="805" spans="1:5" ht="12.75">
      <c r="A805" s="64"/>
      <c r="B805" s="64"/>
      <c r="C805" s="65"/>
      <c r="D805" s="64"/>
      <c r="E805" s="64"/>
    </row>
    <row r="806" spans="1:5" ht="12.75">
      <c r="A806" s="64"/>
      <c r="B806" s="64"/>
      <c r="C806" s="65"/>
      <c r="D806" s="64"/>
      <c r="E806" s="64"/>
    </row>
    <row r="807" spans="1:5" ht="12.75">
      <c r="A807" s="64"/>
      <c r="B807" s="64"/>
      <c r="C807" s="65"/>
      <c r="D807" s="64"/>
      <c r="E807" s="64"/>
    </row>
    <row r="808" spans="1:5" ht="12.75">
      <c r="A808" s="64"/>
      <c r="B808" s="64"/>
      <c r="C808" s="65"/>
      <c r="D808" s="64"/>
      <c r="E808" s="64"/>
    </row>
    <row r="809" spans="1:5" ht="12.75">
      <c r="A809" s="64"/>
      <c r="B809" s="64"/>
      <c r="C809" s="65"/>
      <c r="D809" s="64"/>
      <c r="E809" s="64"/>
    </row>
    <row r="810" spans="1:5" ht="12.75">
      <c r="A810" s="64"/>
      <c r="B810" s="64"/>
      <c r="C810" s="65"/>
      <c r="D810" s="64"/>
      <c r="E810" s="64"/>
    </row>
    <row r="811" spans="1:5" ht="12.75">
      <c r="A811" s="64"/>
      <c r="B811" s="64"/>
      <c r="C811" s="65"/>
      <c r="D811" s="64"/>
      <c r="E811" s="64"/>
    </row>
    <row r="812" spans="1:5" ht="12.75">
      <c r="A812" s="64"/>
      <c r="B812" s="64"/>
      <c r="C812" s="65"/>
      <c r="D812" s="64"/>
      <c r="E812" s="64"/>
    </row>
    <row r="813" spans="1:5" ht="12.75">
      <c r="A813" s="64"/>
      <c r="B813" s="64"/>
      <c r="C813" s="65"/>
      <c r="D813" s="64"/>
      <c r="E813" s="64"/>
    </row>
    <row r="814" spans="1:5" ht="12.75">
      <c r="A814" s="64"/>
      <c r="B814" s="64"/>
      <c r="C814" s="65"/>
      <c r="D814" s="64"/>
      <c r="E814" s="64"/>
    </row>
    <row r="815" spans="1:5" ht="12.75">
      <c r="A815" s="64"/>
      <c r="B815" s="64"/>
      <c r="C815" s="65"/>
      <c r="D815" s="64"/>
      <c r="E815" s="64"/>
    </row>
    <row r="816" spans="1:5" ht="12.75">
      <c r="A816" s="64"/>
      <c r="B816" s="64"/>
      <c r="C816" s="65"/>
      <c r="D816" s="64"/>
      <c r="E816" s="64"/>
    </row>
    <row r="817" spans="1:5" ht="12.75">
      <c r="A817" s="64"/>
      <c r="B817" s="64"/>
      <c r="C817" s="65"/>
      <c r="D817" s="64"/>
      <c r="E817" s="64"/>
    </row>
    <row r="818" spans="1:5" ht="12.75">
      <c r="A818" s="64"/>
      <c r="B818" s="64"/>
      <c r="C818" s="65"/>
      <c r="D818" s="64"/>
      <c r="E818" s="64"/>
    </row>
    <row r="819" spans="1:5" ht="12.75">
      <c r="A819" s="64"/>
      <c r="B819" s="64"/>
      <c r="C819" s="65"/>
      <c r="D819" s="64"/>
      <c r="E819" s="64"/>
    </row>
    <row r="820" spans="1:5" ht="12.75">
      <c r="A820" s="64"/>
      <c r="B820" s="64"/>
      <c r="C820" s="65"/>
      <c r="D820" s="64"/>
      <c r="E820" s="64"/>
    </row>
    <row r="821" spans="1:5" ht="12.75">
      <c r="A821" s="64"/>
      <c r="B821" s="64"/>
      <c r="C821" s="65"/>
      <c r="D821" s="64"/>
      <c r="E821" s="64"/>
    </row>
    <row r="822" spans="1:5" ht="12.75">
      <c r="A822" s="64"/>
      <c r="B822" s="64"/>
      <c r="C822" s="65"/>
      <c r="D822" s="64"/>
      <c r="E822" s="64"/>
    </row>
    <row r="823" spans="1:5" ht="12.75">
      <c r="A823" s="64"/>
      <c r="B823" s="64"/>
      <c r="C823" s="65"/>
      <c r="D823" s="64"/>
      <c r="E823" s="64"/>
    </row>
    <row r="824" spans="1:5" ht="12.75">
      <c r="A824" s="64"/>
      <c r="B824" s="64"/>
      <c r="C824" s="65"/>
      <c r="D824" s="64"/>
      <c r="E824" s="64"/>
    </row>
    <row r="825" spans="1:5" ht="12.75">
      <c r="A825" s="64"/>
      <c r="B825" s="64"/>
      <c r="C825" s="65"/>
      <c r="D825" s="64"/>
      <c r="E825" s="64"/>
    </row>
    <row r="826" spans="1:5" ht="12.75">
      <c r="A826" s="64"/>
      <c r="B826" s="64"/>
      <c r="C826" s="65"/>
      <c r="D826" s="64"/>
      <c r="E826" s="64"/>
    </row>
    <row r="827" spans="1:5" ht="12.75">
      <c r="A827" s="64"/>
      <c r="B827" s="64"/>
      <c r="C827" s="65"/>
      <c r="D827" s="64"/>
      <c r="E827" s="64"/>
    </row>
    <row r="828" spans="1:5" ht="12.75">
      <c r="A828" s="64"/>
      <c r="B828" s="64"/>
      <c r="C828" s="65"/>
      <c r="D828" s="64"/>
      <c r="E828" s="64"/>
    </row>
    <row r="829" spans="1:5" ht="12.75">
      <c r="A829" s="64"/>
      <c r="B829" s="64"/>
      <c r="C829" s="65"/>
      <c r="D829" s="64"/>
      <c r="E829" s="64"/>
    </row>
    <row r="830" spans="1:5" ht="12.75">
      <c r="A830" s="64"/>
      <c r="B830" s="64"/>
      <c r="C830" s="65"/>
      <c r="D830" s="64"/>
      <c r="E830" s="64"/>
    </row>
    <row r="831" spans="1:5" ht="12.75">
      <c r="A831" s="64"/>
      <c r="B831" s="64"/>
      <c r="C831" s="65"/>
      <c r="D831" s="64"/>
      <c r="E831" s="64"/>
    </row>
    <row r="832" spans="1:5" ht="12.75">
      <c r="A832" s="64"/>
      <c r="B832" s="64"/>
      <c r="C832" s="65"/>
      <c r="D832" s="64"/>
      <c r="E832" s="64"/>
    </row>
    <row r="833" spans="1:5" ht="12.75">
      <c r="A833" s="64"/>
      <c r="B833" s="64"/>
      <c r="C833" s="65"/>
      <c r="D833" s="64"/>
      <c r="E833" s="64"/>
    </row>
    <row r="834" spans="1:5" ht="12.75">
      <c r="A834" s="64"/>
      <c r="B834" s="64"/>
      <c r="C834" s="65"/>
      <c r="D834" s="64"/>
      <c r="E834" s="64"/>
    </row>
    <row r="835" spans="1:5" ht="12.75">
      <c r="A835" s="64"/>
      <c r="B835" s="64"/>
      <c r="C835" s="65"/>
      <c r="D835" s="64"/>
      <c r="E835" s="64"/>
    </row>
    <row r="836" spans="1:5" ht="12.75">
      <c r="A836" s="64"/>
      <c r="B836" s="64"/>
      <c r="C836" s="65"/>
      <c r="D836" s="64"/>
      <c r="E836" s="64"/>
    </row>
    <row r="837" spans="1:5" ht="12.75">
      <c r="A837" s="64"/>
      <c r="B837" s="64"/>
      <c r="C837" s="65"/>
      <c r="D837" s="64"/>
      <c r="E837" s="64"/>
    </row>
    <row r="838" spans="1:5" ht="12.75">
      <c r="A838" s="64"/>
      <c r="B838" s="64"/>
      <c r="C838" s="65"/>
      <c r="D838" s="64"/>
      <c r="E838" s="64"/>
    </row>
    <row r="839" spans="1:5" ht="12.75">
      <c r="A839" s="64"/>
      <c r="B839" s="64"/>
      <c r="C839" s="65"/>
      <c r="D839" s="64"/>
      <c r="E839" s="64"/>
    </row>
    <row r="840" spans="1:5" ht="12.75">
      <c r="A840" s="64"/>
      <c r="B840" s="64"/>
      <c r="C840" s="65"/>
      <c r="D840" s="64"/>
      <c r="E840" s="64"/>
    </row>
    <row r="841" spans="1:5" ht="12.75">
      <c r="A841" s="64"/>
      <c r="B841" s="64"/>
      <c r="C841" s="65"/>
      <c r="D841" s="64"/>
      <c r="E841" s="64"/>
    </row>
    <row r="842" spans="1:5" ht="12.75">
      <c r="A842" s="64"/>
      <c r="B842" s="64"/>
      <c r="C842" s="65"/>
      <c r="D842" s="64"/>
      <c r="E842" s="64"/>
    </row>
    <row r="843" spans="1:5" ht="12.75">
      <c r="A843" s="64"/>
      <c r="B843" s="64"/>
      <c r="C843" s="65"/>
      <c r="D843" s="64"/>
      <c r="E843" s="64"/>
    </row>
    <row r="844" spans="1:5" ht="12.75">
      <c r="A844" s="64"/>
      <c r="B844" s="64"/>
      <c r="C844" s="65"/>
      <c r="D844" s="64"/>
      <c r="E844" s="64"/>
    </row>
    <row r="845" spans="1:5" ht="12.75">
      <c r="A845" s="64"/>
      <c r="B845" s="64"/>
      <c r="C845" s="65"/>
      <c r="D845" s="64"/>
      <c r="E845" s="64"/>
    </row>
    <row r="846" spans="1:5" ht="12.75">
      <c r="A846" s="64"/>
      <c r="B846" s="64"/>
      <c r="C846" s="65"/>
      <c r="D846" s="64"/>
      <c r="E846" s="64"/>
    </row>
    <row r="847" spans="1:5" ht="12.75">
      <c r="A847" s="64"/>
      <c r="B847" s="64"/>
      <c r="C847" s="65"/>
      <c r="D847" s="64"/>
      <c r="E847" s="64"/>
    </row>
    <row r="848" spans="1:5" ht="12.75">
      <c r="A848" s="64"/>
      <c r="B848" s="64"/>
      <c r="C848" s="65"/>
      <c r="D848" s="64"/>
      <c r="E848" s="64"/>
    </row>
    <row r="849" spans="1:5" ht="12.75">
      <c r="A849" s="64"/>
      <c r="B849" s="64"/>
      <c r="C849" s="65"/>
      <c r="D849" s="64"/>
      <c r="E849" s="64"/>
    </row>
    <row r="850" spans="1:5" ht="12.75">
      <c r="A850" s="64"/>
      <c r="B850" s="64"/>
      <c r="C850" s="65"/>
      <c r="D850" s="64"/>
      <c r="E850" s="64"/>
    </row>
    <row r="851" spans="1:5" ht="12.75">
      <c r="A851" s="64"/>
      <c r="B851" s="64"/>
      <c r="C851" s="65"/>
      <c r="D851" s="64"/>
      <c r="E851" s="64"/>
    </row>
  </sheetData>
  <autoFilter ref="A1:F275" xr:uid="{00000000-0009-0000-0000-000011000000}"/>
  <customSheetViews>
    <customSheetView guid="{2D61354D-BC36-4952-979E-C0CD8AB54145}" filter="1" showAutoFilter="1">
      <pageMargins left="0.7" right="0.7" top="0.75" bottom="0.75" header="0.3" footer="0.3"/>
      <autoFilter ref="A1:G288" xr:uid="{B02FB055-1834-4617-93A8-7A479706D7A7}"/>
    </customSheetView>
    <customSheetView guid="{012BD945-ECF6-43B5-91D9-53F3D3DF376E}" filter="1" showAutoFilter="1">
      <pageMargins left="0.7" right="0.7" top="0.75" bottom="0.75" header="0.3" footer="0.3"/>
      <autoFilter ref="A1:G303" xr:uid="{397C55A9-9EDE-4E30-8871-82DB7C986C83}"/>
    </customSheetView>
    <customSheetView guid="{F4E3690C-DC38-4FBD-AB9B-700D71818EFC}" filter="1" showAutoFilter="1">
      <pageMargins left="0.7" right="0.7" top="0.75" bottom="0.75" header="0.3" footer="0.3"/>
      <autoFilter ref="D7:D236" xr:uid="{BACBB71D-B5D3-4306-8276-AAE61F35E473}"/>
    </customSheetView>
    <customSheetView guid="{E8BD0E45-912F-43CC-80AF-EFF1AE6192B9}" filter="1" showAutoFilter="1">
      <pageMargins left="0.7" right="0.7" top="0.75" bottom="0.75" header="0.3" footer="0.3"/>
      <autoFilter ref="D312" xr:uid="{9183A3BA-6B39-4AAB-9DDA-01CCDFF9B746}"/>
    </customSheetView>
    <customSheetView guid="{402489BC-933C-49AB-BD79-C5FD95C0BB66}" filter="1" showAutoFilter="1">
      <pageMargins left="0.7" right="0.7" top="0.75" bottom="0.75" header="0.3" footer="0.3"/>
      <autoFilter ref="A1:G305" xr:uid="{3C23FBC4-FA8B-4A60-8CCC-478DCFD0097B}"/>
    </customSheetView>
  </customSheetViews>
  <mergeCells count="2">
    <mergeCell ref="G166:G168"/>
    <mergeCell ref="F272:F273"/>
  </mergeCells>
  <dataValidations count="2">
    <dataValidation type="list" allowBlank="1" showErrorMessage="1" sqref="H121 H129:H131 H134 H136 H139 H169:H171 H175:H177 H179:H181 H183 H186:H188 H193 H195 H197:H200 H202:H203 H205:H206 H208 H210:H214 H216:H217 H222 H225:H227 H229 H267 H274:H275 H278:H279 H295:H297 H299:H301" xr:uid="{00000000-0002-0000-1100-000000000000}">
      <formula1>"IP Radio,UTP,FOC,Starlink Source,FOC Source"</formula1>
    </dataValidation>
    <dataValidation type="list" allowBlank="1" showErrorMessage="1" sqref="F121 F129:F131 F134 F136 F139 F169:F171 F175:F177 F179:F181 F183 F186:F188 F193 F195 F197:F200 F202:F203 F205:F206 F208 F210:F214 F216:F217 F222 F225:F227 F229 F267 F274:F275 F278:F279 F295:F297 F299:F301" xr:uid="{00000000-0002-0000-1100-000001000000}">
      <formula1>"Source,Extension"</formula1>
    </dataValidation>
  </dataValidations>
  <printOptions horizontalCentered="1" gridLines="1"/>
  <pageMargins left="0.25" right="0.25" top="0.75" bottom="0.75" header="0" footer="0"/>
  <pageSetup paperSize="6" fitToHeight="0" pageOrder="overThenDown" orientation="portrait" cellComments="atEnd"/>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0000"/>
    <outlinePr summaryBelow="0" summaryRight="0"/>
    <pageSetUpPr fitToPage="1"/>
  </sheetPr>
  <dimension ref="A1:AJ536"/>
  <sheetViews>
    <sheetView showGridLines="0" workbookViewId="0"/>
  </sheetViews>
  <sheetFormatPr defaultColWidth="12.5703125" defaultRowHeight="15.75" customHeight="1"/>
  <cols>
    <col min="1" max="1" width="29.7109375" customWidth="1"/>
    <col min="2" max="2" width="10.42578125" customWidth="1"/>
    <col min="3" max="3" width="12.5703125" customWidth="1"/>
    <col min="4" max="4" width="9.5703125" customWidth="1"/>
    <col min="5" max="5" width="12.28515625" customWidth="1"/>
    <col min="6" max="6" width="10.42578125" customWidth="1"/>
    <col min="7" max="8" width="12.140625" customWidth="1"/>
    <col min="9" max="9" width="10.42578125" customWidth="1"/>
    <col min="10" max="10" width="13.85546875" customWidth="1"/>
    <col min="11" max="11" width="10.140625" customWidth="1"/>
    <col min="12" max="12" width="10.42578125" customWidth="1"/>
    <col min="13" max="14" width="10.140625" customWidth="1"/>
    <col min="15" max="22" width="10.42578125" customWidth="1"/>
    <col min="23" max="23" width="15.85546875" customWidth="1"/>
    <col min="24" max="24" width="20.85546875" customWidth="1"/>
    <col min="25" max="25" width="29.28515625" customWidth="1"/>
    <col min="26" max="27" width="27.7109375" customWidth="1"/>
    <col min="28" max="29" width="15.42578125" customWidth="1"/>
    <col min="30" max="31" width="20.5703125" customWidth="1"/>
    <col min="32" max="32" width="26.42578125" customWidth="1"/>
    <col min="33" max="33" width="26" customWidth="1"/>
    <col min="34" max="34" width="19.28515625" customWidth="1"/>
    <col min="35" max="35" width="37.28515625" customWidth="1"/>
    <col min="36" max="36" width="12.5703125" hidden="1"/>
  </cols>
  <sheetData>
    <row r="1" spans="1:23">
      <c r="A1" s="605" t="s">
        <v>2616</v>
      </c>
      <c r="B1" s="517"/>
      <c r="C1" s="517"/>
      <c r="D1" s="517"/>
      <c r="E1" s="517"/>
      <c r="F1" s="517"/>
      <c r="G1" s="517"/>
      <c r="H1" s="517"/>
      <c r="I1" s="517"/>
      <c r="J1" s="517"/>
      <c r="K1" s="517"/>
      <c r="L1" s="517"/>
      <c r="M1" s="517"/>
      <c r="N1" s="517"/>
      <c r="O1" s="517"/>
      <c r="P1" s="517"/>
      <c r="Q1" s="517"/>
      <c r="R1" s="517"/>
      <c r="S1" s="517"/>
      <c r="T1" s="517"/>
      <c r="U1" s="517"/>
      <c r="V1" s="517"/>
      <c r="W1" s="517"/>
    </row>
    <row r="2" spans="1:23">
      <c r="A2" s="250" t="s">
        <v>2621</v>
      </c>
      <c r="B2" s="251" t="s">
        <v>0</v>
      </c>
      <c r="C2" s="252" t="s">
        <v>2030</v>
      </c>
      <c r="D2" s="252" t="s">
        <v>103</v>
      </c>
      <c r="E2" s="253" t="s">
        <v>207</v>
      </c>
      <c r="F2" s="254" t="s">
        <v>374</v>
      </c>
      <c r="G2" s="252" t="s">
        <v>2631</v>
      </c>
      <c r="H2" s="252" t="s">
        <v>2633</v>
      </c>
      <c r="I2" s="252" t="s">
        <v>2515</v>
      </c>
      <c r="J2" s="252" t="s">
        <v>2634</v>
      </c>
      <c r="K2" s="252" t="s">
        <v>553</v>
      </c>
      <c r="L2" s="252" t="s">
        <v>271</v>
      </c>
      <c r="M2" s="252" t="s">
        <v>408</v>
      </c>
      <c r="N2" s="255" t="s">
        <v>99</v>
      </c>
      <c r="O2" s="255" t="s">
        <v>668</v>
      </c>
      <c r="P2" s="255" t="s">
        <v>493</v>
      </c>
      <c r="Q2" s="255" t="s">
        <v>622</v>
      </c>
      <c r="R2" s="255" t="s">
        <v>2640</v>
      </c>
      <c r="S2" s="255" t="s">
        <v>2642</v>
      </c>
      <c r="T2" s="255" t="s">
        <v>2643</v>
      </c>
      <c r="U2" s="255" t="s">
        <v>151</v>
      </c>
      <c r="V2" s="255" t="s">
        <v>351</v>
      </c>
      <c r="W2" s="256" t="s">
        <v>2645</v>
      </c>
    </row>
    <row r="3" spans="1:23">
      <c r="A3" s="257" t="s">
        <v>57</v>
      </c>
      <c r="B3" s="258">
        <v>1</v>
      </c>
      <c r="C3" s="259">
        <v>1</v>
      </c>
      <c r="D3" s="259">
        <v>1</v>
      </c>
      <c r="E3" s="260"/>
      <c r="F3" s="260"/>
      <c r="G3" s="260"/>
      <c r="H3" s="260"/>
      <c r="I3" s="260"/>
      <c r="J3" s="261">
        <v>1</v>
      </c>
      <c r="K3" s="260"/>
      <c r="L3" s="260"/>
      <c r="M3" s="262"/>
      <c r="N3" s="263">
        <v>1</v>
      </c>
      <c r="O3" s="264"/>
      <c r="P3" s="264"/>
      <c r="Q3" s="264"/>
      <c r="R3" s="264"/>
      <c r="S3" s="264"/>
      <c r="T3" s="264"/>
      <c r="U3" s="264"/>
      <c r="V3" s="264"/>
      <c r="W3" s="265">
        <f t="shared" ref="W3:W23" si="0">SUM(C3:V3)</f>
        <v>4</v>
      </c>
    </row>
    <row r="4" spans="1:23">
      <c r="A4" s="257" t="s">
        <v>117</v>
      </c>
      <c r="B4" s="258">
        <v>1</v>
      </c>
      <c r="C4" s="259">
        <v>1</v>
      </c>
      <c r="D4" s="259">
        <v>1</v>
      </c>
      <c r="E4" s="260"/>
      <c r="F4" s="260"/>
      <c r="G4" s="260"/>
      <c r="H4" s="260"/>
      <c r="I4" s="260"/>
      <c r="J4" s="259">
        <v>1</v>
      </c>
      <c r="K4" s="262"/>
      <c r="L4" s="260"/>
      <c r="M4" s="262"/>
      <c r="N4" s="266"/>
      <c r="O4" s="267"/>
      <c r="P4" s="267"/>
      <c r="Q4" s="267"/>
      <c r="R4" s="267"/>
      <c r="S4" s="263">
        <v>1</v>
      </c>
      <c r="T4" s="267"/>
      <c r="U4" s="267"/>
      <c r="V4" s="267"/>
      <c r="W4" s="265">
        <f t="shared" si="0"/>
        <v>4</v>
      </c>
    </row>
    <row r="5" spans="1:23">
      <c r="A5" s="257" t="s">
        <v>136</v>
      </c>
      <c r="B5" s="258">
        <v>1</v>
      </c>
      <c r="C5" s="259">
        <v>1</v>
      </c>
      <c r="D5" s="261">
        <v>1</v>
      </c>
      <c r="E5" s="262"/>
      <c r="F5" s="260"/>
      <c r="G5" s="259">
        <v>1</v>
      </c>
      <c r="H5" s="259"/>
      <c r="I5" s="259"/>
      <c r="J5" s="260"/>
      <c r="K5" s="262"/>
      <c r="L5" s="260"/>
      <c r="M5" s="262"/>
      <c r="N5" s="266"/>
      <c r="O5" s="267"/>
      <c r="P5" s="267"/>
      <c r="Q5" s="267"/>
      <c r="R5" s="267"/>
      <c r="S5" s="267"/>
      <c r="T5" s="267"/>
      <c r="U5" s="263">
        <v>1</v>
      </c>
      <c r="V5" s="263"/>
      <c r="W5" s="265">
        <f t="shared" si="0"/>
        <v>4</v>
      </c>
    </row>
    <row r="6" spans="1:23">
      <c r="A6" s="257" t="s">
        <v>167</v>
      </c>
      <c r="B6" s="258">
        <v>1</v>
      </c>
      <c r="C6" s="259">
        <v>1</v>
      </c>
      <c r="D6" s="261">
        <v>1</v>
      </c>
      <c r="E6" s="260"/>
      <c r="F6" s="260"/>
      <c r="G6" s="259">
        <v>1</v>
      </c>
      <c r="H6" s="259"/>
      <c r="I6" s="259"/>
      <c r="J6" s="260"/>
      <c r="K6" s="260"/>
      <c r="L6" s="262"/>
      <c r="M6" s="262"/>
      <c r="N6" s="267"/>
      <c r="O6" s="267"/>
      <c r="P6" s="267"/>
      <c r="Q6" s="267"/>
      <c r="R6" s="267"/>
      <c r="S6" s="267"/>
      <c r="T6" s="267"/>
      <c r="U6" s="267"/>
      <c r="V6" s="267"/>
      <c r="W6" s="265">
        <f t="shared" si="0"/>
        <v>3</v>
      </c>
    </row>
    <row r="7" spans="1:23">
      <c r="A7" s="257" t="s">
        <v>198</v>
      </c>
      <c r="B7" s="258">
        <v>1</v>
      </c>
      <c r="C7" s="259">
        <v>1</v>
      </c>
      <c r="D7" s="259">
        <v>1</v>
      </c>
      <c r="E7" s="259">
        <v>1</v>
      </c>
      <c r="F7" s="260"/>
      <c r="G7" s="259">
        <v>2</v>
      </c>
      <c r="H7" s="260"/>
      <c r="I7" s="260"/>
      <c r="J7" s="260"/>
      <c r="K7" s="262"/>
      <c r="L7" s="262"/>
      <c r="M7" s="262"/>
      <c r="N7" s="267"/>
      <c r="O7" s="267"/>
      <c r="P7" s="267"/>
      <c r="Q7" s="263">
        <v>1</v>
      </c>
      <c r="R7" s="267"/>
      <c r="S7" s="267"/>
      <c r="T7" s="267"/>
      <c r="U7" s="267"/>
      <c r="V7" s="267"/>
      <c r="W7" s="265">
        <f t="shared" si="0"/>
        <v>6</v>
      </c>
    </row>
    <row r="8" spans="1:23">
      <c r="A8" s="257" t="s">
        <v>216</v>
      </c>
      <c r="B8" s="258">
        <v>1</v>
      </c>
      <c r="C8" s="259">
        <v>1</v>
      </c>
      <c r="D8" s="261">
        <v>1</v>
      </c>
      <c r="E8" s="260"/>
      <c r="F8" s="259">
        <v>1</v>
      </c>
      <c r="G8" s="259">
        <v>2</v>
      </c>
      <c r="H8" s="260"/>
      <c r="I8" s="260"/>
      <c r="J8" s="259">
        <v>1</v>
      </c>
      <c r="K8" s="261">
        <v>1</v>
      </c>
      <c r="L8" s="262"/>
      <c r="M8" s="262"/>
      <c r="N8" s="267"/>
      <c r="O8" s="267"/>
      <c r="P8" s="267"/>
      <c r="Q8" s="267"/>
      <c r="R8" s="267"/>
      <c r="S8" s="267"/>
      <c r="T8" s="267"/>
      <c r="U8" s="267"/>
      <c r="V8" s="267"/>
      <c r="W8" s="265">
        <f t="shared" si="0"/>
        <v>7</v>
      </c>
    </row>
    <row r="9" spans="1:23">
      <c r="A9" s="257" t="s">
        <v>397</v>
      </c>
      <c r="B9" s="258">
        <v>1</v>
      </c>
      <c r="C9" s="259">
        <v>1</v>
      </c>
      <c r="D9" s="261">
        <v>1</v>
      </c>
      <c r="E9" s="259">
        <v>1</v>
      </c>
      <c r="F9" s="260"/>
      <c r="G9" s="260"/>
      <c r="H9" s="260"/>
      <c r="I9" s="260"/>
      <c r="J9" s="259">
        <v>1</v>
      </c>
      <c r="K9" s="262"/>
      <c r="L9" s="262"/>
      <c r="M9" s="260"/>
      <c r="N9" s="267"/>
      <c r="O9" s="267"/>
      <c r="P9" s="267"/>
      <c r="Q9" s="267"/>
      <c r="R9" s="263">
        <v>2</v>
      </c>
      <c r="S9" s="267"/>
      <c r="T9" s="267"/>
      <c r="U9" s="267"/>
      <c r="V9" s="267"/>
      <c r="W9" s="265">
        <f t="shared" si="0"/>
        <v>6</v>
      </c>
    </row>
    <row r="10" spans="1:23">
      <c r="A10" s="268" t="s">
        <v>257</v>
      </c>
      <c r="B10" s="258">
        <v>1</v>
      </c>
      <c r="C10" s="269">
        <v>1</v>
      </c>
      <c r="D10" s="270">
        <v>1</v>
      </c>
      <c r="E10" s="271"/>
      <c r="F10" s="271"/>
      <c r="G10" s="269">
        <v>1</v>
      </c>
      <c r="H10" s="271"/>
      <c r="I10" s="271"/>
      <c r="J10" s="269">
        <v>1</v>
      </c>
      <c r="K10" s="272"/>
      <c r="L10" s="270">
        <v>1</v>
      </c>
      <c r="M10" s="271"/>
      <c r="N10" s="273"/>
      <c r="O10" s="273"/>
      <c r="P10" s="273"/>
      <c r="Q10" s="273"/>
      <c r="R10" s="273"/>
      <c r="S10" s="273"/>
      <c r="T10" s="273"/>
      <c r="U10" s="273"/>
      <c r="V10" s="273"/>
      <c r="W10" s="265">
        <f t="shared" si="0"/>
        <v>5</v>
      </c>
    </row>
    <row r="11" spans="1:23">
      <c r="A11" s="268" t="s">
        <v>291</v>
      </c>
      <c r="B11" s="258">
        <v>1</v>
      </c>
      <c r="C11" s="269">
        <v>1</v>
      </c>
      <c r="D11" s="270">
        <v>1</v>
      </c>
      <c r="E11" s="271"/>
      <c r="F11" s="271"/>
      <c r="G11" s="269">
        <v>2</v>
      </c>
      <c r="H11" s="271"/>
      <c r="I11" s="271"/>
      <c r="J11" s="269">
        <v>1</v>
      </c>
      <c r="K11" s="272"/>
      <c r="L11" s="272"/>
      <c r="M11" s="271"/>
      <c r="N11" s="273"/>
      <c r="O11" s="273"/>
      <c r="P11" s="273"/>
      <c r="Q11" s="273"/>
      <c r="R11" s="273"/>
      <c r="S11" s="273"/>
      <c r="T11" s="273"/>
      <c r="U11" s="273"/>
      <c r="V11" s="273"/>
      <c r="W11" s="265">
        <f t="shared" si="0"/>
        <v>5</v>
      </c>
    </row>
    <row r="12" spans="1:23">
      <c r="A12" s="268" t="s">
        <v>325</v>
      </c>
      <c r="B12" s="258">
        <v>1</v>
      </c>
      <c r="C12" s="269">
        <v>1</v>
      </c>
      <c r="D12" s="270">
        <v>1</v>
      </c>
      <c r="E12" s="269">
        <v>1</v>
      </c>
      <c r="F12" s="271"/>
      <c r="G12" s="269">
        <v>1</v>
      </c>
      <c r="H12" s="271"/>
      <c r="I12" s="271"/>
      <c r="J12" s="269">
        <v>1</v>
      </c>
      <c r="K12" s="272"/>
      <c r="L12" s="272"/>
      <c r="M12" s="271"/>
      <c r="N12" s="273"/>
      <c r="O12" s="273"/>
      <c r="P12" s="273"/>
      <c r="Q12" s="273"/>
      <c r="R12" s="273"/>
      <c r="S12" s="273"/>
      <c r="T12" s="273"/>
      <c r="U12" s="273"/>
      <c r="V12" s="273"/>
      <c r="W12" s="265">
        <f t="shared" si="0"/>
        <v>5</v>
      </c>
    </row>
    <row r="13" spans="1:23">
      <c r="A13" s="268" t="s">
        <v>268</v>
      </c>
      <c r="B13" s="258">
        <v>1</v>
      </c>
      <c r="C13" s="269">
        <v>1</v>
      </c>
      <c r="D13" s="270">
        <v>2</v>
      </c>
      <c r="E13" s="269">
        <v>3</v>
      </c>
      <c r="F13" s="269">
        <v>3</v>
      </c>
      <c r="G13" s="269">
        <v>4</v>
      </c>
      <c r="H13" s="269">
        <v>1</v>
      </c>
      <c r="I13" s="271"/>
      <c r="J13" s="269">
        <v>6</v>
      </c>
      <c r="K13" s="272"/>
      <c r="L13" s="270">
        <v>2</v>
      </c>
      <c r="M13" s="271"/>
      <c r="N13" s="273"/>
      <c r="O13" s="273"/>
      <c r="P13" s="274">
        <v>1</v>
      </c>
      <c r="Q13" s="273"/>
      <c r="R13" s="274">
        <v>1</v>
      </c>
      <c r="S13" s="273"/>
      <c r="T13" s="274">
        <v>1</v>
      </c>
      <c r="U13" s="274">
        <v>1</v>
      </c>
      <c r="V13" s="274">
        <v>1</v>
      </c>
      <c r="W13" s="265">
        <f t="shared" si="0"/>
        <v>27</v>
      </c>
    </row>
    <row r="14" spans="1:23">
      <c r="A14" s="268" t="s">
        <v>381</v>
      </c>
      <c r="B14" s="258">
        <v>1</v>
      </c>
      <c r="C14" s="269">
        <v>1</v>
      </c>
      <c r="D14" s="270">
        <v>1</v>
      </c>
      <c r="E14" s="271"/>
      <c r="F14" s="269">
        <v>1</v>
      </c>
      <c r="G14" s="269">
        <v>1</v>
      </c>
      <c r="H14" s="271"/>
      <c r="I14" s="271"/>
      <c r="J14" s="269">
        <v>1</v>
      </c>
      <c r="K14" s="270">
        <v>1</v>
      </c>
      <c r="L14" s="272"/>
      <c r="M14" s="271"/>
      <c r="N14" s="273"/>
      <c r="O14" s="273"/>
      <c r="P14" s="273"/>
      <c r="Q14" s="274">
        <v>1</v>
      </c>
      <c r="R14" s="273"/>
      <c r="S14" s="273"/>
      <c r="T14" s="273"/>
      <c r="U14" s="273"/>
      <c r="V14" s="273"/>
      <c r="W14" s="265">
        <f t="shared" si="0"/>
        <v>7</v>
      </c>
    </row>
    <row r="15" spans="1:23">
      <c r="A15" s="268" t="s">
        <v>13</v>
      </c>
      <c r="B15" s="275">
        <v>2</v>
      </c>
      <c r="C15" s="269">
        <v>1</v>
      </c>
      <c r="D15" s="270">
        <v>1</v>
      </c>
      <c r="E15" s="269">
        <v>1</v>
      </c>
      <c r="F15" s="269">
        <v>2</v>
      </c>
      <c r="G15" s="269">
        <v>2</v>
      </c>
      <c r="H15" s="271"/>
      <c r="I15" s="271"/>
      <c r="J15" s="269">
        <v>1</v>
      </c>
      <c r="K15" s="272"/>
      <c r="L15" s="272"/>
      <c r="M15" s="271"/>
      <c r="N15" s="273"/>
      <c r="O15" s="273"/>
      <c r="P15" s="273"/>
      <c r="Q15" s="273"/>
      <c r="R15" s="274">
        <v>1</v>
      </c>
      <c r="S15" s="273"/>
      <c r="T15" s="273"/>
      <c r="U15" s="273"/>
      <c r="V15" s="273"/>
      <c r="W15" s="265">
        <f t="shared" si="0"/>
        <v>9</v>
      </c>
    </row>
    <row r="16" spans="1:23">
      <c r="A16" s="268" t="s">
        <v>67</v>
      </c>
      <c r="B16" s="275">
        <v>2</v>
      </c>
      <c r="C16" s="269">
        <v>1</v>
      </c>
      <c r="D16" s="272"/>
      <c r="E16" s="269">
        <v>3</v>
      </c>
      <c r="F16" s="269">
        <v>6</v>
      </c>
      <c r="G16" s="269">
        <v>8</v>
      </c>
      <c r="H16" s="271"/>
      <c r="I16" s="271"/>
      <c r="J16" s="271"/>
      <c r="K16" s="270">
        <v>1</v>
      </c>
      <c r="L16" s="270">
        <v>1</v>
      </c>
      <c r="M16" s="269">
        <v>1</v>
      </c>
      <c r="N16" s="274">
        <v>1</v>
      </c>
      <c r="O16" s="273"/>
      <c r="P16" s="273"/>
      <c r="Q16" s="273"/>
      <c r="R16" s="274">
        <v>1</v>
      </c>
      <c r="S16" s="273"/>
      <c r="T16" s="273"/>
      <c r="U16" s="273"/>
      <c r="V16" s="273"/>
      <c r="W16" s="265">
        <f t="shared" si="0"/>
        <v>23</v>
      </c>
    </row>
    <row r="17" spans="1:23">
      <c r="A17" s="268" t="s">
        <v>81</v>
      </c>
      <c r="B17" s="275">
        <v>2</v>
      </c>
      <c r="C17" s="269">
        <v>1</v>
      </c>
      <c r="D17" s="272"/>
      <c r="E17" s="269">
        <v>1</v>
      </c>
      <c r="F17" s="269">
        <v>6</v>
      </c>
      <c r="G17" s="269">
        <v>5</v>
      </c>
      <c r="H17" s="271"/>
      <c r="I17" s="271"/>
      <c r="J17" s="269">
        <v>1</v>
      </c>
      <c r="K17" s="272"/>
      <c r="L17" s="272"/>
      <c r="M17" s="271"/>
      <c r="N17" s="273"/>
      <c r="O17" s="274">
        <v>1</v>
      </c>
      <c r="P17" s="273"/>
      <c r="Q17" s="274">
        <v>1</v>
      </c>
      <c r="R17" s="274">
        <v>1</v>
      </c>
      <c r="S17" s="273"/>
      <c r="T17" s="273"/>
      <c r="U17" s="273"/>
      <c r="V17" s="273"/>
      <c r="W17" s="265">
        <f t="shared" si="0"/>
        <v>17</v>
      </c>
    </row>
    <row r="18" spans="1:23">
      <c r="A18" s="268" t="s">
        <v>79</v>
      </c>
      <c r="B18" s="275">
        <v>2</v>
      </c>
      <c r="C18" s="269">
        <v>1</v>
      </c>
      <c r="D18" s="270">
        <v>1</v>
      </c>
      <c r="E18" s="269">
        <v>2</v>
      </c>
      <c r="F18" s="269">
        <v>4</v>
      </c>
      <c r="G18" s="269">
        <v>3</v>
      </c>
      <c r="H18" s="271"/>
      <c r="I18" s="271"/>
      <c r="J18" s="269">
        <v>1</v>
      </c>
      <c r="K18" s="272"/>
      <c r="L18" s="272"/>
      <c r="M18" s="271"/>
      <c r="N18" s="273"/>
      <c r="O18" s="273"/>
      <c r="P18" s="273"/>
      <c r="Q18" s="273"/>
      <c r="R18" s="274">
        <v>3</v>
      </c>
      <c r="S18" s="274">
        <v>1</v>
      </c>
      <c r="T18" s="273"/>
      <c r="U18" s="273"/>
      <c r="V18" s="273"/>
      <c r="W18" s="265">
        <f t="shared" si="0"/>
        <v>16</v>
      </c>
    </row>
    <row r="19" spans="1:23">
      <c r="A19" s="268" t="s">
        <v>113</v>
      </c>
      <c r="B19" s="275">
        <v>2</v>
      </c>
      <c r="C19" s="269">
        <v>1</v>
      </c>
      <c r="D19" s="270">
        <v>1</v>
      </c>
      <c r="E19" s="269">
        <v>2</v>
      </c>
      <c r="F19" s="269">
        <v>3</v>
      </c>
      <c r="G19" s="269">
        <v>3</v>
      </c>
      <c r="H19" s="269">
        <v>1</v>
      </c>
      <c r="I19" s="271"/>
      <c r="J19" s="269">
        <v>1</v>
      </c>
      <c r="K19" s="270">
        <v>1</v>
      </c>
      <c r="L19" s="272"/>
      <c r="M19" s="271"/>
      <c r="N19" s="273"/>
      <c r="O19" s="273"/>
      <c r="P19" s="273"/>
      <c r="Q19" s="273"/>
      <c r="R19" s="274">
        <v>1</v>
      </c>
      <c r="S19" s="273"/>
      <c r="T19" s="273"/>
      <c r="U19" s="273"/>
      <c r="V19" s="273"/>
      <c r="W19" s="265">
        <f t="shared" si="0"/>
        <v>14</v>
      </c>
    </row>
    <row r="20" spans="1:23">
      <c r="A20" s="268" t="s">
        <v>140</v>
      </c>
      <c r="B20" s="275">
        <v>2</v>
      </c>
      <c r="C20" s="269">
        <v>1</v>
      </c>
      <c r="D20" s="270">
        <v>1</v>
      </c>
      <c r="E20" s="269">
        <v>2</v>
      </c>
      <c r="F20" s="269">
        <v>3</v>
      </c>
      <c r="G20" s="269">
        <v>4</v>
      </c>
      <c r="H20" s="269">
        <v>1</v>
      </c>
      <c r="I20" s="271"/>
      <c r="J20" s="269">
        <v>2</v>
      </c>
      <c r="K20" s="272"/>
      <c r="L20" s="272"/>
      <c r="M20" s="271"/>
      <c r="N20" s="273"/>
      <c r="O20" s="273"/>
      <c r="P20" s="273"/>
      <c r="Q20" s="273"/>
      <c r="R20" s="274">
        <v>1</v>
      </c>
      <c r="S20" s="273"/>
      <c r="T20" s="273"/>
      <c r="U20" s="273"/>
      <c r="V20" s="273"/>
      <c r="W20" s="265">
        <f t="shared" si="0"/>
        <v>15</v>
      </c>
    </row>
    <row r="21" spans="1:23">
      <c r="A21" s="268" t="s">
        <v>165</v>
      </c>
      <c r="B21" s="275">
        <v>2</v>
      </c>
      <c r="C21" s="269">
        <v>1</v>
      </c>
      <c r="D21" s="270">
        <v>1</v>
      </c>
      <c r="E21" s="269">
        <v>1</v>
      </c>
      <c r="F21" s="269">
        <v>1</v>
      </c>
      <c r="G21" s="269">
        <v>3</v>
      </c>
      <c r="H21" s="269">
        <v>1</v>
      </c>
      <c r="I21" s="271"/>
      <c r="J21" s="269">
        <v>1</v>
      </c>
      <c r="K21" s="272"/>
      <c r="L21" s="272"/>
      <c r="M21" s="271"/>
      <c r="N21" s="273"/>
      <c r="O21" s="273"/>
      <c r="P21" s="273"/>
      <c r="Q21" s="273"/>
      <c r="R21" s="273"/>
      <c r="S21" s="273"/>
      <c r="T21" s="273"/>
      <c r="U21" s="273"/>
      <c r="V21" s="273"/>
      <c r="W21" s="265">
        <f t="shared" si="0"/>
        <v>9</v>
      </c>
    </row>
    <row r="22" spans="1:23">
      <c r="A22" s="268" t="s">
        <v>176</v>
      </c>
      <c r="B22" s="275">
        <v>2</v>
      </c>
      <c r="C22" s="269">
        <v>1</v>
      </c>
      <c r="D22" s="270">
        <v>1</v>
      </c>
      <c r="E22" s="271"/>
      <c r="F22" s="269">
        <v>1</v>
      </c>
      <c r="G22" s="269">
        <v>1</v>
      </c>
      <c r="H22" s="269">
        <v>1</v>
      </c>
      <c r="I22" s="271"/>
      <c r="J22" s="269">
        <v>1</v>
      </c>
      <c r="K22" s="272"/>
      <c r="L22" s="272"/>
      <c r="M22" s="271"/>
      <c r="N22" s="273"/>
      <c r="O22" s="273"/>
      <c r="P22" s="273"/>
      <c r="Q22" s="273"/>
      <c r="R22" s="274">
        <v>2</v>
      </c>
      <c r="S22" s="273"/>
      <c r="T22" s="274">
        <v>1</v>
      </c>
      <c r="U22" s="273"/>
      <c r="V22" s="273"/>
      <c r="W22" s="265">
        <f t="shared" si="0"/>
        <v>9</v>
      </c>
    </row>
    <row r="23" spans="1:23">
      <c r="A23" s="268" t="s">
        <v>196</v>
      </c>
      <c r="B23" s="275">
        <v>2</v>
      </c>
      <c r="C23" s="269">
        <v>1</v>
      </c>
      <c r="D23" s="270">
        <v>1</v>
      </c>
      <c r="E23" s="269">
        <v>1</v>
      </c>
      <c r="F23" s="269">
        <v>3</v>
      </c>
      <c r="G23" s="269">
        <v>2</v>
      </c>
      <c r="H23" s="271"/>
      <c r="I23" s="271"/>
      <c r="J23" s="269">
        <v>1</v>
      </c>
      <c r="K23" s="270">
        <v>1</v>
      </c>
      <c r="L23" s="272"/>
      <c r="M23" s="269">
        <v>1</v>
      </c>
      <c r="N23" s="273"/>
      <c r="O23" s="273"/>
      <c r="P23" s="273"/>
      <c r="Q23" s="273"/>
      <c r="R23" s="274">
        <v>2</v>
      </c>
      <c r="S23" s="274">
        <v>1</v>
      </c>
      <c r="T23" s="273"/>
      <c r="U23" s="273"/>
      <c r="V23" s="273"/>
      <c r="W23" s="265">
        <f t="shared" si="0"/>
        <v>14</v>
      </c>
    </row>
    <row r="24" spans="1:23">
      <c r="A24" s="276" t="s">
        <v>2721</v>
      </c>
      <c r="B24" s="277"/>
      <c r="C24" s="278">
        <f t="shared" ref="C24:W24" si="1">SUM(C2:C23)</f>
        <v>21</v>
      </c>
      <c r="D24" s="278">
        <f t="shared" si="1"/>
        <v>20</v>
      </c>
      <c r="E24" s="278">
        <f t="shared" si="1"/>
        <v>19</v>
      </c>
      <c r="F24" s="278">
        <f t="shared" si="1"/>
        <v>34</v>
      </c>
      <c r="G24" s="278">
        <f t="shared" si="1"/>
        <v>46</v>
      </c>
      <c r="H24" s="278">
        <f t="shared" si="1"/>
        <v>5</v>
      </c>
      <c r="I24" s="278">
        <f t="shared" si="1"/>
        <v>0</v>
      </c>
      <c r="J24" s="278">
        <f t="shared" si="1"/>
        <v>23</v>
      </c>
      <c r="K24" s="278">
        <f t="shared" si="1"/>
        <v>5</v>
      </c>
      <c r="L24" s="278">
        <f t="shared" si="1"/>
        <v>4</v>
      </c>
      <c r="M24" s="278">
        <f t="shared" si="1"/>
        <v>2</v>
      </c>
      <c r="N24" s="278">
        <f t="shared" si="1"/>
        <v>2</v>
      </c>
      <c r="O24" s="278">
        <f t="shared" si="1"/>
        <v>1</v>
      </c>
      <c r="P24" s="278">
        <f t="shared" si="1"/>
        <v>1</v>
      </c>
      <c r="Q24" s="278">
        <f t="shared" si="1"/>
        <v>3</v>
      </c>
      <c r="R24" s="278">
        <f t="shared" si="1"/>
        <v>15</v>
      </c>
      <c r="S24" s="278">
        <f t="shared" si="1"/>
        <v>3</v>
      </c>
      <c r="T24" s="278">
        <f t="shared" si="1"/>
        <v>2</v>
      </c>
      <c r="U24" s="278">
        <f t="shared" si="1"/>
        <v>2</v>
      </c>
      <c r="V24" s="278">
        <f t="shared" si="1"/>
        <v>1</v>
      </c>
      <c r="W24" s="278">
        <f t="shared" si="1"/>
        <v>209</v>
      </c>
    </row>
    <row r="25" spans="1:23">
      <c r="A25" s="64"/>
      <c r="B25" s="64"/>
      <c r="C25" s="64"/>
      <c r="D25" s="64"/>
      <c r="E25" s="65"/>
      <c r="F25" s="64"/>
      <c r="G25" s="64"/>
      <c r="H25" s="64"/>
      <c r="I25" s="64"/>
    </row>
    <row r="26" spans="1:23">
      <c r="A26" s="605" t="s">
        <v>2732</v>
      </c>
      <c r="B26" s="517"/>
      <c r="C26" s="517"/>
      <c r="D26" s="517"/>
      <c r="E26" s="517"/>
      <c r="F26" s="517"/>
      <c r="G26" s="517"/>
      <c r="H26" s="517"/>
      <c r="I26" s="517"/>
      <c r="J26" s="517"/>
      <c r="K26" s="517"/>
      <c r="L26" s="517"/>
      <c r="M26" s="517"/>
      <c r="N26" s="517"/>
      <c r="O26" s="517"/>
      <c r="P26" s="517"/>
      <c r="Q26" s="517"/>
      <c r="R26" s="517"/>
      <c r="S26" s="517"/>
      <c r="T26" s="517"/>
      <c r="U26" s="517"/>
      <c r="V26" s="517"/>
      <c r="W26" s="517"/>
    </row>
    <row r="27" spans="1:23">
      <c r="A27" s="250" t="s">
        <v>2621</v>
      </c>
      <c r="B27" s="251" t="s">
        <v>0</v>
      </c>
      <c r="C27" s="252" t="s">
        <v>2030</v>
      </c>
      <c r="D27" s="252" t="s">
        <v>103</v>
      </c>
      <c r="E27" s="253" t="s">
        <v>207</v>
      </c>
      <c r="F27" s="254" t="s">
        <v>374</v>
      </c>
      <c r="G27" s="252" t="s">
        <v>2631</v>
      </c>
      <c r="H27" s="252" t="s">
        <v>2633</v>
      </c>
      <c r="I27" s="252" t="s">
        <v>2515</v>
      </c>
      <c r="J27" s="252" t="s">
        <v>2634</v>
      </c>
      <c r="K27" s="252" t="s">
        <v>553</v>
      </c>
      <c r="L27" s="252" t="s">
        <v>271</v>
      </c>
      <c r="M27" s="252" t="s">
        <v>408</v>
      </c>
      <c r="N27" s="255" t="s">
        <v>99</v>
      </c>
      <c r="O27" s="255" t="s">
        <v>668</v>
      </c>
      <c r="P27" s="255" t="s">
        <v>493</v>
      </c>
      <c r="Q27" s="255" t="s">
        <v>622</v>
      </c>
      <c r="R27" s="255" t="s">
        <v>2640</v>
      </c>
      <c r="S27" s="255" t="s">
        <v>2642</v>
      </c>
      <c r="T27" s="255" t="s">
        <v>2643</v>
      </c>
      <c r="U27" s="255" t="s">
        <v>151</v>
      </c>
      <c r="V27" s="255"/>
      <c r="W27" s="256" t="s">
        <v>2645</v>
      </c>
    </row>
    <row r="28" spans="1:23">
      <c r="A28" s="257" t="s">
        <v>57</v>
      </c>
      <c r="B28" s="258">
        <v>1</v>
      </c>
      <c r="C28" s="259">
        <v>1</v>
      </c>
      <c r="D28" s="259">
        <v>1</v>
      </c>
      <c r="E28" s="260"/>
      <c r="F28" s="260"/>
      <c r="G28" s="260"/>
      <c r="H28" s="260"/>
      <c r="I28" s="260"/>
      <c r="J28" s="261">
        <v>1</v>
      </c>
      <c r="K28" s="260"/>
      <c r="L28" s="260"/>
      <c r="M28" s="262"/>
      <c r="N28" s="263">
        <v>1</v>
      </c>
      <c r="O28" s="264"/>
      <c r="P28" s="264"/>
      <c r="Q28" s="264"/>
      <c r="R28" s="264"/>
      <c r="S28" s="264"/>
      <c r="T28" s="264"/>
      <c r="U28" s="264"/>
      <c r="V28" s="264"/>
      <c r="W28" s="265">
        <f t="shared" ref="W28:W48" si="2">SUM(C28:V28)</f>
        <v>4</v>
      </c>
    </row>
    <row r="29" spans="1:23">
      <c r="A29" s="257" t="s">
        <v>117</v>
      </c>
      <c r="B29" s="258">
        <v>1</v>
      </c>
      <c r="C29" s="259">
        <v>1</v>
      </c>
      <c r="D29" s="259">
        <v>1</v>
      </c>
      <c r="E29" s="260"/>
      <c r="F29" s="260"/>
      <c r="G29" s="260"/>
      <c r="H29" s="260"/>
      <c r="I29" s="260"/>
      <c r="J29" s="259">
        <v>1</v>
      </c>
      <c r="K29" s="262"/>
      <c r="L29" s="260"/>
      <c r="M29" s="262"/>
      <c r="N29" s="266"/>
      <c r="O29" s="267"/>
      <c r="P29" s="267"/>
      <c r="Q29" s="267"/>
      <c r="R29" s="267"/>
      <c r="S29" s="263">
        <v>1</v>
      </c>
      <c r="T29" s="267"/>
      <c r="U29" s="267"/>
      <c r="V29" s="267"/>
      <c r="W29" s="265">
        <f t="shared" si="2"/>
        <v>4</v>
      </c>
    </row>
    <row r="30" spans="1:23">
      <c r="A30" s="257" t="s">
        <v>136</v>
      </c>
      <c r="B30" s="258">
        <v>1</v>
      </c>
      <c r="C30" s="259">
        <v>1</v>
      </c>
      <c r="D30" s="261">
        <v>1</v>
      </c>
      <c r="E30" s="262"/>
      <c r="F30" s="260"/>
      <c r="G30" s="259">
        <v>1</v>
      </c>
      <c r="H30" s="259"/>
      <c r="I30" s="259"/>
      <c r="J30" s="260"/>
      <c r="K30" s="262"/>
      <c r="L30" s="260"/>
      <c r="M30" s="262"/>
      <c r="N30" s="266"/>
      <c r="O30" s="267"/>
      <c r="P30" s="267"/>
      <c r="Q30" s="267"/>
      <c r="R30" s="267"/>
      <c r="S30" s="267"/>
      <c r="T30" s="267"/>
      <c r="U30" s="263">
        <v>1</v>
      </c>
      <c r="V30" s="263"/>
      <c r="W30" s="265">
        <f t="shared" si="2"/>
        <v>4</v>
      </c>
    </row>
    <row r="31" spans="1:23">
      <c r="A31" s="257" t="s">
        <v>167</v>
      </c>
      <c r="B31" s="258">
        <v>1</v>
      </c>
      <c r="C31" s="259">
        <v>1</v>
      </c>
      <c r="D31" s="261">
        <v>1</v>
      </c>
      <c r="E31" s="260"/>
      <c r="F31" s="260"/>
      <c r="G31" s="259">
        <v>1</v>
      </c>
      <c r="H31" s="259"/>
      <c r="I31" s="259"/>
      <c r="J31" s="260"/>
      <c r="K31" s="260"/>
      <c r="L31" s="262"/>
      <c r="M31" s="262"/>
      <c r="N31" s="267"/>
      <c r="O31" s="267"/>
      <c r="P31" s="267"/>
      <c r="Q31" s="267"/>
      <c r="R31" s="267"/>
      <c r="S31" s="267"/>
      <c r="T31" s="267"/>
      <c r="U31" s="267"/>
      <c r="V31" s="267"/>
      <c r="W31" s="265">
        <f t="shared" si="2"/>
        <v>3</v>
      </c>
    </row>
    <row r="32" spans="1:23">
      <c r="A32" s="257" t="s">
        <v>198</v>
      </c>
      <c r="B32" s="258">
        <v>1</v>
      </c>
      <c r="C32" s="259">
        <v>1</v>
      </c>
      <c r="D32" s="259">
        <v>1</v>
      </c>
      <c r="E32" s="259">
        <v>1</v>
      </c>
      <c r="F32" s="260"/>
      <c r="G32" s="259">
        <v>2</v>
      </c>
      <c r="H32" s="260"/>
      <c r="I32" s="260"/>
      <c r="J32" s="260"/>
      <c r="K32" s="262"/>
      <c r="L32" s="262"/>
      <c r="M32" s="262"/>
      <c r="N32" s="267"/>
      <c r="O32" s="267"/>
      <c r="P32" s="267"/>
      <c r="Q32" s="263"/>
      <c r="R32" s="267"/>
      <c r="S32" s="267"/>
      <c r="T32" s="267"/>
      <c r="U32" s="267"/>
      <c r="V32" s="267"/>
      <c r="W32" s="265">
        <f t="shared" si="2"/>
        <v>5</v>
      </c>
    </row>
    <row r="33" spans="1:23">
      <c r="A33" s="257" t="s">
        <v>216</v>
      </c>
      <c r="B33" s="258">
        <v>1</v>
      </c>
      <c r="C33" s="259">
        <v>1</v>
      </c>
      <c r="D33" s="261">
        <v>1</v>
      </c>
      <c r="E33" s="260"/>
      <c r="F33" s="259">
        <v>1</v>
      </c>
      <c r="G33" s="259">
        <v>2</v>
      </c>
      <c r="H33" s="260"/>
      <c r="I33" s="260"/>
      <c r="J33" s="259">
        <v>1</v>
      </c>
      <c r="K33" s="261"/>
      <c r="L33" s="262"/>
      <c r="M33" s="262"/>
      <c r="N33" s="267"/>
      <c r="O33" s="267"/>
      <c r="P33" s="267"/>
      <c r="Q33" s="267"/>
      <c r="R33" s="267"/>
      <c r="S33" s="267"/>
      <c r="T33" s="267"/>
      <c r="U33" s="267"/>
      <c r="V33" s="267"/>
      <c r="W33" s="265">
        <f t="shared" si="2"/>
        <v>6</v>
      </c>
    </row>
    <row r="34" spans="1:23">
      <c r="A34" s="257" t="s">
        <v>397</v>
      </c>
      <c r="B34" s="258">
        <v>1</v>
      </c>
      <c r="C34" s="259">
        <v>1</v>
      </c>
      <c r="D34" s="261">
        <v>1</v>
      </c>
      <c r="E34" s="259">
        <v>1</v>
      </c>
      <c r="F34" s="260"/>
      <c r="G34" s="260"/>
      <c r="H34" s="260"/>
      <c r="I34" s="260"/>
      <c r="J34" s="260"/>
      <c r="K34" s="262"/>
      <c r="L34" s="262"/>
      <c r="M34" s="260"/>
      <c r="N34" s="267"/>
      <c r="O34" s="267"/>
      <c r="P34" s="267"/>
      <c r="Q34" s="267"/>
      <c r="R34" s="263">
        <v>2</v>
      </c>
      <c r="S34" s="267"/>
      <c r="T34" s="267"/>
      <c r="U34" s="267"/>
      <c r="V34" s="267"/>
      <c r="W34" s="265">
        <f t="shared" si="2"/>
        <v>5</v>
      </c>
    </row>
    <row r="35" spans="1:23">
      <c r="A35" s="268" t="s">
        <v>257</v>
      </c>
      <c r="B35" s="258">
        <v>1</v>
      </c>
      <c r="C35" s="269">
        <v>1</v>
      </c>
      <c r="D35" s="270">
        <v>1</v>
      </c>
      <c r="E35" s="271"/>
      <c r="F35" s="271"/>
      <c r="G35" s="269">
        <v>1</v>
      </c>
      <c r="H35" s="271"/>
      <c r="I35" s="271"/>
      <c r="J35" s="269">
        <v>1</v>
      </c>
      <c r="K35" s="272"/>
      <c r="L35" s="270">
        <v>1</v>
      </c>
      <c r="M35" s="271"/>
      <c r="N35" s="273"/>
      <c r="O35" s="273"/>
      <c r="P35" s="273"/>
      <c r="Q35" s="273"/>
      <c r="R35" s="273"/>
      <c r="S35" s="273"/>
      <c r="T35" s="273"/>
      <c r="U35" s="273"/>
      <c r="V35" s="273"/>
      <c r="W35" s="265">
        <f t="shared" si="2"/>
        <v>5</v>
      </c>
    </row>
    <row r="36" spans="1:23">
      <c r="A36" s="268" t="s">
        <v>291</v>
      </c>
      <c r="B36" s="258">
        <v>1</v>
      </c>
      <c r="C36" s="269">
        <v>1</v>
      </c>
      <c r="D36" s="270">
        <v>1</v>
      </c>
      <c r="E36" s="271"/>
      <c r="F36" s="271"/>
      <c r="G36" s="269">
        <v>1</v>
      </c>
      <c r="H36" s="271"/>
      <c r="I36" s="271"/>
      <c r="J36" s="269">
        <v>1</v>
      </c>
      <c r="K36" s="272"/>
      <c r="L36" s="272"/>
      <c r="M36" s="271"/>
      <c r="N36" s="273"/>
      <c r="O36" s="273"/>
      <c r="P36" s="273"/>
      <c r="Q36" s="273"/>
      <c r="R36" s="273"/>
      <c r="S36" s="273"/>
      <c r="T36" s="273"/>
      <c r="U36" s="273"/>
      <c r="V36" s="273"/>
      <c r="W36" s="265">
        <f t="shared" si="2"/>
        <v>4</v>
      </c>
    </row>
    <row r="37" spans="1:23">
      <c r="A37" s="268" t="s">
        <v>325</v>
      </c>
      <c r="B37" s="258">
        <v>1</v>
      </c>
      <c r="C37" s="269">
        <v>1</v>
      </c>
      <c r="D37" s="270">
        <v>1</v>
      </c>
      <c r="E37" s="269">
        <v>1</v>
      </c>
      <c r="F37" s="271"/>
      <c r="G37" s="269">
        <v>1</v>
      </c>
      <c r="H37" s="271"/>
      <c r="I37" s="271"/>
      <c r="J37" s="269">
        <v>1</v>
      </c>
      <c r="K37" s="272"/>
      <c r="L37" s="272"/>
      <c r="M37" s="271"/>
      <c r="N37" s="273"/>
      <c r="O37" s="273"/>
      <c r="P37" s="273"/>
      <c r="Q37" s="273"/>
      <c r="R37" s="273"/>
      <c r="S37" s="273"/>
      <c r="T37" s="273"/>
      <c r="U37" s="273"/>
      <c r="V37" s="273"/>
      <c r="W37" s="265">
        <f t="shared" si="2"/>
        <v>5</v>
      </c>
    </row>
    <row r="38" spans="1:23">
      <c r="A38" s="268" t="s">
        <v>268</v>
      </c>
      <c r="B38" s="258">
        <v>1</v>
      </c>
      <c r="C38" s="269">
        <v>1</v>
      </c>
      <c r="D38" s="270">
        <v>2</v>
      </c>
      <c r="E38" s="269">
        <v>3</v>
      </c>
      <c r="F38" s="269">
        <v>3</v>
      </c>
      <c r="G38" s="269">
        <v>4</v>
      </c>
      <c r="H38" s="269">
        <v>1</v>
      </c>
      <c r="I38" s="271"/>
      <c r="J38" s="269">
        <v>6</v>
      </c>
      <c r="K38" s="272"/>
      <c r="L38" s="270">
        <v>2</v>
      </c>
      <c r="M38" s="271"/>
      <c r="N38" s="273"/>
      <c r="O38" s="273"/>
      <c r="P38" s="274">
        <v>1</v>
      </c>
      <c r="Q38" s="273"/>
      <c r="R38" s="274">
        <v>1</v>
      </c>
      <c r="S38" s="273"/>
      <c r="T38" s="273"/>
      <c r="U38" s="274">
        <v>1</v>
      </c>
      <c r="V38" s="274">
        <v>1</v>
      </c>
      <c r="W38" s="265">
        <f t="shared" si="2"/>
        <v>26</v>
      </c>
    </row>
    <row r="39" spans="1:23">
      <c r="A39" s="268" t="s">
        <v>381</v>
      </c>
      <c r="B39" s="258">
        <v>1</v>
      </c>
      <c r="C39" s="269">
        <v>1</v>
      </c>
      <c r="D39" s="270">
        <v>1</v>
      </c>
      <c r="E39" s="271"/>
      <c r="F39" s="269">
        <v>1</v>
      </c>
      <c r="G39" s="269">
        <v>1</v>
      </c>
      <c r="H39" s="271"/>
      <c r="I39" s="271"/>
      <c r="J39" s="269">
        <v>1</v>
      </c>
      <c r="K39" s="270">
        <v>1</v>
      </c>
      <c r="L39" s="272"/>
      <c r="M39" s="271"/>
      <c r="N39" s="273"/>
      <c r="O39" s="273"/>
      <c r="P39" s="273"/>
      <c r="Q39" s="274"/>
      <c r="R39" s="273"/>
      <c r="S39" s="273"/>
      <c r="T39" s="273"/>
      <c r="U39" s="273"/>
      <c r="V39" s="273"/>
      <c r="W39" s="265">
        <f t="shared" si="2"/>
        <v>6</v>
      </c>
    </row>
    <row r="40" spans="1:23">
      <c r="A40" s="268" t="s">
        <v>13</v>
      </c>
      <c r="B40" s="275">
        <v>2</v>
      </c>
      <c r="C40" s="269">
        <v>1</v>
      </c>
      <c r="D40" s="270">
        <v>1</v>
      </c>
      <c r="E40" s="269"/>
      <c r="F40" s="269"/>
      <c r="G40" s="269">
        <v>1</v>
      </c>
      <c r="H40" s="271"/>
      <c r="I40" s="271"/>
      <c r="J40" s="269">
        <v>1</v>
      </c>
      <c r="K40" s="272"/>
      <c r="L40" s="272"/>
      <c r="M40" s="271"/>
      <c r="N40" s="273"/>
      <c r="O40" s="273"/>
      <c r="P40" s="273"/>
      <c r="Q40" s="273"/>
      <c r="R40" s="274">
        <v>1</v>
      </c>
      <c r="S40" s="273"/>
      <c r="T40" s="273"/>
      <c r="U40" s="273"/>
      <c r="V40" s="273"/>
      <c r="W40" s="265">
        <f t="shared" si="2"/>
        <v>5</v>
      </c>
    </row>
    <row r="41" spans="1:23">
      <c r="A41" s="268" t="s">
        <v>67</v>
      </c>
      <c r="B41" s="275">
        <v>2</v>
      </c>
      <c r="C41" s="269">
        <v>1</v>
      </c>
      <c r="D41" s="272"/>
      <c r="E41" s="269">
        <v>2</v>
      </c>
      <c r="F41" s="269">
        <v>5</v>
      </c>
      <c r="G41" s="269">
        <v>7</v>
      </c>
      <c r="H41" s="271"/>
      <c r="I41" s="271"/>
      <c r="J41" s="271"/>
      <c r="K41" s="272"/>
      <c r="L41" s="270">
        <v>1</v>
      </c>
      <c r="M41" s="269">
        <v>1</v>
      </c>
      <c r="N41" s="274">
        <v>1</v>
      </c>
      <c r="O41" s="273"/>
      <c r="P41" s="273"/>
      <c r="Q41" s="273"/>
      <c r="R41" s="274">
        <v>1</v>
      </c>
      <c r="S41" s="273"/>
      <c r="T41" s="273"/>
      <c r="U41" s="273"/>
      <c r="V41" s="273"/>
      <c r="W41" s="265">
        <f t="shared" si="2"/>
        <v>19</v>
      </c>
    </row>
    <row r="42" spans="1:23">
      <c r="A42" s="268" t="s">
        <v>81</v>
      </c>
      <c r="B42" s="275">
        <v>2</v>
      </c>
      <c r="C42" s="269">
        <v>1</v>
      </c>
      <c r="D42" s="272"/>
      <c r="E42" s="271"/>
      <c r="F42" s="269">
        <v>2</v>
      </c>
      <c r="G42" s="269">
        <v>2</v>
      </c>
      <c r="H42" s="271"/>
      <c r="I42" s="271"/>
      <c r="J42" s="269">
        <v>1</v>
      </c>
      <c r="K42" s="272"/>
      <c r="L42" s="272"/>
      <c r="M42" s="271"/>
      <c r="N42" s="273"/>
      <c r="O42" s="274">
        <v>1</v>
      </c>
      <c r="P42" s="273"/>
      <c r="Q42" s="273"/>
      <c r="R42" s="274">
        <v>1</v>
      </c>
      <c r="S42" s="273"/>
      <c r="T42" s="273"/>
      <c r="U42" s="273"/>
      <c r="V42" s="273"/>
      <c r="W42" s="265">
        <f t="shared" si="2"/>
        <v>8</v>
      </c>
    </row>
    <row r="43" spans="1:23">
      <c r="A43" s="268" t="s">
        <v>79</v>
      </c>
      <c r="B43" s="275">
        <v>2</v>
      </c>
      <c r="C43" s="269">
        <v>1</v>
      </c>
      <c r="D43" s="270">
        <v>1</v>
      </c>
      <c r="E43" s="271"/>
      <c r="F43" s="269">
        <v>1</v>
      </c>
      <c r="G43" s="269">
        <v>1</v>
      </c>
      <c r="H43" s="271"/>
      <c r="I43" s="271"/>
      <c r="J43" s="269">
        <v>1</v>
      </c>
      <c r="K43" s="272"/>
      <c r="L43" s="272"/>
      <c r="M43" s="271"/>
      <c r="N43" s="273"/>
      <c r="O43" s="273"/>
      <c r="P43" s="273"/>
      <c r="Q43" s="273"/>
      <c r="R43" s="274">
        <v>1</v>
      </c>
      <c r="S43" s="273"/>
      <c r="T43" s="273"/>
      <c r="U43" s="273"/>
      <c r="V43" s="273"/>
      <c r="W43" s="265">
        <f t="shared" si="2"/>
        <v>6</v>
      </c>
    </row>
    <row r="44" spans="1:23">
      <c r="A44" s="268" t="s">
        <v>113</v>
      </c>
      <c r="B44" s="275">
        <v>2</v>
      </c>
      <c r="C44" s="269">
        <v>1</v>
      </c>
      <c r="D44" s="270">
        <v>1</v>
      </c>
      <c r="E44" s="271"/>
      <c r="F44" s="269">
        <v>1</v>
      </c>
      <c r="G44" s="269">
        <v>1</v>
      </c>
      <c r="H44" s="269">
        <v>1</v>
      </c>
      <c r="I44" s="271"/>
      <c r="J44" s="269">
        <v>1</v>
      </c>
      <c r="K44" s="272"/>
      <c r="L44" s="272"/>
      <c r="M44" s="271"/>
      <c r="N44" s="273"/>
      <c r="O44" s="273"/>
      <c r="P44" s="273"/>
      <c r="Q44" s="273"/>
      <c r="R44" s="274">
        <v>1</v>
      </c>
      <c r="S44" s="273"/>
      <c r="T44" s="273"/>
      <c r="U44" s="273"/>
      <c r="V44" s="273"/>
      <c r="W44" s="265">
        <f t="shared" si="2"/>
        <v>7</v>
      </c>
    </row>
    <row r="45" spans="1:23">
      <c r="A45" s="268" t="s">
        <v>140</v>
      </c>
      <c r="B45" s="275">
        <v>2</v>
      </c>
      <c r="C45" s="269">
        <v>1</v>
      </c>
      <c r="D45" s="270">
        <v>1</v>
      </c>
      <c r="E45" s="271"/>
      <c r="F45" s="269">
        <v>2</v>
      </c>
      <c r="G45" s="269">
        <v>2</v>
      </c>
      <c r="H45" s="269">
        <v>1</v>
      </c>
      <c r="I45" s="271"/>
      <c r="J45" s="269">
        <v>2</v>
      </c>
      <c r="K45" s="272"/>
      <c r="L45" s="272"/>
      <c r="M45" s="271"/>
      <c r="N45" s="273"/>
      <c r="O45" s="273"/>
      <c r="P45" s="273"/>
      <c r="Q45" s="273"/>
      <c r="R45" s="274">
        <v>1</v>
      </c>
      <c r="S45" s="273"/>
      <c r="T45" s="273"/>
      <c r="U45" s="273"/>
      <c r="V45" s="273"/>
      <c r="W45" s="265">
        <f t="shared" si="2"/>
        <v>10</v>
      </c>
    </row>
    <row r="46" spans="1:23">
      <c r="A46" s="268" t="s">
        <v>165</v>
      </c>
      <c r="B46" s="275">
        <v>2</v>
      </c>
      <c r="C46" s="269">
        <v>1</v>
      </c>
      <c r="D46" s="270">
        <v>1</v>
      </c>
      <c r="E46" s="271"/>
      <c r="F46" s="271"/>
      <c r="G46" s="269">
        <v>1</v>
      </c>
      <c r="H46" s="271"/>
      <c r="I46" s="271"/>
      <c r="J46" s="269">
        <v>1</v>
      </c>
      <c r="K46" s="272"/>
      <c r="L46" s="272"/>
      <c r="M46" s="271"/>
      <c r="N46" s="273"/>
      <c r="O46" s="273"/>
      <c r="P46" s="273"/>
      <c r="Q46" s="273"/>
      <c r="R46" s="273"/>
      <c r="S46" s="273"/>
      <c r="T46" s="273"/>
      <c r="U46" s="273"/>
      <c r="V46" s="273"/>
      <c r="W46" s="265">
        <f t="shared" si="2"/>
        <v>4</v>
      </c>
    </row>
    <row r="47" spans="1:23">
      <c r="A47" s="268" t="s">
        <v>176</v>
      </c>
      <c r="B47" s="275">
        <v>2</v>
      </c>
      <c r="C47" s="269">
        <v>1</v>
      </c>
      <c r="D47" s="270">
        <v>1</v>
      </c>
      <c r="E47" s="271"/>
      <c r="F47" s="269">
        <v>1</v>
      </c>
      <c r="G47" s="269">
        <v>1</v>
      </c>
      <c r="H47" s="271"/>
      <c r="I47" s="271"/>
      <c r="J47" s="271"/>
      <c r="K47" s="272"/>
      <c r="L47" s="272"/>
      <c r="M47" s="271"/>
      <c r="N47" s="273"/>
      <c r="O47" s="273"/>
      <c r="P47" s="273"/>
      <c r="Q47" s="273"/>
      <c r="R47" s="274">
        <v>2</v>
      </c>
      <c r="S47" s="273"/>
      <c r="T47" s="273"/>
      <c r="U47" s="273"/>
      <c r="V47" s="273"/>
      <c r="W47" s="265">
        <f t="shared" si="2"/>
        <v>6</v>
      </c>
    </row>
    <row r="48" spans="1:23">
      <c r="A48" s="268" t="s">
        <v>196</v>
      </c>
      <c r="B48" s="275">
        <v>2</v>
      </c>
      <c r="C48" s="269">
        <v>1</v>
      </c>
      <c r="D48" s="270">
        <v>1</v>
      </c>
      <c r="E48" s="271"/>
      <c r="F48" s="271"/>
      <c r="G48" s="271"/>
      <c r="H48" s="271"/>
      <c r="I48" s="271"/>
      <c r="J48" s="269">
        <v>1</v>
      </c>
      <c r="K48" s="272"/>
      <c r="L48" s="272"/>
      <c r="M48" s="269">
        <v>1</v>
      </c>
      <c r="N48" s="273"/>
      <c r="O48" s="273"/>
      <c r="P48" s="273"/>
      <c r="Q48" s="273"/>
      <c r="R48" s="274">
        <v>2</v>
      </c>
      <c r="S48" s="273"/>
      <c r="T48" s="273"/>
      <c r="U48" s="273"/>
      <c r="V48" s="273"/>
      <c r="W48" s="265">
        <f t="shared" si="2"/>
        <v>6</v>
      </c>
    </row>
    <row r="49" spans="1:23">
      <c r="A49" s="276" t="s">
        <v>2721</v>
      </c>
      <c r="B49" s="277"/>
      <c r="C49" s="278">
        <f t="shared" ref="C49:W49" si="3">SUM(C27:C48)</f>
        <v>21</v>
      </c>
      <c r="D49" s="278">
        <f t="shared" si="3"/>
        <v>20</v>
      </c>
      <c r="E49" s="278">
        <f t="shared" si="3"/>
        <v>8</v>
      </c>
      <c r="F49" s="278">
        <f t="shared" si="3"/>
        <v>17</v>
      </c>
      <c r="G49" s="278">
        <f t="shared" si="3"/>
        <v>30</v>
      </c>
      <c r="H49" s="278">
        <f t="shared" si="3"/>
        <v>3</v>
      </c>
      <c r="I49" s="278">
        <f t="shared" si="3"/>
        <v>0</v>
      </c>
      <c r="J49" s="278">
        <f t="shared" si="3"/>
        <v>21</v>
      </c>
      <c r="K49" s="278">
        <f t="shared" si="3"/>
        <v>1</v>
      </c>
      <c r="L49" s="278">
        <f t="shared" si="3"/>
        <v>4</v>
      </c>
      <c r="M49" s="278">
        <f t="shared" si="3"/>
        <v>2</v>
      </c>
      <c r="N49" s="278">
        <f t="shared" si="3"/>
        <v>2</v>
      </c>
      <c r="O49" s="278">
        <f t="shared" si="3"/>
        <v>1</v>
      </c>
      <c r="P49" s="278">
        <f t="shared" si="3"/>
        <v>1</v>
      </c>
      <c r="Q49" s="278">
        <f t="shared" si="3"/>
        <v>0</v>
      </c>
      <c r="R49" s="278">
        <f t="shared" si="3"/>
        <v>13</v>
      </c>
      <c r="S49" s="278">
        <f t="shared" si="3"/>
        <v>1</v>
      </c>
      <c r="T49" s="278">
        <f t="shared" si="3"/>
        <v>0</v>
      </c>
      <c r="U49" s="278">
        <f t="shared" si="3"/>
        <v>2</v>
      </c>
      <c r="V49" s="278">
        <f t="shared" si="3"/>
        <v>1</v>
      </c>
      <c r="W49" s="278">
        <f t="shared" si="3"/>
        <v>148</v>
      </c>
    </row>
    <row r="50" spans="1:23">
      <c r="A50" s="64"/>
      <c r="B50" s="64"/>
      <c r="C50" s="64"/>
      <c r="D50" s="64"/>
      <c r="E50" s="65"/>
      <c r="F50" s="64"/>
      <c r="G50" s="64"/>
      <c r="H50" s="64"/>
      <c r="I50" s="64"/>
    </row>
    <row r="51" spans="1:23">
      <c r="A51" s="606" t="s">
        <v>2759</v>
      </c>
      <c r="B51" s="607"/>
      <c r="C51" s="608"/>
      <c r="D51" s="64"/>
      <c r="E51" s="65"/>
      <c r="F51" s="64"/>
      <c r="G51" s="64"/>
      <c r="H51" s="64"/>
      <c r="I51" s="64"/>
    </row>
    <row r="52" spans="1:23">
      <c r="A52" s="288" t="s">
        <v>2760</v>
      </c>
      <c r="B52" s="289" t="s">
        <v>2761</v>
      </c>
      <c r="C52" s="290" t="s">
        <v>2762</v>
      </c>
      <c r="D52" s="64"/>
      <c r="E52" s="65"/>
      <c r="F52" s="64"/>
      <c r="G52" s="64"/>
      <c r="H52" s="64"/>
      <c r="I52" s="64"/>
    </row>
    <row r="53" spans="1:23">
      <c r="A53" s="291" t="s">
        <v>2763</v>
      </c>
      <c r="B53" s="292">
        <v>48</v>
      </c>
      <c r="C53" s="293"/>
      <c r="D53" s="64"/>
      <c r="E53" s="65"/>
      <c r="F53" s="64"/>
      <c r="G53" s="64"/>
      <c r="H53" s="64"/>
      <c r="I53" s="64"/>
    </row>
    <row r="54" spans="1:23">
      <c r="A54" s="291" t="s">
        <v>261</v>
      </c>
      <c r="B54" s="292">
        <v>26</v>
      </c>
      <c r="C54" s="293"/>
      <c r="D54" s="64"/>
      <c r="E54" s="65"/>
      <c r="F54" s="64"/>
      <c r="G54" s="64"/>
      <c r="H54" s="64"/>
      <c r="I54" s="64"/>
    </row>
    <row r="55" spans="1:23">
      <c r="A55" s="291" t="s">
        <v>2764</v>
      </c>
      <c r="B55" s="292">
        <v>7</v>
      </c>
      <c r="C55" s="293"/>
      <c r="D55" s="64"/>
      <c r="E55" s="65"/>
      <c r="F55" s="64"/>
      <c r="G55" s="64"/>
      <c r="H55" s="64"/>
      <c r="I55" s="64"/>
    </row>
    <row r="56" spans="1:23">
      <c r="A56" s="295" t="s">
        <v>2765</v>
      </c>
      <c r="B56" s="292">
        <v>11</v>
      </c>
      <c r="C56" s="293"/>
      <c r="D56" s="64"/>
      <c r="E56" s="65"/>
      <c r="F56" s="64"/>
      <c r="G56" s="64"/>
      <c r="H56" s="64"/>
      <c r="I56" s="64"/>
    </row>
    <row r="57" spans="1:23">
      <c r="A57" s="291" t="s">
        <v>362</v>
      </c>
      <c r="B57" s="292">
        <v>4</v>
      </c>
      <c r="C57" s="293"/>
      <c r="D57" s="64"/>
      <c r="E57" s="65"/>
      <c r="F57" s="64"/>
      <c r="G57" s="64"/>
      <c r="H57" s="64"/>
      <c r="I57" s="64"/>
    </row>
    <row r="58" spans="1:23">
      <c r="A58" s="296" t="s">
        <v>2721</v>
      </c>
      <c r="B58" s="297">
        <f>SUM(B53:B57)</f>
        <v>96</v>
      </c>
      <c r="C58" s="298"/>
      <c r="D58" s="64"/>
      <c r="E58" s="65"/>
      <c r="F58" s="64"/>
      <c r="G58" s="64"/>
      <c r="H58" s="64"/>
      <c r="I58" s="64"/>
    </row>
    <row r="59" spans="1:23">
      <c r="A59" s="64"/>
      <c r="B59" s="64"/>
      <c r="C59" s="64"/>
      <c r="D59" s="64"/>
      <c r="E59" s="65"/>
      <c r="F59" s="64"/>
      <c r="G59" s="64"/>
      <c r="H59" s="64"/>
      <c r="I59" s="64"/>
    </row>
    <row r="60" spans="1:23">
      <c r="A60" s="64"/>
      <c r="B60" s="64"/>
      <c r="C60" s="64"/>
      <c r="D60" s="64"/>
      <c r="E60" s="65"/>
      <c r="F60" s="64"/>
      <c r="G60" s="64"/>
      <c r="H60" s="64"/>
      <c r="I60" s="64"/>
    </row>
    <row r="61" spans="1:23">
      <c r="A61" s="64"/>
      <c r="B61" s="64"/>
      <c r="C61" s="64"/>
      <c r="D61" s="64"/>
      <c r="E61" s="65"/>
      <c r="F61" s="64"/>
      <c r="G61" s="64"/>
      <c r="H61" s="64"/>
      <c r="I61" s="64"/>
    </row>
    <row r="62" spans="1:23">
      <c r="A62" s="64"/>
      <c r="B62" s="64"/>
      <c r="C62" s="64"/>
      <c r="D62" s="64"/>
      <c r="E62" s="65"/>
      <c r="F62" s="64"/>
      <c r="G62" s="64"/>
      <c r="H62" s="64"/>
      <c r="I62" s="64"/>
    </row>
    <row r="63" spans="1:23">
      <c r="A63" s="64"/>
      <c r="B63" s="64"/>
      <c r="C63" s="64"/>
      <c r="D63" s="64"/>
      <c r="E63" s="65"/>
      <c r="F63" s="64"/>
      <c r="G63" s="64"/>
      <c r="H63" s="64"/>
      <c r="I63" s="64"/>
    </row>
    <row r="64" spans="1:23">
      <c r="A64" s="64"/>
      <c r="B64" s="64"/>
      <c r="C64" s="64"/>
      <c r="D64" s="64"/>
      <c r="E64" s="65"/>
      <c r="F64" s="64"/>
      <c r="G64" s="64"/>
      <c r="H64" s="64"/>
      <c r="I64" s="64"/>
    </row>
    <row r="65" spans="1:9">
      <c r="A65" s="64"/>
      <c r="B65" s="64"/>
      <c r="C65" s="64"/>
      <c r="D65" s="64"/>
      <c r="E65" s="65"/>
      <c r="F65" s="64"/>
      <c r="G65" s="64"/>
      <c r="H65" s="64"/>
      <c r="I65" s="64"/>
    </row>
    <row r="66" spans="1:9">
      <c r="A66" s="64"/>
      <c r="B66" s="64"/>
      <c r="C66" s="64"/>
      <c r="D66" s="64"/>
      <c r="E66" s="65"/>
      <c r="F66" s="64"/>
      <c r="G66" s="64"/>
      <c r="H66" s="64"/>
      <c r="I66" s="64"/>
    </row>
    <row r="67" spans="1:9">
      <c r="A67" s="64"/>
      <c r="B67" s="64"/>
      <c r="C67" s="64"/>
      <c r="D67" s="64"/>
      <c r="E67" s="65"/>
      <c r="F67" s="64"/>
      <c r="G67" s="64"/>
      <c r="H67" s="64"/>
      <c r="I67" s="64"/>
    </row>
    <row r="68" spans="1:9">
      <c r="A68" s="64"/>
      <c r="B68" s="64"/>
      <c r="C68" s="64"/>
      <c r="D68" s="64"/>
      <c r="E68" s="65"/>
      <c r="F68" s="64"/>
      <c r="G68" s="64"/>
      <c r="H68" s="64"/>
      <c r="I68" s="64"/>
    </row>
    <row r="69" spans="1:9">
      <c r="A69" s="64"/>
      <c r="B69" s="64"/>
      <c r="C69" s="64"/>
      <c r="D69" s="64"/>
      <c r="E69" s="65"/>
      <c r="F69" s="64"/>
      <c r="G69" s="64"/>
      <c r="H69" s="64"/>
      <c r="I69" s="64"/>
    </row>
    <row r="70" spans="1:9">
      <c r="A70" s="64"/>
      <c r="B70" s="64"/>
      <c r="C70" s="64"/>
      <c r="D70" s="64"/>
      <c r="E70" s="65"/>
      <c r="F70" s="64"/>
      <c r="G70" s="64"/>
      <c r="H70" s="64"/>
      <c r="I70" s="64"/>
    </row>
    <row r="71" spans="1:9">
      <c r="A71" s="64"/>
      <c r="B71" s="64"/>
      <c r="C71" s="64"/>
      <c r="D71" s="64"/>
      <c r="E71" s="65"/>
      <c r="F71" s="64"/>
      <c r="G71" s="64"/>
      <c r="H71" s="64"/>
      <c r="I71" s="64"/>
    </row>
    <row r="72" spans="1:9">
      <c r="A72" s="64"/>
      <c r="B72" s="64"/>
      <c r="C72" s="64"/>
      <c r="D72" s="64"/>
      <c r="E72" s="65"/>
      <c r="F72" s="64"/>
      <c r="G72" s="64"/>
      <c r="H72" s="64"/>
      <c r="I72" s="64"/>
    </row>
    <row r="73" spans="1:9">
      <c r="A73" s="64"/>
      <c r="B73" s="64"/>
      <c r="C73" s="64"/>
      <c r="D73" s="64"/>
      <c r="E73" s="65"/>
      <c r="F73" s="64"/>
      <c r="G73" s="64"/>
      <c r="H73" s="64"/>
      <c r="I73" s="64"/>
    </row>
    <row r="74" spans="1:9">
      <c r="A74" s="64"/>
      <c r="B74" s="64"/>
      <c r="C74" s="64"/>
      <c r="D74" s="64"/>
      <c r="E74" s="65"/>
      <c r="F74" s="64"/>
      <c r="G74" s="64"/>
      <c r="H74" s="64"/>
      <c r="I74" s="64"/>
    </row>
    <row r="75" spans="1:9">
      <c r="A75" s="64"/>
      <c r="B75" s="64"/>
      <c r="C75" s="64"/>
      <c r="D75" s="64"/>
      <c r="E75" s="65"/>
      <c r="F75" s="64"/>
      <c r="G75" s="64"/>
      <c r="H75" s="64"/>
      <c r="I75" s="64"/>
    </row>
    <row r="76" spans="1:9">
      <c r="A76" s="64"/>
      <c r="B76" s="64"/>
      <c r="C76" s="64"/>
      <c r="D76" s="64"/>
      <c r="E76" s="65"/>
      <c r="F76" s="64"/>
      <c r="G76" s="64"/>
      <c r="H76" s="64"/>
      <c r="I76" s="64"/>
    </row>
    <row r="77" spans="1:9">
      <c r="A77" s="64"/>
      <c r="B77" s="64"/>
      <c r="C77" s="64"/>
      <c r="D77" s="64"/>
      <c r="E77" s="65"/>
      <c r="F77" s="64"/>
      <c r="G77" s="64"/>
      <c r="H77" s="64"/>
      <c r="I77" s="64"/>
    </row>
    <row r="78" spans="1:9">
      <c r="A78" s="64"/>
      <c r="B78" s="64"/>
      <c r="C78" s="64"/>
      <c r="D78" s="64"/>
      <c r="E78" s="65"/>
      <c r="F78" s="64"/>
      <c r="G78" s="64"/>
      <c r="H78" s="64"/>
      <c r="I78" s="64"/>
    </row>
    <row r="79" spans="1:9">
      <c r="A79" s="64"/>
      <c r="B79" s="64"/>
      <c r="C79" s="64"/>
      <c r="D79" s="64"/>
      <c r="E79" s="65"/>
      <c r="F79" s="64"/>
      <c r="G79" s="64"/>
      <c r="H79" s="64"/>
      <c r="I79" s="64"/>
    </row>
    <row r="80" spans="1:9">
      <c r="A80" s="64"/>
      <c r="B80" s="64"/>
      <c r="C80" s="64"/>
      <c r="D80" s="64"/>
      <c r="E80" s="65"/>
      <c r="F80" s="64"/>
      <c r="G80" s="64"/>
      <c r="H80" s="64"/>
      <c r="I80" s="64"/>
    </row>
    <row r="81" spans="1:9">
      <c r="A81" s="64"/>
      <c r="B81" s="64"/>
      <c r="C81" s="64"/>
      <c r="D81" s="64"/>
      <c r="E81" s="65"/>
      <c r="F81" s="64"/>
      <c r="G81" s="64"/>
      <c r="H81" s="64"/>
      <c r="I81" s="64"/>
    </row>
    <row r="82" spans="1:9">
      <c r="A82" s="64"/>
      <c r="B82" s="64"/>
      <c r="C82" s="64"/>
      <c r="D82" s="64"/>
      <c r="E82" s="65"/>
      <c r="F82" s="64"/>
      <c r="G82" s="64"/>
      <c r="H82" s="64"/>
      <c r="I82" s="64"/>
    </row>
    <row r="83" spans="1:9">
      <c r="A83" s="64"/>
      <c r="B83" s="64"/>
      <c r="C83" s="64"/>
      <c r="D83" s="64"/>
      <c r="E83" s="65"/>
      <c r="F83" s="64"/>
      <c r="G83" s="64"/>
      <c r="H83" s="64"/>
      <c r="I83" s="64"/>
    </row>
    <row r="84" spans="1:9">
      <c r="A84" s="64"/>
      <c r="B84" s="64"/>
      <c r="C84" s="64"/>
      <c r="D84" s="64"/>
      <c r="E84" s="65"/>
      <c r="F84" s="64"/>
      <c r="G84" s="64"/>
      <c r="H84" s="64"/>
      <c r="I84" s="64"/>
    </row>
    <row r="85" spans="1:9">
      <c r="A85" s="64"/>
      <c r="B85" s="64"/>
      <c r="C85" s="64"/>
      <c r="D85" s="64"/>
      <c r="E85" s="65"/>
      <c r="F85" s="64"/>
      <c r="G85" s="64"/>
      <c r="H85" s="64"/>
      <c r="I85" s="64"/>
    </row>
    <row r="86" spans="1:9">
      <c r="A86" s="64"/>
      <c r="B86" s="64"/>
      <c r="C86" s="64"/>
      <c r="D86" s="64"/>
      <c r="E86" s="65"/>
      <c r="F86" s="64"/>
      <c r="G86" s="64"/>
      <c r="H86" s="64"/>
      <c r="I86" s="64"/>
    </row>
    <row r="87" spans="1:9">
      <c r="A87" s="64"/>
      <c r="B87" s="64"/>
      <c r="C87" s="64"/>
      <c r="D87" s="64"/>
      <c r="E87" s="65"/>
      <c r="F87" s="64"/>
      <c r="G87" s="64"/>
      <c r="H87" s="64"/>
      <c r="I87" s="64"/>
    </row>
    <row r="88" spans="1:9">
      <c r="A88" s="64"/>
      <c r="B88" s="64"/>
      <c r="C88" s="64"/>
      <c r="D88" s="64"/>
      <c r="E88" s="65"/>
      <c r="F88" s="64"/>
      <c r="G88" s="64"/>
      <c r="H88" s="64"/>
      <c r="I88" s="64"/>
    </row>
    <row r="89" spans="1:9">
      <c r="A89" s="64"/>
      <c r="B89" s="64"/>
      <c r="C89" s="64"/>
      <c r="D89" s="64"/>
      <c r="E89" s="65"/>
      <c r="F89" s="64"/>
      <c r="G89" s="64"/>
      <c r="H89" s="64"/>
      <c r="I89" s="64"/>
    </row>
    <row r="90" spans="1:9">
      <c r="A90" s="64"/>
      <c r="B90" s="64"/>
      <c r="C90" s="64"/>
      <c r="D90" s="64"/>
      <c r="E90" s="65"/>
      <c r="F90" s="64"/>
      <c r="G90" s="64"/>
      <c r="H90" s="64"/>
      <c r="I90" s="64"/>
    </row>
    <row r="91" spans="1:9">
      <c r="A91" s="64"/>
      <c r="B91" s="64"/>
      <c r="C91" s="64"/>
      <c r="D91" s="64"/>
      <c r="E91" s="65"/>
      <c r="F91" s="64"/>
      <c r="G91" s="64"/>
      <c r="H91" s="64"/>
      <c r="I91" s="64"/>
    </row>
    <row r="92" spans="1:9">
      <c r="A92" s="64"/>
      <c r="B92" s="64"/>
      <c r="C92" s="64"/>
      <c r="D92" s="64"/>
      <c r="E92" s="65"/>
      <c r="F92" s="64"/>
      <c r="G92" s="64"/>
      <c r="H92" s="64"/>
      <c r="I92" s="64"/>
    </row>
    <row r="93" spans="1:9">
      <c r="A93" s="64"/>
      <c r="B93" s="64"/>
      <c r="C93" s="64"/>
      <c r="D93" s="64"/>
      <c r="E93" s="65"/>
      <c r="F93" s="64"/>
      <c r="G93" s="64"/>
      <c r="H93" s="64"/>
      <c r="I93" s="64"/>
    </row>
    <row r="94" spans="1:9">
      <c r="A94" s="64"/>
      <c r="B94" s="64"/>
      <c r="C94" s="64"/>
      <c r="D94" s="64"/>
      <c r="E94" s="65"/>
      <c r="F94" s="64"/>
      <c r="G94" s="64"/>
      <c r="H94" s="64"/>
      <c r="I94" s="64"/>
    </row>
    <row r="95" spans="1:9">
      <c r="A95" s="64"/>
      <c r="B95" s="64"/>
      <c r="C95" s="64"/>
      <c r="D95" s="64"/>
      <c r="E95" s="65"/>
      <c r="F95" s="64"/>
      <c r="G95" s="64"/>
      <c r="H95" s="64"/>
      <c r="I95" s="64"/>
    </row>
    <row r="96" spans="1:9">
      <c r="A96" s="64"/>
      <c r="B96" s="64"/>
      <c r="C96" s="64"/>
      <c r="D96" s="64"/>
      <c r="E96" s="65"/>
      <c r="F96" s="64"/>
      <c r="G96" s="64"/>
      <c r="H96" s="64"/>
      <c r="I96" s="64"/>
    </row>
    <row r="97" spans="1:9">
      <c r="A97" s="64"/>
      <c r="B97" s="64"/>
      <c r="C97" s="64"/>
      <c r="D97" s="64"/>
      <c r="E97" s="65"/>
      <c r="F97" s="64"/>
      <c r="G97" s="64"/>
      <c r="H97" s="64"/>
      <c r="I97" s="64"/>
    </row>
    <row r="98" spans="1:9">
      <c r="A98" s="64"/>
      <c r="B98" s="64"/>
      <c r="C98" s="64"/>
      <c r="D98" s="64"/>
      <c r="E98" s="65"/>
      <c r="F98" s="64"/>
      <c r="G98" s="64"/>
      <c r="H98" s="64"/>
      <c r="I98" s="64"/>
    </row>
    <row r="99" spans="1:9">
      <c r="A99" s="64"/>
      <c r="B99" s="64"/>
      <c r="C99" s="64"/>
      <c r="D99" s="64"/>
      <c r="E99" s="65"/>
      <c r="F99" s="64"/>
      <c r="G99" s="64"/>
      <c r="H99" s="64"/>
      <c r="I99" s="64"/>
    </row>
    <row r="100" spans="1:9">
      <c r="A100" s="64"/>
      <c r="B100" s="64"/>
      <c r="C100" s="64"/>
      <c r="D100" s="64"/>
      <c r="E100" s="65"/>
      <c r="F100" s="64"/>
      <c r="G100" s="64"/>
      <c r="H100" s="64"/>
      <c r="I100" s="64"/>
    </row>
    <row r="101" spans="1:9">
      <c r="A101" s="64"/>
      <c r="B101" s="64"/>
      <c r="C101" s="64"/>
      <c r="D101" s="64"/>
      <c r="E101" s="65"/>
      <c r="F101" s="64"/>
      <c r="G101" s="64"/>
      <c r="H101" s="64"/>
      <c r="I101" s="64"/>
    </row>
    <row r="102" spans="1:9">
      <c r="A102" s="64"/>
      <c r="B102" s="64"/>
      <c r="C102" s="64"/>
      <c r="D102" s="64"/>
      <c r="E102" s="65"/>
      <c r="F102" s="64"/>
      <c r="G102" s="64"/>
      <c r="H102" s="64"/>
      <c r="I102" s="64"/>
    </row>
    <row r="103" spans="1:9">
      <c r="A103" s="64"/>
      <c r="B103" s="64"/>
      <c r="C103" s="64"/>
      <c r="D103" s="64"/>
      <c r="E103" s="65"/>
      <c r="F103" s="64"/>
      <c r="G103" s="64"/>
      <c r="H103" s="64"/>
      <c r="I103" s="64"/>
    </row>
    <row r="104" spans="1:9">
      <c r="A104" s="64"/>
      <c r="B104" s="64"/>
      <c r="C104" s="64"/>
      <c r="D104" s="64"/>
      <c r="E104" s="65"/>
      <c r="F104" s="64"/>
      <c r="G104" s="64"/>
      <c r="H104" s="64"/>
      <c r="I104" s="64"/>
    </row>
    <row r="105" spans="1:9">
      <c r="A105" s="64"/>
      <c r="B105" s="64"/>
      <c r="C105" s="64"/>
      <c r="D105" s="64"/>
      <c r="E105" s="65"/>
      <c r="F105" s="64"/>
      <c r="G105" s="64"/>
      <c r="H105" s="64"/>
      <c r="I105" s="64"/>
    </row>
    <row r="106" spans="1:9">
      <c r="A106" s="64"/>
      <c r="B106" s="64"/>
      <c r="C106" s="64"/>
      <c r="D106" s="64"/>
      <c r="E106" s="65"/>
      <c r="F106" s="64"/>
      <c r="G106" s="64"/>
      <c r="H106" s="64"/>
      <c r="I106" s="64"/>
    </row>
    <row r="107" spans="1:9">
      <c r="A107" s="64"/>
      <c r="B107" s="64"/>
      <c r="C107" s="64"/>
      <c r="D107" s="64"/>
      <c r="E107" s="65"/>
      <c r="F107" s="64"/>
      <c r="G107" s="64"/>
      <c r="H107" s="64"/>
      <c r="I107" s="64"/>
    </row>
    <row r="108" spans="1:9">
      <c r="A108" s="64"/>
      <c r="B108" s="64"/>
      <c r="C108" s="64"/>
      <c r="D108" s="64"/>
      <c r="E108" s="65"/>
      <c r="F108" s="64"/>
      <c r="G108" s="64"/>
      <c r="H108" s="64"/>
      <c r="I108" s="64"/>
    </row>
    <row r="109" spans="1:9">
      <c r="A109" s="64"/>
      <c r="B109" s="64"/>
      <c r="C109" s="64"/>
      <c r="D109" s="64"/>
      <c r="E109" s="65"/>
      <c r="F109" s="64"/>
      <c r="G109" s="64"/>
      <c r="H109" s="64"/>
      <c r="I109" s="64"/>
    </row>
    <row r="110" spans="1:9">
      <c r="A110" s="64"/>
      <c r="B110" s="64"/>
      <c r="C110" s="64"/>
      <c r="D110" s="64"/>
      <c r="E110" s="65"/>
      <c r="F110" s="64"/>
      <c r="G110" s="64"/>
      <c r="H110" s="64"/>
      <c r="I110" s="64"/>
    </row>
    <row r="111" spans="1:9">
      <c r="A111" s="64"/>
      <c r="B111" s="64"/>
      <c r="C111" s="64"/>
      <c r="D111" s="64"/>
      <c r="E111" s="65"/>
      <c r="F111" s="64"/>
      <c r="G111" s="64"/>
      <c r="H111" s="64"/>
      <c r="I111" s="64"/>
    </row>
    <row r="112" spans="1:9">
      <c r="A112" s="64"/>
      <c r="B112" s="64"/>
      <c r="C112" s="64"/>
      <c r="D112" s="64"/>
      <c r="E112" s="65"/>
      <c r="F112" s="64"/>
      <c r="G112" s="64"/>
      <c r="H112" s="64"/>
      <c r="I112" s="64"/>
    </row>
    <row r="113" spans="1:9">
      <c r="A113" s="64"/>
      <c r="B113" s="64"/>
      <c r="C113" s="64"/>
      <c r="D113" s="64"/>
      <c r="E113" s="65"/>
      <c r="F113" s="64"/>
      <c r="G113" s="64"/>
      <c r="H113" s="64"/>
      <c r="I113" s="64"/>
    </row>
    <row r="114" spans="1:9">
      <c r="A114" s="64"/>
      <c r="B114" s="64"/>
      <c r="C114" s="64"/>
      <c r="D114" s="64"/>
      <c r="E114" s="65"/>
      <c r="F114" s="64"/>
      <c r="G114" s="64"/>
      <c r="H114" s="64"/>
      <c r="I114" s="64"/>
    </row>
    <row r="115" spans="1:9">
      <c r="A115" s="64"/>
      <c r="B115" s="64"/>
      <c r="C115" s="64"/>
      <c r="D115" s="64"/>
      <c r="E115" s="65"/>
      <c r="F115" s="64"/>
      <c r="G115" s="64"/>
      <c r="H115" s="64"/>
      <c r="I115" s="64"/>
    </row>
    <row r="116" spans="1:9">
      <c r="A116" s="64"/>
      <c r="B116" s="64"/>
      <c r="C116" s="64"/>
      <c r="D116" s="64"/>
      <c r="E116" s="65"/>
      <c r="F116" s="64"/>
      <c r="G116" s="64"/>
      <c r="H116" s="64"/>
      <c r="I116" s="64"/>
    </row>
    <row r="117" spans="1:9">
      <c r="A117" s="64"/>
      <c r="B117" s="64"/>
      <c r="C117" s="64"/>
      <c r="D117" s="64"/>
      <c r="E117" s="65"/>
      <c r="F117" s="64"/>
      <c r="G117" s="64"/>
      <c r="H117" s="64"/>
      <c r="I117" s="64"/>
    </row>
    <row r="118" spans="1:9">
      <c r="A118" s="64"/>
      <c r="B118" s="64"/>
      <c r="C118" s="64"/>
      <c r="D118" s="64"/>
      <c r="E118" s="65"/>
      <c r="F118" s="64"/>
      <c r="G118" s="64"/>
      <c r="H118" s="64"/>
      <c r="I118" s="64"/>
    </row>
    <row r="119" spans="1:9">
      <c r="A119" s="64"/>
      <c r="B119" s="64"/>
      <c r="C119" s="64"/>
      <c r="D119" s="64"/>
      <c r="E119" s="65"/>
      <c r="F119" s="64"/>
      <c r="G119" s="64"/>
      <c r="H119" s="64"/>
      <c r="I119" s="64"/>
    </row>
    <row r="120" spans="1:9">
      <c r="A120" s="64"/>
      <c r="B120" s="64"/>
      <c r="C120" s="64"/>
      <c r="D120" s="64"/>
      <c r="E120" s="65"/>
      <c r="F120" s="64"/>
      <c r="G120" s="64"/>
      <c r="H120" s="64"/>
      <c r="I120" s="64"/>
    </row>
    <row r="121" spans="1:9">
      <c r="A121" s="64"/>
      <c r="B121" s="64"/>
      <c r="C121" s="64"/>
      <c r="D121" s="64"/>
      <c r="E121" s="65"/>
      <c r="F121" s="64"/>
      <c r="G121" s="64"/>
      <c r="H121" s="64"/>
      <c r="I121" s="64"/>
    </row>
    <row r="122" spans="1:9">
      <c r="A122" s="64"/>
      <c r="B122" s="64"/>
      <c r="C122" s="64"/>
      <c r="D122" s="64"/>
      <c r="E122" s="65"/>
      <c r="F122" s="64"/>
      <c r="G122" s="64"/>
      <c r="H122" s="64"/>
      <c r="I122" s="64"/>
    </row>
    <row r="123" spans="1:9">
      <c r="A123" s="64"/>
      <c r="B123" s="64"/>
      <c r="C123" s="64"/>
      <c r="D123" s="64"/>
      <c r="E123" s="65"/>
      <c r="F123" s="64"/>
      <c r="G123" s="64"/>
      <c r="H123" s="64"/>
      <c r="I123" s="64"/>
    </row>
    <row r="124" spans="1:9">
      <c r="A124" s="64"/>
      <c r="B124" s="64"/>
      <c r="C124" s="64"/>
      <c r="D124" s="64"/>
      <c r="E124" s="65"/>
      <c r="F124" s="64"/>
      <c r="G124" s="64"/>
      <c r="H124" s="64"/>
      <c r="I124" s="64"/>
    </row>
    <row r="125" spans="1:9">
      <c r="A125" s="64"/>
      <c r="B125" s="64"/>
      <c r="C125" s="64"/>
      <c r="D125" s="64"/>
      <c r="E125" s="65"/>
      <c r="F125" s="64"/>
      <c r="G125" s="64"/>
      <c r="H125" s="64"/>
      <c r="I125" s="64"/>
    </row>
    <row r="126" spans="1:9">
      <c r="A126" s="64"/>
      <c r="B126" s="64"/>
      <c r="C126" s="64"/>
      <c r="D126" s="64"/>
      <c r="E126" s="65"/>
      <c r="F126" s="64"/>
      <c r="G126" s="64"/>
      <c r="H126" s="64"/>
      <c r="I126" s="64"/>
    </row>
    <row r="127" spans="1:9">
      <c r="A127" s="64"/>
      <c r="B127" s="64"/>
      <c r="C127" s="64"/>
      <c r="D127" s="64"/>
      <c r="E127" s="65"/>
      <c r="F127" s="64"/>
      <c r="G127" s="64"/>
      <c r="H127" s="64"/>
      <c r="I127" s="64"/>
    </row>
    <row r="128" spans="1:9">
      <c r="A128" s="64"/>
      <c r="B128" s="64"/>
      <c r="C128" s="64"/>
      <c r="D128" s="64"/>
      <c r="E128" s="65"/>
      <c r="F128" s="64"/>
      <c r="G128" s="64"/>
      <c r="H128" s="64"/>
      <c r="I128" s="64"/>
    </row>
    <row r="129" spans="1:9">
      <c r="A129" s="64"/>
      <c r="B129" s="64"/>
      <c r="C129" s="64"/>
      <c r="D129" s="64"/>
      <c r="E129" s="65"/>
      <c r="F129" s="64"/>
      <c r="G129" s="64"/>
      <c r="H129" s="64"/>
      <c r="I129" s="64"/>
    </row>
    <row r="130" spans="1:9">
      <c r="A130" s="64"/>
      <c r="B130" s="64"/>
      <c r="C130" s="64"/>
      <c r="D130" s="64"/>
      <c r="E130" s="65"/>
      <c r="F130" s="64"/>
      <c r="G130" s="64"/>
      <c r="H130" s="64"/>
      <c r="I130" s="64"/>
    </row>
    <row r="131" spans="1:9">
      <c r="A131" s="64"/>
      <c r="B131" s="64"/>
      <c r="C131" s="64"/>
      <c r="D131" s="64"/>
      <c r="E131" s="65"/>
      <c r="F131" s="64"/>
      <c r="G131" s="64"/>
      <c r="H131" s="64"/>
      <c r="I131" s="64"/>
    </row>
    <row r="132" spans="1:9">
      <c r="A132" s="64"/>
      <c r="B132" s="64"/>
      <c r="C132" s="64"/>
      <c r="D132" s="64"/>
      <c r="E132" s="65"/>
      <c r="F132" s="64"/>
      <c r="G132" s="64"/>
      <c r="H132" s="64"/>
      <c r="I132" s="64"/>
    </row>
    <row r="133" spans="1:9">
      <c r="A133" s="64"/>
      <c r="B133" s="64"/>
      <c r="C133" s="64"/>
      <c r="D133" s="64"/>
      <c r="E133" s="65"/>
      <c r="F133" s="64"/>
      <c r="G133" s="64"/>
      <c r="H133" s="64"/>
      <c r="I133" s="64"/>
    </row>
    <row r="134" spans="1:9">
      <c r="A134" s="64"/>
      <c r="B134" s="64"/>
      <c r="C134" s="64"/>
      <c r="D134" s="64"/>
      <c r="E134" s="65"/>
      <c r="F134" s="64"/>
      <c r="G134" s="64"/>
      <c r="H134" s="64"/>
      <c r="I134" s="64"/>
    </row>
    <row r="135" spans="1:9">
      <c r="A135" s="64"/>
      <c r="B135" s="64"/>
      <c r="C135" s="64"/>
      <c r="D135" s="64"/>
      <c r="E135" s="65"/>
      <c r="F135" s="64"/>
      <c r="G135" s="64"/>
      <c r="H135" s="64"/>
      <c r="I135" s="64"/>
    </row>
    <row r="136" spans="1:9">
      <c r="A136" s="64"/>
      <c r="B136" s="64"/>
      <c r="C136" s="64"/>
      <c r="D136" s="64"/>
      <c r="E136" s="65"/>
      <c r="F136" s="64"/>
      <c r="G136" s="64"/>
      <c r="H136" s="64"/>
      <c r="I136" s="64"/>
    </row>
    <row r="137" spans="1:9">
      <c r="A137" s="64"/>
      <c r="B137" s="64"/>
      <c r="C137" s="64"/>
      <c r="D137" s="64"/>
      <c r="E137" s="65"/>
      <c r="F137" s="64"/>
      <c r="G137" s="64"/>
      <c r="H137" s="64"/>
      <c r="I137" s="64"/>
    </row>
    <row r="138" spans="1:9">
      <c r="A138" s="64"/>
      <c r="B138" s="64"/>
      <c r="C138" s="64"/>
      <c r="D138" s="64"/>
      <c r="E138" s="65"/>
      <c r="F138" s="64"/>
      <c r="G138" s="64"/>
      <c r="H138" s="64"/>
      <c r="I138" s="64"/>
    </row>
    <row r="139" spans="1:9">
      <c r="A139" s="64"/>
      <c r="B139" s="64"/>
      <c r="C139" s="64"/>
      <c r="D139" s="64"/>
      <c r="E139" s="65"/>
      <c r="F139" s="64"/>
      <c r="G139" s="64"/>
      <c r="H139" s="64"/>
      <c r="I139" s="64"/>
    </row>
    <row r="140" spans="1:9">
      <c r="A140" s="64"/>
      <c r="B140" s="64"/>
      <c r="C140" s="64"/>
      <c r="D140" s="64"/>
      <c r="E140" s="65"/>
      <c r="F140" s="64"/>
      <c r="G140" s="64"/>
      <c r="H140" s="64"/>
      <c r="I140" s="64"/>
    </row>
    <row r="141" spans="1:9">
      <c r="A141" s="64"/>
      <c r="B141" s="64"/>
      <c r="C141" s="64"/>
      <c r="D141" s="64"/>
      <c r="E141" s="65"/>
      <c r="F141" s="64"/>
      <c r="G141" s="64"/>
      <c r="H141" s="64"/>
      <c r="I141" s="64"/>
    </row>
    <row r="142" spans="1:9">
      <c r="A142" s="64"/>
      <c r="B142" s="64"/>
      <c r="C142" s="64"/>
      <c r="D142" s="64"/>
      <c r="E142" s="65"/>
      <c r="F142" s="64"/>
      <c r="G142" s="64"/>
      <c r="H142" s="64"/>
      <c r="I142" s="64"/>
    </row>
    <row r="143" spans="1:9">
      <c r="A143" s="64"/>
      <c r="B143" s="64"/>
      <c r="C143" s="64"/>
      <c r="D143" s="64"/>
      <c r="E143" s="65"/>
      <c r="F143" s="64"/>
      <c r="G143" s="64"/>
      <c r="H143" s="64"/>
      <c r="I143" s="64"/>
    </row>
    <row r="144" spans="1:9">
      <c r="A144" s="64"/>
      <c r="B144" s="64"/>
      <c r="C144" s="64"/>
      <c r="D144" s="64"/>
      <c r="E144" s="65"/>
      <c r="F144" s="64"/>
      <c r="G144" s="64"/>
      <c r="H144" s="64"/>
      <c r="I144" s="64"/>
    </row>
    <row r="145" spans="1:9">
      <c r="A145" s="64"/>
      <c r="B145" s="64"/>
      <c r="C145" s="64"/>
      <c r="D145" s="64"/>
      <c r="E145" s="65"/>
      <c r="F145" s="64"/>
      <c r="G145" s="64"/>
      <c r="H145" s="64"/>
      <c r="I145" s="64"/>
    </row>
    <row r="146" spans="1:9">
      <c r="A146" s="64"/>
      <c r="B146" s="64"/>
      <c r="C146" s="64"/>
      <c r="D146" s="64"/>
      <c r="E146" s="65"/>
      <c r="F146" s="64"/>
      <c r="G146" s="64"/>
      <c r="H146" s="64"/>
      <c r="I146" s="64"/>
    </row>
    <row r="147" spans="1:9">
      <c r="A147" s="64"/>
      <c r="B147" s="64"/>
      <c r="C147" s="64"/>
      <c r="D147" s="64"/>
      <c r="E147" s="65"/>
      <c r="F147" s="64"/>
      <c r="G147" s="64"/>
      <c r="H147" s="64"/>
      <c r="I147" s="64"/>
    </row>
    <row r="148" spans="1:9">
      <c r="A148" s="64"/>
      <c r="B148" s="64"/>
      <c r="C148" s="64"/>
      <c r="D148" s="64"/>
      <c r="E148" s="65"/>
      <c r="F148" s="64"/>
      <c r="G148" s="64"/>
      <c r="H148" s="64"/>
      <c r="I148" s="64"/>
    </row>
    <row r="149" spans="1:9">
      <c r="A149" s="64"/>
      <c r="B149" s="64"/>
      <c r="C149" s="64"/>
      <c r="D149" s="64"/>
      <c r="E149" s="65"/>
      <c r="F149" s="64"/>
      <c r="G149" s="64"/>
      <c r="H149" s="64"/>
      <c r="I149" s="64"/>
    </row>
    <row r="150" spans="1:9">
      <c r="A150" s="64"/>
      <c r="B150" s="64"/>
      <c r="C150" s="64"/>
      <c r="D150" s="64"/>
      <c r="E150" s="65"/>
      <c r="F150" s="64"/>
      <c r="G150" s="64"/>
      <c r="H150" s="64"/>
      <c r="I150" s="64"/>
    </row>
    <row r="151" spans="1:9">
      <c r="A151" s="64"/>
      <c r="B151" s="64"/>
      <c r="C151" s="64"/>
      <c r="D151" s="64"/>
      <c r="E151" s="65"/>
      <c r="F151" s="64"/>
      <c r="G151" s="64"/>
      <c r="H151" s="64"/>
      <c r="I151" s="64"/>
    </row>
    <row r="152" spans="1:9">
      <c r="A152" s="64"/>
      <c r="B152" s="64"/>
      <c r="C152" s="64"/>
      <c r="D152" s="64"/>
      <c r="E152" s="65"/>
      <c r="F152" s="64"/>
      <c r="G152" s="64"/>
      <c r="H152" s="64"/>
      <c r="I152" s="64"/>
    </row>
    <row r="153" spans="1:9">
      <c r="A153" s="64"/>
      <c r="B153" s="64"/>
      <c r="C153" s="64"/>
      <c r="D153" s="64"/>
      <c r="E153" s="65"/>
      <c r="F153" s="64"/>
      <c r="G153" s="64"/>
      <c r="H153" s="64"/>
      <c r="I153" s="64"/>
    </row>
    <row r="154" spans="1:9">
      <c r="A154" s="64"/>
      <c r="B154" s="64"/>
      <c r="C154" s="64"/>
      <c r="D154" s="64"/>
      <c r="E154" s="65"/>
      <c r="F154" s="64"/>
      <c r="G154" s="64"/>
      <c r="H154" s="64"/>
      <c r="I154" s="64"/>
    </row>
    <row r="155" spans="1:9">
      <c r="A155" s="64"/>
      <c r="B155" s="64"/>
      <c r="C155" s="64"/>
      <c r="D155" s="64"/>
      <c r="E155" s="65"/>
      <c r="F155" s="64"/>
      <c r="G155" s="64"/>
      <c r="H155" s="64"/>
      <c r="I155" s="64"/>
    </row>
    <row r="156" spans="1:9">
      <c r="A156" s="64"/>
      <c r="B156" s="64"/>
      <c r="C156" s="64"/>
      <c r="D156" s="64"/>
      <c r="E156" s="65"/>
      <c r="F156" s="64"/>
      <c r="G156" s="64"/>
      <c r="H156" s="64"/>
      <c r="I156" s="64"/>
    </row>
    <row r="157" spans="1:9">
      <c r="A157" s="64"/>
      <c r="B157" s="64"/>
      <c r="C157" s="64"/>
      <c r="D157" s="64"/>
      <c r="E157" s="65"/>
      <c r="F157" s="64"/>
      <c r="G157" s="64"/>
      <c r="H157" s="64"/>
      <c r="I157" s="64"/>
    </row>
    <row r="158" spans="1:9">
      <c r="A158" s="64"/>
      <c r="B158" s="64"/>
      <c r="C158" s="64"/>
      <c r="D158" s="64"/>
      <c r="E158" s="65"/>
      <c r="F158" s="64"/>
      <c r="G158" s="64"/>
      <c r="H158" s="64"/>
      <c r="I158" s="64"/>
    </row>
    <row r="159" spans="1:9">
      <c r="A159" s="64"/>
      <c r="B159" s="64"/>
      <c r="C159" s="64"/>
      <c r="D159" s="64"/>
      <c r="E159" s="65"/>
      <c r="F159" s="64"/>
      <c r="G159" s="64"/>
      <c r="H159" s="64"/>
      <c r="I159" s="64"/>
    </row>
    <row r="160" spans="1:9">
      <c r="A160" s="64"/>
      <c r="B160" s="64"/>
      <c r="C160" s="64"/>
      <c r="D160" s="64"/>
      <c r="E160" s="65"/>
      <c r="F160" s="64"/>
      <c r="G160" s="64"/>
      <c r="H160" s="64"/>
      <c r="I160" s="64"/>
    </row>
    <row r="161" spans="1:9">
      <c r="A161" s="64"/>
      <c r="B161" s="64"/>
      <c r="C161" s="64"/>
      <c r="D161" s="64"/>
      <c r="E161" s="65"/>
      <c r="F161" s="64"/>
      <c r="G161" s="64"/>
      <c r="H161" s="64"/>
      <c r="I161" s="64"/>
    </row>
    <row r="162" spans="1:9">
      <c r="A162" s="64"/>
      <c r="B162" s="64"/>
      <c r="C162" s="64"/>
      <c r="D162" s="64"/>
      <c r="E162" s="65"/>
      <c r="F162" s="64"/>
      <c r="G162" s="64"/>
      <c r="H162" s="64"/>
      <c r="I162" s="64"/>
    </row>
    <row r="163" spans="1:9">
      <c r="A163" s="64"/>
      <c r="B163" s="64"/>
      <c r="C163" s="64"/>
      <c r="D163" s="64"/>
      <c r="E163" s="65"/>
      <c r="F163" s="64"/>
      <c r="G163" s="64"/>
      <c r="H163" s="64"/>
      <c r="I163" s="64"/>
    </row>
    <row r="164" spans="1:9">
      <c r="A164" s="64"/>
      <c r="B164" s="64"/>
      <c r="C164" s="64"/>
      <c r="D164" s="64"/>
      <c r="E164" s="65"/>
      <c r="F164" s="64"/>
      <c r="G164" s="64"/>
      <c r="H164" s="64"/>
      <c r="I164" s="64"/>
    </row>
    <row r="165" spans="1:9">
      <c r="A165" s="64"/>
      <c r="B165" s="64"/>
      <c r="C165" s="64"/>
      <c r="D165" s="64"/>
      <c r="E165" s="65"/>
      <c r="F165" s="64"/>
      <c r="G165" s="64"/>
      <c r="H165" s="64"/>
      <c r="I165" s="64"/>
    </row>
    <row r="166" spans="1:9">
      <c r="A166" s="64"/>
      <c r="B166" s="64"/>
      <c r="C166" s="64"/>
      <c r="D166" s="64"/>
      <c r="E166" s="65"/>
      <c r="F166" s="64"/>
      <c r="G166" s="64"/>
      <c r="H166" s="64"/>
      <c r="I166" s="64"/>
    </row>
    <row r="167" spans="1:9">
      <c r="A167" s="64"/>
      <c r="B167" s="64"/>
      <c r="C167" s="64"/>
      <c r="D167" s="64"/>
      <c r="E167" s="65"/>
      <c r="F167" s="64"/>
      <c r="G167" s="64"/>
      <c r="H167" s="64"/>
      <c r="I167" s="64"/>
    </row>
    <row r="168" spans="1:9">
      <c r="A168" s="64"/>
      <c r="B168" s="64"/>
      <c r="C168" s="64"/>
      <c r="D168" s="64"/>
      <c r="E168" s="65"/>
      <c r="F168" s="64"/>
      <c r="G168" s="64"/>
      <c r="H168" s="64"/>
      <c r="I168" s="64"/>
    </row>
    <row r="169" spans="1:9">
      <c r="A169" s="64"/>
      <c r="B169" s="64"/>
      <c r="C169" s="64"/>
      <c r="D169" s="64"/>
      <c r="E169" s="65"/>
      <c r="F169" s="64"/>
      <c r="G169" s="64"/>
      <c r="H169" s="64"/>
      <c r="I169" s="64"/>
    </row>
    <row r="170" spans="1:9">
      <c r="A170" s="64"/>
      <c r="B170" s="64"/>
      <c r="C170" s="64"/>
      <c r="D170" s="64"/>
      <c r="E170" s="65"/>
      <c r="F170" s="64"/>
      <c r="G170" s="64"/>
      <c r="H170" s="64"/>
      <c r="I170" s="64"/>
    </row>
    <row r="171" spans="1:9">
      <c r="A171" s="64"/>
      <c r="B171" s="64"/>
      <c r="C171" s="64"/>
      <c r="D171" s="64"/>
      <c r="E171" s="65"/>
      <c r="F171" s="64"/>
      <c r="G171" s="64"/>
      <c r="H171" s="64"/>
      <c r="I171" s="64"/>
    </row>
    <row r="172" spans="1:9">
      <c r="A172" s="64"/>
      <c r="B172" s="64"/>
      <c r="C172" s="64"/>
      <c r="D172" s="64"/>
      <c r="E172" s="65"/>
      <c r="F172" s="64"/>
      <c r="G172" s="64"/>
      <c r="H172" s="64"/>
      <c r="I172" s="64"/>
    </row>
    <row r="173" spans="1:9">
      <c r="A173" s="64"/>
      <c r="B173" s="64"/>
      <c r="C173" s="64"/>
      <c r="D173" s="64"/>
      <c r="E173" s="65"/>
      <c r="F173" s="64"/>
      <c r="G173" s="64"/>
      <c r="H173" s="64"/>
      <c r="I173" s="64"/>
    </row>
    <row r="174" spans="1:9">
      <c r="A174" s="64"/>
      <c r="B174" s="64"/>
      <c r="C174" s="64"/>
      <c r="D174" s="64"/>
      <c r="E174" s="65"/>
      <c r="F174" s="64"/>
      <c r="G174" s="64"/>
      <c r="H174" s="64"/>
      <c r="I174" s="64"/>
    </row>
    <row r="175" spans="1:9">
      <c r="A175" s="64"/>
      <c r="B175" s="64"/>
      <c r="C175" s="64"/>
      <c r="D175" s="64"/>
      <c r="E175" s="65"/>
      <c r="F175" s="64"/>
      <c r="G175" s="64"/>
      <c r="H175" s="64"/>
      <c r="I175" s="64"/>
    </row>
    <row r="176" spans="1:9">
      <c r="A176" s="64"/>
      <c r="B176" s="64"/>
      <c r="C176" s="64"/>
      <c r="D176" s="64"/>
      <c r="E176" s="65"/>
      <c r="F176" s="64"/>
      <c r="G176" s="64"/>
      <c r="H176" s="64"/>
      <c r="I176" s="64"/>
    </row>
    <row r="177" spans="1:9">
      <c r="A177" s="64"/>
      <c r="B177" s="64"/>
      <c r="C177" s="64"/>
      <c r="D177" s="64"/>
      <c r="E177" s="65"/>
      <c r="F177" s="64"/>
      <c r="G177" s="64"/>
      <c r="H177" s="64"/>
      <c r="I177" s="64"/>
    </row>
    <row r="178" spans="1:9">
      <c r="A178" s="64"/>
      <c r="B178" s="64"/>
      <c r="C178" s="64"/>
      <c r="D178" s="64"/>
      <c r="E178" s="65"/>
      <c r="F178" s="64"/>
      <c r="G178" s="64"/>
      <c r="H178" s="64"/>
      <c r="I178" s="64"/>
    </row>
    <row r="179" spans="1:9">
      <c r="A179" s="64"/>
      <c r="B179" s="64"/>
      <c r="C179" s="64"/>
      <c r="D179" s="64"/>
      <c r="E179" s="65"/>
      <c r="F179" s="64"/>
      <c r="G179" s="64"/>
      <c r="H179" s="64"/>
      <c r="I179" s="64"/>
    </row>
    <row r="180" spans="1:9">
      <c r="A180" s="64"/>
      <c r="B180" s="64"/>
      <c r="C180" s="64"/>
      <c r="D180" s="64"/>
      <c r="E180" s="65"/>
      <c r="F180" s="64"/>
      <c r="G180" s="64"/>
      <c r="H180" s="64"/>
      <c r="I180" s="64"/>
    </row>
    <row r="181" spans="1:9">
      <c r="A181" s="64"/>
      <c r="B181" s="64"/>
      <c r="C181" s="64"/>
      <c r="D181" s="64"/>
      <c r="E181" s="65"/>
      <c r="F181" s="64"/>
      <c r="G181" s="64"/>
      <c r="H181" s="64"/>
      <c r="I181" s="64"/>
    </row>
    <row r="182" spans="1:9">
      <c r="A182" s="64"/>
      <c r="B182" s="64"/>
      <c r="C182" s="64"/>
      <c r="D182" s="64"/>
      <c r="E182" s="65"/>
      <c r="F182" s="64"/>
      <c r="G182" s="64"/>
      <c r="H182" s="64"/>
      <c r="I182" s="64"/>
    </row>
    <row r="183" spans="1:9">
      <c r="A183" s="64"/>
      <c r="B183" s="64"/>
      <c r="C183" s="64"/>
      <c r="D183" s="64"/>
      <c r="E183" s="65"/>
      <c r="F183" s="64"/>
      <c r="G183" s="64"/>
      <c r="H183" s="64"/>
      <c r="I183" s="64"/>
    </row>
    <row r="184" spans="1:9">
      <c r="A184" s="64"/>
      <c r="B184" s="64"/>
      <c r="C184" s="64"/>
      <c r="D184" s="64"/>
      <c r="E184" s="65"/>
      <c r="F184" s="64"/>
      <c r="G184" s="64"/>
      <c r="H184" s="64"/>
      <c r="I184" s="64"/>
    </row>
    <row r="185" spans="1:9">
      <c r="A185" s="64"/>
      <c r="B185" s="64"/>
      <c r="C185" s="64"/>
      <c r="D185" s="64"/>
      <c r="E185" s="65"/>
      <c r="F185" s="64"/>
      <c r="G185" s="64"/>
      <c r="H185" s="64"/>
      <c r="I185" s="64"/>
    </row>
    <row r="186" spans="1:9">
      <c r="A186" s="64"/>
      <c r="B186" s="64"/>
      <c r="C186" s="64"/>
      <c r="D186" s="64"/>
      <c r="E186" s="65"/>
      <c r="F186" s="64"/>
      <c r="G186" s="64"/>
      <c r="H186" s="64"/>
      <c r="I186" s="64"/>
    </row>
    <row r="187" spans="1:9">
      <c r="A187" s="64"/>
      <c r="B187" s="64"/>
      <c r="C187" s="64"/>
      <c r="D187" s="64"/>
      <c r="E187" s="65"/>
      <c r="F187" s="64"/>
      <c r="G187" s="64"/>
      <c r="H187" s="64"/>
      <c r="I187" s="64"/>
    </row>
    <row r="188" spans="1:9">
      <c r="A188" s="64"/>
      <c r="B188" s="64"/>
      <c r="C188" s="64"/>
      <c r="D188" s="64"/>
      <c r="E188" s="65"/>
      <c r="F188" s="64"/>
      <c r="G188" s="64"/>
      <c r="H188" s="64"/>
      <c r="I188" s="64"/>
    </row>
    <row r="189" spans="1:9">
      <c r="A189" s="64"/>
      <c r="B189" s="64"/>
      <c r="C189" s="64"/>
      <c r="D189" s="64"/>
      <c r="E189" s="65"/>
      <c r="F189" s="64"/>
      <c r="G189" s="64"/>
      <c r="H189" s="64"/>
      <c r="I189" s="64"/>
    </row>
    <row r="190" spans="1:9">
      <c r="A190" s="64"/>
      <c r="B190" s="64"/>
      <c r="C190" s="64"/>
      <c r="D190" s="64"/>
      <c r="E190" s="65"/>
      <c r="F190" s="64"/>
      <c r="G190" s="64"/>
      <c r="H190" s="64"/>
      <c r="I190" s="64"/>
    </row>
    <row r="191" spans="1:9">
      <c r="A191" s="64"/>
      <c r="B191" s="64"/>
      <c r="C191" s="64"/>
      <c r="D191" s="64"/>
      <c r="E191" s="65"/>
      <c r="F191" s="64"/>
      <c r="G191" s="64"/>
      <c r="H191" s="64"/>
      <c r="I191" s="64"/>
    </row>
    <row r="192" spans="1:9">
      <c r="A192" s="64"/>
      <c r="B192" s="64"/>
      <c r="C192" s="64"/>
      <c r="D192" s="64"/>
      <c r="E192" s="65"/>
      <c r="F192" s="64"/>
      <c r="G192" s="64"/>
      <c r="H192" s="64"/>
      <c r="I192" s="64"/>
    </row>
    <row r="193" spans="1:9">
      <c r="A193" s="64"/>
      <c r="B193" s="64"/>
      <c r="C193" s="64"/>
      <c r="D193" s="64"/>
      <c r="E193" s="65"/>
      <c r="F193" s="64"/>
      <c r="G193" s="64"/>
      <c r="H193" s="64"/>
      <c r="I193" s="64"/>
    </row>
    <row r="194" spans="1:9">
      <c r="A194" s="64"/>
      <c r="B194" s="64"/>
      <c r="C194" s="64"/>
      <c r="D194" s="64"/>
      <c r="E194" s="65"/>
      <c r="F194" s="64"/>
      <c r="G194" s="64"/>
      <c r="H194" s="64"/>
      <c r="I194" s="64"/>
    </row>
    <row r="195" spans="1:9">
      <c r="A195" s="64"/>
      <c r="B195" s="64"/>
      <c r="C195" s="64"/>
      <c r="D195" s="64"/>
      <c r="E195" s="65"/>
      <c r="F195" s="64"/>
      <c r="G195" s="64"/>
      <c r="H195" s="64"/>
      <c r="I195" s="64"/>
    </row>
    <row r="196" spans="1:9">
      <c r="A196" s="64"/>
      <c r="B196" s="64"/>
      <c r="C196" s="64"/>
      <c r="D196" s="64"/>
      <c r="E196" s="65"/>
      <c r="F196" s="64"/>
      <c r="G196" s="64"/>
      <c r="H196" s="64"/>
      <c r="I196" s="64"/>
    </row>
    <row r="197" spans="1:9">
      <c r="A197" s="64"/>
      <c r="B197" s="64"/>
      <c r="C197" s="64"/>
      <c r="D197" s="64"/>
      <c r="E197" s="65"/>
      <c r="F197" s="64"/>
      <c r="G197" s="64"/>
      <c r="H197" s="64"/>
      <c r="I197" s="64"/>
    </row>
    <row r="198" spans="1:9">
      <c r="A198" s="64"/>
      <c r="B198" s="64"/>
      <c r="C198" s="64"/>
      <c r="D198" s="64"/>
      <c r="E198" s="65"/>
      <c r="F198" s="64"/>
      <c r="G198" s="64"/>
      <c r="H198" s="64"/>
      <c r="I198" s="64"/>
    </row>
    <row r="199" spans="1:9">
      <c r="A199" s="64"/>
      <c r="B199" s="64"/>
      <c r="C199" s="64"/>
      <c r="D199" s="64"/>
      <c r="E199" s="65"/>
      <c r="F199" s="64"/>
      <c r="G199" s="64"/>
      <c r="H199" s="64"/>
      <c r="I199" s="64"/>
    </row>
    <row r="200" spans="1:9">
      <c r="A200" s="64"/>
      <c r="B200" s="64"/>
      <c r="C200" s="64"/>
      <c r="D200" s="64"/>
      <c r="E200" s="65"/>
      <c r="F200" s="64"/>
      <c r="G200" s="64"/>
      <c r="H200" s="64"/>
      <c r="I200" s="64"/>
    </row>
    <row r="201" spans="1:9">
      <c r="A201" s="64"/>
      <c r="B201" s="64"/>
      <c r="C201" s="64"/>
      <c r="D201" s="64"/>
      <c r="E201" s="65"/>
      <c r="F201" s="64"/>
      <c r="G201" s="64"/>
      <c r="H201" s="64"/>
      <c r="I201" s="64"/>
    </row>
    <row r="202" spans="1:9">
      <c r="A202" s="64"/>
      <c r="B202" s="64"/>
      <c r="C202" s="64"/>
      <c r="D202" s="64"/>
      <c r="E202" s="65"/>
      <c r="F202" s="64"/>
      <c r="G202" s="64"/>
      <c r="H202" s="64"/>
      <c r="I202" s="64"/>
    </row>
    <row r="203" spans="1:9">
      <c r="A203" s="64"/>
      <c r="B203" s="64"/>
      <c r="C203" s="64"/>
      <c r="D203" s="64"/>
      <c r="E203" s="65"/>
      <c r="F203" s="64"/>
      <c r="G203" s="64"/>
      <c r="H203" s="64"/>
      <c r="I203" s="64"/>
    </row>
    <row r="204" spans="1:9">
      <c r="A204" s="64"/>
      <c r="B204" s="64"/>
      <c r="C204" s="64"/>
      <c r="D204" s="64"/>
      <c r="E204" s="65"/>
      <c r="F204" s="64"/>
      <c r="G204" s="64"/>
      <c r="H204" s="64"/>
      <c r="I204" s="64"/>
    </row>
    <row r="205" spans="1:9">
      <c r="A205" s="64"/>
      <c r="B205" s="64"/>
      <c r="C205" s="64"/>
      <c r="D205" s="64"/>
      <c r="E205" s="65"/>
      <c r="F205" s="64"/>
      <c r="G205" s="64"/>
      <c r="H205" s="64"/>
      <c r="I205" s="64"/>
    </row>
    <row r="206" spans="1:9">
      <c r="A206" s="64"/>
      <c r="B206" s="64"/>
      <c r="C206" s="64"/>
      <c r="D206" s="64"/>
      <c r="E206" s="65"/>
      <c r="F206" s="64"/>
      <c r="G206" s="64"/>
      <c r="H206" s="64"/>
      <c r="I206" s="64"/>
    </row>
    <row r="207" spans="1:9">
      <c r="A207" s="64"/>
      <c r="B207" s="64"/>
      <c r="C207" s="64"/>
      <c r="D207" s="64"/>
      <c r="E207" s="65"/>
      <c r="F207" s="64"/>
      <c r="G207" s="64"/>
      <c r="H207" s="64"/>
      <c r="I207" s="64"/>
    </row>
    <row r="208" spans="1:9">
      <c r="A208" s="64"/>
      <c r="B208" s="64"/>
      <c r="C208" s="64"/>
      <c r="D208" s="64"/>
      <c r="E208" s="65"/>
      <c r="F208" s="64"/>
      <c r="G208" s="64"/>
      <c r="H208" s="64"/>
      <c r="I208" s="64"/>
    </row>
    <row r="209" spans="1:9">
      <c r="A209" s="64"/>
      <c r="B209" s="64"/>
      <c r="C209" s="64"/>
      <c r="D209" s="64"/>
      <c r="E209" s="65"/>
      <c r="F209" s="64"/>
      <c r="G209" s="64"/>
      <c r="H209" s="64"/>
      <c r="I209" s="64"/>
    </row>
    <row r="210" spans="1:9">
      <c r="A210" s="64"/>
      <c r="B210" s="64"/>
      <c r="C210" s="64"/>
      <c r="D210" s="64"/>
      <c r="E210" s="65"/>
      <c r="F210" s="64"/>
      <c r="G210" s="64"/>
      <c r="H210" s="64"/>
      <c r="I210" s="64"/>
    </row>
    <row r="211" spans="1:9">
      <c r="A211" s="64"/>
      <c r="B211" s="64"/>
      <c r="C211" s="64"/>
      <c r="D211" s="64"/>
      <c r="E211" s="65"/>
      <c r="F211" s="64"/>
      <c r="G211" s="64"/>
      <c r="H211" s="64"/>
      <c r="I211" s="64"/>
    </row>
    <row r="212" spans="1:9">
      <c r="A212" s="64"/>
      <c r="B212" s="64"/>
      <c r="C212" s="64"/>
      <c r="D212" s="64"/>
      <c r="E212" s="65"/>
      <c r="F212" s="64"/>
      <c r="G212" s="64"/>
      <c r="H212" s="64"/>
      <c r="I212" s="64"/>
    </row>
    <row r="213" spans="1:9">
      <c r="A213" s="64"/>
      <c r="B213" s="64"/>
      <c r="C213" s="64"/>
      <c r="D213" s="64"/>
      <c r="E213" s="65"/>
      <c r="F213" s="64"/>
      <c r="G213" s="64"/>
      <c r="H213" s="64"/>
      <c r="I213" s="64"/>
    </row>
    <row r="214" spans="1:9">
      <c r="A214" s="64"/>
      <c r="B214" s="64"/>
      <c r="C214" s="64"/>
      <c r="D214" s="64"/>
      <c r="E214" s="65"/>
      <c r="F214" s="64"/>
      <c r="G214" s="64"/>
      <c r="H214" s="64"/>
      <c r="I214" s="64"/>
    </row>
    <row r="215" spans="1:9">
      <c r="A215" s="64"/>
      <c r="B215" s="64"/>
      <c r="C215" s="64"/>
      <c r="D215" s="64"/>
      <c r="E215" s="65"/>
      <c r="F215" s="64"/>
      <c r="G215" s="64"/>
      <c r="H215" s="64"/>
      <c r="I215" s="64"/>
    </row>
    <row r="216" spans="1:9">
      <c r="A216" s="64"/>
      <c r="B216" s="64"/>
      <c r="C216" s="64"/>
      <c r="D216" s="64"/>
      <c r="E216" s="65"/>
      <c r="F216" s="64"/>
      <c r="G216" s="64"/>
      <c r="H216" s="64"/>
      <c r="I216" s="64"/>
    </row>
    <row r="217" spans="1:9">
      <c r="A217" s="64"/>
      <c r="B217" s="64"/>
      <c r="C217" s="64"/>
      <c r="D217" s="64"/>
      <c r="E217" s="65"/>
      <c r="F217" s="64"/>
      <c r="G217" s="64"/>
      <c r="H217" s="64"/>
      <c r="I217" s="64"/>
    </row>
    <row r="218" spans="1:9">
      <c r="A218" s="64"/>
      <c r="B218" s="64"/>
      <c r="C218" s="64"/>
      <c r="D218" s="64"/>
      <c r="E218" s="65"/>
      <c r="F218" s="64"/>
      <c r="G218" s="64"/>
      <c r="H218" s="64"/>
      <c r="I218" s="64"/>
    </row>
    <row r="219" spans="1:9">
      <c r="A219" s="64"/>
      <c r="B219" s="64"/>
      <c r="C219" s="64"/>
      <c r="D219" s="64"/>
      <c r="E219" s="65"/>
      <c r="F219" s="64"/>
      <c r="G219" s="64"/>
      <c r="H219" s="64"/>
      <c r="I219" s="64"/>
    </row>
    <row r="220" spans="1:9">
      <c r="A220" s="64"/>
      <c r="B220" s="64"/>
      <c r="C220" s="64"/>
      <c r="D220" s="64"/>
      <c r="E220" s="65"/>
      <c r="F220" s="64"/>
      <c r="G220" s="64"/>
      <c r="H220" s="64"/>
      <c r="I220" s="64"/>
    </row>
    <row r="221" spans="1:9">
      <c r="A221" s="64"/>
      <c r="B221" s="64"/>
      <c r="C221" s="64"/>
      <c r="D221" s="64"/>
      <c r="E221" s="65"/>
      <c r="F221" s="64"/>
      <c r="G221" s="64"/>
      <c r="H221" s="64"/>
      <c r="I221" s="64"/>
    </row>
    <row r="222" spans="1:9">
      <c r="A222" s="64"/>
      <c r="B222" s="64"/>
      <c r="C222" s="64"/>
      <c r="D222" s="64"/>
      <c r="E222" s="65"/>
      <c r="F222" s="64"/>
      <c r="G222" s="64"/>
      <c r="H222" s="64"/>
      <c r="I222" s="64"/>
    </row>
    <row r="223" spans="1:9">
      <c r="A223" s="64"/>
      <c r="B223" s="64"/>
      <c r="C223" s="64"/>
      <c r="D223" s="64"/>
      <c r="E223" s="65"/>
      <c r="F223" s="64"/>
      <c r="G223" s="64"/>
      <c r="H223" s="64"/>
      <c r="I223" s="64"/>
    </row>
    <row r="224" spans="1:9">
      <c r="A224" s="64"/>
      <c r="B224" s="64"/>
      <c r="C224" s="64"/>
      <c r="D224" s="64"/>
      <c r="E224" s="65"/>
      <c r="F224" s="64"/>
      <c r="G224" s="64"/>
      <c r="H224" s="64"/>
      <c r="I224" s="64"/>
    </row>
    <row r="225" spans="1:9">
      <c r="A225" s="64"/>
      <c r="B225" s="64"/>
      <c r="C225" s="64"/>
      <c r="D225" s="64"/>
      <c r="E225" s="65"/>
      <c r="F225" s="64"/>
      <c r="G225" s="64"/>
      <c r="H225" s="64"/>
      <c r="I225" s="64"/>
    </row>
    <row r="226" spans="1:9">
      <c r="A226" s="64"/>
      <c r="B226" s="64"/>
      <c r="C226" s="64"/>
      <c r="D226" s="64"/>
      <c r="E226" s="65"/>
      <c r="F226" s="64"/>
      <c r="G226" s="64"/>
      <c r="H226" s="64"/>
      <c r="I226" s="64"/>
    </row>
    <row r="227" spans="1:9">
      <c r="A227" s="64"/>
      <c r="B227" s="64"/>
      <c r="C227" s="64"/>
      <c r="D227" s="64"/>
      <c r="E227" s="65"/>
      <c r="F227" s="64"/>
      <c r="G227" s="64"/>
      <c r="H227" s="64"/>
      <c r="I227" s="64"/>
    </row>
    <row r="228" spans="1:9">
      <c r="A228" s="64"/>
      <c r="B228" s="64"/>
      <c r="C228" s="64"/>
      <c r="D228" s="64"/>
      <c r="E228" s="65"/>
      <c r="F228" s="64"/>
      <c r="G228" s="64"/>
      <c r="H228" s="64"/>
      <c r="I228" s="64"/>
    </row>
    <row r="229" spans="1:9">
      <c r="A229" s="64"/>
      <c r="B229" s="64"/>
      <c r="C229" s="64"/>
      <c r="D229" s="64"/>
      <c r="E229" s="65"/>
      <c r="F229" s="64"/>
      <c r="G229" s="64"/>
      <c r="H229" s="64"/>
      <c r="I229" s="64"/>
    </row>
    <row r="230" spans="1:9">
      <c r="A230" s="64"/>
      <c r="B230" s="64"/>
      <c r="C230" s="64"/>
      <c r="D230" s="64"/>
      <c r="E230" s="65"/>
      <c r="F230" s="64"/>
      <c r="G230" s="64"/>
      <c r="H230" s="64"/>
      <c r="I230" s="64"/>
    </row>
    <row r="231" spans="1:9">
      <c r="A231" s="64"/>
      <c r="B231" s="64"/>
      <c r="C231" s="64"/>
      <c r="D231" s="64"/>
      <c r="E231" s="65"/>
      <c r="F231" s="64"/>
      <c r="G231" s="64"/>
      <c r="H231" s="64"/>
      <c r="I231" s="64"/>
    </row>
    <row r="232" spans="1:9">
      <c r="A232" s="64"/>
      <c r="B232" s="64"/>
      <c r="C232" s="64"/>
      <c r="D232" s="64"/>
      <c r="E232" s="65"/>
      <c r="F232" s="64"/>
      <c r="G232" s="64"/>
      <c r="H232" s="64"/>
      <c r="I232" s="64"/>
    </row>
    <row r="233" spans="1:9">
      <c r="A233" s="64"/>
      <c r="B233" s="64"/>
      <c r="C233" s="64"/>
      <c r="D233" s="64"/>
      <c r="E233" s="65"/>
      <c r="F233" s="64"/>
      <c r="G233" s="64"/>
      <c r="H233" s="64"/>
      <c r="I233" s="64"/>
    </row>
    <row r="234" spans="1:9">
      <c r="A234" s="64"/>
      <c r="B234" s="64"/>
      <c r="C234" s="64"/>
      <c r="D234" s="64"/>
      <c r="E234" s="65"/>
      <c r="F234" s="64"/>
      <c r="G234" s="64"/>
      <c r="H234" s="64"/>
      <c r="I234" s="64"/>
    </row>
    <row r="235" spans="1:9">
      <c r="A235" s="64"/>
      <c r="B235" s="64"/>
      <c r="C235" s="64"/>
      <c r="D235" s="64"/>
      <c r="E235" s="65"/>
      <c r="F235" s="64"/>
      <c r="G235" s="64"/>
      <c r="H235" s="64"/>
      <c r="I235" s="64"/>
    </row>
    <row r="236" spans="1:9">
      <c r="A236" s="64"/>
      <c r="B236" s="64"/>
      <c r="C236" s="64"/>
      <c r="D236" s="64"/>
      <c r="E236" s="65"/>
      <c r="F236" s="64"/>
      <c r="G236" s="64"/>
      <c r="H236" s="64"/>
      <c r="I236" s="64"/>
    </row>
    <row r="237" spans="1:9">
      <c r="A237" s="64"/>
      <c r="B237" s="64"/>
      <c r="C237" s="64"/>
      <c r="D237" s="64"/>
      <c r="E237" s="65"/>
      <c r="F237" s="64"/>
      <c r="G237" s="64"/>
      <c r="H237" s="64"/>
      <c r="I237" s="64"/>
    </row>
    <row r="238" spans="1:9">
      <c r="A238" s="64"/>
      <c r="B238" s="64"/>
      <c r="C238" s="64"/>
      <c r="D238" s="64"/>
      <c r="E238" s="65"/>
      <c r="F238" s="64"/>
      <c r="G238" s="64"/>
      <c r="H238" s="64"/>
      <c r="I238" s="64"/>
    </row>
    <row r="239" spans="1:9">
      <c r="A239" s="64"/>
      <c r="B239" s="64"/>
      <c r="C239" s="64"/>
      <c r="D239" s="64"/>
      <c r="E239" s="65"/>
      <c r="F239" s="64"/>
      <c r="G239" s="64"/>
      <c r="H239" s="64"/>
      <c r="I239" s="64"/>
    </row>
    <row r="240" spans="1:9">
      <c r="A240" s="64"/>
      <c r="B240" s="64"/>
      <c r="C240" s="64"/>
      <c r="D240" s="64"/>
      <c r="E240" s="65"/>
      <c r="F240" s="64"/>
      <c r="G240" s="64"/>
      <c r="H240" s="64"/>
      <c r="I240" s="64"/>
    </row>
    <row r="241" spans="1:9">
      <c r="A241" s="64"/>
      <c r="B241" s="64"/>
      <c r="C241" s="64"/>
      <c r="D241" s="64"/>
      <c r="E241" s="65"/>
      <c r="F241" s="64"/>
      <c r="G241" s="64"/>
      <c r="H241" s="64"/>
      <c r="I241" s="64"/>
    </row>
    <row r="242" spans="1:9">
      <c r="A242" s="64"/>
      <c r="B242" s="64"/>
      <c r="C242" s="64"/>
      <c r="D242" s="64"/>
      <c r="E242" s="65"/>
      <c r="F242" s="64"/>
      <c r="G242" s="64"/>
      <c r="H242" s="64"/>
      <c r="I242" s="64"/>
    </row>
    <row r="243" spans="1:9">
      <c r="A243" s="64"/>
      <c r="B243" s="64"/>
      <c r="C243" s="64"/>
      <c r="D243" s="64"/>
      <c r="E243" s="65"/>
      <c r="F243" s="64"/>
      <c r="G243" s="64"/>
      <c r="H243" s="64"/>
      <c r="I243" s="64"/>
    </row>
    <row r="244" spans="1:9">
      <c r="A244" s="64"/>
      <c r="B244" s="64"/>
      <c r="C244" s="64"/>
      <c r="D244" s="64"/>
      <c r="E244" s="65"/>
      <c r="F244" s="64"/>
      <c r="G244" s="64"/>
      <c r="H244" s="64"/>
      <c r="I244" s="64"/>
    </row>
    <row r="245" spans="1:9">
      <c r="A245" s="64"/>
      <c r="B245" s="64"/>
      <c r="C245" s="64"/>
      <c r="D245" s="64"/>
      <c r="E245" s="65"/>
      <c r="F245" s="64"/>
      <c r="G245" s="64"/>
      <c r="H245" s="64"/>
      <c r="I245" s="64"/>
    </row>
    <row r="246" spans="1:9">
      <c r="A246" s="64"/>
      <c r="B246" s="64"/>
      <c r="C246" s="64"/>
      <c r="D246" s="64"/>
      <c r="E246" s="65"/>
      <c r="F246" s="64"/>
      <c r="G246" s="64"/>
      <c r="H246" s="64"/>
      <c r="I246" s="64"/>
    </row>
    <row r="247" spans="1:9">
      <c r="A247" s="64"/>
      <c r="B247" s="64"/>
      <c r="C247" s="64"/>
      <c r="D247" s="64"/>
      <c r="E247" s="65"/>
      <c r="F247" s="64"/>
      <c r="G247" s="64"/>
      <c r="H247" s="64"/>
      <c r="I247" s="64"/>
    </row>
    <row r="248" spans="1:9">
      <c r="A248" s="64"/>
      <c r="B248" s="64"/>
      <c r="C248" s="64"/>
      <c r="D248" s="64"/>
      <c r="E248" s="65"/>
      <c r="F248" s="64"/>
      <c r="G248" s="64"/>
      <c r="H248" s="64"/>
      <c r="I248" s="64"/>
    </row>
    <row r="249" spans="1:9">
      <c r="A249" s="64"/>
      <c r="B249" s="64"/>
      <c r="C249" s="64"/>
      <c r="D249" s="64"/>
      <c r="E249" s="65"/>
      <c r="F249" s="64"/>
      <c r="G249" s="64"/>
      <c r="H249" s="64"/>
      <c r="I249" s="64"/>
    </row>
    <row r="250" spans="1:9">
      <c r="A250" s="64"/>
      <c r="B250" s="64"/>
      <c r="C250" s="64"/>
      <c r="D250" s="64"/>
      <c r="E250" s="65"/>
      <c r="F250" s="64"/>
      <c r="G250" s="64"/>
      <c r="H250" s="64"/>
      <c r="I250" s="64"/>
    </row>
    <row r="251" spans="1:9">
      <c r="A251" s="64"/>
      <c r="B251" s="64"/>
      <c r="C251" s="64"/>
      <c r="D251" s="64"/>
      <c r="E251" s="65"/>
      <c r="F251" s="64"/>
      <c r="G251" s="64"/>
      <c r="H251" s="64"/>
      <c r="I251" s="64"/>
    </row>
    <row r="252" spans="1:9">
      <c r="A252" s="64"/>
      <c r="B252" s="64"/>
      <c r="C252" s="64"/>
      <c r="D252" s="64"/>
      <c r="E252" s="65"/>
      <c r="F252" s="64"/>
      <c r="G252" s="64"/>
      <c r="H252" s="64"/>
      <c r="I252" s="64"/>
    </row>
    <row r="253" spans="1:9">
      <c r="A253" s="64"/>
      <c r="B253" s="64"/>
      <c r="C253" s="64"/>
      <c r="D253" s="64"/>
      <c r="E253" s="65"/>
      <c r="F253" s="64"/>
      <c r="G253" s="64"/>
      <c r="H253" s="64"/>
      <c r="I253" s="64"/>
    </row>
    <row r="254" spans="1:9">
      <c r="A254" s="64"/>
      <c r="B254" s="64"/>
      <c r="C254" s="64"/>
      <c r="D254" s="64"/>
      <c r="E254" s="65"/>
      <c r="F254" s="64"/>
      <c r="G254" s="64"/>
      <c r="H254" s="64"/>
      <c r="I254" s="64"/>
    </row>
    <row r="255" spans="1:9">
      <c r="A255" s="64"/>
      <c r="B255" s="64"/>
      <c r="C255" s="64"/>
      <c r="D255" s="64"/>
      <c r="E255" s="65"/>
      <c r="F255" s="64"/>
      <c r="G255" s="64"/>
      <c r="H255" s="64"/>
      <c r="I255" s="64"/>
    </row>
    <row r="256" spans="1:9">
      <c r="A256" s="64"/>
      <c r="B256" s="64"/>
      <c r="C256" s="64"/>
      <c r="D256" s="64"/>
      <c r="E256" s="65"/>
      <c r="F256" s="64"/>
      <c r="G256" s="64"/>
      <c r="H256" s="64"/>
      <c r="I256" s="64"/>
    </row>
    <row r="257" spans="1:9">
      <c r="A257" s="64"/>
      <c r="B257" s="64"/>
      <c r="C257" s="64"/>
      <c r="D257" s="64"/>
      <c r="E257" s="65"/>
      <c r="F257" s="64"/>
      <c r="G257" s="64"/>
      <c r="H257" s="64"/>
      <c r="I257" s="64"/>
    </row>
    <row r="258" spans="1:9">
      <c r="A258" s="64"/>
      <c r="B258" s="64"/>
      <c r="C258" s="64"/>
      <c r="D258" s="64"/>
      <c r="E258" s="65"/>
      <c r="F258" s="64"/>
      <c r="G258" s="64"/>
      <c r="H258" s="64"/>
      <c r="I258" s="64"/>
    </row>
    <row r="259" spans="1:9">
      <c r="A259" s="64"/>
      <c r="B259" s="64"/>
      <c r="C259" s="64"/>
      <c r="D259" s="64"/>
      <c r="E259" s="65"/>
      <c r="F259" s="64"/>
      <c r="G259" s="64"/>
      <c r="H259" s="64"/>
      <c r="I259" s="64"/>
    </row>
    <row r="260" spans="1:9">
      <c r="A260" s="64"/>
      <c r="B260" s="64"/>
      <c r="C260" s="64"/>
      <c r="D260" s="64"/>
      <c r="E260" s="65"/>
      <c r="F260" s="64"/>
      <c r="G260" s="64"/>
      <c r="H260" s="64"/>
      <c r="I260" s="64"/>
    </row>
    <row r="261" spans="1:9">
      <c r="A261" s="64"/>
      <c r="B261" s="64"/>
      <c r="C261" s="64"/>
      <c r="D261" s="64"/>
      <c r="E261" s="65"/>
      <c r="F261" s="64"/>
      <c r="G261" s="64"/>
      <c r="H261" s="64"/>
      <c r="I261" s="64"/>
    </row>
    <row r="262" spans="1:9">
      <c r="A262" s="64"/>
      <c r="B262" s="64"/>
      <c r="C262" s="64"/>
      <c r="D262" s="64"/>
      <c r="E262" s="65"/>
      <c r="F262" s="64"/>
      <c r="G262" s="64"/>
      <c r="H262" s="64"/>
      <c r="I262" s="64"/>
    </row>
    <row r="263" spans="1:9">
      <c r="A263" s="64"/>
      <c r="B263" s="64"/>
      <c r="C263" s="64"/>
      <c r="D263" s="64"/>
      <c r="E263" s="65"/>
      <c r="F263" s="64"/>
      <c r="G263" s="64"/>
      <c r="H263" s="64"/>
      <c r="I263" s="64"/>
    </row>
    <row r="264" spans="1:9">
      <c r="A264" s="64"/>
      <c r="B264" s="64"/>
      <c r="C264" s="64"/>
      <c r="D264" s="64"/>
      <c r="E264" s="65"/>
      <c r="F264" s="64"/>
      <c r="G264" s="64"/>
      <c r="H264" s="64"/>
      <c r="I264" s="64"/>
    </row>
    <row r="265" spans="1:9">
      <c r="A265" s="64"/>
      <c r="B265" s="64"/>
      <c r="C265" s="64"/>
      <c r="D265" s="64"/>
      <c r="E265" s="65"/>
      <c r="F265" s="64"/>
      <c r="G265" s="64"/>
      <c r="H265" s="64"/>
      <c r="I265" s="64"/>
    </row>
    <row r="266" spans="1:9">
      <c r="A266" s="64"/>
      <c r="B266" s="64"/>
      <c r="C266" s="64"/>
      <c r="D266" s="64"/>
      <c r="E266" s="65"/>
      <c r="F266" s="64"/>
      <c r="G266" s="64"/>
      <c r="H266" s="64"/>
      <c r="I266" s="64"/>
    </row>
    <row r="267" spans="1:9">
      <c r="A267" s="64"/>
      <c r="B267" s="64"/>
      <c r="C267" s="64"/>
      <c r="D267" s="64"/>
      <c r="E267" s="65"/>
      <c r="F267" s="64"/>
      <c r="G267" s="64"/>
      <c r="H267" s="64"/>
      <c r="I267" s="64"/>
    </row>
    <row r="268" spans="1:9">
      <c r="A268" s="64"/>
      <c r="B268" s="64"/>
      <c r="C268" s="64"/>
      <c r="D268" s="64"/>
      <c r="E268" s="65"/>
      <c r="F268" s="64"/>
      <c r="G268" s="64"/>
      <c r="H268" s="64"/>
      <c r="I268" s="64"/>
    </row>
    <row r="269" spans="1:9">
      <c r="A269" s="64"/>
      <c r="B269" s="64"/>
      <c r="C269" s="64"/>
      <c r="D269" s="64"/>
      <c r="E269" s="65"/>
      <c r="F269" s="64"/>
      <c r="G269" s="64"/>
      <c r="H269" s="64"/>
      <c r="I269" s="64"/>
    </row>
    <row r="270" spans="1:9">
      <c r="A270" s="64"/>
      <c r="B270" s="64"/>
      <c r="C270" s="64"/>
      <c r="D270" s="64"/>
      <c r="E270" s="65"/>
      <c r="F270" s="64"/>
      <c r="G270" s="64"/>
      <c r="H270" s="64"/>
      <c r="I270" s="64"/>
    </row>
    <row r="271" spans="1:9">
      <c r="A271" s="64"/>
      <c r="B271" s="64"/>
      <c r="C271" s="64"/>
      <c r="D271" s="64"/>
      <c r="E271" s="65"/>
      <c r="F271" s="64"/>
      <c r="G271" s="64"/>
      <c r="H271" s="64"/>
      <c r="I271" s="64"/>
    </row>
    <row r="272" spans="1:9">
      <c r="A272" s="64"/>
      <c r="B272" s="64"/>
      <c r="C272" s="64"/>
      <c r="D272" s="64"/>
      <c r="E272" s="65"/>
      <c r="F272" s="64"/>
      <c r="G272" s="64"/>
      <c r="H272" s="64"/>
      <c r="I272" s="64"/>
    </row>
    <row r="273" spans="1:9">
      <c r="A273" s="64"/>
      <c r="B273" s="64"/>
      <c r="C273" s="64"/>
      <c r="D273" s="64"/>
      <c r="E273" s="65"/>
      <c r="F273" s="64"/>
      <c r="G273" s="64"/>
      <c r="H273" s="64"/>
      <c r="I273" s="64"/>
    </row>
    <row r="274" spans="1:9">
      <c r="A274" s="64"/>
      <c r="B274" s="64"/>
      <c r="C274" s="64"/>
      <c r="D274" s="64"/>
      <c r="E274" s="65"/>
      <c r="F274" s="64"/>
      <c r="G274" s="64"/>
      <c r="H274" s="64"/>
      <c r="I274" s="64"/>
    </row>
    <row r="275" spans="1:9">
      <c r="A275" s="64"/>
      <c r="B275" s="64"/>
      <c r="C275" s="64"/>
      <c r="D275" s="64"/>
      <c r="E275" s="65"/>
      <c r="F275" s="64"/>
      <c r="G275" s="64"/>
      <c r="H275" s="64"/>
      <c r="I275" s="64"/>
    </row>
    <row r="276" spans="1:9">
      <c r="A276" s="64"/>
      <c r="B276" s="64"/>
      <c r="C276" s="64"/>
      <c r="D276" s="64"/>
      <c r="E276" s="65"/>
      <c r="F276" s="64"/>
      <c r="G276" s="64"/>
      <c r="H276" s="64"/>
      <c r="I276" s="64"/>
    </row>
    <row r="277" spans="1:9">
      <c r="A277" s="64"/>
      <c r="B277" s="64"/>
      <c r="C277" s="64"/>
      <c r="D277" s="64"/>
      <c r="E277" s="65"/>
      <c r="F277" s="64"/>
      <c r="G277" s="64"/>
      <c r="H277" s="64"/>
      <c r="I277" s="64"/>
    </row>
    <row r="278" spans="1:9">
      <c r="A278" s="64"/>
      <c r="B278" s="64"/>
      <c r="C278" s="64"/>
      <c r="D278" s="64"/>
      <c r="E278" s="65"/>
      <c r="F278" s="64"/>
      <c r="G278" s="64"/>
      <c r="H278" s="64"/>
      <c r="I278" s="64"/>
    </row>
    <row r="279" spans="1:9">
      <c r="A279" s="64"/>
      <c r="B279" s="64"/>
      <c r="C279" s="64"/>
      <c r="D279" s="64"/>
      <c r="E279" s="65"/>
      <c r="F279" s="64"/>
      <c r="G279" s="64"/>
      <c r="H279" s="64"/>
      <c r="I279" s="64"/>
    </row>
    <row r="280" spans="1:9">
      <c r="A280" s="64"/>
      <c r="B280" s="64"/>
      <c r="C280" s="64"/>
      <c r="D280" s="64"/>
      <c r="E280" s="65"/>
      <c r="F280" s="64"/>
      <c r="G280" s="64"/>
      <c r="H280" s="64"/>
      <c r="I280" s="64"/>
    </row>
    <row r="281" spans="1:9">
      <c r="A281" s="64"/>
      <c r="B281" s="64"/>
      <c r="C281" s="64"/>
      <c r="D281" s="64"/>
      <c r="E281" s="65"/>
      <c r="F281" s="64"/>
      <c r="G281" s="64"/>
      <c r="H281" s="64"/>
      <c r="I281" s="64"/>
    </row>
    <row r="282" spans="1:9">
      <c r="A282" s="64"/>
      <c r="B282" s="64"/>
      <c r="C282" s="64"/>
      <c r="D282" s="64"/>
      <c r="E282" s="65"/>
      <c r="F282" s="64"/>
      <c r="G282" s="64"/>
      <c r="H282" s="64"/>
      <c r="I282" s="64"/>
    </row>
    <row r="283" spans="1:9">
      <c r="A283" s="64"/>
      <c r="B283" s="64"/>
      <c r="C283" s="64"/>
      <c r="D283" s="64"/>
      <c r="E283" s="65"/>
      <c r="F283" s="64"/>
      <c r="G283" s="64"/>
      <c r="H283" s="64"/>
      <c r="I283" s="64"/>
    </row>
    <row r="284" spans="1:9">
      <c r="A284" s="64"/>
      <c r="B284" s="64"/>
      <c r="C284" s="64"/>
      <c r="D284" s="64"/>
      <c r="E284" s="65"/>
      <c r="F284" s="64"/>
      <c r="G284" s="64"/>
      <c r="H284" s="64"/>
      <c r="I284" s="64"/>
    </row>
    <row r="285" spans="1:9">
      <c r="A285" s="64"/>
      <c r="B285" s="64"/>
      <c r="C285" s="64"/>
      <c r="D285" s="64"/>
      <c r="E285" s="65"/>
      <c r="F285" s="64"/>
      <c r="G285" s="64"/>
      <c r="H285" s="64"/>
      <c r="I285" s="64"/>
    </row>
    <row r="286" spans="1:9">
      <c r="A286" s="64"/>
      <c r="B286" s="64"/>
      <c r="C286" s="64"/>
      <c r="D286" s="64"/>
      <c r="E286" s="65"/>
      <c r="F286" s="64"/>
      <c r="G286" s="64"/>
      <c r="H286" s="64"/>
      <c r="I286" s="64"/>
    </row>
    <row r="287" spans="1:9">
      <c r="A287" s="64"/>
      <c r="B287" s="64"/>
      <c r="C287" s="64"/>
      <c r="D287" s="64"/>
      <c r="E287" s="65"/>
      <c r="F287" s="64"/>
      <c r="G287" s="64"/>
      <c r="H287" s="64"/>
      <c r="I287" s="64"/>
    </row>
    <row r="288" spans="1:9">
      <c r="A288" s="64"/>
      <c r="B288" s="64"/>
      <c r="C288" s="64"/>
      <c r="D288" s="64"/>
      <c r="E288" s="65"/>
      <c r="F288" s="64"/>
      <c r="G288" s="64"/>
      <c r="H288" s="64"/>
      <c r="I288" s="64"/>
    </row>
    <row r="289" spans="1:9">
      <c r="A289" s="64"/>
      <c r="B289" s="64"/>
      <c r="C289" s="64"/>
      <c r="D289" s="64"/>
      <c r="E289" s="65"/>
      <c r="F289" s="64"/>
      <c r="G289" s="64"/>
      <c r="H289" s="64"/>
      <c r="I289" s="64"/>
    </row>
    <row r="290" spans="1:9">
      <c r="A290" s="64"/>
      <c r="B290" s="64"/>
      <c r="C290" s="64"/>
      <c r="D290" s="64"/>
      <c r="E290" s="65"/>
      <c r="F290" s="64"/>
      <c r="G290" s="64"/>
      <c r="H290" s="64"/>
      <c r="I290" s="64"/>
    </row>
    <row r="291" spans="1:9">
      <c r="A291" s="64"/>
      <c r="B291" s="64"/>
      <c r="C291" s="64"/>
      <c r="D291" s="64"/>
      <c r="E291" s="65"/>
      <c r="F291" s="64"/>
      <c r="G291" s="64"/>
      <c r="H291" s="64"/>
      <c r="I291" s="64"/>
    </row>
    <row r="292" spans="1:9">
      <c r="A292" s="64"/>
      <c r="B292" s="64"/>
      <c r="C292" s="64"/>
      <c r="D292" s="64"/>
      <c r="E292" s="65"/>
      <c r="F292" s="64"/>
      <c r="G292" s="64"/>
      <c r="H292" s="64"/>
      <c r="I292" s="64"/>
    </row>
    <row r="293" spans="1:9">
      <c r="A293" s="64"/>
      <c r="B293" s="64"/>
      <c r="C293" s="64"/>
      <c r="D293" s="64"/>
      <c r="E293" s="65"/>
      <c r="F293" s="64"/>
      <c r="G293" s="64"/>
      <c r="H293" s="64"/>
      <c r="I293" s="64"/>
    </row>
    <row r="294" spans="1:9">
      <c r="A294" s="64"/>
      <c r="B294" s="64"/>
      <c r="C294" s="64"/>
      <c r="D294" s="64"/>
      <c r="E294" s="65"/>
      <c r="F294" s="64"/>
      <c r="G294" s="64"/>
      <c r="H294" s="64"/>
      <c r="I294" s="64"/>
    </row>
    <row r="295" spans="1:9">
      <c r="A295" s="64"/>
      <c r="B295" s="64"/>
      <c r="C295" s="64"/>
      <c r="D295" s="64"/>
      <c r="E295" s="65"/>
      <c r="F295" s="64"/>
      <c r="G295" s="64"/>
      <c r="H295" s="64"/>
      <c r="I295" s="64"/>
    </row>
    <row r="296" spans="1:9">
      <c r="A296" s="64"/>
      <c r="B296" s="64"/>
      <c r="C296" s="64"/>
      <c r="D296" s="64"/>
      <c r="E296" s="65"/>
      <c r="F296" s="64"/>
      <c r="G296" s="64"/>
      <c r="H296" s="64"/>
      <c r="I296" s="64"/>
    </row>
    <row r="297" spans="1:9">
      <c r="A297" s="64"/>
      <c r="B297" s="64"/>
      <c r="C297" s="64"/>
      <c r="D297" s="64"/>
      <c r="E297" s="65"/>
      <c r="F297" s="64"/>
      <c r="G297" s="64"/>
      <c r="H297" s="64"/>
      <c r="I297" s="64"/>
    </row>
    <row r="298" spans="1:9">
      <c r="A298" s="64"/>
      <c r="B298" s="64"/>
      <c r="C298" s="64"/>
      <c r="D298" s="64"/>
      <c r="E298" s="65"/>
      <c r="F298" s="64"/>
      <c r="G298" s="64"/>
      <c r="H298" s="64"/>
      <c r="I298" s="64"/>
    </row>
    <row r="299" spans="1:9">
      <c r="A299" s="64"/>
      <c r="B299" s="64"/>
      <c r="C299" s="64"/>
      <c r="D299" s="64"/>
      <c r="E299" s="65"/>
      <c r="F299" s="64"/>
      <c r="G299" s="64"/>
      <c r="H299" s="64"/>
      <c r="I299" s="64"/>
    </row>
    <row r="300" spans="1:9">
      <c r="A300" s="64"/>
      <c r="B300" s="64"/>
      <c r="C300" s="64"/>
      <c r="D300" s="64"/>
      <c r="E300" s="65"/>
      <c r="F300" s="64"/>
      <c r="G300" s="64"/>
      <c r="H300" s="64"/>
      <c r="I300" s="64"/>
    </row>
    <row r="301" spans="1:9">
      <c r="A301" s="64"/>
      <c r="B301" s="64"/>
      <c r="C301" s="64"/>
      <c r="D301" s="64"/>
      <c r="E301" s="65"/>
      <c r="F301" s="64"/>
      <c r="G301" s="64"/>
      <c r="H301" s="64"/>
      <c r="I301" s="64"/>
    </row>
    <row r="302" spans="1:9">
      <c r="A302" s="64"/>
      <c r="B302" s="64"/>
      <c r="C302" s="64"/>
      <c r="D302" s="64"/>
      <c r="E302" s="65"/>
      <c r="F302" s="64"/>
      <c r="G302" s="64"/>
      <c r="H302" s="64"/>
      <c r="I302" s="64"/>
    </row>
    <row r="303" spans="1:9">
      <c r="A303" s="64"/>
      <c r="B303" s="64"/>
      <c r="C303" s="64"/>
      <c r="D303" s="64"/>
      <c r="E303" s="65"/>
      <c r="F303" s="64"/>
      <c r="G303" s="64"/>
      <c r="H303" s="64"/>
      <c r="I303" s="64"/>
    </row>
    <row r="304" spans="1:9">
      <c r="A304" s="64"/>
      <c r="B304" s="64"/>
      <c r="C304" s="64"/>
      <c r="D304" s="64"/>
      <c r="E304" s="65"/>
      <c r="F304" s="64"/>
      <c r="G304" s="64"/>
      <c r="H304" s="64"/>
      <c r="I304" s="64"/>
    </row>
    <row r="305" spans="1:9">
      <c r="A305" s="64"/>
      <c r="B305" s="64"/>
      <c r="C305" s="64"/>
      <c r="D305" s="64"/>
      <c r="E305" s="65"/>
      <c r="F305" s="64"/>
      <c r="G305" s="64"/>
      <c r="H305" s="64"/>
      <c r="I305" s="64"/>
    </row>
    <row r="306" spans="1:9">
      <c r="A306" s="64"/>
      <c r="B306" s="64"/>
      <c r="C306" s="64"/>
      <c r="D306" s="64"/>
      <c r="E306" s="65"/>
      <c r="F306" s="64"/>
      <c r="G306" s="64"/>
      <c r="H306" s="64"/>
      <c r="I306" s="64"/>
    </row>
    <row r="307" spans="1:9">
      <c r="A307" s="64"/>
      <c r="B307" s="64"/>
      <c r="C307" s="64"/>
      <c r="D307" s="64"/>
      <c r="E307" s="65"/>
      <c r="F307" s="64"/>
      <c r="G307" s="64"/>
      <c r="H307" s="64"/>
      <c r="I307" s="64"/>
    </row>
    <row r="308" spans="1:9">
      <c r="A308" s="64"/>
      <c r="B308" s="64"/>
      <c r="C308" s="64"/>
      <c r="D308" s="64"/>
      <c r="E308" s="65"/>
      <c r="F308" s="64"/>
      <c r="G308" s="64"/>
      <c r="H308" s="64"/>
      <c r="I308" s="64"/>
    </row>
    <row r="309" spans="1:9">
      <c r="A309" s="64"/>
      <c r="B309" s="64"/>
      <c r="C309" s="64"/>
      <c r="D309" s="64"/>
      <c r="E309" s="65"/>
      <c r="F309" s="64"/>
      <c r="G309" s="64"/>
      <c r="H309" s="64"/>
      <c r="I309" s="64"/>
    </row>
    <row r="310" spans="1:9">
      <c r="A310" s="64"/>
      <c r="B310" s="64"/>
      <c r="C310" s="64"/>
      <c r="D310" s="64"/>
      <c r="E310" s="65"/>
      <c r="F310" s="64"/>
      <c r="G310" s="64"/>
      <c r="H310" s="64"/>
      <c r="I310" s="64"/>
    </row>
    <row r="311" spans="1:9">
      <c r="A311" s="64"/>
      <c r="B311" s="64"/>
      <c r="C311" s="64"/>
      <c r="D311" s="64"/>
      <c r="E311" s="65"/>
      <c r="F311" s="64"/>
      <c r="G311" s="64"/>
      <c r="H311" s="64"/>
      <c r="I311" s="64"/>
    </row>
    <row r="312" spans="1:9">
      <c r="A312" s="64"/>
      <c r="B312" s="64"/>
      <c r="C312" s="64"/>
      <c r="D312" s="64"/>
      <c r="E312" s="65"/>
      <c r="F312" s="64"/>
      <c r="G312" s="64"/>
      <c r="H312" s="64"/>
      <c r="I312" s="64"/>
    </row>
    <row r="313" spans="1:9">
      <c r="A313" s="64"/>
      <c r="B313" s="64"/>
      <c r="C313" s="64"/>
      <c r="D313" s="64"/>
      <c r="E313" s="65"/>
      <c r="F313" s="64"/>
      <c r="G313" s="64"/>
      <c r="H313" s="64"/>
      <c r="I313" s="64"/>
    </row>
    <row r="314" spans="1:9">
      <c r="A314" s="64"/>
      <c r="B314" s="64"/>
      <c r="C314" s="64"/>
      <c r="D314" s="64"/>
      <c r="E314" s="65"/>
      <c r="F314" s="64"/>
      <c r="G314" s="64"/>
      <c r="H314" s="64"/>
      <c r="I314" s="64"/>
    </row>
    <row r="315" spans="1:9">
      <c r="A315" s="64"/>
      <c r="B315" s="64"/>
      <c r="C315" s="64"/>
      <c r="D315" s="64"/>
      <c r="E315" s="65"/>
      <c r="F315" s="64"/>
      <c r="G315" s="64"/>
      <c r="H315" s="64"/>
      <c r="I315" s="64"/>
    </row>
    <row r="316" spans="1:9">
      <c r="A316" s="64"/>
      <c r="B316" s="64"/>
      <c r="C316" s="64"/>
      <c r="D316" s="64"/>
      <c r="E316" s="65"/>
      <c r="F316" s="64"/>
      <c r="G316" s="64"/>
      <c r="H316" s="64"/>
      <c r="I316" s="64"/>
    </row>
    <row r="317" spans="1:9">
      <c r="A317" s="64"/>
      <c r="B317" s="64"/>
      <c r="C317" s="64"/>
      <c r="D317" s="64"/>
      <c r="E317" s="65"/>
      <c r="F317" s="64"/>
      <c r="G317" s="64"/>
      <c r="H317" s="64"/>
      <c r="I317" s="64"/>
    </row>
    <row r="318" spans="1:9">
      <c r="A318" s="64"/>
      <c r="B318" s="64"/>
      <c r="C318" s="64"/>
      <c r="D318" s="64"/>
      <c r="E318" s="65"/>
      <c r="F318" s="64"/>
      <c r="G318" s="64"/>
      <c r="H318" s="64"/>
      <c r="I318" s="64"/>
    </row>
    <row r="319" spans="1:9">
      <c r="A319" s="64"/>
      <c r="B319" s="64"/>
      <c r="C319" s="64"/>
      <c r="D319" s="64"/>
      <c r="E319" s="65"/>
      <c r="F319" s="64"/>
      <c r="G319" s="64"/>
      <c r="H319" s="64"/>
      <c r="I319" s="64"/>
    </row>
    <row r="320" spans="1:9">
      <c r="A320" s="64"/>
      <c r="B320" s="64"/>
      <c r="C320" s="64"/>
      <c r="D320" s="64"/>
      <c r="E320" s="65"/>
      <c r="F320" s="64"/>
      <c r="G320" s="64"/>
      <c r="H320" s="64"/>
      <c r="I320" s="64"/>
    </row>
    <row r="321" spans="1:9">
      <c r="A321" s="64"/>
      <c r="B321" s="64"/>
      <c r="C321" s="64"/>
      <c r="D321" s="64"/>
      <c r="E321" s="65"/>
      <c r="F321" s="64"/>
      <c r="G321" s="64"/>
      <c r="H321" s="64"/>
      <c r="I321" s="64"/>
    </row>
    <row r="322" spans="1:9">
      <c r="A322" s="64"/>
      <c r="B322" s="64"/>
      <c r="C322" s="64"/>
      <c r="D322" s="64"/>
      <c r="E322" s="65"/>
      <c r="F322" s="64"/>
      <c r="G322" s="64"/>
      <c r="H322" s="64"/>
      <c r="I322" s="64"/>
    </row>
    <row r="323" spans="1:9">
      <c r="A323" s="64"/>
      <c r="B323" s="64"/>
      <c r="C323" s="64"/>
      <c r="D323" s="64"/>
      <c r="E323" s="65"/>
      <c r="F323" s="64"/>
      <c r="G323" s="64"/>
      <c r="H323" s="64"/>
      <c r="I323" s="64"/>
    </row>
    <row r="324" spans="1:9">
      <c r="A324" s="64"/>
      <c r="B324" s="64"/>
      <c r="C324" s="64"/>
      <c r="D324" s="64"/>
      <c r="E324" s="65"/>
      <c r="F324" s="64"/>
      <c r="G324" s="64"/>
      <c r="H324" s="64"/>
      <c r="I324" s="64"/>
    </row>
    <row r="325" spans="1:9">
      <c r="A325" s="64"/>
      <c r="B325" s="64"/>
      <c r="C325" s="64"/>
      <c r="D325" s="64"/>
      <c r="E325" s="65"/>
      <c r="F325" s="64"/>
      <c r="G325" s="64"/>
      <c r="H325" s="64"/>
      <c r="I325" s="64"/>
    </row>
    <row r="326" spans="1:9">
      <c r="A326" s="64"/>
      <c r="B326" s="64"/>
      <c r="C326" s="64"/>
      <c r="D326" s="64"/>
      <c r="E326" s="65"/>
      <c r="F326" s="64"/>
      <c r="G326" s="64"/>
      <c r="H326" s="64"/>
      <c r="I326" s="64"/>
    </row>
    <row r="327" spans="1:9">
      <c r="A327" s="64"/>
      <c r="B327" s="64"/>
      <c r="C327" s="64"/>
      <c r="D327" s="64"/>
      <c r="E327" s="65"/>
      <c r="F327" s="64"/>
      <c r="G327" s="64"/>
      <c r="H327" s="64"/>
      <c r="I327" s="64"/>
    </row>
    <row r="328" spans="1:9">
      <c r="A328" s="64"/>
      <c r="B328" s="64"/>
      <c r="C328" s="64"/>
      <c r="D328" s="64"/>
      <c r="E328" s="65"/>
      <c r="F328" s="64"/>
      <c r="G328" s="64"/>
      <c r="H328" s="64"/>
      <c r="I328" s="64"/>
    </row>
    <row r="329" spans="1:9">
      <c r="A329" s="64"/>
      <c r="B329" s="64"/>
      <c r="C329" s="64"/>
      <c r="D329" s="64"/>
      <c r="E329" s="65"/>
      <c r="F329" s="64"/>
      <c r="G329" s="64"/>
      <c r="H329" s="64"/>
      <c r="I329" s="64"/>
    </row>
    <row r="330" spans="1:9">
      <c r="A330" s="64"/>
      <c r="B330" s="64"/>
      <c r="C330" s="64"/>
      <c r="D330" s="64"/>
      <c r="E330" s="65"/>
      <c r="F330" s="64"/>
      <c r="G330" s="64"/>
      <c r="H330" s="64"/>
      <c r="I330" s="64"/>
    </row>
    <row r="331" spans="1:9">
      <c r="A331" s="64"/>
      <c r="B331" s="64"/>
      <c r="C331" s="64"/>
      <c r="D331" s="64"/>
      <c r="E331" s="65"/>
      <c r="F331" s="64"/>
      <c r="G331" s="64"/>
      <c r="H331" s="64"/>
      <c r="I331" s="64"/>
    </row>
    <row r="332" spans="1:9">
      <c r="A332" s="64"/>
      <c r="B332" s="64"/>
      <c r="C332" s="64"/>
      <c r="D332" s="64"/>
      <c r="E332" s="65"/>
      <c r="F332" s="64"/>
      <c r="G332" s="64"/>
      <c r="H332" s="64"/>
      <c r="I332" s="64"/>
    </row>
    <row r="333" spans="1:9">
      <c r="A333" s="64"/>
      <c r="B333" s="64"/>
      <c r="C333" s="64"/>
      <c r="D333" s="64"/>
      <c r="E333" s="65"/>
      <c r="F333" s="64"/>
      <c r="G333" s="64"/>
      <c r="H333" s="64"/>
      <c r="I333" s="64"/>
    </row>
    <row r="334" spans="1:9">
      <c r="A334" s="64"/>
      <c r="B334" s="64"/>
      <c r="C334" s="64"/>
      <c r="D334" s="64"/>
      <c r="E334" s="65"/>
      <c r="F334" s="64"/>
      <c r="G334" s="64"/>
      <c r="H334" s="64"/>
      <c r="I334" s="64"/>
    </row>
    <row r="335" spans="1:9">
      <c r="A335" s="64"/>
      <c r="B335" s="64"/>
      <c r="C335" s="64"/>
      <c r="D335" s="64"/>
      <c r="E335" s="65"/>
      <c r="F335" s="64"/>
      <c r="G335" s="64"/>
      <c r="H335" s="64"/>
      <c r="I335" s="64"/>
    </row>
    <row r="336" spans="1:9">
      <c r="A336" s="64"/>
      <c r="B336" s="64"/>
      <c r="C336" s="64"/>
      <c r="D336" s="64"/>
      <c r="E336" s="65"/>
      <c r="F336" s="64"/>
      <c r="G336" s="64"/>
      <c r="H336" s="64"/>
      <c r="I336" s="64"/>
    </row>
    <row r="337" spans="1:9">
      <c r="A337" s="64"/>
      <c r="B337" s="64"/>
      <c r="C337" s="64"/>
      <c r="D337" s="64"/>
      <c r="E337" s="65"/>
      <c r="F337" s="64"/>
      <c r="G337" s="64"/>
      <c r="H337" s="64"/>
      <c r="I337" s="64"/>
    </row>
    <row r="338" spans="1:9">
      <c r="A338" s="64"/>
      <c r="B338" s="64"/>
      <c r="C338" s="64"/>
      <c r="D338" s="64"/>
      <c r="E338" s="65"/>
      <c r="F338" s="64"/>
      <c r="G338" s="64"/>
      <c r="H338" s="64"/>
      <c r="I338" s="64"/>
    </row>
    <row r="339" spans="1:9">
      <c r="A339" s="64"/>
      <c r="B339" s="64"/>
      <c r="C339" s="64"/>
      <c r="D339" s="64"/>
      <c r="E339" s="65"/>
      <c r="F339" s="64"/>
      <c r="G339" s="64"/>
      <c r="H339" s="64"/>
      <c r="I339" s="64"/>
    </row>
    <row r="340" spans="1:9">
      <c r="A340" s="64"/>
      <c r="B340" s="64"/>
      <c r="C340" s="64"/>
      <c r="D340" s="64"/>
      <c r="E340" s="65"/>
      <c r="F340" s="64"/>
      <c r="G340" s="64"/>
      <c r="H340" s="64"/>
      <c r="I340" s="64"/>
    </row>
    <row r="341" spans="1:9">
      <c r="A341" s="64"/>
      <c r="B341" s="64"/>
      <c r="C341" s="64"/>
      <c r="D341" s="64"/>
      <c r="E341" s="65"/>
      <c r="F341" s="64"/>
      <c r="G341" s="64"/>
      <c r="H341" s="64"/>
      <c r="I341" s="64"/>
    </row>
    <row r="342" spans="1:9">
      <c r="A342" s="64"/>
      <c r="B342" s="64"/>
      <c r="C342" s="64"/>
      <c r="D342" s="64"/>
      <c r="E342" s="65"/>
      <c r="F342" s="64"/>
      <c r="G342" s="64"/>
      <c r="H342" s="64"/>
      <c r="I342" s="64"/>
    </row>
    <row r="343" spans="1:9">
      <c r="A343" s="64"/>
      <c r="B343" s="64"/>
      <c r="C343" s="64"/>
      <c r="D343" s="64"/>
      <c r="E343" s="65"/>
      <c r="F343" s="64"/>
      <c r="G343" s="64"/>
      <c r="H343" s="64"/>
      <c r="I343" s="64"/>
    </row>
    <row r="344" spans="1:9">
      <c r="A344" s="64"/>
      <c r="B344" s="64"/>
      <c r="C344" s="64"/>
      <c r="D344" s="64"/>
      <c r="E344" s="65"/>
      <c r="F344" s="64"/>
      <c r="G344" s="64"/>
      <c r="H344" s="64"/>
      <c r="I344" s="64"/>
    </row>
    <row r="345" spans="1:9">
      <c r="A345" s="64"/>
      <c r="B345" s="64"/>
      <c r="C345" s="64"/>
      <c r="D345" s="64"/>
      <c r="E345" s="65"/>
      <c r="F345" s="64"/>
      <c r="G345" s="64"/>
      <c r="H345" s="64"/>
      <c r="I345" s="64"/>
    </row>
    <row r="346" spans="1:9">
      <c r="A346" s="64"/>
      <c r="B346" s="64"/>
      <c r="C346" s="64"/>
      <c r="D346" s="64"/>
      <c r="E346" s="65"/>
      <c r="F346" s="64"/>
      <c r="G346" s="64"/>
      <c r="H346" s="64"/>
      <c r="I346" s="64"/>
    </row>
    <row r="347" spans="1:9">
      <c r="A347" s="64"/>
      <c r="B347" s="64"/>
      <c r="C347" s="64"/>
      <c r="D347" s="64"/>
      <c r="E347" s="65"/>
      <c r="F347" s="64"/>
      <c r="G347" s="64"/>
      <c r="H347" s="64"/>
      <c r="I347" s="64"/>
    </row>
    <row r="348" spans="1:9">
      <c r="A348" s="64"/>
      <c r="B348" s="64"/>
      <c r="C348" s="64"/>
      <c r="D348" s="64"/>
      <c r="E348" s="65"/>
      <c r="F348" s="64"/>
      <c r="G348" s="64"/>
      <c r="H348" s="64"/>
      <c r="I348" s="64"/>
    </row>
    <row r="349" spans="1:9">
      <c r="A349" s="64"/>
      <c r="B349" s="64"/>
      <c r="C349" s="64"/>
      <c r="D349" s="64"/>
      <c r="E349" s="65"/>
      <c r="F349" s="64"/>
      <c r="G349" s="64"/>
      <c r="H349" s="64"/>
      <c r="I349" s="64"/>
    </row>
    <row r="350" spans="1:9">
      <c r="A350" s="64"/>
      <c r="B350" s="64"/>
      <c r="C350" s="64"/>
      <c r="D350" s="64"/>
      <c r="E350" s="65"/>
      <c r="F350" s="64"/>
      <c r="G350" s="64"/>
      <c r="H350" s="64"/>
      <c r="I350" s="64"/>
    </row>
    <row r="351" spans="1:9">
      <c r="A351" s="64"/>
      <c r="B351" s="64"/>
      <c r="C351" s="64"/>
      <c r="D351" s="64"/>
      <c r="E351" s="65"/>
      <c r="F351" s="64"/>
      <c r="G351" s="64"/>
      <c r="H351" s="64"/>
      <c r="I351" s="64"/>
    </row>
    <row r="352" spans="1:9">
      <c r="A352" s="64"/>
      <c r="B352" s="64"/>
      <c r="C352" s="64"/>
      <c r="D352" s="64"/>
      <c r="E352" s="65"/>
      <c r="F352" s="64"/>
      <c r="G352" s="64"/>
      <c r="H352" s="64"/>
      <c r="I352" s="64"/>
    </row>
    <row r="353" spans="1:9">
      <c r="A353" s="64"/>
      <c r="B353" s="64"/>
      <c r="C353" s="64"/>
      <c r="D353" s="64"/>
      <c r="E353" s="65"/>
      <c r="F353" s="64"/>
      <c r="G353" s="64"/>
      <c r="H353" s="64"/>
      <c r="I353" s="64"/>
    </row>
    <row r="354" spans="1:9">
      <c r="A354" s="64"/>
      <c r="B354" s="64"/>
      <c r="C354" s="64"/>
      <c r="D354" s="64"/>
      <c r="E354" s="65"/>
      <c r="F354" s="64"/>
      <c r="G354" s="64"/>
      <c r="H354" s="64"/>
      <c r="I354" s="64"/>
    </row>
    <row r="355" spans="1:9">
      <c r="A355" s="64"/>
      <c r="B355" s="64"/>
      <c r="C355" s="64"/>
      <c r="D355" s="64"/>
      <c r="E355" s="65"/>
      <c r="F355" s="64"/>
      <c r="G355" s="64"/>
      <c r="H355" s="64"/>
      <c r="I355" s="64"/>
    </row>
    <row r="356" spans="1:9">
      <c r="A356" s="64"/>
      <c r="B356" s="64"/>
      <c r="C356" s="64"/>
      <c r="D356" s="64"/>
      <c r="E356" s="65"/>
      <c r="F356" s="64"/>
      <c r="G356" s="64"/>
      <c r="H356" s="64"/>
      <c r="I356" s="64"/>
    </row>
    <row r="357" spans="1:9">
      <c r="A357" s="64"/>
      <c r="B357" s="64"/>
      <c r="C357" s="64"/>
      <c r="D357" s="64"/>
      <c r="E357" s="65"/>
      <c r="F357" s="64"/>
      <c r="G357" s="64"/>
      <c r="H357" s="64"/>
      <c r="I357" s="64"/>
    </row>
    <row r="358" spans="1:9">
      <c r="A358" s="64"/>
      <c r="B358" s="64"/>
      <c r="C358" s="64"/>
      <c r="D358" s="64"/>
      <c r="E358" s="65"/>
      <c r="F358" s="64"/>
      <c r="G358" s="64"/>
      <c r="H358" s="64"/>
      <c r="I358" s="64"/>
    </row>
    <row r="359" spans="1:9">
      <c r="A359" s="64"/>
      <c r="B359" s="64"/>
      <c r="C359" s="64"/>
      <c r="D359" s="64"/>
      <c r="E359" s="65"/>
      <c r="F359" s="64"/>
      <c r="G359" s="64"/>
      <c r="H359" s="64"/>
      <c r="I359" s="64"/>
    </row>
    <row r="360" spans="1:9">
      <c r="A360" s="64"/>
      <c r="B360" s="64"/>
      <c r="C360" s="64"/>
      <c r="D360" s="64"/>
      <c r="E360" s="65"/>
      <c r="F360" s="64"/>
      <c r="G360" s="64"/>
      <c r="H360" s="64"/>
      <c r="I360" s="64"/>
    </row>
    <row r="361" spans="1:9">
      <c r="A361" s="64"/>
      <c r="B361" s="64"/>
      <c r="C361" s="64"/>
      <c r="D361" s="64"/>
      <c r="E361" s="65"/>
      <c r="F361" s="64"/>
      <c r="G361" s="64"/>
      <c r="H361" s="64"/>
      <c r="I361" s="64"/>
    </row>
    <row r="362" spans="1:9">
      <c r="A362" s="64"/>
      <c r="B362" s="64"/>
      <c r="C362" s="64"/>
      <c r="D362" s="64"/>
      <c r="E362" s="65"/>
      <c r="F362" s="64"/>
      <c r="G362" s="64"/>
      <c r="H362" s="64"/>
      <c r="I362" s="64"/>
    </row>
    <row r="363" spans="1:9">
      <c r="A363" s="64"/>
      <c r="B363" s="64"/>
      <c r="C363" s="64"/>
      <c r="D363" s="64"/>
      <c r="E363" s="65"/>
      <c r="F363" s="64"/>
      <c r="G363" s="64"/>
      <c r="H363" s="64"/>
      <c r="I363" s="64"/>
    </row>
    <row r="364" spans="1:9">
      <c r="A364" s="64"/>
      <c r="B364" s="64"/>
      <c r="C364" s="64"/>
      <c r="D364" s="64"/>
      <c r="E364" s="65"/>
      <c r="F364" s="64"/>
      <c r="G364" s="64"/>
      <c r="H364" s="64"/>
      <c r="I364" s="64"/>
    </row>
    <row r="365" spans="1:9">
      <c r="A365" s="64"/>
      <c r="B365" s="64"/>
      <c r="C365" s="64"/>
      <c r="D365" s="64"/>
      <c r="E365" s="65"/>
      <c r="F365" s="64"/>
      <c r="G365" s="64"/>
      <c r="H365" s="64"/>
      <c r="I365" s="64"/>
    </row>
    <row r="366" spans="1:9">
      <c r="A366" s="64"/>
      <c r="B366" s="64"/>
      <c r="C366" s="64"/>
      <c r="D366" s="64"/>
      <c r="E366" s="65"/>
      <c r="F366" s="64"/>
      <c r="G366" s="64"/>
      <c r="H366" s="64"/>
      <c r="I366" s="64"/>
    </row>
    <row r="367" spans="1:9">
      <c r="A367" s="64"/>
      <c r="B367" s="64"/>
      <c r="C367" s="64"/>
      <c r="D367" s="64"/>
      <c r="E367" s="65"/>
      <c r="F367" s="64"/>
      <c r="G367" s="64"/>
      <c r="H367" s="64"/>
      <c r="I367" s="64"/>
    </row>
    <row r="368" spans="1:9">
      <c r="A368" s="64"/>
      <c r="B368" s="64"/>
      <c r="C368" s="64"/>
      <c r="D368" s="64"/>
      <c r="E368" s="65"/>
      <c r="F368" s="64"/>
      <c r="G368" s="64"/>
      <c r="H368" s="64"/>
      <c r="I368" s="64"/>
    </row>
    <row r="369" spans="1:9">
      <c r="A369" s="64"/>
      <c r="B369" s="64"/>
      <c r="C369" s="64"/>
      <c r="D369" s="64"/>
      <c r="E369" s="65"/>
      <c r="F369" s="64"/>
      <c r="G369" s="64"/>
      <c r="H369" s="64"/>
      <c r="I369" s="64"/>
    </row>
    <row r="370" spans="1:9">
      <c r="A370" s="64"/>
      <c r="B370" s="64"/>
      <c r="C370" s="64"/>
      <c r="D370" s="64"/>
      <c r="E370" s="65"/>
      <c r="F370" s="64"/>
      <c r="G370" s="64"/>
      <c r="H370" s="64"/>
      <c r="I370" s="64"/>
    </row>
    <row r="371" spans="1:9">
      <c r="A371" s="64"/>
      <c r="B371" s="64"/>
      <c r="C371" s="64"/>
      <c r="D371" s="64"/>
      <c r="E371" s="65"/>
      <c r="F371" s="64"/>
      <c r="G371" s="64"/>
      <c r="H371" s="64"/>
      <c r="I371" s="64"/>
    </row>
    <row r="372" spans="1:9">
      <c r="A372" s="64"/>
      <c r="B372" s="64"/>
      <c r="C372" s="64"/>
      <c r="D372" s="64"/>
      <c r="E372" s="65"/>
      <c r="F372" s="64"/>
      <c r="G372" s="64"/>
      <c r="H372" s="64"/>
      <c r="I372" s="64"/>
    </row>
    <row r="373" spans="1:9">
      <c r="A373" s="64"/>
      <c r="B373" s="64"/>
      <c r="C373" s="64"/>
      <c r="D373" s="64"/>
      <c r="E373" s="65"/>
      <c r="F373" s="64"/>
      <c r="G373" s="64"/>
      <c r="H373" s="64"/>
      <c r="I373" s="64"/>
    </row>
    <row r="374" spans="1:9">
      <c r="A374" s="64"/>
      <c r="B374" s="64"/>
      <c r="C374" s="64"/>
      <c r="D374" s="64"/>
      <c r="E374" s="65"/>
      <c r="F374" s="64"/>
      <c r="G374" s="64"/>
      <c r="H374" s="64"/>
      <c r="I374" s="64"/>
    </row>
    <row r="375" spans="1:9">
      <c r="A375" s="64"/>
      <c r="B375" s="64"/>
      <c r="C375" s="64"/>
      <c r="D375" s="64"/>
      <c r="E375" s="65"/>
      <c r="F375" s="64"/>
      <c r="G375" s="64"/>
      <c r="H375" s="64"/>
      <c r="I375" s="64"/>
    </row>
    <row r="376" spans="1:9">
      <c r="A376" s="64"/>
      <c r="B376" s="64"/>
      <c r="C376" s="64"/>
      <c r="D376" s="64"/>
      <c r="E376" s="65"/>
      <c r="F376" s="64"/>
      <c r="G376" s="64"/>
      <c r="H376" s="64"/>
      <c r="I376" s="64"/>
    </row>
    <row r="377" spans="1:9">
      <c r="A377" s="64"/>
      <c r="B377" s="64"/>
      <c r="C377" s="64"/>
      <c r="D377" s="64"/>
      <c r="E377" s="65"/>
      <c r="F377" s="64"/>
      <c r="G377" s="64"/>
      <c r="H377" s="64"/>
      <c r="I377" s="64"/>
    </row>
    <row r="378" spans="1:9">
      <c r="A378" s="64"/>
      <c r="B378" s="64"/>
      <c r="C378" s="64"/>
      <c r="D378" s="64"/>
      <c r="E378" s="65"/>
      <c r="F378" s="64"/>
      <c r="G378" s="64"/>
      <c r="H378" s="64"/>
      <c r="I378" s="64"/>
    </row>
    <row r="379" spans="1:9">
      <c r="A379" s="64"/>
      <c r="B379" s="64"/>
      <c r="C379" s="64"/>
      <c r="D379" s="64"/>
      <c r="E379" s="65"/>
      <c r="F379" s="64"/>
      <c r="G379" s="64"/>
      <c r="H379" s="64"/>
      <c r="I379" s="64"/>
    </row>
    <row r="380" spans="1:9">
      <c r="A380" s="64"/>
      <c r="B380" s="64"/>
      <c r="C380" s="64"/>
      <c r="D380" s="64"/>
      <c r="E380" s="65"/>
      <c r="F380" s="64"/>
      <c r="G380" s="64"/>
      <c r="H380" s="64"/>
      <c r="I380" s="64"/>
    </row>
    <row r="381" spans="1:9">
      <c r="A381" s="64"/>
      <c r="B381" s="64"/>
      <c r="C381" s="64"/>
      <c r="D381" s="64"/>
      <c r="E381" s="65"/>
      <c r="F381" s="64"/>
      <c r="G381" s="64"/>
      <c r="H381" s="64"/>
      <c r="I381" s="64"/>
    </row>
    <row r="382" spans="1:9">
      <c r="A382" s="64"/>
      <c r="B382" s="64"/>
      <c r="C382" s="64"/>
      <c r="D382" s="64"/>
      <c r="E382" s="65"/>
      <c r="F382" s="64"/>
      <c r="G382" s="64"/>
      <c r="H382" s="64"/>
      <c r="I382" s="64"/>
    </row>
    <row r="383" spans="1:9">
      <c r="A383" s="64"/>
      <c r="B383" s="64"/>
      <c r="C383" s="64"/>
      <c r="D383" s="64"/>
      <c r="E383" s="65"/>
      <c r="F383" s="64"/>
      <c r="G383" s="64"/>
      <c r="H383" s="64"/>
      <c r="I383" s="64"/>
    </row>
    <row r="384" spans="1:9">
      <c r="A384" s="64"/>
      <c r="B384" s="64"/>
      <c r="C384" s="64"/>
      <c r="D384" s="64"/>
      <c r="E384" s="65"/>
      <c r="F384" s="64"/>
      <c r="G384" s="64"/>
      <c r="H384" s="64"/>
      <c r="I384" s="64"/>
    </row>
    <row r="385" spans="1:9">
      <c r="A385" s="64"/>
      <c r="B385" s="64"/>
      <c r="C385" s="64"/>
      <c r="D385" s="64"/>
      <c r="E385" s="65"/>
      <c r="F385" s="64"/>
      <c r="G385" s="64"/>
      <c r="H385" s="64"/>
      <c r="I385" s="64"/>
    </row>
    <row r="386" spans="1:9">
      <c r="A386" s="64"/>
      <c r="B386" s="64"/>
      <c r="C386" s="64"/>
      <c r="D386" s="64"/>
      <c r="E386" s="65"/>
      <c r="F386" s="64"/>
      <c r="G386" s="64"/>
      <c r="H386" s="64"/>
      <c r="I386" s="64"/>
    </row>
    <row r="387" spans="1:9">
      <c r="A387" s="64"/>
      <c r="B387" s="64"/>
      <c r="C387" s="64"/>
      <c r="D387" s="64"/>
      <c r="E387" s="65"/>
      <c r="F387" s="64"/>
      <c r="G387" s="64"/>
      <c r="H387" s="64"/>
      <c r="I387" s="64"/>
    </row>
    <row r="388" spans="1:9">
      <c r="A388" s="64"/>
      <c r="B388" s="64"/>
      <c r="C388" s="64"/>
      <c r="D388" s="64"/>
      <c r="E388" s="65"/>
      <c r="F388" s="64"/>
      <c r="G388" s="64"/>
      <c r="H388" s="64"/>
      <c r="I388" s="64"/>
    </row>
    <row r="389" spans="1:9">
      <c r="A389" s="64"/>
      <c r="B389" s="64"/>
      <c r="C389" s="64"/>
      <c r="D389" s="64"/>
      <c r="E389" s="65"/>
      <c r="F389" s="64"/>
      <c r="G389" s="64"/>
      <c r="H389" s="64"/>
      <c r="I389" s="64"/>
    </row>
    <row r="390" spans="1:9">
      <c r="A390" s="64"/>
      <c r="B390" s="64"/>
      <c r="C390" s="64"/>
      <c r="D390" s="64"/>
      <c r="E390" s="65"/>
      <c r="F390" s="64"/>
      <c r="G390" s="64"/>
      <c r="H390" s="64"/>
      <c r="I390" s="64"/>
    </row>
    <row r="391" spans="1:9">
      <c r="A391" s="64"/>
      <c r="B391" s="64"/>
      <c r="C391" s="64"/>
      <c r="D391" s="64"/>
      <c r="E391" s="65"/>
      <c r="F391" s="64"/>
      <c r="G391" s="64"/>
      <c r="H391" s="64"/>
      <c r="I391" s="64"/>
    </row>
    <row r="392" spans="1:9">
      <c r="A392" s="64"/>
      <c r="B392" s="64"/>
      <c r="C392" s="64"/>
      <c r="D392" s="64"/>
      <c r="E392" s="65"/>
      <c r="F392" s="64"/>
      <c r="G392" s="64"/>
      <c r="H392" s="64"/>
      <c r="I392" s="64"/>
    </row>
    <row r="393" spans="1:9">
      <c r="A393" s="64"/>
      <c r="B393" s="64"/>
      <c r="C393" s="64"/>
      <c r="D393" s="64"/>
      <c r="E393" s="65"/>
      <c r="F393" s="64"/>
      <c r="G393" s="64"/>
      <c r="H393" s="64"/>
      <c r="I393" s="64"/>
    </row>
    <row r="394" spans="1:9">
      <c r="A394" s="64"/>
      <c r="B394" s="64"/>
      <c r="C394" s="64"/>
      <c r="D394" s="64"/>
      <c r="E394" s="65"/>
      <c r="F394" s="64"/>
      <c r="G394" s="64"/>
      <c r="H394" s="64"/>
      <c r="I394" s="64"/>
    </row>
    <row r="395" spans="1:9">
      <c r="A395" s="64"/>
      <c r="B395" s="64"/>
      <c r="C395" s="64"/>
      <c r="D395" s="64"/>
      <c r="E395" s="65"/>
      <c r="F395" s="64"/>
      <c r="G395" s="64"/>
      <c r="H395" s="64"/>
      <c r="I395" s="64"/>
    </row>
    <row r="396" spans="1:9">
      <c r="A396" s="64"/>
      <c r="B396" s="64"/>
      <c r="C396" s="64"/>
      <c r="D396" s="64"/>
      <c r="E396" s="65"/>
      <c r="F396" s="64"/>
      <c r="G396" s="64"/>
      <c r="H396" s="64"/>
      <c r="I396" s="64"/>
    </row>
    <row r="397" spans="1:9">
      <c r="A397" s="64"/>
      <c r="B397" s="64"/>
      <c r="C397" s="64"/>
      <c r="D397" s="64"/>
      <c r="E397" s="65"/>
      <c r="F397" s="64"/>
      <c r="G397" s="64"/>
      <c r="H397" s="64"/>
      <c r="I397" s="64"/>
    </row>
    <row r="398" spans="1:9">
      <c r="A398" s="64"/>
      <c r="B398" s="64"/>
      <c r="C398" s="64"/>
      <c r="D398" s="64"/>
      <c r="E398" s="65"/>
      <c r="F398" s="64"/>
      <c r="G398" s="64"/>
      <c r="H398" s="64"/>
      <c r="I398" s="64"/>
    </row>
    <row r="399" spans="1:9">
      <c r="A399" s="64"/>
      <c r="B399" s="64"/>
      <c r="C399" s="64"/>
      <c r="D399" s="64"/>
      <c r="E399" s="65"/>
      <c r="F399" s="64"/>
      <c r="G399" s="64"/>
      <c r="H399" s="64"/>
      <c r="I399" s="64"/>
    </row>
    <row r="400" spans="1:9">
      <c r="A400" s="64"/>
      <c r="B400" s="64"/>
      <c r="C400" s="64"/>
      <c r="D400" s="64"/>
      <c r="E400" s="65"/>
      <c r="F400" s="64"/>
      <c r="G400" s="64"/>
      <c r="H400" s="64"/>
      <c r="I400" s="64"/>
    </row>
    <row r="401" spans="1:9">
      <c r="A401" s="64"/>
      <c r="B401" s="64"/>
      <c r="C401" s="64"/>
      <c r="D401" s="64"/>
      <c r="E401" s="65"/>
      <c r="F401" s="64"/>
      <c r="G401" s="64"/>
      <c r="H401" s="64"/>
      <c r="I401" s="64"/>
    </row>
    <row r="402" spans="1:9">
      <c r="A402" s="64"/>
      <c r="B402" s="64"/>
      <c r="C402" s="64"/>
      <c r="D402" s="64"/>
      <c r="E402" s="65"/>
      <c r="F402" s="64"/>
      <c r="G402" s="64"/>
      <c r="H402" s="64"/>
      <c r="I402" s="64"/>
    </row>
    <row r="403" spans="1:9">
      <c r="A403" s="64"/>
      <c r="B403" s="64"/>
      <c r="C403" s="64"/>
      <c r="D403" s="64"/>
      <c r="E403" s="65"/>
      <c r="F403" s="64"/>
      <c r="G403" s="64"/>
      <c r="H403" s="64"/>
      <c r="I403" s="64"/>
    </row>
    <row r="404" spans="1:9">
      <c r="A404" s="64"/>
      <c r="B404" s="64"/>
      <c r="C404" s="64"/>
      <c r="D404" s="64"/>
      <c r="E404" s="65"/>
      <c r="F404" s="64"/>
      <c r="G404" s="64"/>
      <c r="H404" s="64"/>
      <c r="I404" s="64"/>
    </row>
    <row r="405" spans="1:9">
      <c r="A405" s="64"/>
      <c r="B405" s="64"/>
      <c r="C405" s="64"/>
      <c r="D405" s="64"/>
      <c r="E405" s="65"/>
      <c r="F405" s="64"/>
      <c r="G405" s="64"/>
      <c r="H405" s="64"/>
      <c r="I405" s="64"/>
    </row>
    <row r="406" spans="1:9">
      <c r="A406" s="64"/>
      <c r="B406" s="64"/>
      <c r="C406" s="64"/>
      <c r="D406" s="64"/>
      <c r="E406" s="65"/>
      <c r="F406" s="64"/>
      <c r="G406" s="64"/>
      <c r="H406" s="64"/>
      <c r="I406" s="64"/>
    </row>
    <row r="407" spans="1:9">
      <c r="A407" s="64"/>
      <c r="B407" s="64"/>
      <c r="C407" s="64"/>
      <c r="D407" s="64"/>
      <c r="E407" s="65"/>
      <c r="F407" s="64"/>
      <c r="G407" s="64"/>
      <c r="H407" s="64"/>
      <c r="I407" s="64"/>
    </row>
    <row r="408" spans="1:9">
      <c r="A408" s="64"/>
      <c r="B408" s="64"/>
      <c r="C408" s="64"/>
      <c r="D408" s="64"/>
      <c r="E408" s="65"/>
      <c r="F408" s="64"/>
      <c r="G408" s="64"/>
      <c r="H408" s="64"/>
      <c r="I408" s="64"/>
    </row>
    <row r="409" spans="1:9">
      <c r="A409" s="64"/>
      <c r="B409" s="64"/>
      <c r="C409" s="64"/>
      <c r="D409" s="64"/>
      <c r="E409" s="65"/>
      <c r="F409" s="64"/>
      <c r="G409" s="64"/>
      <c r="H409" s="64"/>
      <c r="I409" s="64"/>
    </row>
    <row r="410" spans="1:9">
      <c r="A410" s="64"/>
      <c r="B410" s="64"/>
      <c r="C410" s="64"/>
      <c r="D410" s="64"/>
      <c r="E410" s="65"/>
      <c r="F410" s="64"/>
      <c r="G410" s="64"/>
      <c r="H410" s="64"/>
      <c r="I410" s="64"/>
    </row>
    <row r="411" spans="1:9">
      <c r="A411" s="64"/>
      <c r="B411" s="64"/>
      <c r="C411" s="64"/>
      <c r="D411" s="64"/>
      <c r="E411" s="65"/>
      <c r="F411" s="64"/>
      <c r="G411" s="64"/>
      <c r="H411" s="64"/>
      <c r="I411" s="64"/>
    </row>
    <row r="412" spans="1:9">
      <c r="A412" s="64"/>
      <c r="B412" s="64"/>
      <c r="C412" s="64"/>
      <c r="D412" s="64"/>
      <c r="E412" s="65"/>
      <c r="F412" s="64"/>
      <c r="G412" s="64"/>
      <c r="H412" s="64"/>
      <c r="I412" s="64"/>
    </row>
    <row r="413" spans="1:9">
      <c r="A413" s="64"/>
      <c r="B413" s="64"/>
      <c r="C413" s="64"/>
      <c r="D413" s="64"/>
      <c r="E413" s="65"/>
      <c r="F413" s="64"/>
      <c r="G413" s="64"/>
      <c r="H413" s="64"/>
      <c r="I413" s="64"/>
    </row>
    <row r="414" spans="1:9">
      <c r="A414" s="64"/>
      <c r="B414" s="64"/>
      <c r="C414" s="64"/>
      <c r="D414" s="64"/>
      <c r="E414" s="65"/>
      <c r="F414" s="64"/>
      <c r="G414" s="64"/>
      <c r="H414" s="64"/>
      <c r="I414" s="64"/>
    </row>
    <row r="415" spans="1:9">
      <c r="A415" s="64"/>
      <c r="B415" s="64"/>
      <c r="C415" s="64"/>
      <c r="D415" s="64"/>
      <c r="E415" s="65"/>
      <c r="F415" s="64"/>
      <c r="G415" s="64"/>
      <c r="H415" s="64"/>
      <c r="I415" s="64"/>
    </row>
    <row r="416" spans="1:9">
      <c r="A416" s="64"/>
      <c r="B416" s="64"/>
      <c r="C416" s="64"/>
      <c r="D416" s="64"/>
      <c r="E416" s="65"/>
      <c r="F416" s="64"/>
      <c r="G416" s="64"/>
      <c r="H416" s="64"/>
      <c r="I416" s="64"/>
    </row>
    <row r="417" spans="1:9">
      <c r="A417" s="64"/>
      <c r="B417" s="64"/>
      <c r="C417" s="64"/>
      <c r="D417" s="64"/>
      <c r="E417" s="65"/>
      <c r="F417" s="64"/>
      <c r="G417" s="64"/>
      <c r="H417" s="64"/>
      <c r="I417" s="64"/>
    </row>
    <row r="418" spans="1:9">
      <c r="A418" s="64"/>
      <c r="B418" s="64"/>
      <c r="C418" s="64"/>
      <c r="D418" s="64"/>
      <c r="E418" s="65"/>
      <c r="F418" s="64"/>
      <c r="G418" s="64"/>
      <c r="H418" s="64"/>
      <c r="I418" s="64"/>
    </row>
    <row r="419" spans="1:9">
      <c r="A419" s="64"/>
      <c r="B419" s="64"/>
      <c r="C419" s="64"/>
      <c r="D419" s="64"/>
      <c r="E419" s="65"/>
      <c r="F419" s="64"/>
      <c r="G419" s="64"/>
      <c r="H419" s="64"/>
      <c r="I419" s="64"/>
    </row>
    <row r="420" spans="1:9">
      <c r="A420" s="64"/>
      <c r="B420" s="64"/>
      <c r="C420" s="64"/>
      <c r="D420" s="64"/>
      <c r="E420" s="65"/>
      <c r="F420" s="64"/>
      <c r="G420" s="64"/>
      <c r="H420" s="64"/>
      <c r="I420" s="64"/>
    </row>
    <row r="421" spans="1:9">
      <c r="A421" s="64"/>
      <c r="B421" s="64"/>
      <c r="C421" s="64"/>
      <c r="D421" s="64"/>
      <c r="E421" s="65"/>
      <c r="F421" s="64"/>
      <c r="G421" s="64"/>
      <c r="H421" s="64"/>
      <c r="I421" s="64"/>
    </row>
    <row r="422" spans="1:9">
      <c r="A422" s="64"/>
      <c r="B422" s="64"/>
      <c r="C422" s="64"/>
      <c r="D422" s="64"/>
      <c r="E422" s="65"/>
      <c r="F422" s="64"/>
      <c r="G422" s="64"/>
      <c r="H422" s="64"/>
      <c r="I422" s="64"/>
    </row>
    <row r="423" spans="1:9">
      <c r="A423" s="64"/>
      <c r="B423" s="64"/>
      <c r="C423" s="64"/>
      <c r="D423" s="64"/>
      <c r="E423" s="65"/>
      <c r="F423" s="64"/>
      <c r="G423" s="64"/>
      <c r="H423" s="64"/>
      <c r="I423" s="64"/>
    </row>
    <row r="424" spans="1:9">
      <c r="A424" s="64"/>
      <c r="B424" s="64"/>
      <c r="C424" s="64"/>
      <c r="D424" s="64"/>
      <c r="E424" s="65"/>
      <c r="F424" s="64"/>
      <c r="G424" s="64"/>
      <c r="H424" s="64"/>
      <c r="I424" s="64"/>
    </row>
    <row r="425" spans="1:9">
      <c r="A425" s="64"/>
      <c r="B425" s="64"/>
      <c r="C425" s="64"/>
      <c r="D425" s="64"/>
      <c r="E425" s="65"/>
      <c r="F425" s="64"/>
      <c r="G425" s="64"/>
      <c r="H425" s="64"/>
      <c r="I425" s="64"/>
    </row>
    <row r="426" spans="1:9">
      <c r="A426" s="64"/>
      <c r="B426" s="64"/>
      <c r="C426" s="64"/>
      <c r="D426" s="64"/>
      <c r="E426" s="65"/>
      <c r="F426" s="64"/>
      <c r="G426" s="64"/>
      <c r="H426" s="64"/>
      <c r="I426" s="64"/>
    </row>
    <row r="427" spans="1:9">
      <c r="A427" s="64"/>
      <c r="B427" s="64"/>
      <c r="C427" s="64"/>
      <c r="D427" s="64"/>
      <c r="E427" s="65"/>
      <c r="F427" s="64"/>
      <c r="G427" s="64"/>
      <c r="H427" s="64"/>
      <c r="I427" s="64"/>
    </row>
    <row r="428" spans="1:9">
      <c r="A428" s="64"/>
      <c r="B428" s="64"/>
      <c r="C428" s="64"/>
      <c r="D428" s="64"/>
      <c r="E428" s="65"/>
      <c r="F428" s="64"/>
      <c r="G428" s="64"/>
      <c r="H428" s="64"/>
      <c r="I428" s="64"/>
    </row>
    <row r="429" spans="1:9">
      <c r="A429" s="64"/>
      <c r="B429" s="64"/>
      <c r="C429" s="64"/>
      <c r="D429" s="64"/>
      <c r="E429" s="65"/>
      <c r="F429" s="64"/>
      <c r="G429" s="64"/>
      <c r="H429" s="64"/>
      <c r="I429" s="64"/>
    </row>
    <row r="430" spans="1:9">
      <c r="A430" s="64"/>
      <c r="B430" s="64"/>
      <c r="C430" s="64"/>
      <c r="D430" s="64"/>
      <c r="E430" s="65"/>
      <c r="F430" s="64"/>
      <c r="G430" s="64"/>
      <c r="H430" s="64"/>
      <c r="I430" s="64"/>
    </row>
    <row r="431" spans="1:9">
      <c r="A431" s="64"/>
      <c r="B431" s="64"/>
      <c r="C431" s="64"/>
      <c r="D431" s="64"/>
      <c r="E431" s="65"/>
      <c r="F431" s="64"/>
      <c r="G431" s="64"/>
      <c r="H431" s="64"/>
      <c r="I431" s="64"/>
    </row>
    <row r="432" spans="1:9">
      <c r="A432" s="64"/>
      <c r="B432" s="64"/>
      <c r="C432" s="64"/>
      <c r="D432" s="64"/>
      <c r="E432" s="65"/>
      <c r="F432" s="64"/>
      <c r="G432" s="64"/>
      <c r="H432" s="64"/>
      <c r="I432" s="64"/>
    </row>
    <row r="433" spans="1:9">
      <c r="A433" s="64"/>
      <c r="B433" s="64"/>
      <c r="C433" s="64"/>
      <c r="D433" s="64"/>
      <c r="E433" s="65"/>
      <c r="F433" s="64"/>
      <c r="G433" s="64"/>
      <c r="H433" s="64"/>
      <c r="I433" s="64"/>
    </row>
    <row r="434" spans="1:9">
      <c r="A434" s="64"/>
      <c r="B434" s="64"/>
      <c r="C434" s="64"/>
      <c r="D434" s="64"/>
      <c r="E434" s="65"/>
      <c r="F434" s="64"/>
      <c r="G434" s="64"/>
      <c r="H434" s="64"/>
      <c r="I434" s="64"/>
    </row>
    <row r="435" spans="1:9">
      <c r="A435" s="64"/>
      <c r="B435" s="64"/>
      <c r="C435" s="64"/>
      <c r="D435" s="64"/>
      <c r="E435" s="65"/>
      <c r="F435" s="64"/>
      <c r="G435" s="64"/>
      <c r="H435" s="64"/>
      <c r="I435" s="64"/>
    </row>
    <row r="436" spans="1:9">
      <c r="A436" s="64"/>
      <c r="B436" s="64"/>
      <c r="C436" s="64"/>
      <c r="D436" s="64"/>
      <c r="E436" s="65"/>
      <c r="F436" s="64"/>
      <c r="G436" s="64"/>
      <c r="H436" s="64"/>
      <c r="I436" s="64"/>
    </row>
    <row r="437" spans="1:9">
      <c r="A437" s="64"/>
      <c r="B437" s="64"/>
      <c r="C437" s="64"/>
      <c r="D437" s="64"/>
      <c r="E437" s="65"/>
      <c r="F437" s="64"/>
      <c r="G437" s="64"/>
      <c r="H437" s="64"/>
      <c r="I437" s="64"/>
    </row>
    <row r="438" spans="1:9">
      <c r="A438" s="64"/>
      <c r="B438" s="64"/>
      <c r="C438" s="64"/>
      <c r="D438" s="64"/>
      <c r="E438" s="65"/>
      <c r="F438" s="64"/>
      <c r="G438" s="64"/>
      <c r="H438" s="64"/>
      <c r="I438" s="64"/>
    </row>
    <row r="439" spans="1:9">
      <c r="A439" s="64"/>
      <c r="B439" s="64"/>
      <c r="C439" s="64"/>
      <c r="D439" s="64"/>
      <c r="E439" s="65"/>
      <c r="F439" s="64"/>
      <c r="G439" s="64"/>
      <c r="H439" s="64"/>
      <c r="I439" s="64"/>
    </row>
    <row r="440" spans="1:9">
      <c r="A440" s="64"/>
      <c r="B440" s="64"/>
      <c r="C440" s="64"/>
      <c r="D440" s="64"/>
      <c r="E440" s="65"/>
      <c r="F440" s="64"/>
      <c r="G440" s="64"/>
      <c r="H440" s="64"/>
      <c r="I440" s="64"/>
    </row>
    <row r="441" spans="1:9">
      <c r="A441" s="64"/>
      <c r="B441" s="64"/>
      <c r="C441" s="64"/>
      <c r="D441" s="64"/>
      <c r="E441" s="65"/>
      <c r="F441" s="64"/>
      <c r="G441" s="64"/>
      <c r="H441" s="64"/>
      <c r="I441" s="64"/>
    </row>
    <row r="442" spans="1:9">
      <c r="A442" s="64"/>
      <c r="B442" s="64"/>
      <c r="C442" s="64"/>
      <c r="D442" s="64"/>
      <c r="E442" s="65"/>
      <c r="F442" s="64"/>
      <c r="G442" s="64"/>
      <c r="H442" s="64"/>
      <c r="I442" s="64"/>
    </row>
    <row r="443" spans="1:9">
      <c r="A443" s="64"/>
      <c r="B443" s="64"/>
      <c r="C443" s="64"/>
      <c r="D443" s="64"/>
      <c r="E443" s="65"/>
      <c r="F443" s="64"/>
      <c r="G443" s="64"/>
      <c r="H443" s="64"/>
      <c r="I443" s="64"/>
    </row>
    <row r="444" spans="1:9">
      <c r="A444" s="64"/>
      <c r="B444" s="64"/>
      <c r="C444" s="64"/>
      <c r="D444" s="64"/>
      <c r="E444" s="65"/>
      <c r="F444" s="64"/>
      <c r="G444" s="64"/>
      <c r="H444" s="64"/>
      <c r="I444" s="64"/>
    </row>
    <row r="445" spans="1:9">
      <c r="A445" s="64"/>
      <c r="B445" s="64"/>
      <c r="C445" s="64"/>
      <c r="D445" s="64"/>
      <c r="E445" s="65"/>
      <c r="F445" s="64"/>
      <c r="G445" s="64"/>
      <c r="H445" s="64"/>
      <c r="I445" s="64"/>
    </row>
    <row r="446" spans="1:9">
      <c r="A446" s="64"/>
      <c r="B446" s="64"/>
      <c r="C446" s="64"/>
      <c r="D446" s="64"/>
      <c r="E446" s="65"/>
      <c r="F446" s="64"/>
      <c r="G446" s="64"/>
      <c r="H446" s="64"/>
      <c r="I446" s="64"/>
    </row>
    <row r="447" spans="1:9">
      <c r="A447" s="64"/>
      <c r="B447" s="64"/>
      <c r="C447" s="64"/>
      <c r="D447" s="64"/>
      <c r="E447" s="65"/>
      <c r="F447" s="64"/>
      <c r="G447" s="64"/>
      <c r="H447" s="64"/>
      <c r="I447" s="64"/>
    </row>
    <row r="448" spans="1:9">
      <c r="A448" s="64"/>
      <c r="B448" s="64"/>
      <c r="C448" s="64"/>
      <c r="D448" s="64"/>
      <c r="E448" s="65"/>
      <c r="F448" s="64"/>
      <c r="G448" s="64"/>
      <c r="H448" s="64"/>
      <c r="I448" s="64"/>
    </row>
    <row r="449" spans="1:9">
      <c r="A449" s="64"/>
      <c r="B449" s="64"/>
      <c r="C449" s="64"/>
      <c r="D449" s="64"/>
      <c r="E449" s="65"/>
      <c r="F449" s="64"/>
      <c r="G449" s="64"/>
      <c r="H449" s="64"/>
      <c r="I449" s="64"/>
    </row>
    <row r="450" spans="1:9">
      <c r="A450" s="64"/>
      <c r="B450" s="64"/>
      <c r="C450" s="64"/>
      <c r="D450" s="64"/>
      <c r="E450" s="65"/>
      <c r="F450" s="64"/>
      <c r="G450" s="64"/>
      <c r="H450" s="64"/>
      <c r="I450" s="64"/>
    </row>
    <row r="451" spans="1:9">
      <c r="A451" s="64"/>
      <c r="B451" s="64"/>
      <c r="C451" s="64"/>
      <c r="D451" s="64"/>
      <c r="E451" s="65"/>
      <c r="F451" s="64"/>
      <c r="G451" s="64"/>
      <c r="H451" s="64"/>
      <c r="I451" s="64"/>
    </row>
    <row r="452" spans="1:9">
      <c r="A452" s="64"/>
      <c r="B452" s="64"/>
      <c r="C452" s="64"/>
      <c r="D452" s="64"/>
      <c r="E452" s="65"/>
      <c r="F452" s="64"/>
      <c r="G452" s="64"/>
      <c r="H452" s="64"/>
      <c r="I452" s="64"/>
    </row>
    <row r="453" spans="1:9">
      <c r="A453" s="64"/>
      <c r="B453" s="64"/>
      <c r="C453" s="64"/>
      <c r="D453" s="64"/>
      <c r="E453" s="65"/>
      <c r="F453" s="64"/>
      <c r="G453" s="64"/>
      <c r="H453" s="64"/>
      <c r="I453" s="64"/>
    </row>
    <row r="454" spans="1:9">
      <c r="A454" s="64"/>
      <c r="B454" s="64"/>
      <c r="C454" s="64"/>
      <c r="D454" s="64"/>
      <c r="E454" s="65"/>
      <c r="F454" s="64"/>
      <c r="G454" s="64"/>
      <c r="H454" s="64"/>
      <c r="I454" s="64"/>
    </row>
    <row r="455" spans="1:9">
      <c r="A455" s="64"/>
      <c r="B455" s="64"/>
      <c r="C455" s="64"/>
      <c r="D455" s="64"/>
      <c r="E455" s="65"/>
      <c r="F455" s="64"/>
      <c r="G455" s="64"/>
      <c r="H455" s="64"/>
      <c r="I455" s="64"/>
    </row>
    <row r="456" spans="1:9">
      <c r="A456" s="64"/>
      <c r="B456" s="64"/>
      <c r="C456" s="64"/>
      <c r="D456" s="64"/>
      <c r="E456" s="65"/>
      <c r="F456" s="64"/>
      <c r="G456" s="64"/>
      <c r="H456" s="64"/>
      <c r="I456" s="64"/>
    </row>
    <row r="457" spans="1:9">
      <c r="A457" s="64"/>
      <c r="B457" s="64"/>
      <c r="C457" s="64"/>
      <c r="D457" s="64"/>
      <c r="E457" s="65"/>
      <c r="F457" s="64"/>
      <c r="G457" s="64"/>
      <c r="H457" s="64"/>
      <c r="I457" s="64"/>
    </row>
    <row r="458" spans="1:9">
      <c r="A458" s="64"/>
      <c r="B458" s="64"/>
      <c r="C458" s="64"/>
      <c r="D458" s="64"/>
      <c r="E458" s="65"/>
      <c r="F458" s="64"/>
      <c r="G458" s="64"/>
      <c r="H458" s="64"/>
      <c r="I458" s="64"/>
    </row>
    <row r="459" spans="1:9">
      <c r="A459" s="64"/>
      <c r="B459" s="64"/>
      <c r="C459" s="64"/>
      <c r="D459" s="64"/>
      <c r="E459" s="65"/>
      <c r="F459" s="64"/>
      <c r="G459" s="64"/>
      <c r="H459" s="64"/>
      <c r="I459" s="64"/>
    </row>
    <row r="460" spans="1:9">
      <c r="A460" s="64"/>
      <c r="B460" s="64"/>
      <c r="C460" s="64"/>
      <c r="D460" s="64"/>
      <c r="E460" s="65"/>
      <c r="F460" s="64"/>
      <c r="G460" s="64"/>
      <c r="H460" s="64"/>
      <c r="I460" s="64"/>
    </row>
    <row r="461" spans="1:9">
      <c r="A461" s="64"/>
      <c r="B461" s="64"/>
      <c r="C461" s="64"/>
      <c r="D461" s="64"/>
      <c r="E461" s="65"/>
      <c r="F461" s="64"/>
      <c r="G461" s="64"/>
      <c r="H461" s="64"/>
      <c r="I461" s="64"/>
    </row>
    <row r="462" spans="1:9">
      <c r="A462" s="64"/>
      <c r="B462" s="64"/>
      <c r="C462" s="64"/>
      <c r="D462" s="64"/>
      <c r="E462" s="65"/>
      <c r="F462" s="64"/>
      <c r="G462" s="64"/>
      <c r="H462" s="64"/>
      <c r="I462" s="64"/>
    </row>
    <row r="463" spans="1:9">
      <c r="A463" s="64"/>
      <c r="B463" s="64"/>
      <c r="C463" s="64"/>
      <c r="D463" s="64"/>
      <c r="E463" s="65"/>
      <c r="F463" s="64"/>
      <c r="G463" s="64"/>
      <c r="H463" s="64"/>
      <c r="I463" s="64"/>
    </row>
    <row r="464" spans="1:9">
      <c r="A464" s="64"/>
      <c r="B464" s="64"/>
      <c r="C464" s="64"/>
      <c r="D464" s="64"/>
      <c r="E464" s="65"/>
      <c r="F464" s="64"/>
      <c r="G464" s="64"/>
      <c r="H464" s="64"/>
      <c r="I464" s="64"/>
    </row>
    <row r="465" spans="1:9">
      <c r="A465" s="64"/>
      <c r="B465" s="64"/>
      <c r="C465" s="64"/>
      <c r="D465" s="64"/>
      <c r="E465" s="65"/>
      <c r="F465" s="64"/>
      <c r="G465" s="64"/>
      <c r="H465" s="64"/>
      <c r="I465" s="64"/>
    </row>
    <row r="466" spans="1:9">
      <c r="A466" s="64"/>
      <c r="B466" s="64"/>
      <c r="C466" s="64"/>
      <c r="D466" s="64"/>
      <c r="E466" s="65"/>
      <c r="F466" s="64"/>
      <c r="G466" s="64"/>
      <c r="H466" s="64"/>
      <c r="I466" s="64"/>
    </row>
    <row r="467" spans="1:9">
      <c r="A467" s="64"/>
      <c r="B467" s="64"/>
      <c r="C467" s="64"/>
      <c r="D467" s="64"/>
      <c r="E467" s="65"/>
      <c r="F467" s="64"/>
      <c r="G467" s="64"/>
      <c r="H467" s="64"/>
      <c r="I467" s="64"/>
    </row>
    <row r="468" spans="1:9">
      <c r="A468" s="64"/>
      <c r="B468" s="64"/>
      <c r="C468" s="64"/>
      <c r="D468" s="64"/>
      <c r="E468" s="65"/>
      <c r="F468" s="64"/>
      <c r="G468" s="64"/>
      <c r="H468" s="64"/>
      <c r="I468" s="64"/>
    </row>
    <row r="469" spans="1:9">
      <c r="A469" s="64"/>
      <c r="B469" s="64"/>
      <c r="C469" s="64"/>
      <c r="D469" s="64"/>
      <c r="E469" s="65"/>
      <c r="F469" s="64"/>
      <c r="G469" s="64"/>
      <c r="H469" s="64"/>
      <c r="I469" s="64"/>
    </row>
    <row r="470" spans="1:9">
      <c r="A470" s="64"/>
      <c r="B470" s="64"/>
      <c r="C470" s="64"/>
      <c r="D470" s="64"/>
      <c r="E470" s="65"/>
      <c r="F470" s="64"/>
      <c r="G470" s="64"/>
      <c r="H470" s="64"/>
      <c r="I470" s="64"/>
    </row>
    <row r="471" spans="1:9">
      <c r="A471" s="64"/>
      <c r="B471" s="64"/>
      <c r="C471" s="64"/>
      <c r="D471" s="64"/>
      <c r="E471" s="65"/>
      <c r="F471" s="64"/>
      <c r="G471" s="64"/>
      <c r="H471" s="64"/>
      <c r="I471" s="64"/>
    </row>
    <row r="472" spans="1:9">
      <c r="A472" s="64"/>
      <c r="B472" s="64"/>
      <c r="C472" s="64"/>
      <c r="D472" s="64"/>
      <c r="E472" s="65"/>
      <c r="F472" s="64"/>
      <c r="G472" s="64"/>
      <c r="H472" s="64"/>
      <c r="I472" s="64"/>
    </row>
    <row r="473" spans="1:9">
      <c r="A473" s="64"/>
      <c r="B473" s="64"/>
      <c r="C473" s="64"/>
      <c r="D473" s="64"/>
      <c r="E473" s="65"/>
      <c r="F473" s="64"/>
      <c r="G473" s="64"/>
      <c r="H473" s="64"/>
      <c r="I473" s="64"/>
    </row>
    <row r="474" spans="1:9">
      <c r="A474" s="64"/>
      <c r="B474" s="64"/>
      <c r="C474" s="64"/>
      <c r="D474" s="64"/>
      <c r="E474" s="65"/>
      <c r="F474" s="64"/>
      <c r="G474" s="64"/>
      <c r="H474" s="64"/>
      <c r="I474" s="64"/>
    </row>
    <row r="475" spans="1:9">
      <c r="A475" s="64"/>
      <c r="B475" s="64"/>
      <c r="C475" s="64"/>
      <c r="D475" s="64"/>
      <c r="E475" s="65"/>
      <c r="F475" s="64"/>
      <c r="G475" s="64"/>
      <c r="H475" s="64"/>
      <c r="I475" s="64"/>
    </row>
    <row r="476" spans="1:9">
      <c r="A476" s="64"/>
      <c r="B476" s="64"/>
      <c r="C476" s="64"/>
      <c r="D476" s="64"/>
      <c r="E476" s="65"/>
      <c r="F476" s="64"/>
      <c r="G476" s="64"/>
      <c r="H476" s="64"/>
      <c r="I476" s="64"/>
    </row>
    <row r="477" spans="1:9">
      <c r="A477" s="64"/>
      <c r="B477" s="64"/>
      <c r="C477" s="64"/>
      <c r="D477" s="64"/>
      <c r="E477" s="65"/>
      <c r="F477" s="64"/>
      <c r="G477" s="64"/>
      <c r="H477" s="64"/>
      <c r="I477" s="64"/>
    </row>
    <row r="478" spans="1:9">
      <c r="A478" s="64"/>
      <c r="B478" s="64"/>
      <c r="C478" s="64"/>
      <c r="D478" s="64"/>
      <c r="E478" s="65"/>
      <c r="F478" s="64"/>
      <c r="G478" s="64"/>
      <c r="H478" s="64"/>
      <c r="I478" s="64"/>
    </row>
    <row r="479" spans="1:9">
      <c r="A479" s="64"/>
      <c r="B479" s="64"/>
      <c r="C479" s="64"/>
      <c r="D479" s="64"/>
      <c r="E479" s="65"/>
      <c r="F479" s="64"/>
      <c r="G479" s="64"/>
      <c r="H479" s="64"/>
      <c r="I479" s="64"/>
    </row>
    <row r="480" spans="1:9">
      <c r="A480" s="64"/>
      <c r="B480" s="64"/>
      <c r="C480" s="64"/>
      <c r="D480" s="64"/>
      <c r="E480" s="65"/>
      <c r="F480" s="64"/>
      <c r="G480" s="64"/>
      <c r="H480" s="64"/>
      <c r="I480" s="64"/>
    </row>
    <row r="481" spans="1:9">
      <c r="A481" s="64"/>
      <c r="B481" s="64"/>
      <c r="C481" s="64"/>
      <c r="D481" s="64"/>
      <c r="E481" s="65"/>
      <c r="F481" s="64"/>
      <c r="G481" s="64"/>
      <c r="H481" s="64"/>
      <c r="I481" s="64"/>
    </row>
    <row r="482" spans="1:9">
      <c r="A482" s="64"/>
      <c r="B482" s="64"/>
      <c r="C482" s="64"/>
      <c r="D482" s="64"/>
      <c r="E482" s="65"/>
      <c r="F482" s="64"/>
      <c r="G482" s="64"/>
      <c r="H482" s="64"/>
      <c r="I482" s="64"/>
    </row>
    <row r="483" spans="1:9">
      <c r="A483" s="64"/>
      <c r="B483" s="64"/>
      <c r="C483" s="64"/>
      <c r="D483" s="64"/>
      <c r="E483" s="65"/>
      <c r="F483" s="64"/>
      <c r="G483" s="64"/>
      <c r="H483" s="64"/>
      <c r="I483" s="64"/>
    </row>
    <row r="484" spans="1:9">
      <c r="A484" s="64"/>
      <c r="B484" s="64"/>
      <c r="C484" s="64"/>
      <c r="D484" s="64"/>
      <c r="E484" s="65"/>
      <c r="F484" s="64"/>
      <c r="G484" s="64"/>
      <c r="H484" s="64"/>
      <c r="I484" s="64"/>
    </row>
    <row r="485" spans="1:9">
      <c r="A485" s="64"/>
      <c r="B485" s="64"/>
      <c r="C485" s="64"/>
      <c r="D485" s="64"/>
      <c r="E485" s="65"/>
      <c r="F485" s="64"/>
      <c r="G485" s="64"/>
      <c r="H485" s="64"/>
      <c r="I485" s="64"/>
    </row>
    <row r="486" spans="1:9">
      <c r="A486" s="64"/>
      <c r="B486" s="64"/>
      <c r="C486" s="64"/>
      <c r="D486" s="64"/>
      <c r="E486" s="65"/>
      <c r="F486" s="64"/>
      <c r="G486" s="64"/>
      <c r="H486" s="64"/>
      <c r="I486" s="64"/>
    </row>
    <row r="487" spans="1:9">
      <c r="A487" s="64"/>
      <c r="B487" s="64"/>
      <c r="C487" s="64"/>
      <c r="D487" s="64"/>
      <c r="E487" s="65"/>
      <c r="F487" s="64"/>
      <c r="G487" s="64"/>
      <c r="H487" s="64"/>
      <c r="I487" s="64"/>
    </row>
    <row r="488" spans="1:9">
      <c r="A488" s="64"/>
      <c r="B488" s="64"/>
      <c r="C488" s="64"/>
      <c r="D488" s="64"/>
      <c r="E488" s="65"/>
      <c r="F488" s="64"/>
      <c r="G488" s="64"/>
      <c r="H488" s="64"/>
      <c r="I488" s="64"/>
    </row>
    <row r="489" spans="1:9">
      <c r="A489" s="64"/>
      <c r="B489" s="64"/>
      <c r="C489" s="64"/>
      <c r="D489" s="64"/>
      <c r="E489" s="65"/>
      <c r="F489" s="64"/>
      <c r="G489" s="64"/>
      <c r="H489" s="64"/>
      <c r="I489" s="64"/>
    </row>
    <row r="490" spans="1:9">
      <c r="A490" s="64"/>
      <c r="B490" s="64"/>
      <c r="C490" s="64"/>
      <c r="D490" s="64"/>
      <c r="E490" s="65"/>
      <c r="F490" s="64"/>
      <c r="G490" s="64"/>
      <c r="H490" s="64"/>
      <c r="I490" s="64"/>
    </row>
    <row r="491" spans="1:9">
      <c r="A491" s="64"/>
      <c r="B491" s="64"/>
      <c r="C491" s="64"/>
      <c r="D491" s="64"/>
      <c r="E491" s="65"/>
      <c r="F491" s="64"/>
      <c r="G491" s="64"/>
      <c r="H491" s="64"/>
      <c r="I491" s="64"/>
    </row>
    <row r="492" spans="1:9">
      <c r="A492" s="64"/>
      <c r="B492" s="64"/>
      <c r="C492" s="64"/>
      <c r="D492" s="64"/>
      <c r="E492" s="65"/>
      <c r="F492" s="64"/>
      <c r="G492" s="64"/>
      <c r="H492" s="64"/>
      <c r="I492" s="64"/>
    </row>
    <row r="493" spans="1:9">
      <c r="A493" s="64"/>
      <c r="B493" s="64"/>
      <c r="C493" s="64"/>
      <c r="D493" s="64"/>
      <c r="E493" s="65"/>
      <c r="F493" s="64"/>
      <c r="G493" s="64"/>
      <c r="H493" s="64"/>
      <c r="I493" s="64"/>
    </row>
    <row r="494" spans="1:9">
      <c r="A494" s="64"/>
      <c r="B494" s="64"/>
      <c r="C494" s="64"/>
      <c r="D494" s="64"/>
      <c r="E494" s="65"/>
      <c r="F494" s="64"/>
      <c r="G494" s="64"/>
      <c r="H494" s="64"/>
      <c r="I494" s="64"/>
    </row>
    <row r="495" spans="1:9">
      <c r="A495" s="64"/>
      <c r="B495" s="64"/>
      <c r="C495" s="64"/>
      <c r="D495" s="64"/>
      <c r="E495" s="65"/>
      <c r="F495" s="64"/>
      <c r="G495" s="64"/>
      <c r="H495" s="64"/>
      <c r="I495" s="64"/>
    </row>
    <row r="496" spans="1:9">
      <c r="A496" s="64"/>
      <c r="B496" s="64"/>
      <c r="C496" s="64"/>
      <c r="D496" s="64"/>
      <c r="E496" s="65"/>
      <c r="F496" s="64"/>
      <c r="G496" s="64"/>
      <c r="H496" s="64"/>
      <c r="I496" s="64"/>
    </row>
    <row r="497" spans="1:9">
      <c r="A497" s="64"/>
      <c r="B497" s="64"/>
      <c r="C497" s="64"/>
      <c r="D497" s="64"/>
      <c r="E497" s="65"/>
      <c r="F497" s="64"/>
      <c r="G497" s="64"/>
      <c r="H497" s="64"/>
      <c r="I497" s="64"/>
    </row>
    <row r="498" spans="1:9">
      <c r="A498" s="64"/>
      <c r="B498" s="64"/>
      <c r="C498" s="64"/>
      <c r="D498" s="64"/>
      <c r="E498" s="65"/>
      <c r="F498" s="64"/>
      <c r="G498" s="64"/>
      <c r="H498" s="64"/>
      <c r="I498" s="64"/>
    </row>
    <row r="499" spans="1:9">
      <c r="A499" s="64"/>
      <c r="B499" s="64"/>
      <c r="C499" s="64"/>
      <c r="D499" s="64"/>
      <c r="E499" s="65"/>
      <c r="F499" s="64"/>
      <c r="G499" s="64"/>
      <c r="H499" s="64"/>
      <c r="I499" s="64"/>
    </row>
    <row r="500" spans="1:9">
      <c r="A500" s="64"/>
      <c r="B500" s="64"/>
      <c r="C500" s="64"/>
      <c r="D500" s="64"/>
      <c r="E500" s="65"/>
      <c r="F500" s="64"/>
      <c r="G500" s="64"/>
      <c r="H500" s="64"/>
      <c r="I500" s="64"/>
    </row>
    <row r="501" spans="1:9">
      <c r="A501" s="64"/>
      <c r="B501" s="64"/>
      <c r="C501" s="64"/>
      <c r="D501" s="64"/>
      <c r="E501" s="65"/>
      <c r="F501" s="64"/>
      <c r="G501" s="64"/>
      <c r="H501" s="64"/>
      <c r="I501" s="64"/>
    </row>
    <row r="502" spans="1:9">
      <c r="A502" s="64"/>
      <c r="B502" s="64"/>
      <c r="C502" s="64"/>
      <c r="D502" s="64"/>
      <c r="E502" s="65"/>
      <c r="F502" s="64"/>
      <c r="G502" s="64"/>
      <c r="H502" s="64"/>
      <c r="I502" s="64"/>
    </row>
    <row r="503" spans="1:9">
      <c r="A503" s="64"/>
      <c r="B503" s="64"/>
      <c r="C503" s="64"/>
      <c r="D503" s="64"/>
      <c r="E503" s="65"/>
      <c r="F503" s="64"/>
      <c r="G503" s="64"/>
      <c r="H503" s="64"/>
      <c r="I503" s="64"/>
    </row>
    <row r="504" spans="1:9">
      <c r="A504" s="64"/>
      <c r="B504" s="64"/>
      <c r="C504" s="64"/>
      <c r="D504" s="64"/>
      <c r="E504" s="65"/>
      <c r="F504" s="64"/>
      <c r="G504" s="64"/>
      <c r="H504" s="64"/>
      <c r="I504" s="64"/>
    </row>
    <row r="505" spans="1:9">
      <c r="A505" s="64"/>
      <c r="B505" s="64"/>
      <c r="C505" s="64"/>
      <c r="D505" s="64"/>
      <c r="E505" s="65"/>
      <c r="F505" s="64"/>
      <c r="G505" s="64"/>
      <c r="H505" s="64"/>
      <c r="I505" s="64"/>
    </row>
    <row r="506" spans="1:9">
      <c r="A506" s="64"/>
      <c r="B506" s="64"/>
      <c r="C506" s="64"/>
      <c r="D506" s="64"/>
      <c r="E506" s="65"/>
      <c r="F506" s="64"/>
      <c r="G506" s="64"/>
      <c r="H506" s="64"/>
      <c r="I506" s="64"/>
    </row>
    <row r="507" spans="1:9">
      <c r="A507" s="64"/>
      <c r="B507" s="64"/>
      <c r="C507" s="64"/>
      <c r="D507" s="64"/>
      <c r="E507" s="65"/>
      <c r="F507" s="64"/>
      <c r="G507" s="64"/>
      <c r="H507" s="64"/>
      <c r="I507" s="64"/>
    </row>
    <row r="508" spans="1:9">
      <c r="A508" s="64"/>
      <c r="B508" s="64"/>
      <c r="C508" s="64"/>
      <c r="D508" s="64"/>
      <c r="E508" s="65"/>
      <c r="F508" s="64"/>
      <c r="G508" s="64"/>
      <c r="H508" s="64"/>
      <c r="I508" s="64"/>
    </row>
    <row r="509" spans="1:9">
      <c r="A509" s="64"/>
      <c r="B509" s="64"/>
      <c r="C509" s="64"/>
      <c r="D509" s="64"/>
      <c r="E509" s="65"/>
      <c r="F509" s="64"/>
      <c r="G509" s="64"/>
      <c r="H509" s="64"/>
      <c r="I509" s="64"/>
    </row>
    <row r="510" spans="1:9">
      <c r="A510" s="64"/>
      <c r="B510" s="64"/>
      <c r="C510" s="64"/>
      <c r="D510" s="64"/>
      <c r="E510" s="65"/>
      <c r="F510" s="64"/>
      <c r="G510" s="64"/>
      <c r="H510" s="64"/>
      <c r="I510" s="64"/>
    </row>
    <row r="511" spans="1:9">
      <c r="A511" s="64"/>
      <c r="B511" s="64"/>
      <c r="C511" s="64"/>
      <c r="D511" s="64"/>
      <c r="E511" s="65"/>
      <c r="F511" s="64"/>
      <c r="G511" s="64"/>
      <c r="H511" s="64"/>
      <c r="I511" s="64"/>
    </row>
    <row r="512" spans="1:9">
      <c r="A512" s="64"/>
      <c r="B512" s="64"/>
      <c r="C512" s="64"/>
      <c r="D512" s="64"/>
      <c r="E512" s="65"/>
      <c r="F512" s="64"/>
      <c r="G512" s="64"/>
      <c r="H512" s="64"/>
      <c r="I512" s="64"/>
    </row>
    <row r="513" spans="1:9">
      <c r="A513" s="64"/>
      <c r="B513" s="64"/>
      <c r="C513" s="64"/>
      <c r="D513" s="64"/>
      <c r="E513" s="65"/>
      <c r="F513" s="64"/>
      <c r="G513" s="64"/>
      <c r="H513" s="64"/>
      <c r="I513" s="64"/>
    </row>
    <row r="514" spans="1:9">
      <c r="A514" s="64"/>
      <c r="B514" s="64"/>
      <c r="C514" s="64"/>
      <c r="D514" s="64"/>
      <c r="E514" s="65"/>
      <c r="F514" s="64"/>
      <c r="G514" s="64"/>
      <c r="H514" s="64"/>
      <c r="I514" s="64"/>
    </row>
    <row r="515" spans="1:9">
      <c r="A515" s="64"/>
      <c r="B515" s="64"/>
      <c r="C515" s="64"/>
      <c r="D515" s="64"/>
      <c r="E515" s="65"/>
      <c r="F515" s="64"/>
      <c r="G515" s="64"/>
      <c r="H515" s="64"/>
      <c r="I515" s="64"/>
    </row>
    <row r="516" spans="1:9">
      <c r="A516" s="64"/>
      <c r="B516" s="64"/>
      <c r="C516" s="64"/>
      <c r="D516" s="64"/>
      <c r="E516" s="65"/>
      <c r="F516" s="64"/>
      <c r="G516" s="64"/>
      <c r="H516" s="64"/>
      <c r="I516" s="64"/>
    </row>
    <row r="517" spans="1:9">
      <c r="A517" s="64"/>
      <c r="B517" s="64"/>
      <c r="C517" s="64"/>
      <c r="D517" s="64"/>
      <c r="E517" s="65"/>
      <c r="F517" s="64"/>
      <c r="G517" s="64"/>
      <c r="H517" s="64"/>
      <c r="I517" s="64"/>
    </row>
    <row r="518" spans="1:9">
      <c r="A518" s="64"/>
      <c r="B518" s="64"/>
      <c r="C518" s="64"/>
      <c r="D518" s="64"/>
      <c r="E518" s="65"/>
      <c r="F518" s="64"/>
      <c r="G518" s="64"/>
      <c r="H518" s="64"/>
      <c r="I518" s="64"/>
    </row>
    <row r="519" spans="1:9">
      <c r="A519" s="64"/>
      <c r="B519" s="64"/>
      <c r="C519" s="64"/>
      <c r="D519" s="64"/>
      <c r="E519" s="65"/>
      <c r="F519" s="64"/>
      <c r="G519" s="64"/>
      <c r="H519" s="64"/>
      <c r="I519" s="64"/>
    </row>
    <row r="520" spans="1:9">
      <c r="A520" s="64"/>
      <c r="B520" s="64"/>
      <c r="C520" s="64"/>
      <c r="D520" s="64"/>
      <c r="E520" s="65"/>
      <c r="F520" s="64"/>
      <c r="G520" s="64"/>
      <c r="H520" s="64"/>
      <c r="I520" s="64"/>
    </row>
    <row r="521" spans="1:9">
      <c r="A521" s="64"/>
      <c r="B521" s="64"/>
      <c r="C521" s="64"/>
      <c r="D521" s="64"/>
      <c r="E521" s="65"/>
      <c r="F521" s="64"/>
      <c r="G521" s="64"/>
      <c r="H521" s="64"/>
      <c r="I521" s="64"/>
    </row>
    <row r="522" spans="1:9">
      <c r="A522" s="64"/>
      <c r="B522" s="64"/>
      <c r="C522" s="64"/>
      <c r="D522" s="64"/>
      <c r="E522" s="65"/>
      <c r="F522" s="64"/>
      <c r="G522" s="64"/>
      <c r="H522" s="64"/>
      <c r="I522" s="64"/>
    </row>
    <row r="523" spans="1:9">
      <c r="A523" s="64"/>
      <c r="B523" s="64"/>
      <c r="C523" s="64"/>
      <c r="D523" s="64"/>
      <c r="E523" s="65"/>
      <c r="F523" s="64"/>
      <c r="G523" s="64"/>
      <c r="H523" s="64"/>
      <c r="I523" s="64"/>
    </row>
    <row r="524" spans="1:9">
      <c r="A524" s="64"/>
      <c r="B524" s="64"/>
      <c r="C524" s="64"/>
      <c r="D524" s="64"/>
      <c r="E524" s="65"/>
      <c r="F524" s="64"/>
      <c r="G524" s="64"/>
      <c r="H524" s="64"/>
      <c r="I524" s="64"/>
    </row>
    <row r="525" spans="1:9">
      <c r="A525" s="64"/>
      <c r="B525" s="64"/>
      <c r="C525" s="64"/>
      <c r="D525" s="64"/>
      <c r="E525" s="65"/>
      <c r="F525" s="64"/>
      <c r="G525" s="64"/>
      <c r="H525" s="64"/>
      <c r="I525" s="64"/>
    </row>
    <row r="526" spans="1:9">
      <c r="A526" s="64"/>
      <c r="B526" s="64"/>
      <c r="C526" s="64"/>
      <c r="D526" s="64"/>
      <c r="E526" s="65"/>
      <c r="F526" s="64"/>
      <c r="G526" s="64"/>
      <c r="H526" s="64"/>
      <c r="I526" s="64"/>
    </row>
    <row r="527" spans="1:9">
      <c r="A527" s="64"/>
      <c r="B527" s="64"/>
      <c r="C527" s="64"/>
      <c r="D527" s="64"/>
      <c r="E527" s="65"/>
      <c r="F527" s="64"/>
      <c r="G527" s="64"/>
      <c r="H527" s="64"/>
      <c r="I527" s="64"/>
    </row>
    <row r="528" spans="1:9">
      <c r="A528" s="64"/>
      <c r="B528" s="64"/>
      <c r="C528" s="64"/>
      <c r="D528" s="64"/>
      <c r="E528" s="65"/>
      <c r="F528" s="64"/>
      <c r="G528" s="64"/>
      <c r="H528" s="64"/>
      <c r="I528" s="64"/>
    </row>
    <row r="529" spans="1:9">
      <c r="A529" s="64"/>
      <c r="B529" s="64"/>
      <c r="C529" s="64"/>
      <c r="D529" s="64"/>
      <c r="E529" s="65"/>
      <c r="F529" s="64"/>
      <c r="G529" s="64"/>
      <c r="H529" s="64"/>
      <c r="I529" s="64"/>
    </row>
    <row r="530" spans="1:9">
      <c r="A530" s="64"/>
      <c r="B530" s="64"/>
      <c r="C530" s="64"/>
      <c r="D530" s="64"/>
      <c r="E530" s="65"/>
      <c r="F530" s="64"/>
      <c r="G530" s="64"/>
      <c r="H530" s="64"/>
      <c r="I530" s="64"/>
    </row>
    <row r="531" spans="1:9">
      <c r="A531" s="64"/>
      <c r="B531" s="64"/>
      <c r="C531" s="64"/>
      <c r="D531" s="64"/>
      <c r="E531" s="65"/>
      <c r="F531" s="64"/>
      <c r="G531" s="64"/>
      <c r="H531" s="64"/>
      <c r="I531" s="64"/>
    </row>
    <row r="532" spans="1:9">
      <c r="A532" s="64"/>
      <c r="B532" s="64"/>
      <c r="C532" s="64"/>
      <c r="D532" s="64"/>
      <c r="E532" s="65"/>
      <c r="F532" s="64"/>
      <c r="G532" s="64"/>
      <c r="H532" s="64"/>
      <c r="I532" s="64"/>
    </row>
    <row r="533" spans="1:9">
      <c r="A533" s="64"/>
      <c r="B533" s="64"/>
      <c r="C533" s="64"/>
      <c r="D533" s="64"/>
      <c r="E533" s="65"/>
      <c r="F533" s="64"/>
      <c r="G533" s="64"/>
      <c r="H533" s="64"/>
      <c r="I533" s="64"/>
    </row>
    <row r="534" spans="1:9">
      <c r="A534" s="64"/>
      <c r="B534" s="64"/>
      <c r="C534" s="64"/>
      <c r="D534" s="64"/>
      <c r="E534" s="65"/>
      <c r="F534" s="64"/>
      <c r="G534" s="64"/>
      <c r="H534" s="64"/>
      <c r="I534" s="64"/>
    </row>
    <row r="535" spans="1:9">
      <c r="A535" s="64"/>
      <c r="B535" s="64"/>
      <c r="C535" s="64"/>
      <c r="D535" s="64"/>
      <c r="E535" s="65"/>
      <c r="F535" s="64"/>
      <c r="G535" s="64"/>
      <c r="H535" s="64"/>
      <c r="I535" s="64"/>
    </row>
    <row r="536" spans="1:9">
      <c r="A536" s="64"/>
      <c r="B536" s="64"/>
      <c r="C536" s="64"/>
      <c r="D536" s="64"/>
      <c r="E536" s="65"/>
      <c r="F536" s="64"/>
      <c r="G536" s="64"/>
      <c r="H536" s="64"/>
      <c r="I536" s="64"/>
    </row>
  </sheetData>
  <mergeCells count="3">
    <mergeCell ref="A1:W1"/>
    <mergeCell ref="A26:W26"/>
    <mergeCell ref="A51:C51"/>
  </mergeCells>
  <printOptions horizontalCentered="1" gridLines="1"/>
  <pageMargins left="0.25" right="0.25" top="0.75" bottom="0.75" header="0" footer="0"/>
  <pageSetup paperSize="6" fitToHeight="0" pageOrder="overThenDown" orientation="landscape" cellComments="atEnd"/>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pageSetUpPr fitToPage="1"/>
  </sheetPr>
  <dimension ref="A1:L233"/>
  <sheetViews>
    <sheetView workbookViewId="0"/>
  </sheetViews>
  <sheetFormatPr defaultColWidth="12.5703125" defaultRowHeight="15.75" customHeight="1"/>
  <cols>
    <col min="1" max="1" width="24.140625" customWidth="1"/>
    <col min="2" max="2" width="26.42578125" customWidth="1"/>
    <col min="3" max="3" width="20.85546875" customWidth="1"/>
    <col min="4" max="4" width="3.85546875" customWidth="1"/>
    <col min="6" max="6" width="37.7109375" customWidth="1"/>
    <col min="7" max="7" width="24.85546875" customWidth="1"/>
    <col min="10" max="10" width="31.42578125" customWidth="1"/>
  </cols>
  <sheetData>
    <row r="1" spans="1:7" ht="12.75">
      <c r="A1" s="300"/>
      <c r="B1" s="300"/>
      <c r="C1" s="300"/>
      <c r="D1" s="300"/>
      <c r="E1" s="300"/>
      <c r="F1" s="300"/>
      <c r="G1" s="300"/>
    </row>
    <row r="2" spans="1:7" ht="12.75">
      <c r="A2" s="300"/>
      <c r="B2" s="300"/>
      <c r="C2" s="300"/>
      <c r="D2" s="300"/>
      <c r="E2" s="300"/>
      <c r="F2" s="300"/>
      <c r="G2" s="300"/>
    </row>
    <row r="3" spans="1:7" ht="12.75">
      <c r="A3" s="300"/>
      <c r="B3" s="300"/>
      <c r="C3" s="300"/>
      <c r="D3" s="300"/>
      <c r="E3" s="300"/>
      <c r="F3" s="300"/>
      <c r="G3" s="300"/>
    </row>
    <row r="4" spans="1:7" ht="12.75">
      <c r="A4" s="300"/>
      <c r="B4" s="300"/>
      <c r="C4" s="300" t="s">
        <v>2773</v>
      </c>
      <c r="D4" s="300"/>
      <c r="E4" s="300"/>
      <c r="F4" s="300"/>
      <c r="G4" s="300"/>
    </row>
    <row r="5" spans="1:7" ht="12.75">
      <c r="A5" s="300"/>
      <c r="B5" s="300"/>
      <c r="C5" s="300"/>
      <c r="D5" s="300"/>
      <c r="E5" s="300"/>
      <c r="F5" s="300"/>
      <c r="G5" s="300"/>
    </row>
    <row r="6" spans="1:7" ht="12.75">
      <c r="A6" s="300"/>
      <c r="B6" s="300"/>
      <c r="C6" s="300"/>
      <c r="D6" s="300"/>
      <c r="E6" s="300"/>
      <c r="F6" s="300"/>
      <c r="G6" s="300"/>
    </row>
    <row r="7" spans="1:7" ht="12.75">
      <c r="A7" s="300"/>
      <c r="B7" s="300"/>
      <c r="C7" s="300"/>
      <c r="D7" s="300"/>
      <c r="E7" s="300"/>
      <c r="F7" s="300"/>
      <c r="G7" s="300"/>
    </row>
    <row r="8" spans="1:7" ht="12.75">
      <c r="A8" s="300"/>
      <c r="B8" s="300"/>
      <c r="C8" s="300"/>
      <c r="D8" s="300"/>
      <c r="E8" s="300"/>
      <c r="F8" s="300"/>
      <c r="G8" s="300"/>
    </row>
    <row r="9" spans="1:7" ht="12.75">
      <c r="A9" s="300"/>
      <c r="B9" s="300"/>
      <c r="C9" s="300"/>
      <c r="D9" s="300"/>
      <c r="E9" s="300"/>
      <c r="F9" s="300"/>
      <c r="G9" s="300"/>
    </row>
    <row r="10" spans="1:7" ht="12.75">
      <c r="A10" s="609" t="s">
        <v>2721</v>
      </c>
      <c r="B10" s="517"/>
      <c r="C10" s="517"/>
      <c r="D10" s="517"/>
      <c r="E10" s="517"/>
      <c r="F10" s="517"/>
      <c r="G10" s="517"/>
    </row>
    <row r="11" spans="1:7" ht="15.75" customHeight="1">
      <c r="A11" s="517"/>
      <c r="B11" s="517"/>
      <c r="C11" s="517"/>
      <c r="D11" s="517"/>
      <c r="E11" s="517"/>
      <c r="F11" s="517"/>
      <c r="G11" s="517"/>
    </row>
    <row r="12" spans="1:7" ht="25.5">
      <c r="A12" s="302" t="s">
        <v>7</v>
      </c>
      <c r="B12" s="302" t="s">
        <v>2776</v>
      </c>
      <c r="C12" s="302" t="s">
        <v>1747</v>
      </c>
      <c r="E12" s="303" t="s">
        <v>14</v>
      </c>
      <c r="F12" s="304" t="s">
        <v>2777</v>
      </c>
      <c r="G12" s="304" t="s">
        <v>2778</v>
      </c>
    </row>
    <row r="13" spans="1:7" ht="12.75">
      <c r="A13" s="16" t="s">
        <v>261</v>
      </c>
      <c r="B13" s="16">
        <v>28</v>
      </c>
      <c r="C13" s="16" t="s">
        <v>1769</v>
      </c>
      <c r="E13" s="16" t="s">
        <v>2779</v>
      </c>
      <c r="F13" s="16" t="s">
        <v>2780</v>
      </c>
      <c r="G13" s="305">
        <f>39/335</f>
        <v>0.11641791044776119</v>
      </c>
    </row>
    <row r="14" spans="1:7" ht="12.75">
      <c r="A14" s="16" t="s">
        <v>2781</v>
      </c>
      <c r="B14" s="16">
        <f>SUM(B48,B57,B66,B76,B85,B94,B103,B112,B121,B130,B139,B148,B157,B166,B176,B186,B195,B204,B212,B221,B230,)</f>
        <v>136</v>
      </c>
      <c r="C14" s="16" t="s">
        <v>89</v>
      </c>
      <c r="E14" s="16" t="s">
        <v>2782</v>
      </c>
      <c r="F14" s="16" t="s">
        <v>2783</v>
      </c>
      <c r="G14" s="305">
        <f>25/353</f>
        <v>7.0821529745042494E-2</v>
      </c>
    </row>
    <row r="15" spans="1:7" ht="12.75">
      <c r="A15" s="16" t="s">
        <v>1242</v>
      </c>
      <c r="B15" s="16">
        <v>76</v>
      </c>
      <c r="C15" s="16" t="s">
        <v>89</v>
      </c>
      <c r="E15" s="16" t="s">
        <v>2784</v>
      </c>
      <c r="F15" s="16" t="s">
        <v>2785</v>
      </c>
      <c r="G15" s="305">
        <f>18/85</f>
        <v>0.21176470588235294</v>
      </c>
    </row>
    <row r="16" spans="1:7" ht="12.75">
      <c r="A16" s="80" t="s">
        <v>311</v>
      </c>
      <c r="B16" s="80">
        <v>11</v>
      </c>
      <c r="C16" s="80" t="s">
        <v>89</v>
      </c>
      <c r="E16" s="16" t="s">
        <v>2786</v>
      </c>
      <c r="F16" s="16" t="s">
        <v>2787</v>
      </c>
      <c r="G16" s="305">
        <f>43/435</f>
        <v>9.8850574712643677E-2</v>
      </c>
    </row>
    <row r="17" spans="1:7" ht="12.75">
      <c r="A17" s="80" t="s">
        <v>623</v>
      </c>
      <c r="B17" s="80">
        <v>9</v>
      </c>
      <c r="C17" s="80" t="s">
        <v>89</v>
      </c>
    </row>
    <row r="18" spans="1:7" ht="12.75">
      <c r="A18" s="306" t="s">
        <v>2788</v>
      </c>
      <c r="B18" s="307">
        <f>SUM(B12:B17)</f>
        <v>260</v>
      </c>
      <c r="C18" s="16"/>
    </row>
    <row r="21" spans="1:7" ht="12.75">
      <c r="A21" s="609" t="s">
        <v>2789</v>
      </c>
      <c r="B21" s="517"/>
      <c r="C21" s="517"/>
      <c r="D21" s="517"/>
      <c r="E21" s="517"/>
      <c r="F21" s="517"/>
      <c r="G21" s="517"/>
    </row>
    <row r="22" spans="1:7" ht="15.75" customHeight="1">
      <c r="A22" s="517"/>
      <c r="B22" s="517"/>
      <c r="C22" s="517"/>
      <c r="D22" s="517"/>
      <c r="E22" s="517"/>
      <c r="F22" s="517"/>
      <c r="G22" s="517"/>
    </row>
    <row r="23" spans="1:7" ht="25.5">
      <c r="A23" s="302" t="s">
        <v>7</v>
      </c>
      <c r="B23" s="302" t="s">
        <v>2776</v>
      </c>
      <c r="C23" s="302" t="s">
        <v>1747</v>
      </c>
      <c r="E23" s="303" t="s">
        <v>14</v>
      </c>
      <c r="F23" s="304" t="s">
        <v>2777</v>
      </c>
      <c r="G23" s="304" t="s">
        <v>2778</v>
      </c>
    </row>
    <row r="24" spans="1:7" ht="12.75">
      <c r="A24" s="16" t="s">
        <v>261</v>
      </c>
      <c r="B24" s="16">
        <v>13</v>
      </c>
      <c r="C24" s="16" t="s">
        <v>1769</v>
      </c>
      <c r="E24" s="16" t="s">
        <v>2779</v>
      </c>
      <c r="F24" s="16" t="s">
        <v>2790</v>
      </c>
      <c r="G24" s="305">
        <f>25/132</f>
        <v>0.18939393939393939</v>
      </c>
    </row>
    <row r="25" spans="1:7" ht="12.75">
      <c r="A25" s="16" t="s">
        <v>2781</v>
      </c>
      <c r="B25" s="16">
        <f>SUM(B48,B57,B66,B76,B85,B94,B103,B112,B121,)</f>
        <v>61</v>
      </c>
      <c r="C25" s="16" t="s">
        <v>89</v>
      </c>
      <c r="E25" s="16" t="s">
        <v>2782</v>
      </c>
      <c r="F25" s="16" t="s">
        <v>2791</v>
      </c>
      <c r="G25" s="305">
        <f>23/120</f>
        <v>0.19166666666666668</v>
      </c>
    </row>
    <row r="26" spans="1:7" ht="12.75">
      <c r="A26" s="16" t="s">
        <v>1242</v>
      </c>
      <c r="B26" s="16">
        <v>68</v>
      </c>
      <c r="C26" s="16" t="s">
        <v>89</v>
      </c>
      <c r="E26" s="16" t="s">
        <v>2784</v>
      </c>
      <c r="F26" s="308">
        <v>45987</v>
      </c>
      <c r="G26" s="305">
        <f>11/26</f>
        <v>0.42307692307692307</v>
      </c>
    </row>
    <row r="27" spans="1:7" ht="12.75">
      <c r="A27" s="80" t="s">
        <v>311</v>
      </c>
      <c r="B27" s="80">
        <v>11</v>
      </c>
      <c r="C27" s="80" t="s">
        <v>89</v>
      </c>
      <c r="E27" s="16" t="s">
        <v>2786</v>
      </c>
      <c r="F27" s="16" t="s">
        <v>2792</v>
      </c>
      <c r="G27" s="305">
        <f>34/146</f>
        <v>0.23287671232876711</v>
      </c>
    </row>
    <row r="28" spans="1:7" ht="12.75">
      <c r="A28" s="80" t="s">
        <v>623</v>
      </c>
      <c r="B28" s="80">
        <v>3</v>
      </c>
      <c r="C28" s="80" t="s">
        <v>89</v>
      </c>
    </row>
    <row r="29" spans="1:7" ht="12.75">
      <c r="A29" s="306" t="s">
        <v>2788</v>
      </c>
      <c r="B29" s="307">
        <f>SUM(B23:B28)</f>
        <v>156</v>
      </c>
      <c r="C29" s="16"/>
    </row>
    <row r="32" spans="1:7" ht="12.75">
      <c r="A32" s="609" t="s">
        <v>2793</v>
      </c>
      <c r="B32" s="517"/>
      <c r="C32" s="517"/>
      <c r="D32" s="517"/>
      <c r="E32" s="517"/>
      <c r="F32" s="517"/>
      <c r="G32" s="517"/>
    </row>
    <row r="33" spans="1:12" ht="15.75" customHeight="1">
      <c r="A33" s="517"/>
      <c r="B33" s="517"/>
      <c r="C33" s="517"/>
      <c r="D33" s="517"/>
      <c r="E33" s="517"/>
      <c r="F33" s="517"/>
      <c r="G33" s="517"/>
    </row>
    <row r="34" spans="1:12" ht="25.5">
      <c r="A34" s="302" t="s">
        <v>7</v>
      </c>
      <c r="B34" s="302" t="s">
        <v>2776</v>
      </c>
      <c r="C34" s="302" t="s">
        <v>1747</v>
      </c>
      <c r="E34" s="303" t="s">
        <v>14</v>
      </c>
      <c r="F34" s="304" t="s">
        <v>2777</v>
      </c>
      <c r="G34" s="304" t="s">
        <v>2778</v>
      </c>
    </row>
    <row r="35" spans="1:12" ht="12.75">
      <c r="A35" s="16" t="s">
        <v>261</v>
      </c>
      <c r="B35" s="16">
        <v>15</v>
      </c>
      <c r="C35" s="16" t="s">
        <v>1769</v>
      </c>
      <c r="E35" s="16" t="s">
        <v>2779</v>
      </c>
      <c r="F35" s="16" t="s">
        <v>2794</v>
      </c>
      <c r="G35" s="305">
        <f>12/203</f>
        <v>5.9113300492610835E-2</v>
      </c>
    </row>
    <row r="36" spans="1:12" ht="12.75">
      <c r="A36" s="16" t="s">
        <v>2781</v>
      </c>
      <c r="B36" s="16">
        <f>SUM(B130,B139,B148,B157,B166,B176,B186,B195,B204,B212,B221,B230,)</f>
        <v>75</v>
      </c>
      <c r="C36" s="16" t="s">
        <v>89</v>
      </c>
      <c r="E36" s="16" t="s">
        <v>2782</v>
      </c>
      <c r="F36" s="16" t="s">
        <v>2795</v>
      </c>
      <c r="G36" s="305">
        <f>2/230</f>
        <v>8.6956521739130436E-3</v>
      </c>
    </row>
    <row r="37" spans="1:12" ht="12.75">
      <c r="A37" s="16" t="s">
        <v>1242</v>
      </c>
      <c r="B37" s="16">
        <v>8</v>
      </c>
      <c r="C37" s="16" t="s">
        <v>89</v>
      </c>
      <c r="E37" s="16" t="s">
        <v>2784</v>
      </c>
      <c r="F37" s="16" t="s">
        <v>2796</v>
      </c>
      <c r="G37" s="305">
        <f>7/59</f>
        <v>0.11864406779661017</v>
      </c>
    </row>
    <row r="38" spans="1:12" ht="12.75">
      <c r="A38" s="80" t="s">
        <v>311</v>
      </c>
      <c r="B38" s="80" t="s">
        <v>2798</v>
      </c>
      <c r="C38" s="80" t="s">
        <v>89</v>
      </c>
      <c r="E38" s="16" t="s">
        <v>2786</v>
      </c>
      <c r="F38" s="16" t="s">
        <v>2799</v>
      </c>
      <c r="G38" s="305">
        <f>9/289</f>
        <v>3.1141868512110725E-2</v>
      </c>
    </row>
    <row r="39" spans="1:12" ht="12.75">
      <c r="A39" s="80" t="s">
        <v>623</v>
      </c>
      <c r="B39" s="80">
        <v>6</v>
      </c>
      <c r="C39" s="80" t="s">
        <v>89</v>
      </c>
    </row>
    <row r="40" spans="1:12" ht="12.75">
      <c r="A40" s="306" t="s">
        <v>2788</v>
      </c>
      <c r="B40" s="307">
        <f>SUM(B34:B39)</f>
        <v>104</v>
      </c>
      <c r="C40" s="16"/>
    </row>
    <row r="45" spans="1:12" ht="12.75">
      <c r="A45" s="610" t="s">
        <v>2801</v>
      </c>
      <c r="B45" s="517"/>
      <c r="C45" s="517"/>
    </row>
    <row r="46" spans="1:12" ht="25.5">
      <c r="A46" s="302" t="s">
        <v>7</v>
      </c>
      <c r="B46" s="302" t="s">
        <v>2776</v>
      </c>
      <c r="C46" s="302" t="s">
        <v>1747</v>
      </c>
      <c r="E46" s="303" t="s">
        <v>14</v>
      </c>
      <c r="F46" s="304" t="s">
        <v>2777</v>
      </c>
      <c r="G46" s="304" t="s">
        <v>2778</v>
      </c>
    </row>
    <row r="47" spans="1:12" ht="12.75">
      <c r="A47" s="16" t="s">
        <v>261</v>
      </c>
      <c r="B47" s="16" t="s">
        <v>2798</v>
      </c>
      <c r="C47" s="16" t="s">
        <v>2798</v>
      </c>
      <c r="E47" s="16" t="s">
        <v>2779</v>
      </c>
      <c r="F47" s="308">
        <v>45694</v>
      </c>
      <c r="G47" s="305">
        <f>2/6</f>
        <v>0.33333333333333331</v>
      </c>
      <c r="I47" s="31" t="s">
        <v>2802</v>
      </c>
      <c r="L47" s="31" t="s">
        <v>1810</v>
      </c>
    </row>
    <row r="48" spans="1:12" ht="12.75">
      <c r="A48" s="16" t="s">
        <v>2781</v>
      </c>
      <c r="B48" s="16">
        <v>7</v>
      </c>
      <c r="C48" s="16" t="s">
        <v>89</v>
      </c>
      <c r="E48" s="16" t="s">
        <v>2782</v>
      </c>
      <c r="F48" s="308">
        <v>45693</v>
      </c>
      <c r="G48" s="305">
        <f>2/5</f>
        <v>0.4</v>
      </c>
      <c r="I48" s="31" t="s">
        <v>2803</v>
      </c>
      <c r="L48" s="31" t="s">
        <v>1782</v>
      </c>
    </row>
    <row r="49" spans="1:12" ht="12.75">
      <c r="A49" s="16" t="s">
        <v>1242</v>
      </c>
      <c r="B49" s="16">
        <v>5</v>
      </c>
      <c r="C49" s="16" t="s">
        <v>89</v>
      </c>
      <c r="E49" s="16" t="s">
        <v>2784</v>
      </c>
      <c r="F49" s="308">
        <v>45658</v>
      </c>
      <c r="G49" s="305">
        <f>1/1</f>
        <v>1</v>
      </c>
      <c r="I49" s="309"/>
    </row>
    <row r="50" spans="1:12" ht="12.75">
      <c r="A50" s="80" t="s">
        <v>311</v>
      </c>
      <c r="B50" s="80" t="s">
        <v>2798</v>
      </c>
      <c r="C50" s="80" t="s">
        <v>2798</v>
      </c>
      <c r="E50" s="16" t="s">
        <v>2786</v>
      </c>
      <c r="F50" s="308">
        <v>45722</v>
      </c>
      <c r="G50" s="305">
        <f>3/6</f>
        <v>0.5</v>
      </c>
    </row>
    <row r="51" spans="1:12" ht="12.75">
      <c r="A51" s="310" t="s">
        <v>2788</v>
      </c>
      <c r="B51" s="311">
        <f>SUM(B46:B50)</f>
        <v>12</v>
      </c>
      <c r="C51" s="16"/>
    </row>
    <row r="52" spans="1:12" ht="12.75">
      <c r="A52" s="49"/>
      <c r="B52" s="312"/>
      <c r="C52" s="312"/>
    </row>
    <row r="54" spans="1:12" ht="12.75">
      <c r="A54" s="610" t="s">
        <v>2804</v>
      </c>
      <c r="B54" s="517"/>
      <c r="C54" s="517"/>
      <c r="D54" s="313"/>
    </row>
    <row r="55" spans="1:12" ht="25.5">
      <c r="A55" s="302" t="s">
        <v>7</v>
      </c>
      <c r="B55" s="302" t="s">
        <v>2776</v>
      </c>
      <c r="C55" s="302" t="s">
        <v>1747</v>
      </c>
      <c r="E55" s="303" t="s">
        <v>14</v>
      </c>
      <c r="F55" s="304" t="s">
        <v>2777</v>
      </c>
      <c r="G55" s="304" t="s">
        <v>2778</v>
      </c>
    </row>
    <row r="56" spans="1:12" ht="12.75">
      <c r="A56" s="16" t="s">
        <v>261</v>
      </c>
      <c r="B56" s="16">
        <v>7</v>
      </c>
      <c r="C56" s="16" t="s">
        <v>1769</v>
      </c>
      <c r="E56" s="16" t="s">
        <v>2779</v>
      </c>
      <c r="F56" s="308">
        <v>45837</v>
      </c>
      <c r="G56" s="305">
        <f>6/29</f>
        <v>0.20689655172413793</v>
      </c>
      <c r="I56" s="31" t="s">
        <v>2805</v>
      </c>
      <c r="L56" s="31" t="s">
        <v>1810</v>
      </c>
    </row>
    <row r="57" spans="1:12" ht="12.75">
      <c r="A57" s="16" t="s">
        <v>2781</v>
      </c>
      <c r="B57" s="16">
        <v>6</v>
      </c>
      <c r="C57" s="16" t="s">
        <v>89</v>
      </c>
      <c r="E57" s="16" t="s">
        <v>2782</v>
      </c>
      <c r="F57" s="308">
        <v>45829</v>
      </c>
      <c r="G57" s="305">
        <f>6/21</f>
        <v>0.2857142857142857</v>
      </c>
      <c r="I57" s="31" t="s">
        <v>2807</v>
      </c>
      <c r="L57" s="31" t="s">
        <v>2282</v>
      </c>
    </row>
    <row r="58" spans="1:12" ht="12.75">
      <c r="A58" s="16" t="s">
        <v>1242</v>
      </c>
      <c r="B58" s="16">
        <v>8</v>
      </c>
      <c r="C58" s="16" t="s">
        <v>89</v>
      </c>
      <c r="E58" s="16" t="s">
        <v>2784</v>
      </c>
      <c r="F58" s="308">
        <v>45663</v>
      </c>
      <c r="G58" s="305">
        <f>1/6</f>
        <v>0.16666666666666666</v>
      </c>
    </row>
    <row r="59" spans="1:12" ht="12.75">
      <c r="A59" s="80" t="s">
        <v>311</v>
      </c>
      <c r="B59" s="80">
        <v>7</v>
      </c>
      <c r="C59" s="80" t="s">
        <v>89</v>
      </c>
      <c r="E59" s="16" t="s">
        <v>2786</v>
      </c>
      <c r="F59" s="308">
        <v>45865</v>
      </c>
      <c r="G59" s="305">
        <f>7/27</f>
        <v>0.25925925925925924</v>
      </c>
    </row>
    <row r="60" spans="1:12" ht="12.75">
      <c r="A60" s="310" t="s">
        <v>2788</v>
      </c>
      <c r="B60" s="311">
        <f>SUM(B55:B59)</f>
        <v>28</v>
      </c>
      <c r="C60" s="16"/>
      <c r="E60" s="49"/>
    </row>
    <row r="61" spans="1:12" ht="12.75">
      <c r="A61" s="49"/>
      <c r="B61" s="312"/>
      <c r="C61" s="312"/>
    </row>
    <row r="62" spans="1:12" ht="12.75">
      <c r="A62" s="49"/>
      <c r="B62" s="312"/>
      <c r="C62" s="312"/>
    </row>
    <row r="63" spans="1:12" ht="12.75">
      <c r="A63" s="610" t="s">
        <v>2808</v>
      </c>
      <c r="B63" s="517"/>
      <c r="C63" s="517"/>
      <c r="D63" s="313"/>
    </row>
    <row r="64" spans="1:12" ht="25.5">
      <c r="A64" s="302" t="s">
        <v>7</v>
      </c>
      <c r="B64" s="302" t="s">
        <v>2776</v>
      </c>
      <c r="C64" s="302" t="s">
        <v>1747</v>
      </c>
      <c r="E64" s="303" t="s">
        <v>14</v>
      </c>
      <c r="F64" s="304" t="s">
        <v>2777</v>
      </c>
      <c r="G64" s="304" t="s">
        <v>2778</v>
      </c>
    </row>
    <row r="65" spans="1:12" ht="12.75">
      <c r="A65" s="16" t="s">
        <v>261</v>
      </c>
      <c r="B65" s="16">
        <v>3</v>
      </c>
      <c r="C65" s="16" t="s">
        <v>1769</v>
      </c>
      <c r="E65" s="16" t="s">
        <v>2779</v>
      </c>
      <c r="F65" s="308">
        <v>45797</v>
      </c>
      <c r="G65" s="305">
        <f>5/20</f>
        <v>0.25</v>
      </c>
      <c r="I65" s="31" t="s">
        <v>2809</v>
      </c>
      <c r="L65" s="31" t="s">
        <v>1810</v>
      </c>
    </row>
    <row r="66" spans="1:12" ht="12.75">
      <c r="A66" s="16" t="s">
        <v>2781</v>
      </c>
      <c r="B66" s="16">
        <v>6</v>
      </c>
      <c r="C66" s="16" t="s">
        <v>89</v>
      </c>
      <c r="E66" s="16" t="s">
        <v>2782</v>
      </c>
      <c r="F66" s="308">
        <v>45796</v>
      </c>
      <c r="G66" s="305">
        <f>5/19</f>
        <v>0.26315789473684209</v>
      </c>
      <c r="I66" s="31" t="s">
        <v>2810</v>
      </c>
      <c r="L66" s="31" t="s">
        <v>2811</v>
      </c>
    </row>
    <row r="67" spans="1:12" ht="12.75">
      <c r="A67" s="16" t="s">
        <v>1242</v>
      </c>
      <c r="B67" s="16">
        <v>9</v>
      </c>
      <c r="C67" s="16" t="s">
        <v>89</v>
      </c>
      <c r="E67" s="16" t="s">
        <v>2784</v>
      </c>
      <c r="F67" s="308">
        <v>45660</v>
      </c>
      <c r="G67" s="305">
        <f>1/3</f>
        <v>0.33333333333333331</v>
      </c>
    </row>
    <row r="68" spans="1:12" ht="12.75">
      <c r="A68" s="80" t="s">
        <v>311</v>
      </c>
      <c r="B68" s="80">
        <v>4</v>
      </c>
      <c r="C68" s="80" t="s">
        <v>89</v>
      </c>
      <c r="E68" s="16" t="s">
        <v>2786</v>
      </c>
      <c r="F68" s="308">
        <v>45830</v>
      </c>
      <c r="G68" s="305">
        <f>6/22</f>
        <v>0.27272727272727271</v>
      </c>
    </row>
    <row r="69" spans="1:12" ht="12.75">
      <c r="A69" s="80" t="s">
        <v>623</v>
      </c>
      <c r="B69" s="80">
        <v>3</v>
      </c>
      <c r="C69" s="80" t="s">
        <v>89</v>
      </c>
      <c r="E69" s="49"/>
    </row>
    <row r="70" spans="1:12" ht="12.75">
      <c r="A70" s="310" t="s">
        <v>2788</v>
      </c>
      <c r="B70" s="311">
        <f>SUM(B64:B69)</f>
        <v>25</v>
      </c>
      <c r="C70" s="16"/>
      <c r="E70" s="49"/>
    </row>
    <row r="73" spans="1:12" ht="12.75">
      <c r="A73" s="610" t="s">
        <v>1771</v>
      </c>
      <c r="B73" s="517"/>
      <c r="C73" s="517"/>
      <c r="D73" s="313"/>
      <c r="I73" s="31" t="s">
        <v>2812</v>
      </c>
      <c r="L73" s="31" t="s">
        <v>1810</v>
      </c>
    </row>
    <row r="74" spans="1:12" ht="25.5">
      <c r="A74" s="302" t="s">
        <v>7</v>
      </c>
      <c r="B74" s="302" t="s">
        <v>2776</v>
      </c>
      <c r="C74" s="302" t="s">
        <v>1747</v>
      </c>
      <c r="E74" s="303" t="s">
        <v>14</v>
      </c>
      <c r="F74" s="304" t="s">
        <v>2777</v>
      </c>
      <c r="G74" s="304" t="s">
        <v>2778</v>
      </c>
      <c r="I74" s="31" t="s">
        <v>2813</v>
      </c>
      <c r="L74" s="31" t="s">
        <v>1782</v>
      </c>
    </row>
    <row r="75" spans="1:12" ht="12.75">
      <c r="A75" s="16" t="s">
        <v>261</v>
      </c>
      <c r="B75" s="16" t="s">
        <v>2798</v>
      </c>
      <c r="C75" s="16" t="s">
        <v>2798</v>
      </c>
      <c r="E75" s="16" t="s">
        <v>2779</v>
      </c>
      <c r="F75" s="308">
        <v>45707</v>
      </c>
      <c r="G75" s="305">
        <f>2/19</f>
        <v>0.10526315789473684</v>
      </c>
      <c r="I75" s="31" t="s">
        <v>2814</v>
      </c>
      <c r="L75" s="31" t="s">
        <v>1782</v>
      </c>
    </row>
    <row r="76" spans="1:12" ht="12.75">
      <c r="A76" s="16" t="s">
        <v>2781</v>
      </c>
      <c r="B76" s="16">
        <v>6</v>
      </c>
      <c r="C76" s="16" t="s">
        <v>89</v>
      </c>
      <c r="E76" s="16" t="s">
        <v>2782</v>
      </c>
      <c r="F76" s="308">
        <v>45733</v>
      </c>
      <c r="G76" s="305">
        <f>3/17</f>
        <v>0.17647058823529413</v>
      </c>
    </row>
    <row r="77" spans="1:12" ht="12.75">
      <c r="A77" s="16" t="s">
        <v>1242</v>
      </c>
      <c r="B77" s="16">
        <v>14</v>
      </c>
      <c r="C77" s="16" t="s">
        <v>89</v>
      </c>
      <c r="E77" s="16" t="s">
        <v>2784</v>
      </c>
      <c r="F77" s="308">
        <v>45692</v>
      </c>
      <c r="G77" s="305">
        <f>2/4</f>
        <v>0.5</v>
      </c>
      <c r="I77" s="31" t="s">
        <v>2815</v>
      </c>
      <c r="L77" s="31" t="s">
        <v>1810</v>
      </c>
    </row>
    <row r="78" spans="1:12" ht="12.75">
      <c r="A78" s="80" t="s">
        <v>311</v>
      </c>
      <c r="B78" s="80" t="s">
        <v>2798</v>
      </c>
      <c r="C78" s="80" t="s">
        <v>2798</v>
      </c>
      <c r="E78" s="16" t="s">
        <v>2786</v>
      </c>
      <c r="F78" s="308">
        <v>45798</v>
      </c>
      <c r="G78" s="305">
        <f>5/21</f>
        <v>0.23809523809523808</v>
      </c>
      <c r="I78" s="31" t="s">
        <v>2816</v>
      </c>
      <c r="L78" s="31" t="s">
        <v>1782</v>
      </c>
    </row>
    <row r="79" spans="1:12" ht="12.75">
      <c r="A79" s="310" t="s">
        <v>2788</v>
      </c>
      <c r="B79" s="311">
        <f>SUM(B74:B78)</f>
        <v>20</v>
      </c>
      <c r="C79" s="16"/>
      <c r="E79" s="49"/>
      <c r="I79" s="31" t="s">
        <v>2817</v>
      </c>
      <c r="L79" s="31" t="s">
        <v>2811</v>
      </c>
    </row>
    <row r="82" spans="1:12" ht="12.75">
      <c r="A82" s="610" t="s">
        <v>2818</v>
      </c>
      <c r="B82" s="517"/>
      <c r="C82" s="517"/>
      <c r="D82" s="313"/>
    </row>
    <row r="83" spans="1:12" ht="25.5">
      <c r="A83" s="302" t="s">
        <v>7</v>
      </c>
      <c r="B83" s="302" t="s">
        <v>2776</v>
      </c>
      <c r="C83" s="302" t="s">
        <v>1747</v>
      </c>
      <c r="E83" s="303" t="s">
        <v>14</v>
      </c>
      <c r="F83" s="304" t="s">
        <v>2777</v>
      </c>
      <c r="G83" s="304" t="s">
        <v>2778</v>
      </c>
      <c r="I83" s="31" t="s">
        <v>2819</v>
      </c>
      <c r="L83" s="31" t="s">
        <v>1810</v>
      </c>
    </row>
    <row r="84" spans="1:12" ht="12.75">
      <c r="A84" s="16" t="s">
        <v>261</v>
      </c>
      <c r="B84" s="16" t="s">
        <v>2798</v>
      </c>
      <c r="C84" s="16" t="s">
        <v>2798</v>
      </c>
      <c r="E84" s="16" t="s">
        <v>2779</v>
      </c>
      <c r="F84" s="308">
        <v>45703</v>
      </c>
      <c r="G84" s="305">
        <f>2/15</f>
        <v>0.13333333333333333</v>
      </c>
      <c r="I84" s="31" t="s">
        <v>2820</v>
      </c>
      <c r="L84" s="31" t="s">
        <v>1782</v>
      </c>
    </row>
    <row r="85" spans="1:12" ht="12.75">
      <c r="A85" s="16" t="s">
        <v>2781</v>
      </c>
      <c r="B85" s="16">
        <v>7</v>
      </c>
      <c r="C85" s="16" t="s">
        <v>89</v>
      </c>
      <c r="E85" s="16" t="s">
        <v>2782</v>
      </c>
      <c r="F85" s="308">
        <v>45700</v>
      </c>
      <c r="G85" s="305">
        <f>2/12</f>
        <v>0.16666666666666666</v>
      </c>
      <c r="I85" s="31" t="s">
        <v>2822</v>
      </c>
      <c r="L85" s="31" t="s">
        <v>1782</v>
      </c>
    </row>
    <row r="86" spans="1:12" ht="12.75">
      <c r="A86" s="16" t="s">
        <v>1242</v>
      </c>
      <c r="B86" s="16">
        <v>6</v>
      </c>
      <c r="C86" s="16" t="s">
        <v>89</v>
      </c>
      <c r="E86" s="16" t="s">
        <v>2784</v>
      </c>
      <c r="F86" s="308">
        <v>45690</v>
      </c>
      <c r="G86" s="305">
        <f>2/2</f>
        <v>1</v>
      </c>
    </row>
    <row r="87" spans="1:12" ht="12.75">
      <c r="A87" s="80" t="s">
        <v>311</v>
      </c>
      <c r="B87" s="80" t="s">
        <v>2798</v>
      </c>
      <c r="C87" s="80" t="s">
        <v>2798</v>
      </c>
      <c r="E87" s="16" t="s">
        <v>2786</v>
      </c>
      <c r="F87" s="308">
        <v>45761</v>
      </c>
      <c r="G87" s="305">
        <f>4/14</f>
        <v>0.2857142857142857</v>
      </c>
      <c r="I87" s="31" t="s">
        <v>2823</v>
      </c>
      <c r="L87" s="31" t="s">
        <v>1810</v>
      </c>
    </row>
    <row r="88" spans="1:12" ht="12.75">
      <c r="A88" s="310" t="s">
        <v>2788</v>
      </c>
      <c r="B88" s="311">
        <f>SUM(B83:B87)</f>
        <v>13</v>
      </c>
      <c r="C88" s="16"/>
      <c r="E88" s="49"/>
      <c r="I88" s="31" t="s">
        <v>2824</v>
      </c>
      <c r="L88" s="31" t="s">
        <v>1782</v>
      </c>
    </row>
    <row r="89" spans="1:12" ht="12.75">
      <c r="I89" s="31" t="s">
        <v>2825</v>
      </c>
      <c r="L89" s="31" t="s">
        <v>1782</v>
      </c>
    </row>
    <row r="91" spans="1:12" ht="12.75">
      <c r="A91" s="610" t="s">
        <v>2826</v>
      </c>
      <c r="B91" s="517"/>
      <c r="C91" s="517"/>
      <c r="D91" s="313"/>
    </row>
    <row r="92" spans="1:12" ht="25.5">
      <c r="A92" s="302" t="s">
        <v>7</v>
      </c>
      <c r="B92" s="302" t="s">
        <v>2776</v>
      </c>
      <c r="C92" s="302" t="s">
        <v>1747</v>
      </c>
      <c r="E92" s="303" t="s">
        <v>14</v>
      </c>
      <c r="F92" s="304" t="s">
        <v>2777</v>
      </c>
      <c r="G92" s="304" t="s">
        <v>2778</v>
      </c>
    </row>
    <row r="93" spans="1:12" ht="12.75">
      <c r="A93" s="16" t="s">
        <v>261</v>
      </c>
      <c r="B93" s="16" t="s">
        <v>2798</v>
      </c>
      <c r="C93" s="16" t="s">
        <v>2798</v>
      </c>
      <c r="E93" s="16" t="s">
        <v>2779</v>
      </c>
      <c r="F93" s="308">
        <v>45694</v>
      </c>
      <c r="G93" s="305">
        <f>2/6</f>
        <v>0.33333333333333331</v>
      </c>
      <c r="I93" s="31" t="s">
        <v>581</v>
      </c>
      <c r="L93" s="31" t="s">
        <v>1810</v>
      </c>
    </row>
    <row r="94" spans="1:12" ht="12.75">
      <c r="A94" s="16" t="s">
        <v>2781</v>
      </c>
      <c r="B94" s="16">
        <v>7</v>
      </c>
      <c r="C94" s="16" t="s">
        <v>89</v>
      </c>
      <c r="E94" s="16" t="s">
        <v>2782</v>
      </c>
      <c r="F94" s="308">
        <v>45663</v>
      </c>
      <c r="G94" s="305">
        <f>1/6</f>
        <v>0.16666666666666666</v>
      </c>
    </row>
    <row r="95" spans="1:12" ht="12.75">
      <c r="A95" s="16" t="s">
        <v>1242</v>
      </c>
      <c r="B95" s="16">
        <v>6</v>
      </c>
      <c r="C95" s="16" t="s">
        <v>89</v>
      </c>
      <c r="E95" s="16" t="s">
        <v>2784</v>
      </c>
      <c r="F95" s="308">
        <v>45658</v>
      </c>
      <c r="G95" s="305">
        <f>1/1</f>
        <v>1</v>
      </c>
      <c r="I95" s="31" t="s">
        <v>578</v>
      </c>
      <c r="L95" s="31" t="s">
        <v>1810</v>
      </c>
    </row>
    <row r="96" spans="1:12" ht="12.75">
      <c r="A96" s="80" t="s">
        <v>311</v>
      </c>
      <c r="B96" s="80" t="s">
        <v>2798</v>
      </c>
      <c r="C96" s="80" t="s">
        <v>2798</v>
      </c>
      <c r="E96" s="16" t="s">
        <v>2786</v>
      </c>
      <c r="F96" s="308">
        <v>45695</v>
      </c>
      <c r="G96" s="305">
        <f>2/7</f>
        <v>0.2857142857142857</v>
      </c>
      <c r="I96" s="31" t="s">
        <v>2828</v>
      </c>
      <c r="L96" s="31" t="s">
        <v>1782</v>
      </c>
    </row>
    <row r="97" spans="1:12" ht="12.75">
      <c r="A97" s="310" t="s">
        <v>2788</v>
      </c>
      <c r="B97" s="311">
        <f>SUM(B92:B96)</f>
        <v>13</v>
      </c>
      <c r="C97" s="16"/>
      <c r="E97" s="49"/>
      <c r="I97" s="31" t="s">
        <v>2829</v>
      </c>
      <c r="L97" s="31" t="s">
        <v>2811</v>
      </c>
    </row>
    <row r="100" spans="1:12" ht="12.75">
      <c r="A100" s="610" t="s">
        <v>2830</v>
      </c>
      <c r="B100" s="517"/>
      <c r="C100" s="517"/>
      <c r="D100" s="313"/>
    </row>
    <row r="101" spans="1:12" ht="25.5">
      <c r="A101" s="302" t="s">
        <v>7</v>
      </c>
      <c r="B101" s="302" t="s">
        <v>2776</v>
      </c>
      <c r="C101" s="302" t="s">
        <v>1747</v>
      </c>
      <c r="E101" s="303" t="s">
        <v>14</v>
      </c>
      <c r="F101" s="304" t="s">
        <v>2777</v>
      </c>
      <c r="G101" s="304" t="s">
        <v>2778</v>
      </c>
      <c r="I101" s="31" t="s">
        <v>2831</v>
      </c>
      <c r="L101" s="31" t="s">
        <v>1810</v>
      </c>
    </row>
    <row r="102" spans="1:12" ht="12.75">
      <c r="A102" s="16" t="s">
        <v>261</v>
      </c>
      <c r="B102" s="16">
        <v>3</v>
      </c>
      <c r="C102" s="16" t="s">
        <v>1769</v>
      </c>
      <c r="E102" s="16" t="s">
        <v>2779</v>
      </c>
      <c r="F102" s="308">
        <v>45759</v>
      </c>
      <c r="G102" s="305">
        <f>4/12</f>
        <v>0.33333333333333331</v>
      </c>
      <c r="I102" s="31" t="s">
        <v>2832</v>
      </c>
      <c r="L102" s="31" t="s">
        <v>1782</v>
      </c>
    </row>
    <row r="103" spans="1:12" ht="12.75">
      <c r="A103" s="16" t="s">
        <v>2781</v>
      </c>
      <c r="B103" s="16">
        <v>7</v>
      </c>
      <c r="C103" s="16" t="s">
        <v>89</v>
      </c>
      <c r="E103" s="16" t="s">
        <v>2782</v>
      </c>
      <c r="F103" s="308">
        <v>45700</v>
      </c>
      <c r="G103" s="305">
        <f>2/12</f>
        <v>0.16666666666666666</v>
      </c>
    </row>
    <row r="104" spans="1:12" ht="12.75">
      <c r="A104" s="16" t="s">
        <v>1242</v>
      </c>
      <c r="B104" s="16">
        <v>6</v>
      </c>
      <c r="C104" s="16" t="s">
        <v>89</v>
      </c>
      <c r="E104" s="16" t="s">
        <v>2784</v>
      </c>
      <c r="F104" s="308">
        <v>45690</v>
      </c>
      <c r="G104" s="305">
        <f>2/2</f>
        <v>1</v>
      </c>
      <c r="I104" s="31" t="s">
        <v>2833</v>
      </c>
      <c r="L104" s="31" t="s">
        <v>1810</v>
      </c>
    </row>
    <row r="105" spans="1:12" ht="12.75">
      <c r="A105" s="80" t="s">
        <v>311</v>
      </c>
      <c r="B105" s="80" t="s">
        <v>2798</v>
      </c>
      <c r="C105" s="80" t="s">
        <v>2798</v>
      </c>
      <c r="E105" s="16" t="s">
        <v>2786</v>
      </c>
      <c r="F105" s="308">
        <v>45761</v>
      </c>
      <c r="G105" s="305">
        <f>4/14</f>
        <v>0.2857142857142857</v>
      </c>
      <c r="I105" s="31" t="s">
        <v>2834</v>
      </c>
      <c r="L105" s="31" t="s">
        <v>1782</v>
      </c>
    </row>
    <row r="106" spans="1:12" ht="12.75">
      <c r="A106" s="310" t="s">
        <v>2788</v>
      </c>
      <c r="B106" s="311">
        <f>SUM(B101:B105)</f>
        <v>16</v>
      </c>
      <c r="C106" s="16"/>
      <c r="E106" s="49"/>
      <c r="I106" s="31" t="s">
        <v>2835</v>
      </c>
      <c r="L106" s="31" t="s">
        <v>2811</v>
      </c>
    </row>
    <row r="109" spans="1:12" ht="12.75">
      <c r="A109" s="610" t="s">
        <v>2836</v>
      </c>
      <c r="B109" s="517"/>
      <c r="C109" s="517"/>
      <c r="D109" s="313"/>
    </row>
    <row r="110" spans="1:12" ht="25.5">
      <c r="A110" s="302" t="s">
        <v>7</v>
      </c>
      <c r="B110" s="302" t="s">
        <v>2776</v>
      </c>
      <c r="C110" s="302" t="s">
        <v>1747</v>
      </c>
      <c r="E110" s="303" t="s">
        <v>14</v>
      </c>
      <c r="F110" s="304" t="s">
        <v>2777</v>
      </c>
      <c r="G110" s="304" t="s">
        <v>2778</v>
      </c>
    </row>
    <row r="111" spans="1:12" ht="12.75">
      <c r="A111" s="16" t="s">
        <v>261</v>
      </c>
      <c r="B111" s="16" t="s">
        <v>2798</v>
      </c>
      <c r="C111" s="16" t="s">
        <v>2798</v>
      </c>
      <c r="E111" s="16" t="s">
        <v>2779</v>
      </c>
      <c r="F111" s="308">
        <v>45668</v>
      </c>
      <c r="G111" s="305">
        <f>1/11</f>
        <v>9.0909090909090912E-2</v>
      </c>
      <c r="I111" s="31" t="s">
        <v>2837</v>
      </c>
      <c r="L111" s="31" t="s">
        <v>1810</v>
      </c>
    </row>
    <row r="112" spans="1:12" ht="12.75">
      <c r="A112" s="16" t="s">
        <v>2781</v>
      </c>
      <c r="B112" s="16">
        <v>8</v>
      </c>
      <c r="C112" s="16" t="s">
        <v>89</v>
      </c>
      <c r="E112" s="16" t="s">
        <v>2782</v>
      </c>
      <c r="F112" s="308">
        <v>45667</v>
      </c>
      <c r="G112" s="305">
        <f>1/10</f>
        <v>0.1</v>
      </c>
      <c r="I112" s="31" t="s">
        <v>2838</v>
      </c>
      <c r="L112" s="31" t="s">
        <v>1782</v>
      </c>
    </row>
    <row r="113" spans="1:12" ht="12.75">
      <c r="A113" s="16" t="s">
        <v>1242</v>
      </c>
      <c r="B113" s="16">
        <v>3</v>
      </c>
      <c r="C113" s="16" t="s">
        <v>89</v>
      </c>
      <c r="E113" s="16" t="s">
        <v>2784</v>
      </c>
      <c r="F113" s="16" t="s">
        <v>2839</v>
      </c>
      <c r="G113" s="305">
        <f>0/3</f>
        <v>0</v>
      </c>
      <c r="I113" s="31" t="s">
        <v>2840</v>
      </c>
      <c r="L113" s="31" t="s">
        <v>1782</v>
      </c>
    </row>
    <row r="114" spans="1:12" ht="12.75">
      <c r="A114" s="80" t="s">
        <v>311</v>
      </c>
      <c r="B114" s="80" t="s">
        <v>2798</v>
      </c>
      <c r="C114" s="80" t="s">
        <v>2798</v>
      </c>
      <c r="E114" s="16" t="s">
        <v>2786</v>
      </c>
      <c r="F114" s="308">
        <v>45670</v>
      </c>
      <c r="G114" s="305">
        <f>1/13</f>
        <v>7.6923076923076927E-2</v>
      </c>
    </row>
    <row r="115" spans="1:12" ht="12.75">
      <c r="A115" s="310" t="s">
        <v>2788</v>
      </c>
      <c r="B115" s="311">
        <f>SUM(B110:B114)</f>
        <v>11</v>
      </c>
      <c r="C115" s="16"/>
      <c r="E115" s="49"/>
    </row>
    <row r="118" spans="1:12" ht="12.75">
      <c r="A118" s="610" t="s">
        <v>2842</v>
      </c>
      <c r="B118" s="517"/>
      <c r="C118" s="517"/>
      <c r="D118" s="313"/>
    </row>
    <row r="119" spans="1:12" ht="25.5">
      <c r="A119" s="302" t="s">
        <v>7</v>
      </c>
      <c r="B119" s="302" t="s">
        <v>2776</v>
      </c>
      <c r="C119" s="302" t="s">
        <v>1747</v>
      </c>
      <c r="E119" s="303" t="s">
        <v>14</v>
      </c>
      <c r="F119" s="304" t="s">
        <v>2777</v>
      </c>
      <c r="G119" s="304" t="s">
        <v>2778</v>
      </c>
    </row>
    <row r="120" spans="1:12" ht="12.75">
      <c r="A120" s="16" t="s">
        <v>261</v>
      </c>
      <c r="B120" s="16" t="s">
        <v>2798</v>
      </c>
      <c r="C120" s="16" t="s">
        <v>2798</v>
      </c>
      <c r="E120" s="16" t="s">
        <v>2779</v>
      </c>
      <c r="F120" s="308">
        <v>45671</v>
      </c>
      <c r="G120" s="305">
        <f>1/14</f>
        <v>7.1428571428571425E-2</v>
      </c>
    </row>
    <row r="121" spans="1:12" ht="12.75">
      <c r="A121" s="16" t="s">
        <v>2781</v>
      </c>
      <c r="B121" s="16">
        <v>7</v>
      </c>
      <c r="C121" s="16" t="s">
        <v>89</v>
      </c>
      <c r="E121" s="16" t="s">
        <v>2782</v>
      </c>
      <c r="F121" s="308">
        <v>45675</v>
      </c>
      <c r="G121" s="305">
        <f>1/18</f>
        <v>5.5555555555555552E-2</v>
      </c>
    </row>
    <row r="122" spans="1:12" ht="12.75">
      <c r="A122" s="16" t="s">
        <v>1242</v>
      </c>
      <c r="B122" s="16">
        <v>11</v>
      </c>
      <c r="C122" s="16" t="s">
        <v>89</v>
      </c>
      <c r="E122" s="16" t="s">
        <v>2784</v>
      </c>
      <c r="F122" s="308">
        <v>45661</v>
      </c>
      <c r="G122" s="305">
        <f>1/4</f>
        <v>0.25</v>
      </c>
    </row>
    <row r="123" spans="1:12" ht="12.75">
      <c r="A123" s="80" t="s">
        <v>311</v>
      </c>
      <c r="B123" s="80" t="s">
        <v>2798</v>
      </c>
      <c r="C123" s="80" t="s">
        <v>2798</v>
      </c>
      <c r="E123" s="16" t="s">
        <v>2786</v>
      </c>
      <c r="F123" s="308">
        <v>45710</v>
      </c>
      <c r="G123" s="305">
        <f>2/22</f>
        <v>9.0909090909090912E-2</v>
      </c>
    </row>
    <row r="124" spans="1:12" ht="12.75">
      <c r="A124" s="310" t="s">
        <v>2788</v>
      </c>
      <c r="B124" s="311">
        <f>SUM(B119:B123)</f>
        <v>18</v>
      </c>
      <c r="C124" s="16"/>
      <c r="E124" s="49"/>
    </row>
    <row r="127" spans="1:12" ht="12.75">
      <c r="A127" s="610" t="s">
        <v>2843</v>
      </c>
      <c r="B127" s="517"/>
      <c r="C127" s="517"/>
    </row>
    <row r="128" spans="1:12" ht="25.5">
      <c r="A128" s="302" t="s">
        <v>7</v>
      </c>
      <c r="B128" s="302" t="s">
        <v>2776</v>
      </c>
      <c r="C128" s="302" t="s">
        <v>1747</v>
      </c>
      <c r="E128" s="303" t="s">
        <v>14</v>
      </c>
      <c r="F128" s="304" t="s">
        <v>2777</v>
      </c>
      <c r="G128" s="304" t="s">
        <v>2778</v>
      </c>
    </row>
    <row r="129" spans="1:7" ht="12.75">
      <c r="A129" s="16" t="s">
        <v>261</v>
      </c>
      <c r="B129" s="16" t="s">
        <v>2798</v>
      </c>
      <c r="C129" s="16" t="s">
        <v>2798</v>
      </c>
      <c r="E129" s="16" t="s">
        <v>2779</v>
      </c>
      <c r="F129" s="16" t="s">
        <v>2844</v>
      </c>
      <c r="G129" s="305">
        <f>0/12</f>
        <v>0</v>
      </c>
    </row>
    <row r="130" spans="1:7" ht="12.75">
      <c r="A130" s="16" t="s">
        <v>2781</v>
      </c>
      <c r="B130" s="16">
        <v>6</v>
      </c>
      <c r="C130" s="16" t="s">
        <v>89</v>
      </c>
      <c r="E130" s="16" t="s">
        <v>2782</v>
      </c>
      <c r="F130" s="16" t="s">
        <v>2845</v>
      </c>
      <c r="G130" s="305">
        <f t="shared" ref="G130:G131" si="0">0/10</f>
        <v>0</v>
      </c>
    </row>
    <row r="131" spans="1:7" ht="12.75">
      <c r="A131" s="16" t="s">
        <v>1242</v>
      </c>
      <c r="B131" s="16" t="s">
        <v>2798</v>
      </c>
      <c r="C131" s="16" t="s">
        <v>2798</v>
      </c>
      <c r="E131" s="16" t="s">
        <v>2784</v>
      </c>
      <c r="F131" s="16" t="s">
        <v>2847</v>
      </c>
      <c r="G131" s="305">
        <f t="shared" si="0"/>
        <v>0</v>
      </c>
    </row>
    <row r="132" spans="1:7" ht="12.75">
      <c r="A132" s="80" t="s">
        <v>311</v>
      </c>
      <c r="B132" s="16" t="s">
        <v>2798</v>
      </c>
      <c r="C132" s="80" t="s">
        <v>2798</v>
      </c>
      <c r="E132" s="16" t="s">
        <v>2786</v>
      </c>
      <c r="F132" s="16" t="s">
        <v>2844</v>
      </c>
      <c r="G132" s="305">
        <f>0/12</f>
        <v>0</v>
      </c>
    </row>
    <row r="133" spans="1:7" ht="12.75">
      <c r="A133" s="310" t="s">
        <v>2788</v>
      </c>
      <c r="B133" s="311">
        <f>SUM(B128:B132)</f>
        <v>6</v>
      </c>
      <c r="C133" s="16"/>
    </row>
    <row r="134" spans="1:7" ht="12.75">
      <c r="A134" s="49"/>
      <c r="B134" s="312"/>
      <c r="C134" s="312"/>
    </row>
    <row r="136" spans="1:7" ht="12.75">
      <c r="A136" s="610" t="s">
        <v>2848</v>
      </c>
      <c r="B136" s="517"/>
      <c r="C136" s="517"/>
      <c r="D136" s="313"/>
    </row>
    <row r="137" spans="1:7" ht="25.5">
      <c r="A137" s="302" t="s">
        <v>7</v>
      </c>
      <c r="B137" s="302" t="s">
        <v>2776</v>
      </c>
      <c r="C137" s="302" t="s">
        <v>1747</v>
      </c>
      <c r="E137" s="303" t="s">
        <v>14</v>
      </c>
      <c r="F137" s="304" t="s">
        <v>2777</v>
      </c>
      <c r="G137" s="304" t="s">
        <v>2778</v>
      </c>
    </row>
    <row r="138" spans="1:7" ht="12.75">
      <c r="A138" s="16" t="s">
        <v>261</v>
      </c>
      <c r="B138" s="16" t="s">
        <v>2798</v>
      </c>
      <c r="C138" s="16" t="s">
        <v>2798</v>
      </c>
      <c r="E138" s="16" t="s">
        <v>2779</v>
      </c>
      <c r="F138" s="16" t="s">
        <v>2849</v>
      </c>
      <c r="G138" s="305">
        <f>0/9</f>
        <v>0</v>
      </c>
    </row>
    <row r="139" spans="1:7" ht="12.75">
      <c r="A139" s="16" t="s">
        <v>2781</v>
      </c>
      <c r="B139" s="16">
        <v>6</v>
      </c>
      <c r="C139" s="16" t="s">
        <v>89</v>
      </c>
      <c r="E139" s="16" t="s">
        <v>2782</v>
      </c>
      <c r="F139" s="16" t="s">
        <v>2850</v>
      </c>
      <c r="G139" s="305">
        <f>0/14</f>
        <v>0</v>
      </c>
    </row>
    <row r="140" spans="1:7" ht="12.75">
      <c r="A140" s="16" t="s">
        <v>1242</v>
      </c>
      <c r="B140" s="16" t="s">
        <v>2798</v>
      </c>
      <c r="C140" s="16" t="s">
        <v>2798</v>
      </c>
      <c r="E140" s="16" t="s">
        <v>2784</v>
      </c>
      <c r="F140" s="16" t="s">
        <v>2839</v>
      </c>
      <c r="G140" s="305">
        <f>0/3</f>
        <v>0</v>
      </c>
    </row>
    <row r="141" spans="1:7" ht="12.75">
      <c r="A141" s="80" t="s">
        <v>311</v>
      </c>
      <c r="B141" s="16" t="s">
        <v>2798</v>
      </c>
      <c r="C141" s="80" t="s">
        <v>2798</v>
      </c>
      <c r="E141" s="16" t="s">
        <v>2786</v>
      </c>
      <c r="F141" s="16" t="s">
        <v>2851</v>
      </c>
      <c r="G141" s="305">
        <f>0/17</f>
        <v>0</v>
      </c>
    </row>
    <row r="142" spans="1:7" ht="12.75">
      <c r="A142" s="310" t="s">
        <v>2788</v>
      </c>
      <c r="B142" s="311">
        <f>SUM(B137:B141)</f>
        <v>6</v>
      </c>
      <c r="C142" s="16"/>
      <c r="E142" s="49"/>
    </row>
    <row r="143" spans="1:7" ht="12.75">
      <c r="A143" s="49"/>
      <c r="B143" s="312"/>
      <c r="C143" s="312"/>
    </row>
    <row r="144" spans="1:7" ht="12.75">
      <c r="A144" s="49"/>
      <c r="B144" s="312"/>
      <c r="C144" s="312"/>
    </row>
    <row r="145" spans="1:7" ht="12.75">
      <c r="A145" s="610" t="s">
        <v>2852</v>
      </c>
      <c r="B145" s="517"/>
      <c r="C145" s="517"/>
      <c r="D145" s="313"/>
    </row>
    <row r="146" spans="1:7" ht="25.5">
      <c r="A146" s="302" t="s">
        <v>7</v>
      </c>
      <c r="B146" s="302" t="s">
        <v>2776</v>
      </c>
      <c r="C146" s="302" t="s">
        <v>1747</v>
      </c>
      <c r="E146" s="303" t="s">
        <v>14</v>
      </c>
      <c r="F146" s="304" t="s">
        <v>2777</v>
      </c>
      <c r="G146" s="304" t="s">
        <v>2778</v>
      </c>
    </row>
    <row r="147" spans="1:7" ht="12.75">
      <c r="A147" s="16" t="s">
        <v>261</v>
      </c>
      <c r="B147" s="16" t="s">
        <v>2798</v>
      </c>
      <c r="C147" s="16" t="s">
        <v>2798</v>
      </c>
      <c r="E147" s="16" t="s">
        <v>2779</v>
      </c>
      <c r="F147" s="308">
        <v>45671</v>
      </c>
      <c r="G147" s="305">
        <f>1/14</f>
        <v>7.1428571428571425E-2</v>
      </c>
    </row>
    <row r="148" spans="1:7" ht="12.75">
      <c r="A148" s="16" t="s">
        <v>2781</v>
      </c>
      <c r="B148" s="16">
        <v>6</v>
      </c>
      <c r="C148" s="16" t="s">
        <v>89</v>
      </c>
      <c r="E148" s="16" t="s">
        <v>2782</v>
      </c>
      <c r="F148" s="16" t="s">
        <v>2853</v>
      </c>
      <c r="G148" s="305">
        <f>0/16</f>
        <v>0</v>
      </c>
    </row>
    <row r="149" spans="1:7" ht="12.75">
      <c r="A149" s="16" t="s">
        <v>1242</v>
      </c>
      <c r="B149" s="16" t="s">
        <v>2798</v>
      </c>
      <c r="C149" s="16" t="s">
        <v>2798</v>
      </c>
      <c r="E149" s="16" t="s">
        <v>2784</v>
      </c>
      <c r="F149" s="16" t="s">
        <v>2839</v>
      </c>
      <c r="G149" s="305">
        <f>0/3</f>
        <v>0</v>
      </c>
    </row>
    <row r="150" spans="1:7" ht="12.75">
      <c r="A150" s="80" t="s">
        <v>311</v>
      </c>
      <c r="B150" s="16" t="s">
        <v>2798</v>
      </c>
      <c r="C150" s="80" t="s">
        <v>2798</v>
      </c>
      <c r="E150" s="16" t="s">
        <v>2786</v>
      </c>
      <c r="F150" s="16" t="s">
        <v>2854</v>
      </c>
      <c r="G150" s="305">
        <f>0/19</f>
        <v>0</v>
      </c>
    </row>
    <row r="151" spans="1:7" ht="12.75">
      <c r="A151" s="310" t="s">
        <v>2788</v>
      </c>
      <c r="B151" s="311">
        <f>SUM(B146:B150)</f>
        <v>6</v>
      </c>
      <c r="C151" s="16"/>
      <c r="E151" s="49"/>
    </row>
    <row r="154" spans="1:7" ht="12.75">
      <c r="A154" s="610" t="s">
        <v>2855</v>
      </c>
      <c r="B154" s="517"/>
      <c r="C154" s="517"/>
      <c r="D154" s="313"/>
    </row>
    <row r="155" spans="1:7" ht="25.5">
      <c r="A155" s="302" t="s">
        <v>7</v>
      </c>
      <c r="B155" s="302" t="s">
        <v>2776</v>
      </c>
      <c r="C155" s="302" t="s">
        <v>1747</v>
      </c>
      <c r="E155" s="303" t="s">
        <v>14</v>
      </c>
      <c r="F155" s="304" t="s">
        <v>2777</v>
      </c>
      <c r="G155" s="304" t="s">
        <v>2778</v>
      </c>
    </row>
    <row r="156" spans="1:7" ht="12.75">
      <c r="A156" s="16" t="s">
        <v>261</v>
      </c>
      <c r="B156" s="16" t="s">
        <v>2798</v>
      </c>
      <c r="C156" s="16" t="s">
        <v>2798</v>
      </c>
      <c r="E156" s="16" t="s">
        <v>2779</v>
      </c>
      <c r="F156" s="308">
        <v>45670</v>
      </c>
      <c r="G156" s="305">
        <f>1/13</f>
        <v>7.6923076923076927E-2</v>
      </c>
    </row>
    <row r="157" spans="1:7" ht="12.75">
      <c r="A157" s="16" t="s">
        <v>2781</v>
      </c>
      <c r="B157" s="16">
        <v>6</v>
      </c>
      <c r="C157" s="16" t="s">
        <v>89</v>
      </c>
      <c r="E157" s="16" t="s">
        <v>2782</v>
      </c>
      <c r="F157" s="16" t="s">
        <v>2854</v>
      </c>
      <c r="G157" s="305">
        <f>0/19</f>
        <v>0</v>
      </c>
    </row>
    <row r="158" spans="1:7" ht="12.75">
      <c r="A158" s="16" t="s">
        <v>1242</v>
      </c>
      <c r="B158" s="16" t="s">
        <v>2798</v>
      </c>
      <c r="C158" s="16" t="s">
        <v>2798</v>
      </c>
      <c r="E158" s="16" t="s">
        <v>2784</v>
      </c>
      <c r="F158" s="16" t="s">
        <v>2847</v>
      </c>
      <c r="G158" s="305">
        <f>0/2</f>
        <v>0</v>
      </c>
    </row>
    <row r="159" spans="1:7" ht="12.75">
      <c r="A159" s="80" t="s">
        <v>311</v>
      </c>
      <c r="B159" s="16" t="s">
        <v>2798</v>
      </c>
      <c r="C159" s="80" t="s">
        <v>2798</v>
      </c>
      <c r="E159" s="16" t="s">
        <v>2786</v>
      </c>
      <c r="F159" s="16" t="s">
        <v>2856</v>
      </c>
      <c r="G159" s="305">
        <f>0/21</f>
        <v>0</v>
      </c>
    </row>
    <row r="160" spans="1:7" ht="12.75">
      <c r="A160" s="310" t="s">
        <v>2788</v>
      </c>
      <c r="B160" s="311">
        <f>SUM(B155:B159)</f>
        <v>6</v>
      </c>
      <c r="C160" s="16"/>
      <c r="E160" s="49"/>
    </row>
    <row r="163" spans="1:7" ht="12.75">
      <c r="A163" s="610" t="s">
        <v>2857</v>
      </c>
      <c r="B163" s="517"/>
      <c r="C163" s="517"/>
      <c r="D163" s="313"/>
    </row>
    <row r="164" spans="1:7" ht="25.5">
      <c r="A164" s="302" t="s">
        <v>7</v>
      </c>
      <c r="B164" s="302" t="s">
        <v>2776</v>
      </c>
      <c r="C164" s="302" t="s">
        <v>1747</v>
      </c>
      <c r="E164" s="303" t="s">
        <v>14</v>
      </c>
      <c r="F164" s="304" t="s">
        <v>2777</v>
      </c>
      <c r="G164" s="304" t="s">
        <v>2778</v>
      </c>
    </row>
    <row r="165" spans="1:7" ht="12.75">
      <c r="A165" s="16" t="s">
        <v>261</v>
      </c>
      <c r="B165" s="16" t="s">
        <v>2798</v>
      </c>
      <c r="C165" s="16" t="s">
        <v>2798</v>
      </c>
      <c r="E165" s="16" t="s">
        <v>2779</v>
      </c>
      <c r="F165" s="308">
        <v>45737</v>
      </c>
      <c r="G165" s="305">
        <f>3/21</f>
        <v>0.14285714285714285</v>
      </c>
    </row>
    <row r="166" spans="1:7" ht="12.75">
      <c r="A166" s="16" t="s">
        <v>2781</v>
      </c>
      <c r="B166" s="16">
        <v>7</v>
      </c>
      <c r="C166" s="16" t="s">
        <v>89</v>
      </c>
      <c r="E166" s="16" t="s">
        <v>2782</v>
      </c>
      <c r="F166" s="16" t="s">
        <v>2858</v>
      </c>
      <c r="G166" s="305">
        <f>0/23</f>
        <v>0</v>
      </c>
    </row>
    <row r="167" spans="1:7" ht="12.75">
      <c r="A167" s="16" t="s">
        <v>1242</v>
      </c>
      <c r="B167" s="16" t="s">
        <v>2798</v>
      </c>
      <c r="C167" s="16" t="s">
        <v>2798</v>
      </c>
      <c r="E167" s="16" t="s">
        <v>2784</v>
      </c>
      <c r="F167" s="308">
        <v>45662</v>
      </c>
      <c r="G167" s="305">
        <f>1/5</f>
        <v>0.2</v>
      </c>
    </row>
    <row r="168" spans="1:7" ht="12.75">
      <c r="A168" s="80" t="s">
        <v>311</v>
      </c>
      <c r="B168" s="16" t="s">
        <v>2798</v>
      </c>
      <c r="C168" s="80" t="s">
        <v>2798</v>
      </c>
      <c r="E168" s="16" t="s">
        <v>2786</v>
      </c>
      <c r="F168" s="308">
        <v>45685</v>
      </c>
      <c r="G168" s="305">
        <f>1/28</f>
        <v>3.5714285714285712E-2</v>
      </c>
    </row>
    <row r="169" spans="1:7" ht="12.75">
      <c r="A169" s="80" t="s">
        <v>623</v>
      </c>
      <c r="B169" s="80">
        <v>3</v>
      </c>
      <c r="C169" s="16" t="s">
        <v>89</v>
      </c>
      <c r="E169" s="49"/>
    </row>
    <row r="170" spans="1:7" ht="12.75">
      <c r="A170" s="310" t="s">
        <v>2788</v>
      </c>
      <c r="B170" s="311">
        <f>SUM(B164:B168)</f>
        <v>7</v>
      </c>
      <c r="C170" s="16"/>
    </row>
    <row r="173" spans="1:7" ht="12.75">
      <c r="A173" s="610" t="s">
        <v>1690</v>
      </c>
      <c r="B173" s="517"/>
      <c r="C173" s="517"/>
      <c r="D173" s="313"/>
    </row>
    <row r="174" spans="1:7" ht="25.5">
      <c r="A174" s="302" t="s">
        <v>7</v>
      </c>
      <c r="B174" s="302" t="s">
        <v>2776</v>
      </c>
      <c r="C174" s="302" t="s">
        <v>1747</v>
      </c>
      <c r="E174" s="303" t="s">
        <v>14</v>
      </c>
      <c r="F174" s="304" t="s">
        <v>2777</v>
      </c>
      <c r="G174" s="304" t="s">
        <v>2778</v>
      </c>
    </row>
    <row r="175" spans="1:7" ht="12.75">
      <c r="A175" s="16" t="s">
        <v>261</v>
      </c>
      <c r="B175" s="16" t="s">
        <v>2798</v>
      </c>
      <c r="C175" s="16" t="s">
        <v>2798</v>
      </c>
      <c r="E175" s="16" t="s">
        <v>2779</v>
      </c>
      <c r="F175" s="308">
        <v>45671</v>
      </c>
      <c r="G175" s="305">
        <f>1/14</f>
        <v>7.1428571428571425E-2</v>
      </c>
    </row>
    <row r="176" spans="1:7" ht="12.75">
      <c r="A176" s="16" t="s">
        <v>2781</v>
      </c>
      <c r="B176" s="16">
        <v>6</v>
      </c>
      <c r="C176" s="16" t="s">
        <v>89</v>
      </c>
      <c r="E176" s="16" t="s">
        <v>2782</v>
      </c>
      <c r="F176" s="16" t="s">
        <v>2853</v>
      </c>
      <c r="G176" s="305">
        <f t="shared" ref="G176:G177" si="1">0/16</f>
        <v>0</v>
      </c>
    </row>
    <row r="177" spans="1:7" ht="12.75">
      <c r="A177" s="16" t="s">
        <v>1242</v>
      </c>
      <c r="B177" s="16" t="s">
        <v>2798</v>
      </c>
      <c r="C177" s="16" t="s">
        <v>2798</v>
      </c>
      <c r="E177" s="16" t="s">
        <v>2784</v>
      </c>
      <c r="F177" s="16" t="s">
        <v>2865</v>
      </c>
      <c r="G177" s="305">
        <f t="shared" si="1"/>
        <v>0</v>
      </c>
    </row>
    <row r="178" spans="1:7" ht="12.75">
      <c r="A178" s="80" t="s">
        <v>311</v>
      </c>
      <c r="B178" s="16" t="s">
        <v>2798</v>
      </c>
      <c r="C178" s="80" t="s">
        <v>2798</v>
      </c>
      <c r="E178" s="16" t="s">
        <v>2786</v>
      </c>
      <c r="F178" s="16" t="s">
        <v>2866</v>
      </c>
      <c r="G178" s="305">
        <f>0/22</f>
        <v>0</v>
      </c>
    </row>
    <row r="179" spans="1:7" ht="12.75">
      <c r="A179" s="80" t="s">
        <v>623</v>
      </c>
      <c r="B179" s="80">
        <v>3</v>
      </c>
      <c r="C179" s="16" t="s">
        <v>89</v>
      </c>
      <c r="E179" s="49"/>
    </row>
    <row r="180" spans="1:7" ht="12.75">
      <c r="A180" s="310" t="s">
        <v>2788</v>
      </c>
      <c r="B180" s="311">
        <f>SUM(B174:B178)</f>
        <v>6</v>
      </c>
      <c r="C180" s="16"/>
    </row>
    <row r="183" spans="1:7" ht="12.75">
      <c r="A183" s="610" t="s">
        <v>2870</v>
      </c>
      <c r="B183" s="517"/>
      <c r="C183" s="517"/>
      <c r="D183" s="313"/>
    </row>
    <row r="184" spans="1:7" ht="25.5">
      <c r="A184" s="302" t="s">
        <v>7</v>
      </c>
      <c r="B184" s="302" t="s">
        <v>2776</v>
      </c>
      <c r="C184" s="302" t="s">
        <v>1747</v>
      </c>
      <c r="E184" s="303" t="s">
        <v>14</v>
      </c>
      <c r="F184" s="304" t="s">
        <v>2777</v>
      </c>
      <c r="G184" s="304" t="s">
        <v>2778</v>
      </c>
    </row>
    <row r="185" spans="1:7" ht="12.75">
      <c r="A185" s="16" t="s">
        <v>261</v>
      </c>
      <c r="B185" s="16" t="s">
        <v>2798</v>
      </c>
      <c r="C185" s="16" t="s">
        <v>2798</v>
      </c>
      <c r="E185" s="16" t="s">
        <v>2779</v>
      </c>
      <c r="F185" s="308">
        <v>45677</v>
      </c>
      <c r="G185" s="305">
        <f>1/20</f>
        <v>0.05</v>
      </c>
    </row>
    <row r="186" spans="1:7" ht="12.75">
      <c r="A186" s="16" t="s">
        <v>2781</v>
      </c>
      <c r="B186" s="16">
        <v>6</v>
      </c>
      <c r="C186" s="16" t="s">
        <v>89</v>
      </c>
      <c r="E186" s="16" t="s">
        <v>2782</v>
      </c>
      <c r="F186" s="16" t="s">
        <v>2854</v>
      </c>
      <c r="G186" s="305">
        <f>0/19</f>
        <v>0</v>
      </c>
    </row>
    <row r="187" spans="1:7" ht="12.75">
      <c r="A187" s="16" t="s">
        <v>1242</v>
      </c>
      <c r="B187" s="16">
        <v>4</v>
      </c>
      <c r="C187" s="16" t="s">
        <v>89</v>
      </c>
      <c r="E187" s="16" t="s">
        <v>2784</v>
      </c>
      <c r="F187" s="16" t="s">
        <v>2874</v>
      </c>
      <c r="G187" s="305">
        <f>0/4</f>
        <v>0</v>
      </c>
    </row>
    <row r="188" spans="1:7" ht="12.75">
      <c r="A188" s="80" t="s">
        <v>311</v>
      </c>
      <c r="B188" s="16" t="s">
        <v>2798</v>
      </c>
      <c r="C188" s="80" t="s">
        <v>2798</v>
      </c>
      <c r="E188" s="16" t="s">
        <v>2786</v>
      </c>
      <c r="F188" s="16" t="s">
        <v>2858</v>
      </c>
      <c r="G188" s="305">
        <f>0/23</f>
        <v>0</v>
      </c>
    </row>
    <row r="189" spans="1:7" ht="12.75">
      <c r="A189" s="310" t="s">
        <v>2788</v>
      </c>
      <c r="B189" s="311">
        <f>SUM(B184:B188)</f>
        <v>10</v>
      </c>
      <c r="C189" s="16"/>
      <c r="E189" s="49"/>
    </row>
    <row r="192" spans="1:7" ht="12.75">
      <c r="A192" s="610" t="s">
        <v>2878</v>
      </c>
      <c r="B192" s="517"/>
      <c r="C192" s="517"/>
      <c r="D192" s="313"/>
    </row>
    <row r="193" spans="1:7" ht="25.5">
      <c r="A193" s="302" t="s">
        <v>7</v>
      </c>
      <c r="B193" s="302" t="s">
        <v>2776</v>
      </c>
      <c r="C193" s="302" t="s">
        <v>1747</v>
      </c>
      <c r="E193" s="303" t="s">
        <v>14</v>
      </c>
      <c r="F193" s="304" t="s">
        <v>2777</v>
      </c>
      <c r="G193" s="304" t="s">
        <v>2778</v>
      </c>
    </row>
    <row r="194" spans="1:7" ht="12.75">
      <c r="A194" s="16" t="s">
        <v>261</v>
      </c>
      <c r="B194" s="16" t="s">
        <v>2798</v>
      </c>
      <c r="C194" s="16" t="s">
        <v>2798</v>
      </c>
      <c r="E194" s="16" t="s">
        <v>2779</v>
      </c>
      <c r="F194" s="16" t="s">
        <v>2879</v>
      </c>
      <c r="G194" s="305">
        <f t="shared" ref="G194:G195" si="2">0/11</f>
        <v>0</v>
      </c>
    </row>
    <row r="195" spans="1:7" ht="12.75">
      <c r="A195" s="16" t="s">
        <v>2781</v>
      </c>
      <c r="B195" s="16">
        <v>6</v>
      </c>
      <c r="C195" s="16" t="s">
        <v>89</v>
      </c>
      <c r="E195" s="16" t="s">
        <v>2782</v>
      </c>
      <c r="F195" s="16" t="s">
        <v>2879</v>
      </c>
      <c r="G195" s="305">
        <f t="shared" si="2"/>
        <v>0</v>
      </c>
    </row>
    <row r="196" spans="1:7" ht="12.75">
      <c r="A196" s="16" t="s">
        <v>1242</v>
      </c>
      <c r="B196" s="16" t="s">
        <v>2798</v>
      </c>
      <c r="C196" s="16" t="s">
        <v>2798</v>
      </c>
      <c r="E196" s="16" t="s">
        <v>2784</v>
      </c>
      <c r="F196" s="308">
        <v>45659</v>
      </c>
      <c r="G196" s="305">
        <f>1/2</f>
        <v>0.5</v>
      </c>
    </row>
    <row r="197" spans="1:7" ht="12.75">
      <c r="A197" s="80" t="s">
        <v>311</v>
      </c>
      <c r="B197" s="16" t="s">
        <v>2798</v>
      </c>
      <c r="C197" s="80" t="s">
        <v>2798</v>
      </c>
      <c r="E197" s="16" t="s">
        <v>2786</v>
      </c>
      <c r="F197" s="308">
        <v>45670</v>
      </c>
      <c r="G197" s="305">
        <f>1/13</f>
        <v>7.6923076923076927E-2</v>
      </c>
    </row>
    <row r="198" spans="1:7" ht="12.75">
      <c r="A198" s="310" t="s">
        <v>2788</v>
      </c>
      <c r="B198" s="311">
        <f>SUM(B193:B197)</f>
        <v>6</v>
      </c>
      <c r="C198" s="16"/>
      <c r="E198" s="49"/>
    </row>
    <row r="201" spans="1:7" ht="12.75">
      <c r="A201" s="610" t="s">
        <v>2881</v>
      </c>
      <c r="B201" s="517"/>
      <c r="C201" s="517"/>
      <c r="D201" s="313"/>
    </row>
    <row r="202" spans="1:7" ht="25.5">
      <c r="A202" s="302" t="s">
        <v>7</v>
      </c>
      <c r="B202" s="302" t="s">
        <v>2776</v>
      </c>
      <c r="C202" s="302" t="s">
        <v>1747</v>
      </c>
      <c r="E202" s="303" t="s">
        <v>14</v>
      </c>
      <c r="F202" s="304" t="s">
        <v>2777</v>
      </c>
      <c r="G202" s="304" t="s">
        <v>2778</v>
      </c>
    </row>
    <row r="203" spans="1:7" ht="12.75">
      <c r="A203" s="16" t="s">
        <v>261</v>
      </c>
      <c r="B203" s="16" t="s">
        <v>2798</v>
      </c>
      <c r="C203" s="16" t="s">
        <v>2798</v>
      </c>
      <c r="E203" s="16" t="s">
        <v>2779</v>
      </c>
      <c r="F203" s="308">
        <v>45669</v>
      </c>
      <c r="G203" s="305">
        <f>1/12</f>
        <v>8.3333333333333329E-2</v>
      </c>
    </row>
    <row r="204" spans="1:7" ht="12.75">
      <c r="A204" s="16" t="s">
        <v>2781</v>
      </c>
      <c r="B204" s="16">
        <v>6</v>
      </c>
      <c r="C204" s="16" t="s">
        <v>89</v>
      </c>
      <c r="E204" s="16" t="s">
        <v>2782</v>
      </c>
      <c r="F204" s="16" t="s">
        <v>2882</v>
      </c>
      <c r="G204" s="305">
        <f>0/13</f>
        <v>0</v>
      </c>
    </row>
    <row r="205" spans="1:7" ht="12.75">
      <c r="A205" s="16" t="s">
        <v>1242</v>
      </c>
      <c r="B205" s="16" t="s">
        <v>2798</v>
      </c>
      <c r="C205" s="16" t="s">
        <v>2798</v>
      </c>
      <c r="E205" s="16" t="s">
        <v>2784</v>
      </c>
      <c r="F205" s="16" t="s">
        <v>2839</v>
      </c>
      <c r="G205" s="305">
        <f>0/3</f>
        <v>0</v>
      </c>
    </row>
    <row r="206" spans="1:7" ht="12.75">
      <c r="A206" s="80" t="s">
        <v>311</v>
      </c>
      <c r="B206" s="16" t="s">
        <v>2798</v>
      </c>
      <c r="C206" s="80" t="s">
        <v>2798</v>
      </c>
      <c r="E206" s="16" t="s">
        <v>2786</v>
      </c>
      <c r="F206" s="16" t="s">
        <v>2853</v>
      </c>
      <c r="G206" s="305">
        <f>0/16</f>
        <v>0</v>
      </c>
    </row>
    <row r="207" spans="1:7" ht="12.75">
      <c r="A207" s="310" t="s">
        <v>2788</v>
      </c>
      <c r="B207" s="311">
        <f>SUM(B202:B206)</f>
        <v>6</v>
      </c>
      <c r="C207" s="16"/>
      <c r="E207" s="49"/>
    </row>
    <row r="209" spans="1:7" ht="12.75">
      <c r="A209" s="611" t="s">
        <v>268</v>
      </c>
      <c r="B209" s="517"/>
      <c r="C209" s="517"/>
      <c r="D209" s="320"/>
      <c r="E209" s="320"/>
      <c r="F209" s="320"/>
      <c r="G209" s="320"/>
    </row>
    <row r="210" spans="1:7" ht="25.5">
      <c r="A210" s="321" t="s">
        <v>7</v>
      </c>
      <c r="B210" s="321" t="s">
        <v>2776</v>
      </c>
      <c r="C210" s="321" t="s">
        <v>1747</v>
      </c>
      <c r="D210" s="320"/>
      <c r="E210" s="322" t="s">
        <v>14</v>
      </c>
      <c r="F210" s="323" t="s">
        <v>2777</v>
      </c>
      <c r="G210" s="323" t="s">
        <v>2778</v>
      </c>
    </row>
    <row r="211" spans="1:7" ht="12.75">
      <c r="A211" s="244" t="s">
        <v>261</v>
      </c>
      <c r="B211" s="16">
        <v>15</v>
      </c>
      <c r="C211" s="244" t="s">
        <v>1769</v>
      </c>
      <c r="D211" s="320"/>
      <c r="E211" s="244" t="s">
        <v>2779</v>
      </c>
      <c r="F211" s="43" t="s">
        <v>2884</v>
      </c>
      <c r="G211" s="33">
        <f>4/54</f>
        <v>7.407407407407407E-2</v>
      </c>
    </row>
    <row r="212" spans="1:7" ht="12.75">
      <c r="A212" s="244" t="s">
        <v>2781</v>
      </c>
      <c r="B212" s="16">
        <v>8</v>
      </c>
      <c r="C212" s="244" t="s">
        <v>89</v>
      </c>
      <c r="D212" s="320"/>
      <c r="E212" s="244" t="s">
        <v>2782</v>
      </c>
      <c r="F212" s="244" t="s">
        <v>2885</v>
      </c>
      <c r="G212" s="33">
        <f>2/67</f>
        <v>2.9850746268656716E-2</v>
      </c>
    </row>
    <row r="213" spans="1:7" ht="12.75">
      <c r="A213" s="244" t="s">
        <v>1242</v>
      </c>
      <c r="B213" s="16">
        <v>4</v>
      </c>
      <c r="C213" s="43" t="s">
        <v>2798</v>
      </c>
      <c r="D213" s="320"/>
      <c r="E213" s="244" t="s">
        <v>2784</v>
      </c>
      <c r="F213" s="324">
        <v>45770</v>
      </c>
      <c r="G213" s="33">
        <f>4/23</f>
        <v>0.17391304347826086</v>
      </c>
    </row>
    <row r="214" spans="1:7" ht="12.75">
      <c r="A214" s="325" t="s">
        <v>311</v>
      </c>
      <c r="B214" s="16" t="s">
        <v>2798</v>
      </c>
      <c r="C214" s="326" t="s">
        <v>2798</v>
      </c>
      <c r="D214" s="320"/>
      <c r="E214" s="244" t="s">
        <v>2786</v>
      </c>
      <c r="F214" s="244" t="s">
        <v>2887</v>
      </c>
      <c r="G214" s="33">
        <f>6/90</f>
        <v>6.6666666666666666E-2</v>
      </c>
    </row>
    <row r="215" spans="1:7" ht="12.75">
      <c r="A215" s="241" t="s">
        <v>2788</v>
      </c>
      <c r="B215" s="241">
        <f>SUM(B210:B214)</f>
        <v>27</v>
      </c>
      <c r="C215" s="327"/>
      <c r="D215" s="320"/>
      <c r="E215" s="320"/>
      <c r="F215" s="320"/>
      <c r="G215" s="320"/>
    </row>
    <row r="218" spans="1:7" ht="12.75">
      <c r="A218" s="610" t="s">
        <v>2888</v>
      </c>
      <c r="B218" s="517"/>
      <c r="C218" s="517"/>
      <c r="D218" s="313"/>
    </row>
    <row r="219" spans="1:7" ht="25.5">
      <c r="A219" s="302" t="s">
        <v>7</v>
      </c>
      <c r="B219" s="302" t="s">
        <v>2776</v>
      </c>
      <c r="C219" s="302" t="s">
        <v>1747</v>
      </c>
      <c r="E219" s="303" t="s">
        <v>14</v>
      </c>
      <c r="F219" s="304" t="s">
        <v>2777</v>
      </c>
      <c r="G219" s="304" t="s">
        <v>2778</v>
      </c>
    </row>
    <row r="220" spans="1:7" ht="12.75">
      <c r="A220" s="16" t="s">
        <v>261</v>
      </c>
      <c r="B220" s="16" t="s">
        <v>2798</v>
      </c>
      <c r="C220" s="16" t="s">
        <v>2798</v>
      </c>
      <c r="E220" s="16" t="s">
        <v>2779</v>
      </c>
      <c r="F220" s="324">
        <v>45671</v>
      </c>
      <c r="G220" s="33">
        <f>3/54</f>
        <v>5.5555555555555552E-2</v>
      </c>
    </row>
    <row r="221" spans="1:7" ht="12.75">
      <c r="A221" s="16" t="s">
        <v>2781</v>
      </c>
      <c r="B221" s="16">
        <v>6</v>
      </c>
      <c r="C221" s="16" t="s">
        <v>89</v>
      </c>
      <c r="E221" s="16" t="s">
        <v>2782</v>
      </c>
      <c r="F221" s="324" t="s">
        <v>2882</v>
      </c>
      <c r="G221" s="33">
        <f>0/13</f>
        <v>0</v>
      </c>
    </row>
    <row r="222" spans="1:7" ht="12.75">
      <c r="A222" s="16" t="s">
        <v>1242</v>
      </c>
      <c r="B222" s="16" t="s">
        <v>2798</v>
      </c>
      <c r="C222" s="16" t="s">
        <v>2798</v>
      </c>
      <c r="E222" s="16" t="s">
        <v>2784</v>
      </c>
      <c r="F222" s="324" t="s">
        <v>2874</v>
      </c>
      <c r="G222" s="33">
        <f>0/4</f>
        <v>0</v>
      </c>
    </row>
    <row r="223" spans="1:7" ht="12.75">
      <c r="A223" s="80" t="s">
        <v>311</v>
      </c>
      <c r="B223" s="16" t="s">
        <v>2798</v>
      </c>
      <c r="C223" s="80" t="s">
        <v>2798</v>
      </c>
      <c r="E223" s="16" t="s">
        <v>2786</v>
      </c>
      <c r="F223" s="324" t="s">
        <v>2851</v>
      </c>
      <c r="G223" s="33">
        <f>0/17</f>
        <v>0</v>
      </c>
    </row>
    <row r="224" spans="1:7" ht="12.75">
      <c r="A224" s="310" t="s">
        <v>2788</v>
      </c>
      <c r="B224" s="311">
        <f>SUM(B219:B223)</f>
        <v>6</v>
      </c>
      <c r="C224" s="16"/>
      <c r="E224" s="49"/>
    </row>
    <row r="227" spans="1:7" ht="12.75">
      <c r="A227" s="610" t="s">
        <v>2889</v>
      </c>
      <c r="B227" s="517"/>
      <c r="C227" s="517"/>
      <c r="D227" s="313"/>
    </row>
    <row r="228" spans="1:7" ht="25.5">
      <c r="A228" s="302" t="s">
        <v>7</v>
      </c>
      <c r="B228" s="302" t="s">
        <v>2776</v>
      </c>
      <c r="C228" s="302" t="s">
        <v>1747</v>
      </c>
      <c r="E228" s="303" t="s">
        <v>14</v>
      </c>
      <c r="F228" s="304" t="s">
        <v>2777</v>
      </c>
      <c r="G228" s="304" t="s">
        <v>2778</v>
      </c>
    </row>
    <row r="229" spans="1:7" ht="12.75">
      <c r="A229" s="16" t="s">
        <v>261</v>
      </c>
      <c r="B229" s="16" t="s">
        <v>2798</v>
      </c>
      <c r="C229" s="16" t="s">
        <v>2798</v>
      </c>
      <c r="E229" s="16" t="s">
        <v>2779</v>
      </c>
      <c r="F229" s="324">
        <v>45666</v>
      </c>
      <c r="G229" s="33">
        <f>1/9</f>
        <v>0.1111111111111111</v>
      </c>
    </row>
    <row r="230" spans="1:7" ht="12.75">
      <c r="A230" s="16" t="s">
        <v>2781</v>
      </c>
      <c r="B230" s="16">
        <v>6</v>
      </c>
      <c r="C230" s="16" t="s">
        <v>89</v>
      </c>
      <c r="E230" s="16" t="s">
        <v>2782</v>
      </c>
      <c r="F230" s="63" t="s">
        <v>2849</v>
      </c>
      <c r="G230" s="33">
        <f>0/9</f>
        <v>0</v>
      </c>
    </row>
    <row r="231" spans="1:7" ht="12.75">
      <c r="A231" s="16" t="s">
        <v>1242</v>
      </c>
      <c r="B231" s="16" t="s">
        <v>2798</v>
      </c>
      <c r="C231" s="16" t="s">
        <v>2798</v>
      </c>
      <c r="E231" s="16" t="s">
        <v>2784</v>
      </c>
      <c r="F231" s="324">
        <v>45659</v>
      </c>
      <c r="G231" s="33">
        <f>1/2</f>
        <v>0.5</v>
      </c>
    </row>
    <row r="232" spans="1:7" ht="12.75">
      <c r="A232" s="80" t="s">
        <v>311</v>
      </c>
      <c r="B232" s="80" t="s">
        <v>2798</v>
      </c>
      <c r="C232" s="80" t="s">
        <v>2798</v>
      </c>
      <c r="E232" s="16" t="s">
        <v>2786</v>
      </c>
      <c r="F232" s="324">
        <v>45668</v>
      </c>
      <c r="G232" s="33">
        <f>1/11</f>
        <v>9.0909090909090912E-2</v>
      </c>
    </row>
    <row r="233" spans="1:7" ht="12.75">
      <c r="A233" s="310" t="s">
        <v>2788</v>
      </c>
      <c r="B233" s="311">
        <f>SUM(B228:B232)</f>
        <v>6</v>
      </c>
      <c r="C233" s="16"/>
      <c r="E233" s="49"/>
    </row>
  </sheetData>
  <mergeCells count="24">
    <mergeCell ref="A218:C218"/>
    <mergeCell ref="A227:C227"/>
    <mergeCell ref="A145:C145"/>
    <mergeCell ref="A154:C154"/>
    <mergeCell ref="A163:C163"/>
    <mergeCell ref="A173:C173"/>
    <mergeCell ref="A183:C183"/>
    <mergeCell ref="A192:C192"/>
    <mergeCell ref="A201:C201"/>
    <mergeCell ref="A109:C109"/>
    <mergeCell ref="A118:C118"/>
    <mergeCell ref="A127:C127"/>
    <mergeCell ref="A136:C136"/>
    <mergeCell ref="A209:C209"/>
    <mergeCell ref="A63:C63"/>
    <mergeCell ref="A73:C73"/>
    <mergeCell ref="A82:C82"/>
    <mergeCell ref="A91:C91"/>
    <mergeCell ref="A100:C100"/>
    <mergeCell ref="A10:G11"/>
    <mergeCell ref="A21:G22"/>
    <mergeCell ref="A32:G33"/>
    <mergeCell ref="A45:C45"/>
    <mergeCell ref="A54:C54"/>
  </mergeCells>
  <printOptions horizontalCentered="1" gridLines="1"/>
  <pageMargins left="0.7" right="0.7" top="0.75" bottom="0.75" header="0" footer="0"/>
  <pageSetup paperSize="9" fitToHeight="0" pageOrder="overThenDown" orientation="landscape" cellComments="atEnd"/>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0000"/>
    <outlinePr summaryBelow="0" summaryRight="0"/>
    <pageSetUpPr fitToPage="1"/>
  </sheetPr>
  <dimension ref="A1:M831"/>
  <sheetViews>
    <sheetView showGridLines="0" workbookViewId="0"/>
  </sheetViews>
  <sheetFormatPr defaultColWidth="12.5703125" defaultRowHeight="15.75" customHeight="1"/>
  <cols>
    <col min="1" max="1" width="21.28515625" customWidth="1"/>
    <col min="2" max="2" width="17.42578125" customWidth="1"/>
    <col min="3" max="3" width="49.5703125" customWidth="1"/>
    <col min="4" max="4" width="20.42578125" customWidth="1"/>
    <col min="5" max="5" width="17" customWidth="1"/>
    <col min="6" max="6" width="9.85546875" customWidth="1"/>
    <col min="7" max="7" width="10.42578125" customWidth="1"/>
    <col min="8" max="8" width="10.5703125" customWidth="1"/>
    <col min="9" max="9" width="18.42578125" customWidth="1"/>
    <col min="10" max="10" width="17" customWidth="1"/>
    <col min="11" max="11" width="19" customWidth="1"/>
    <col min="12" max="13" width="21" customWidth="1"/>
  </cols>
  <sheetData>
    <row r="1" spans="1:13" ht="12.75">
      <c r="A1" s="619" t="s">
        <v>2860</v>
      </c>
      <c r="B1" s="614" t="s">
        <v>2861</v>
      </c>
      <c r="C1" s="614" t="s">
        <v>2862</v>
      </c>
      <c r="D1" s="615" t="s">
        <v>2863</v>
      </c>
      <c r="E1" s="544"/>
      <c r="F1" s="616" t="s">
        <v>2864</v>
      </c>
      <c r="G1" s="543"/>
      <c r="H1" s="544"/>
      <c r="I1" s="617" t="s">
        <v>2867</v>
      </c>
      <c r="J1" s="617" t="s">
        <v>2868</v>
      </c>
      <c r="K1" s="617" t="s">
        <v>2869</v>
      </c>
      <c r="L1" s="617" t="s">
        <v>2871</v>
      </c>
      <c r="M1" s="617" t="s">
        <v>20</v>
      </c>
    </row>
    <row r="2" spans="1:13" ht="24.75" customHeight="1">
      <c r="A2" s="517"/>
      <c r="B2" s="512"/>
      <c r="C2" s="512"/>
      <c r="D2" s="317" t="s">
        <v>2872</v>
      </c>
      <c r="E2" s="197" t="s">
        <v>2873</v>
      </c>
      <c r="F2" s="197" t="s">
        <v>1583</v>
      </c>
      <c r="G2" s="197" t="s">
        <v>2875</v>
      </c>
      <c r="H2" s="197" t="s">
        <v>2876</v>
      </c>
      <c r="I2" s="512"/>
      <c r="J2" s="512"/>
      <c r="K2" s="512"/>
      <c r="L2" s="512"/>
      <c r="M2" s="512"/>
    </row>
    <row r="3" spans="1:13" ht="12.75">
      <c r="A3" s="618" t="s">
        <v>2877</v>
      </c>
      <c r="B3" s="543"/>
      <c r="C3" s="543"/>
      <c r="D3" s="543"/>
      <c r="E3" s="543"/>
      <c r="F3" s="543"/>
      <c r="G3" s="543"/>
      <c r="H3" s="543"/>
      <c r="I3" s="543"/>
      <c r="J3" s="543"/>
      <c r="K3" s="543"/>
      <c r="L3" s="544"/>
      <c r="M3" s="318"/>
    </row>
    <row r="4" spans="1:13" ht="12.75">
      <c r="A4" s="613">
        <v>1</v>
      </c>
      <c r="B4" s="13" t="s">
        <v>22</v>
      </c>
      <c r="C4" s="14" t="s">
        <v>26</v>
      </c>
      <c r="D4" s="15" t="s">
        <v>2880</v>
      </c>
      <c r="E4" s="515" t="s">
        <v>2880</v>
      </c>
      <c r="F4" s="13" t="b">
        <v>1</v>
      </c>
      <c r="G4" s="13" t="b">
        <v>1</v>
      </c>
      <c r="H4" s="92" t="b">
        <v>0</v>
      </c>
      <c r="I4" s="319"/>
      <c r="J4" s="319"/>
      <c r="K4" s="612"/>
      <c r="L4" s="612">
        <v>45824</v>
      </c>
      <c r="M4" s="15"/>
    </row>
    <row r="5" spans="1:13" ht="12.75">
      <c r="A5" s="511"/>
      <c r="B5" s="13" t="s">
        <v>22</v>
      </c>
      <c r="C5" s="14" t="s">
        <v>61</v>
      </c>
      <c r="D5" s="15" t="s">
        <v>2880</v>
      </c>
      <c r="E5" s="511"/>
      <c r="F5" s="13" t="b">
        <v>1</v>
      </c>
      <c r="G5" s="13" t="b">
        <v>1</v>
      </c>
      <c r="H5" s="92" t="b">
        <v>0</v>
      </c>
      <c r="I5" s="319"/>
      <c r="J5" s="319"/>
      <c r="K5" s="511"/>
      <c r="L5" s="511"/>
      <c r="M5" s="15"/>
    </row>
    <row r="6" spans="1:13" ht="12.75">
      <c r="A6" s="511"/>
      <c r="B6" s="13" t="s">
        <v>22</v>
      </c>
      <c r="C6" s="14" t="s">
        <v>87</v>
      </c>
      <c r="D6" s="15" t="s">
        <v>2880</v>
      </c>
      <c r="E6" s="511"/>
      <c r="F6" s="13" t="b">
        <v>1</v>
      </c>
      <c r="G6" s="13" t="b">
        <v>1</v>
      </c>
      <c r="H6" s="92" t="b">
        <v>0</v>
      </c>
      <c r="I6" s="319"/>
      <c r="J6" s="319"/>
      <c r="K6" s="511"/>
      <c r="L6" s="511"/>
      <c r="M6" s="15"/>
    </row>
    <row r="7" spans="1:13" ht="12.75">
      <c r="A7" s="511"/>
      <c r="B7" s="13" t="s">
        <v>22</v>
      </c>
      <c r="C7" s="14" t="s">
        <v>91</v>
      </c>
      <c r="D7" s="15" t="s">
        <v>2880</v>
      </c>
      <c r="E7" s="511"/>
      <c r="F7" s="13" t="b">
        <v>1</v>
      </c>
      <c r="G7" s="13" t="b">
        <v>1</v>
      </c>
      <c r="H7" s="92" t="b">
        <v>0</v>
      </c>
      <c r="I7" s="319"/>
      <c r="J7" s="319"/>
      <c r="K7" s="511"/>
      <c r="L7" s="511"/>
      <c r="M7" s="15"/>
    </row>
    <row r="8" spans="1:13" ht="12.75">
      <c r="A8" s="511"/>
      <c r="B8" s="13" t="s">
        <v>22</v>
      </c>
      <c r="C8" s="14" t="s">
        <v>96</v>
      </c>
      <c r="D8" s="15" t="s">
        <v>2880</v>
      </c>
      <c r="E8" s="511"/>
      <c r="F8" s="13" t="b">
        <v>1</v>
      </c>
      <c r="G8" s="13" t="b">
        <v>1</v>
      </c>
      <c r="H8" s="92" t="b">
        <v>0</v>
      </c>
      <c r="I8" s="319"/>
      <c r="J8" s="319"/>
      <c r="K8" s="511"/>
      <c r="L8" s="511"/>
      <c r="M8" s="15"/>
    </row>
    <row r="9" spans="1:13" ht="12.75">
      <c r="A9" s="512"/>
      <c r="B9" s="13" t="s">
        <v>22</v>
      </c>
      <c r="C9" s="14" t="s">
        <v>102</v>
      </c>
      <c r="D9" s="15" t="s">
        <v>2880</v>
      </c>
      <c r="E9" s="512"/>
      <c r="F9" s="13" t="b">
        <v>1</v>
      </c>
      <c r="G9" s="13" t="b">
        <v>1</v>
      </c>
      <c r="H9" s="92" t="b">
        <v>0</v>
      </c>
      <c r="I9" s="319"/>
      <c r="J9" s="319"/>
      <c r="K9" s="512"/>
      <c r="L9" s="512"/>
      <c r="M9" s="15"/>
    </row>
    <row r="10" spans="1:13" ht="12.75">
      <c r="A10" s="613">
        <v>2</v>
      </c>
      <c r="B10" s="13" t="s">
        <v>22</v>
      </c>
      <c r="C10" s="14" t="s">
        <v>105</v>
      </c>
      <c r="D10" s="15" t="s">
        <v>2880</v>
      </c>
      <c r="E10" s="515" t="s">
        <v>2880</v>
      </c>
      <c r="F10" s="13" t="b">
        <v>1</v>
      </c>
      <c r="G10" s="13" t="b">
        <v>1</v>
      </c>
      <c r="H10" s="92" t="b">
        <v>0</v>
      </c>
      <c r="I10" s="319"/>
      <c r="J10" s="319"/>
      <c r="K10" s="612"/>
      <c r="L10" s="612">
        <v>45824</v>
      </c>
      <c r="M10" s="15"/>
    </row>
    <row r="11" spans="1:13" ht="12.75">
      <c r="A11" s="511"/>
      <c r="B11" s="13" t="s">
        <v>22</v>
      </c>
      <c r="C11" s="14" t="s">
        <v>120</v>
      </c>
      <c r="D11" s="15" t="s">
        <v>2880</v>
      </c>
      <c r="E11" s="511"/>
      <c r="F11" s="13" t="b">
        <v>1</v>
      </c>
      <c r="G11" s="13" t="b">
        <v>1</v>
      </c>
      <c r="H11" s="92" t="b">
        <v>0</v>
      </c>
      <c r="I11" s="319"/>
      <c r="J11" s="319"/>
      <c r="K11" s="511"/>
      <c r="L11" s="511"/>
      <c r="M11" s="15"/>
    </row>
    <row r="12" spans="1:13" ht="12.75">
      <c r="A12" s="511"/>
      <c r="B12" s="13" t="s">
        <v>22</v>
      </c>
      <c r="C12" s="14" t="s">
        <v>124</v>
      </c>
      <c r="D12" s="15" t="s">
        <v>2880</v>
      </c>
      <c r="E12" s="511"/>
      <c r="F12" s="13" t="b">
        <v>1</v>
      </c>
      <c r="G12" s="13" t="b">
        <v>1</v>
      </c>
      <c r="H12" s="92" t="b">
        <v>0</v>
      </c>
      <c r="I12" s="319"/>
      <c r="J12" s="319"/>
      <c r="K12" s="511"/>
      <c r="L12" s="511"/>
      <c r="M12" s="15"/>
    </row>
    <row r="13" spans="1:13" ht="12.75">
      <c r="A13" s="511"/>
      <c r="B13" s="13" t="s">
        <v>22</v>
      </c>
      <c r="C13" s="14" t="s">
        <v>126</v>
      </c>
      <c r="D13" s="15" t="s">
        <v>2880</v>
      </c>
      <c r="E13" s="511"/>
      <c r="F13" s="13" t="b">
        <v>1</v>
      </c>
      <c r="G13" s="13" t="b">
        <v>1</v>
      </c>
      <c r="H13" s="92" t="b">
        <v>0</v>
      </c>
      <c r="I13" s="319"/>
      <c r="J13" s="319"/>
      <c r="K13" s="511"/>
      <c r="L13" s="511"/>
      <c r="M13" s="15"/>
    </row>
    <row r="14" spans="1:13" ht="12.75">
      <c r="A14" s="511"/>
      <c r="B14" s="13" t="s">
        <v>22</v>
      </c>
      <c r="C14" s="14" t="s">
        <v>130</v>
      </c>
      <c r="D14" s="15" t="s">
        <v>2880</v>
      </c>
      <c r="E14" s="511"/>
      <c r="F14" s="13" t="b">
        <v>1</v>
      </c>
      <c r="G14" s="13" t="b">
        <v>1</v>
      </c>
      <c r="H14" s="92" t="b">
        <v>0</v>
      </c>
      <c r="I14" s="319"/>
      <c r="J14" s="319"/>
      <c r="K14" s="511"/>
      <c r="L14" s="511"/>
      <c r="M14" s="15"/>
    </row>
    <row r="15" spans="1:13" ht="12.75">
      <c r="A15" s="512"/>
      <c r="B15" s="13" t="s">
        <v>22</v>
      </c>
      <c r="C15" s="14" t="s">
        <v>131</v>
      </c>
      <c r="D15" s="15" t="s">
        <v>2880</v>
      </c>
      <c r="E15" s="512"/>
      <c r="F15" s="13" t="b">
        <v>1</v>
      </c>
      <c r="G15" s="13" t="b">
        <v>1</v>
      </c>
      <c r="H15" s="92" t="b">
        <v>0</v>
      </c>
      <c r="I15" s="319"/>
      <c r="J15" s="319"/>
      <c r="K15" s="512"/>
      <c r="L15" s="512"/>
      <c r="M15" s="15"/>
    </row>
    <row r="16" spans="1:13" ht="12.75">
      <c r="A16" s="613">
        <v>3</v>
      </c>
      <c r="B16" s="13" t="s">
        <v>22</v>
      </c>
      <c r="C16" s="14" t="s">
        <v>133</v>
      </c>
      <c r="D16" s="15" t="s">
        <v>2880</v>
      </c>
      <c r="E16" s="515" t="s">
        <v>2880</v>
      </c>
      <c r="F16" s="13" t="b">
        <v>1</v>
      </c>
      <c r="G16" s="13" t="b">
        <v>1</v>
      </c>
      <c r="H16" s="92" t="b">
        <v>0</v>
      </c>
      <c r="I16" s="319"/>
      <c r="J16" s="319"/>
      <c r="K16" s="612"/>
      <c r="L16" s="612">
        <v>45824</v>
      </c>
      <c r="M16" s="15"/>
    </row>
    <row r="17" spans="1:13" ht="12.75">
      <c r="A17" s="511"/>
      <c r="B17" s="13" t="s">
        <v>22</v>
      </c>
      <c r="C17" s="14" t="s">
        <v>138</v>
      </c>
      <c r="D17" s="15" t="s">
        <v>2880</v>
      </c>
      <c r="E17" s="511"/>
      <c r="F17" s="13" t="b">
        <v>1</v>
      </c>
      <c r="G17" s="13" t="b">
        <v>1</v>
      </c>
      <c r="H17" s="92" t="b">
        <v>0</v>
      </c>
      <c r="I17" s="319"/>
      <c r="J17" s="319"/>
      <c r="K17" s="511"/>
      <c r="L17" s="511"/>
      <c r="M17" s="15"/>
    </row>
    <row r="18" spans="1:13" ht="12.75">
      <c r="A18" s="511"/>
      <c r="B18" s="13" t="s">
        <v>22</v>
      </c>
      <c r="C18" s="14" t="s">
        <v>145</v>
      </c>
      <c r="D18" s="15" t="s">
        <v>2880</v>
      </c>
      <c r="E18" s="511"/>
      <c r="F18" s="13" t="b">
        <v>1</v>
      </c>
      <c r="G18" s="13" t="b">
        <v>1</v>
      </c>
      <c r="H18" s="92" t="b">
        <v>0</v>
      </c>
      <c r="I18" s="319"/>
      <c r="J18" s="319"/>
      <c r="K18" s="511"/>
      <c r="L18" s="511"/>
      <c r="M18" s="15"/>
    </row>
    <row r="19" spans="1:13" ht="12.75">
      <c r="A19" s="511"/>
      <c r="B19" s="13" t="s">
        <v>22</v>
      </c>
      <c r="C19" s="14" t="s">
        <v>147</v>
      </c>
      <c r="D19" s="15" t="s">
        <v>2880</v>
      </c>
      <c r="E19" s="511"/>
      <c r="F19" s="13" t="b">
        <v>1</v>
      </c>
      <c r="G19" s="13" t="b">
        <v>1</v>
      </c>
      <c r="H19" s="92" t="b">
        <v>0</v>
      </c>
      <c r="I19" s="319"/>
      <c r="J19" s="319"/>
      <c r="K19" s="511"/>
      <c r="L19" s="511"/>
      <c r="M19" s="15"/>
    </row>
    <row r="20" spans="1:13" ht="12.75">
      <c r="A20" s="511"/>
      <c r="B20" s="13" t="s">
        <v>22</v>
      </c>
      <c r="C20" s="14" t="s">
        <v>150</v>
      </c>
      <c r="D20" s="15" t="s">
        <v>2880</v>
      </c>
      <c r="E20" s="511"/>
      <c r="F20" s="13" t="b">
        <v>1</v>
      </c>
      <c r="G20" s="13" t="b">
        <v>1</v>
      </c>
      <c r="H20" s="92" t="b">
        <v>0</v>
      </c>
      <c r="I20" s="319"/>
      <c r="J20" s="319"/>
      <c r="K20" s="511"/>
      <c r="L20" s="511"/>
      <c r="M20" s="15"/>
    </row>
    <row r="21" spans="1:13" ht="12.75">
      <c r="A21" s="512"/>
      <c r="B21" s="13" t="s">
        <v>22</v>
      </c>
      <c r="C21" s="14" t="s">
        <v>154</v>
      </c>
      <c r="D21" s="15" t="s">
        <v>2891</v>
      </c>
      <c r="E21" s="512"/>
      <c r="F21" s="13" t="b">
        <v>1</v>
      </c>
      <c r="G21" s="13" t="b">
        <v>1</v>
      </c>
      <c r="H21" s="92" t="b">
        <v>0</v>
      </c>
      <c r="I21" s="319"/>
      <c r="J21" s="319"/>
      <c r="K21" s="512"/>
      <c r="L21" s="512"/>
      <c r="M21" s="15"/>
    </row>
    <row r="22" spans="1:13" ht="12.75">
      <c r="A22" s="613">
        <v>4</v>
      </c>
      <c r="B22" s="13" t="s">
        <v>22</v>
      </c>
      <c r="C22" s="11" t="s">
        <v>159</v>
      </c>
      <c r="D22" s="15" t="s">
        <v>2880</v>
      </c>
      <c r="E22" s="515" t="s">
        <v>2880</v>
      </c>
      <c r="F22" s="13" t="b">
        <v>1</v>
      </c>
      <c r="G22" s="13" t="b">
        <v>1</v>
      </c>
      <c r="H22" s="92" t="b">
        <v>0</v>
      </c>
      <c r="I22" s="319"/>
      <c r="J22" s="319"/>
      <c r="K22" s="612"/>
      <c r="L22" s="612">
        <v>45824</v>
      </c>
      <c r="M22" s="15"/>
    </row>
    <row r="23" spans="1:13" ht="12.75">
      <c r="A23" s="511"/>
      <c r="B23" s="13" t="s">
        <v>22</v>
      </c>
      <c r="C23" s="11" t="s">
        <v>169</v>
      </c>
      <c r="D23" s="15" t="s">
        <v>2880</v>
      </c>
      <c r="E23" s="511"/>
      <c r="F23" s="13" t="b">
        <v>1</v>
      </c>
      <c r="G23" s="13" t="b">
        <v>1</v>
      </c>
      <c r="H23" s="92" t="b">
        <v>0</v>
      </c>
      <c r="I23" s="319"/>
      <c r="J23" s="319"/>
      <c r="K23" s="511"/>
      <c r="L23" s="511"/>
      <c r="M23" s="15"/>
    </row>
    <row r="24" spans="1:13" ht="12.75">
      <c r="A24" s="511"/>
      <c r="B24" s="13" t="s">
        <v>22</v>
      </c>
      <c r="C24" s="11" t="s">
        <v>174</v>
      </c>
      <c r="D24" s="15" t="s">
        <v>2880</v>
      </c>
      <c r="E24" s="511"/>
      <c r="F24" s="13" t="b">
        <v>1</v>
      </c>
      <c r="G24" s="13" t="b">
        <v>1</v>
      </c>
      <c r="H24" s="92" t="b">
        <v>0</v>
      </c>
      <c r="I24" s="319"/>
      <c r="J24" s="319"/>
      <c r="K24" s="511"/>
      <c r="L24" s="511"/>
      <c r="M24" s="15"/>
    </row>
    <row r="25" spans="1:13" ht="12.75">
      <c r="A25" s="511"/>
      <c r="B25" s="13" t="s">
        <v>22</v>
      </c>
      <c r="C25" s="11" t="s">
        <v>177</v>
      </c>
      <c r="D25" s="15" t="s">
        <v>2880</v>
      </c>
      <c r="E25" s="511"/>
      <c r="F25" s="13" t="b">
        <v>1</v>
      </c>
      <c r="G25" s="13" t="b">
        <v>1</v>
      </c>
      <c r="H25" s="92" t="b">
        <v>0</v>
      </c>
      <c r="I25" s="319"/>
      <c r="J25" s="319"/>
      <c r="K25" s="511"/>
      <c r="L25" s="511"/>
      <c r="M25" s="15"/>
    </row>
    <row r="26" spans="1:13" ht="12.75">
      <c r="A26" s="511"/>
      <c r="B26" s="13" t="s">
        <v>22</v>
      </c>
      <c r="C26" s="11" t="s">
        <v>181</v>
      </c>
      <c r="D26" s="15" t="s">
        <v>2880</v>
      </c>
      <c r="E26" s="511"/>
      <c r="F26" s="13" t="b">
        <v>1</v>
      </c>
      <c r="G26" s="13" t="b">
        <v>1</v>
      </c>
      <c r="H26" s="92" t="b">
        <v>0</v>
      </c>
      <c r="I26" s="319"/>
      <c r="J26" s="319"/>
      <c r="K26" s="511"/>
      <c r="L26" s="511"/>
      <c r="M26" s="15"/>
    </row>
    <row r="27" spans="1:13" ht="12.75">
      <c r="A27" s="512"/>
      <c r="B27" s="13" t="s">
        <v>22</v>
      </c>
      <c r="C27" s="11" t="s">
        <v>184</v>
      </c>
      <c r="D27" s="15" t="s">
        <v>2891</v>
      </c>
      <c r="E27" s="512"/>
      <c r="F27" s="13" t="b">
        <v>1</v>
      </c>
      <c r="G27" s="13" t="b">
        <v>1</v>
      </c>
      <c r="H27" s="92" t="b">
        <v>0</v>
      </c>
      <c r="I27" s="319"/>
      <c r="J27" s="319"/>
      <c r="K27" s="512"/>
      <c r="L27" s="512"/>
      <c r="M27" s="15"/>
    </row>
    <row r="28" spans="1:13" ht="12.75">
      <c r="A28" s="613">
        <v>5</v>
      </c>
      <c r="B28" s="13" t="s">
        <v>22</v>
      </c>
      <c r="C28" s="11" t="s">
        <v>188</v>
      </c>
      <c r="D28" s="15" t="s">
        <v>2880</v>
      </c>
      <c r="E28" s="515" t="s">
        <v>2880</v>
      </c>
      <c r="F28" s="13" t="b">
        <v>1</v>
      </c>
      <c r="G28" s="13" t="b">
        <v>1</v>
      </c>
      <c r="H28" s="92" t="b">
        <v>0</v>
      </c>
      <c r="I28" s="319"/>
      <c r="J28" s="319"/>
      <c r="K28" s="612"/>
      <c r="L28" s="612"/>
      <c r="M28" s="92">
        <v>45778</v>
      </c>
    </row>
    <row r="29" spans="1:13" ht="12.75">
      <c r="A29" s="511"/>
      <c r="B29" s="13" t="s">
        <v>22</v>
      </c>
      <c r="C29" s="11" t="s">
        <v>201</v>
      </c>
      <c r="D29" s="15" t="s">
        <v>2880</v>
      </c>
      <c r="E29" s="511"/>
      <c r="F29" s="13" t="b">
        <v>1</v>
      </c>
      <c r="G29" s="13" t="b">
        <v>1</v>
      </c>
      <c r="H29" s="92" t="b">
        <v>0</v>
      </c>
      <c r="I29" s="319"/>
      <c r="J29" s="319"/>
      <c r="K29" s="511"/>
      <c r="L29" s="511"/>
      <c r="M29" s="13" t="s">
        <v>2907</v>
      </c>
    </row>
    <row r="30" spans="1:13" ht="12.75">
      <c r="A30" s="511"/>
      <c r="B30" s="13" t="s">
        <v>22</v>
      </c>
      <c r="C30" s="11" t="s">
        <v>203</v>
      </c>
      <c r="D30" s="15" t="s">
        <v>2880</v>
      </c>
      <c r="E30" s="511"/>
      <c r="F30" s="13" t="b">
        <v>1</v>
      </c>
      <c r="G30" s="13" t="b">
        <v>1</v>
      </c>
      <c r="H30" s="92" t="b">
        <v>0</v>
      </c>
      <c r="I30" s="319"/>
      <c r="J30" s="319"/>
      <c r="K30" s="511"/>
      <c r="L30" s="511"/>
      <c r="M30" s="13" t="s">
        <v>2907</v>
      </c>
    </row>
    <row r="31" spans="1:13" ht="12.75">
      <c r="A31" s="511"/>
      <c r="B31" s="13" t="s">
        <v>22</v>
      </c>
      <c r="C31" s="11" t="s">
        <v>205</v>
      </c>
      <c r="D31" s="15" t="s">
        <v>2880</v>
      </c>
      <c r="E31" s="511"/>
      <c r="F31" s="13" t="b">
        <v>1</v>
      </c>
      <c r="G31" s="13" t="b">
        <v>1</v>
      </c>
      <c r="H31" s="92" t="b">
        <v>0</v>
      </c>
      <c r="I31" s="319"/>
      <c r="J31" s="319"/>
      <c r="K31" s="511"/>
      <c r="L31" s="511"/>
      <c r="M31" s="13" t="s">
        <v>2907</v>
      </c>
    </row>
    <row r="32" spans="1:13" ht="12.75">
      <c r="A32" s="511"/>
      <c r="B32" s="13" t="s">
        <v>22</v>
      </c>
      <c r="C32" s="11" t="s">
        <v>208</v>
      </c>
      <c r="D32" s="15" t="s">
        <v>2880</v>
      </c>
      <c r="E32" s="511"/>
      <c r="F32" s="13" t="b">
        <v>1</v>
      </c>
      <c r="G32" s="13" t="b">
        <v>1</v>
      </c>
      <c r="H32" s="92" t="b">
        <v>0</v>
      </c>
      <c r="I32" s="319"/>
      <c r="J32" s="319"/>
      <c r="K32" s="511"/>
      <c r="L32" s="511"/>
      <c r="M32" s="13" t="s">
        <v>2907</v>
      </c>
    </row>
    <row r="33" spans="1:13" ht="12.75">
      <c r="A33" s="511"/>
      <c r="B33" s="13" t="s">
        <v>22</v>
      </c>
      <c r="C33" s="11" t="s">
        <v>209</v>
      </c>
      <c r="D33" s="15" t="s">
        <v>2891</v>
      </c>
      <c r="E33" s="511"/>
      <c r="F33" s="13" t="b">
        <v>1</v>
      </c>
      <c r="G33" s="13" t="b">
        <v>1</v>
      </c>
      <c r="H33" s="92" t="b">
        <v>0</v>
      </c>
      <c r="I33" s="319"/>
      <c r="J33" s="319"/>
      <c r="K33" s="511"/>
      <c r="L33" s="511"/>
      <c r="M33" s="13" t="s">
        <v>2907</v>
      </c>
    </row>
    <row r="34" spans="1:13" ht="12.75">
      <c r="A34" s="512"/>
      <c r="B34" s="13" t="s">
        <v>66</v>
      </c>
      <c r="C34" s="11" t="s">
        <v>363</v>
      </c>
      <c r="D34" s="15" t="s">
        <v>2891</v>
      </c>
      <c r="E34" s="512"/>
      <c r="F34" s="13" t="b">
        <v>1</v>
      </c>
      <c r="G34" s="13" t="b">
        <v>1</v>
      </c>
      <c r="H34" s="92" t="b">
        <v>0</v>
      </c>
      <c r="I34" s="319"/>
      <c r="J34" s="319"/>
      <c r="K34" s="512"/>
      <c r="L34" s="512"/>
      <c r="M34" s="13" t="s">
        <v>2907</v>
      </c>
    </row>
    <row r="35" spans="1:13" ht="12.75">
      <c r="A35" s="613">
        <v>6</v>
      </c>
      <c r="B35" s="13" t="s">
        <v>22</v>
      </c>
      <c r="C35" s="11" t="s">
        <v>213</v>
      </c>
      <c r="D35" s="15" t="s">
        <v>2880</v>
      </c>
      <c r="E35" s="515" t="s">
        <v>2880</v>
      </c>
      <c r="F35" s="13" t="b">
        <v>1</v>
      </c>
      <c r="G35" s="13" t="b">
        <v>1</v>
      </c>
      <c r="H35" s="92" t="b">
        <v>0</v>
      </c>
      <c r="I35" s="319"/>
      <c r="J35" s="319"/>
      <c r="K35" s="612"/>
      <c r="L35" s="612">
        <v>45824</v>
      </c>
      <c r="M35" s="15"/>
    </row>
    <row r="36" spans="1:13" ht="12.75">
      <c r="A36" s="511"/>
      <c r="B36" s="13" t="s">
        <v>22</v>
      </c>
      <c r="C36" s="11" t="s">
        <v>218</v>
      </c>
      <c r="D36" s="15" t="s">
        <v>2880</v>
      </c>
      <c r="E36" s="511"/>
      <c r="F36" s="13" t="b">
        <v>1</v>
      </c>
      <c r="G36" s="13" t="b">
        <v>1</v>
      </c>
      <c r="H36" s="92" t="b">
        <v>0</v>
      </c>
      <c r="I36" s="319"/>
      <c r="J36" s="319"/>
      <c r="K36" s="511"/>
      <c r="L36" s="511"/>
      <c r="M36" s="15"/>
    </row>
    <row r="37" spans="1:13" ht="12.75">
      <c r="A37" s="511"/>
      <c r="B37" s="13" t="s">
        <v>22</v>
      </c>
      <c r="C37" s="11" t="s">
        <v>220</v>
      </c>
      <c r="D37" s="15" t="s">
        <v>2880</v>
      </c>
      <c r="E37" s="511"/>
      <c r="F37" s="13" t="b">
        <v>1</v>
      </c>
      <c r="G37" s="13" t="b">
        <v>1</v>
      </c>
      <c r="H37" s="92" t="b">
        <v>0</v>
      </c>
      <c r="I37" s="319"/>
      <c r="J37" s="319"/>
      <c r="K37" s="511"/>
      <c r="L37" s="511"/>
      <c r="M37" s="15"/>
    </row>
    <row r="38" spans="1:13" ht="12.75">
      <c r="A38" s="511"/>
      <c r="B38" s="13" t="s">
        <v>22</v>
      </c>
      <c r="C38" s="11" t="s">
        <v>221</v>
      </c>
      <c r="D38" s="15" t="s">
        <v>2891</v>
      </c>
      <c r="E38" s="511"/>
      <c r="F38" s="13" t="b">
        <v>1</v>
      </c>
      <c r="G38" s="13" t="b">
        <v>1</v>
      </c>
      <c r="H38" s="92" t="b">
        <v>0</v>
      </c>
      <c r="I38" s="319"/>
      <c r="J38" s="319"/>
      <c r="K38" s="511"/>
      <c r="L38" s="511"/>
      <c r="M38" s="15"/>
    </row>
    <row r="39" spans="1:13" ht="12.75">
      <c r="A39" s="511"/>
      <c r="B39" s="13" t="s">
        <v>22</v>
      </c>
      <c r="C39" s="11" t="s">
        <v>223</v>
      </c>
      <c r="D39" s="15" t="s">
        <v>2880</v>
      </c>
      <c r="E39" s="511"/>
      <c r="F39" s="13" t="b">
        <v>1</v>
      </c>
      <c r="G39" s="13" t="b">
        <v>1</v>
      </c>
      <c r="H39" s="92" t="b">
        <v>0</v>
      </c>
      <c r="I39" s="319"/>
      <c r="J39" s="319"/>
      <c r="K39" s="511"/>
      <c r="L39" s="511"/>
      <c r="M39" s="15"/>
    </row>
    <row r="40" spans="1:13" ht="12.75">
      <c r="A40" s="512"/>
      <c r="B40" s="13" t="s">
        <v>22</v>
      </c>
      <c r="C40" s="11" t="s">
        <v>225</v>
      </c>
      <c r="D40" s="15" t="s">
        <v>2880</v>
      </c>
      <c r="E40" s="512"/>
      <c r="F40" s="13" t="b">
        <v>1</v>
      </c>
      <c r="G40" s="13" t="b">
        <v>1</v>
      </c>
      <c r="H40" s="92" t="b">
        <v>0</v>
      </c>
      <c r="I40" s="319"/>
      <c r="J40" s="319"/>
      <c r="K40" s="512"/>
      <c r="L40" s="512"/>
      <c r="M40" s="15"/>
    </row>
    <row r="41" spans="1:13" ht="12.75">
      <c r="A41" s="613">
        <v>7</v>
      </c>
      <c r="B41" s="13" t="s">
        <v>22</v>
      </c>
      <c r="C41" s="11" t="s">
        <v>226</v>
      </c>
      <c r="D41" s="15" t="s">
        <v>2880</v>
      </c>
      <c r="E41" s="515" t="s">
        <v>2880</v>
      </c>
      <c r="F41" s="13" t="b">
        <v>1</v>
      </c>
      <c r="G41" s="13" t="b">
        <v>1</v>
      </c>
      <c r="H41" s="92" t="b">
        <v>0</v>
      </c>
      <c r="I41" s="319"/>
      <c r="J41" s="319"/>
      <c r="K41" s="612"/>
      <c r="L41" s="612">
        <v>45824</v>
      </c>
      <c r="M41" s="15"/>
    </row>
    <row r="42" spans="1:13" ht="12.75">
      <c r="A42" s="511"/>
      <c r="B42" s="13" t="s">
        <v>22</v>
      </c>
      <c r="C42" s="11" t="s">
        <v>233</v>
      </c>
      <c r="D42" s="15" t="s">
        <v>2880</v>
      </c>
      <c r="E42" s="511"/>
      <c r="F42" s="13" t="b">
        <v>1</v>
      </c>
      <c r="G42" s="13" t="b">
        <v>1</v>
      </c>
      <c r="H42" s="92" t="b">
        <v>0</v>
      </c>
      <c r="I42" s="319"/>
      <c r="J42" s="319"/>
      <c r="K42" s="511"/>
      <c r="L42" s="511"/>
      <c r="M42" s="15"/>
    </row>
    <row r="43" spans="1:13" ht="12.75">
      <c r="A43" s="511"/>
      <c r="B43" s="13" t="s">
        <v>22</v>
      </c>
      <c r="C43" s="11" t="s">
        <v>236</v>
      </c>
      <c r="D43" s="15" t="s">
        <v>2880</v>
      </c>
      <c r="E43" s="511"/>
      <c r="F43" s="13" t="b">
        <v>1</v>
      </c>
      <c r="G43" s="13" t="b">
        <v>1</v>
      </c>
      <c r="H43" s="92" t="b">
        <v>0</v>
      </c>
      <c r="I43" s="319"/>
      <c r="J43" s="319"/>
      <c r="K43" s="511"/>
      <c r="L43" s="511"/>
      <c r="M43" s="15"/>
    </row>
    <row r="44" spans="1:13" ht="12.75">
      <c r="A44" s="511"/>
      <c r="B44" s="13" t="s">
        <v>22</v>
      </c>
      <c r="C44" s="11" t="s">
        <v>243</v>
      </c>
      <c r="D44" s="15" t="s">
        <v>2880</v>
      </c>
      <c r="E44" s="511"/>
      <c r="F44" s="13" t="b">
        <v>1</v>
      </c>
      <c r="G44" s="13" t="b">
        <v>1</v>
      </c>
      <c r="H44" s="92" t="b">
        <v>0</v>
      </c>
      <c r="I44" s="319"/>
      <c r="J44" s="319"/>
      <c r="K44" s="511"/>
      <c r="L44" s="511"/>
      <c r="M44" s="15"/>
    </row>
    <row r="45" spans="1:13" ht="12.75">
      <c r="A45" s="511"/>
      <c r="B45" s="13" t="s">
        <v>22</v>
      </c>
      <c r="C45" s="11" t="s">
        <v>246</v>
      </c>
      <c r="D45" s="15" t="s">
        <v>2880</v>
      </c>
      <c r="E45" s="511"/>
      <c r="F45" s="13" t="b">
        <v>1</v>
      </c>
      <c r="G45" s="13" t="b">
        <v>1</v>
      </c>
      <c r="H45" s="92" t="b">
        <v>0</v>
      </c>
      <c r="I45" s="319"/>
      <c r="J45" s="319"/>
      <c r="K45" s="511"/>
      <c r="L45" s="511"/>
      <c r="M45" s="15"/>
    </row>
    <row r="46" spans="1:13" ht="12.75">
      <c r="A46" s="512"/>
      <c r="B46" s="13" t="s">
        <v>22</v>
      </c>
      <c r="C46" s="11" t="s">
        <v>248</v>
      </c>
      <c r="D46" s="15" t="s">
        <v>2880</v>
      </c>
      <c r="E46" s="512"/>
      <c r="F46" s="13" t="b">
        <v>1</v>
      </c>
      <c r="G46" s="13" t="b">
        <v>1</v>
      </c>
      <c r="H46" s="92" t="b">
        <v>0</v>
      </c>
      <c r="I46" s="319"/>
      <c r="J46" s="319"/>
      <c r="K46" s="512"/>
      <c r="L46" s="512"/>
      <c r="M46" s="15"/>
    </row>
    <row r="47" spans="1:13" ht="12.75">
      <c r="A47" s="613">
        <v>8</v>
      </c>
      <c r="B47" s="13" t="s">
        <v>22</v>
      </c>
      <c r="C47" s="11" t="s">
        <v>252</v>
      </c>
      <c r="D47" s="15" t="s">
        <v>2880</v>
      </c>
      <c r="E47" s="515" t="s">
        <v>2880</v>
      </c>
      <c r="F47" s="13" t="b">
        <v>1</v>
      </c>
      <c r="G47" s="13" t="b">
        <v>1</v>
      </c>
      <c r="H47" s="92" t="b">
        <v>0</v>
      </c>
      <c r="I47" s="319"/>
      <c r="J47" s="319"/>
      <c r="K47" s="612"/>
      <c r="L47" s="612">
        <v>45824</v>
      </c>
      <c r="M47" s="15"/>
    </row>
    <row r="48" spans="1:13" ht="12.75">
      <c r="A48" s="511"/>
      <c r="B48" s="13" t="s">
        <v>22</v>
      </c>
      <c r="C48" s="11" t="s">
        <v>262</v>
      </c>
      <c r="D48" s="15" t="s">
        <v>2880</v>
      </c>
      <c r="E48" s="511"/>
      <c r="F48" s="13" t="b">
        <v>1</v>
      </c>
      <c r="G48" s="13" t="b">
        <v>1</v>
      </c>
      <c r="H48" s="92" t="b">
        <v>0</v>
      </c>
      <c r="I48" s="319"/>
      <c r="J48" s="319"/>
      <c r="K48" s="511"/>
      <c r="L48" s="511"/>
      <c r="M48" s="15"/>
    </row>
    <row r="49" spans="1:13" ht="12.75">
      <c r="A49" s="511"/>
      <c r="B49" s="13" t="s">
        <v>22</v>
      </c>
      <c r="C49" s="11" t="s">
        <v>266</v>
      </c>
      <c r="D49" s="15" t="s">
        <v>2880</v>
      </c>
      <c r="E49" s="511"/>
      <c r="F49" s="13" t="b">
        <v>1</v>
      </c>
      <c r="G49" s="13" t="b">
        <v>1</v>
      </c>
      <c r="H49" s="92" t="b">
        <v>0</v>
      </c>
      <c r="I49" s="319"/>
      <c r="J49" s="319"/>
      <c r="K49" s="511"/>
      <c r="L49" s="511"/>
      <c r="M49" s="15"/>
    </row>
    <row r="50" spans="1:13" ht="12.75">
      <c r="A50" s="511"/>
      <c r="B50" s="13" t="s">
        <v>22</v>
      </c>
      <c r="C50" s="11" t="s">
        <v>270</v>
      </c>
      <c r="D50" s="15" t="s">
        <v>2880</v>
      </c>
      <c r="E50" s="511"/>
      <c r="F50" s="13" t="b">
        <v>1</v>
      </c>
      <c r="G50" s="13" t="b">
        <v>1</v>
      </c>
      <c r="H50" s="92" t="b">
        <v>0</v>
      </c>
      <c r="I50" s="319"/>
      <c r="J50" s="319"/>
      <c r="K50" s="511"/>
      <c r="L50" s="511"/>
      <c r="M50" s="15"/>
    </row>
    <row r="51" spans="1:13" ht="12.75">
      <c r="A51" s="511"/>
      <c r="B51" s="13" t="s">
        <v>22</v>
      </c>
      <c r="C51" s="11" t="s">
        <v>272</v>
      </c>
      <c r="D51" s="15" t="s">
        <v>2880</v>
      </c>
      <c r="E51" s="511"/>
      <c r="F51" s="13" t="b">
        <v>1</v>
      </c>
      <c r="G51" s="13" t="b">
        <v>1</v>
      </c>
      <c r="H51" s="92" t="b">
        <v>0</v>
      </c>
      <c r="I51" s="319"/>
      <c r="J51" s="319"/>
      <c r="K51" s="511"/>
      <c r="L51" s="511"/>
      <c r="M51" s="15"/>
    </row>
    <row r="52" spans="1:13" ht="12.75">
      <c r="A52" s="512"/>
      <c r="B52" s="13" t="s">
        <v>22</v>
      </c>
      <c r="C52" s="11" t="s">
        <v>274</v>
      </c>
      <c r="D52" s="15" t="s">
        <v>2891</v>
      </c>
      <c r="E52" s="512"/>
      <c r="F52" s="13" t="b">
        <v>1</v>
      </c>
      <c r="G52" s="13" t="b">
        <v>1</v>
      </c>
      <c r="H52" s="92" t="b">
        <v>0</v>
      </c>
      <c r="I52" s="319"/>
      <c r="J52" s="319"/>
      <c r="K52" s="512"/>
      <c r="L52" s="512"/>
      <c r="M52" s="15"/>
    </row>
    <row r="53" spans="1:13" ht="12.75">
      <c r="A53" s="613">
        <v>9</v>
      </c>
      <c r="B53" s="13" t="s">
        <v>22</v>
      </c>
      <c r="C53" s="11" t="s">
        <v>280</v>
      </c>
      <c r="D53" s="15" t="s">
        <v>2880</v>
      </c>
      <c r="E53" s="515" t="s">
        <v>2880</v>
      </c>
      <c r="F53" s="13" t="b">
        <v>1</v>
      </c>
      <c r="G53" s="13" t="b">
        <v>1</v>
      </c>
      <c r="H53" s="92" t="b">
        <v>0</v>
      </c>
      <c r="I53" s="319"/>
      <c r="J53" s="319"/>
      <c r="K53" s="612"/>
      <c r="L53" s="612">
        <v>45824</v>
      </c>
      <c r="M53" s="15"/>
    </row>
    <row r="54" spans="1:13" ht="12.75">
      <c r="A54" s="511"/>
      <c r="B54" s="13" t="s">
        <v>22</v>
      </c>
      <c r="C54" s="11" t="s">
        <v>298</v>
      </c>
      <c r="D54" s="15" t="s">
        <v>2880</v>
      </c>
      <c r="E54" s="511"/>
      <c r="F54" s="13" t="b">
        <v>1</v>
      </c>
      <c r="G54" s="13" t="b">
        <v>1</v>
      </c>
      <c r="H54" s="92" t="b">
        <v>0</v>
      </c>
      <c r="I54" s="319"/>
      <c r="J54" s="319"/>
      <c r="K54" s="511"/>
      <c r="L54" s="511"/>
      <c r="M54" s="15"/>
    </row>
    <row r="55" spans="1:13" ht="12.75">
      <c r="A55" s="511"/>
      <c r="B55" s="13" t="s">
        <v>22</v>
      </c>
      <c r="C55" s="11" t="s">
        <v>302</v>
      </c>
      <c r="D55" s="15" t="s">
        <v>2880</v>
      </c>
      <c r="E55" s="511"/>
      <c r="F55" s="13" t="b">
        <v>1</v>
      </c>
      <c r="G55" s="13" t="b">
        <v>1</v>
      </c>
      <c r="H55" s="92" t="b">
        <v>0</v>
      </c>
      <c r="I55" s="319"/>
      <c r="J55" s="319"/>
      <c r="K55" s="511"/>
      <c r="L55" s="511"/>
      <c r="M55" s="15"/>
    </row>
    <row r="56" spans="1:13" ht="12.75">
      <c r="A56" s="511"/>
      <c r="B56" s="13" t="s">
        <v>22</v>
      </c>
      <c r="C56" s="11" t="s">
        <v>305</v>
      </c>
      <c r="D56" s="15" t="s">
        <v>2880</v>
      </c>
      <c r="E56" s="511"/>
      <c r="F56" s="13" t="b">
        <v>1</v>
      </c>
      <c r="G56" s="13" t="b">
        <v>1</v>
      </c>
      <c r="H56" s="92" t="b">
        <v>0</v>
      </c>
      <c r="I56" s="319"/>
      <c r="J56" s="319"/>
      <c r="K56" s="511"/>
      <c r="L56" s="511"/>
      <c r="M56" s="15"/>
    </row>
    <row r="57" spans="1:13" ht="12.75">
      <c r="A57" s="511"/>
      <c r="B57" s="13" t="s">
        <v>22</v>
      </c>
      <c r="C57" s="11" t="s">
        <v>312</v>
      </c>
      <c r="D57" s="15" t="s">
        <v>2880</v>
      </c>
      <c r="E57" s="511"/>
      <c r="F57" s="13" t="b">
        <v>1</v>
      </c>
      <c r="G57" s="13" t="b">
        <v>1</v>
      </c>
      <c r="H57" s="92" t="b">
        <v>0</v>
      </c>
      <c r="I57" s="319"/>
      <c r="J57" s="319"/>
      <c r="K57" s="511"/>
      <c r="L57" s="511"/>
      <c r="M57" s="15"/>
    </row>
    <row r="58" spans="1:13" ht="12.75">
      <c r="A58" s="512"/>
      <c r="B58" s="13" t="s">
        <v>22</v>
      </c>
      <c r="C58" s="11" t="s">
        <v>315</v>
      </c>
      <c r="D58" s="15" t="s">
        <v>2891</v>
      </c>
      <c r="E58" s="512"/>
      <c r="F58" s="13" t="b">
        <v>1</v>
      </c>
      <c r="G58" s="13" t="b">
        <v>1</v>
      </c>
      <c r="H58" s="92" t="b">
        <v>0</v>
      </c>
      <c r="I58" s="319"/>
      <c r="J58" s="319"/>
      <c r="K58" s="512"/>
      <c r="L58" s="512"/>
      <c r="M58" s="15"/>
    </row>
    <row r="59" spans="1:13" ht="12.75">
      <c r="A59" s="613">
        <v>10</v>
      </c>
      <c r="B59" s="13" t="s">
        <v>22</v>
      </c>
      <c r="C59" s="11" t="s">
        <v>319</v>
      </c>
      <c r="D59" s="15" t="s">
        <v>2880</v>
      </c>
      <c r="E59" s="515" t="s">
        <v>2880</v>
      </c>
      <c r="F59" s="13" t="b">
        <v>1</v>
      </c>
      <c r="G59" s="13" t="b">
        <v>1</v>
      </c>
      <c r="H59" s="92" t="b">
        <v>0</v>
      </c>
      <c r="I59" s="319"/>
      <c r="J59" s="319"/>
      <c r="K59" s="612"/>
      <c r="L59" s="612">
        <v>45824</v>
      </c>
      <c r="M59" s="15"/>
    </row>
    <row r="60" spans="1:13" ht="12.75">
      <c r="A60" s="511"/>
      <c r="B60" s="13" t="s">
        <v>22</v>
      </c>
      <c r="C60" s="7" t="s">
        <v>332</v>
      </c>
      <c r="D60" s="15" t="s">
        <v>2880</v>
      </c>
      <c r="E60" s="511"/>
      <c r="F60" s="13" t="b">
        <v>1</v>
      </c>
      <c r="G60" s="13" t="b">
        <v>1</v>
      </c>
      <c r="H60" s="92" t="b">
        <v>0</v>
      </c>
      <c r="I60" s="319"/>
      <c r="J60" s="319"/>
      <c r="K60" s="511"/>
      <c r="L60" s="511"/>
      <c r="M60" s="15"/>
    </row>
    <row r="61" spans="1:13" ht="12.75">
      <c r="A61" s="511"/>
      <c r="B61" s="13" t="s">
        <v>22</v>
      </c>
      <c r="C61" s="11" t="s">
        <v>328</v>
      </c>
      <c r="D61" s="15" t="s">
        <v>2880</v>
      </c>
      <c r="E61" s="511"/>
      <c r="F61" s="13" t="b">
        <v>1</v>
      </c>
      <c r="G61" s="13" t="b">
        <v>1</v>
      </c>
      <c r="H61" s="92" t="b">
        <v>0</v>
      </c>
      <c r="I61" s="319"/>
      <c r="J61" s="319"/>
      <c r="K61" s="511"/>
      <c r="L61" s="511"/>
      <c r="M61" s="15"/>
    </row>
    <row r="62" spans="1:13" ht="12.75">
      <c r="A62" s="511"/>
      <c r="B62" s="13" t="s">
        <v>22</v>
      </c>
      <c r="C62" s="11" t="s">
        <v>336</v>
      </c>
      <c r="D62" s="15" t="s">
        <v>2891</v>
      </c>
      <c r="E62" s="511"/>
      <c r="F62" s="13" t="b">
        <v>1</v>
      </c>
      <c r="G62" s="13" t="b">
        <v>1</v>
      </c>
      <c r="H62" s="92" t="b">
        <v>0</v>
      </c>
      <c r="I62" s="319"/>
      <c r="J62" s="319"/>
      <c r="K62" s="511"/>
      <c r="L62" s="511"/>
      <c r="M62" s="15"/>
    </row>
    <row r="63" spans="1:13" ht="12.75">
      <c r="A63" s="511"/>
      <c r="B63" s="13" t="s">
        <v>22</v>
      </c>
      <c r="C63" s="11" t="s">
        <v>340</v>
      </c>
      <c r="D63" s="15" t="s">
        <v>2880</v>
      </c>
      <c r="E63" s="511"/>
      <c r="F63" s="13" t="b">
        <v>1</v>
      </c>
      <c r="G63" s="13" t="b">
        <v>1</v>
      </c>
      <c r="H63" s="92" t="b">
        <v>0</v>
      </c>
      <c r="I63" s="319"/>
      <c r="J63" s="319"/>
      <c r="K63" s="511"/>
      <c r="L63" s="511"/>
      <c r="M63" s="15"/>
    </row>
    <row r="64" spans="1:13" ht="12.75">
      <c r="A64" s="512"/>
      <c r="B64" s="13" t="s">
        <v>22</v>
      </c>
      <c r="C64" s="11" t="s">
        <v>344</v>
      </c>
      <c r="D64" s="15" t="s">
        <v>2880</v>
      </c>
      <c r="E64" s="512"/>
      <c r="F64" s="13" t="b">
        <v>1</v>
      </c>
      <c r="G64" s="13" t="b">
        <v>1</v>
      </c>
      <c r="H64" s="92" t="b">
        <v>0</v>
      </c>
      <c r="I64" s="319"/>
      <c r="J64" s="319"/>
      <c r="K64" s="512"/>
      <c r="L64" s="512"/>
      <c r="M64" s="15"/>
    </row>
    <row r="65" spans="1:13" ht="12.75">
      <c r="A65" s="613">
        <v>11</v>
      </c>
      <c r="B65" s="13" t="s">
        <v>22</v>
      </c>
      <c r="C65" s="11" t="s">
        <v>42</v>
      </c>
      <c r="D65" s="15" t="s">
        <v>2880</v>
      </c>
      <c r="E65" s="515" t="s">
        <v>2880</v>
      </c>
      <c r="F65" s="13" t="b">
        <v>1</v>
      </c>
      <c r="G65" s="13" t="b">
        <v>1</v>
      </c>
      <c r="H65" s="92" t="b">
        <v>0</v>
      </c>
      <c r="I65" s="319"/>
      <c r="J65" s="319"/>
      <c r="K65" s="612"/>
      <c r="L65" s="612">
        <v>45824</v>
      </c>
      <c r="M65" s="15"/>
    </row>
    <row r="66" spans="1:13" ht="12.75">
      <c r="A66" s="511"/>
      <c r="B66" s="13" t="s">
        <v>22</v>
      </c>
      <c r="C66" s="11" t="s">
        <v>43</v>
      </c>
      <c r="D66" s="15" t="s">
        <v>2880</v>
      </c>
      <c r="E66" s="511"/>
      <c r="F66" s="13" t="b">
        <v>1</v>
      </c>
      <c r="G66" s="13" t="b">
        <v>1</v>
      </c>
      <c r="H66" s="92" t="b">
        <v>0</v>
      </c>
      <c r="I66" s="319"/>
      <c r="J66" s="319"/>
      <c r="K66" s="511"/>
      <c r="L66" s="511"/>
      <c r="M66" s="15"/>
    </row>
    <row r="67" spans="1:13" ht="12.75">
      <c r="A67" s="511"/>
      <c r="B67" s="13" t="s">
        <v>22</v>
      </c>
      <c r="C67" s="11" t="s">
        <v>56</v>
      </c>
      <c r="D67" s="15" t="s">
        <v>2891</v>
      </c>
      <c r="E67" s="511"/>
      <c r="F67" s="13" t="b">
        <v>1</v>
      </c>
      <c r="G67" s="13" t="b">
        <v>1</v>
      </c>
      <c r="H67" s="92" t="b">
        <v>0</v>
      </c>
      <c r="I67" s="319"/>
      <c r="J67" s="319"/>
      <c r="K67" s="511"/>
      <c r="L67" s="511"/>
      <c r="M67" s="15"/>
    </row>
    <row r="68" spans="1:13" ht="12.75">
      <c r="A68" s="511"/>
      <c r="B68" s="13" t="s">
        <v>22</v>
      </c>
      <c r="C68" s="11" t="s">
        <v>59</v>
      </c>
      <c r="D68" s="15" t="s">
        <v>2880</v>
      </c>
      <c r="E68" s="511"/>
      <c r="F68" s="13" t="b">
        <v>1</v>
      </c>
      <c r="G68" s="13" t="b">
        <v>1</v>
      </c>
      <c r="H68" s="92" t="b">
        <v>0</v>
      </c>
      <c r="I68" s="319"/>
      <c r="J68" s="319"/>
      <c r="K68" s="511"/>
      <c r="L68" s="511"/>
      <c r="M68" s="15"/>
    </row>
    <row r="69" spans="1:13" ht="12.75">
      <c r="A69" s="511"/>
      <c r="B69" s="13" t="s">
        <v>22</v>
      </c>
      <c r="C69" s="11" t="s">
        <v>51</v>
      </c>
      <c r="D69" s="15" t="s">
        <v>2880</v>
      </c>
      <c r="E69" s="511"/>
      <c r="F69" s="13" t="b">
        <v>1</v>
      </c>
      <c r="G69" s="13" t="b">
        <v>1</v>
      </c>
      <c r="H69" s="92" t="b">
        <v>0</v>
      </c>
      <c r="I69" s="319"/>
      <c r="J69" s="319"/>
      <c r="K69" s="511"/>
      <c r="L69" s="511"/>
      <c r="M69" s="15"/>
    </row>
    <row r="70" spans="1:13" ht="12.75">
      <c r="A70" s="511"/>
      <c r="B70" s="13" t="s">
        <v>22</v>
      </c>
      <c r="C70" s="11" t="s">
        <v>41</v>
      </c>
      <c r="D70" s="15" t="s">
        <v>2880</v>
      </c>
      <c r="E70" s="511"/>
      <c r="F70" s="13" t="b">
        <v>1</v>
      </c>
      <c r="G70" s="13" t="b">
        <v>1</v>
      </c>
      <c r="H70" s="92" t="b">
        <v>0</v>
      </c>
      <c r="I70" s="319"/>
      <c r="J70" s="319"/>
      <c r="K70" s="511"/>
      <c r="L70" s="511"/>
      <c r="M70" s="15"/>
    </row>
    <row r="71" spans="1:13" ht="12.75">
      <c r="A71" s="511"/>
      <c r="B71" s="13" t="s">
        <v>66</v>
      </c>
      <c r="C71" s="11" t="s">
        <v>33</v>
      </c>
      <c r="D71" s="15" t="s">
        <v>2891</v>
      </c>
      <c r="E71" s="511"/>
      <c r="F71" s="13" t="b">
        <v>1</v>
      </c>
      <c r="G71" s="13" t="b">
        <v>1</v>
      </c>
      <c r="H71" s="92" t="b">
        <v>0</v>
      </c>
      <c r="I71" s="319"/>
      <c r="J71" s="319"/>
      <c r="K71" s="511"/>
      <c r="L71" s="511"/>
      <c r="M71" s="15"/>
    </row>
    <row r="72" spans="1:13" ht="12.75">
      <c r="A72" s="512"/>
      <c r="B72" s="13" t="s">
        <v>66</v>
      </c>
      <c r="C72" s="11" t="s">
        <v>34</v>
      </c>
      <c r="D72" s="15" t="s">
        <v>2880</v>
      </c>
      <c r="E72" s="512"/>
      <c r="F72" s="13" t="b">
        <v>1</v>
      </c>
      <c r="G72" s="13" t="b">
        <v>1</v>
      </c>
      <c r="H72" s="92" t="b">
        <v>0</v>
      </c>
      <c r="I72" s="319"/>
      <c r="J72" s="319"/>
      <c r="K72" s="512"/>
      <c r="L72" s="512"/>
      <c r="M72" s="15"/>
    </row>
    <row r="73" spans="1:13" ht="12.75">
      <c r="A73" s="613">
        <v>12</v>
      </c>
      <c r="B73" s="13" t="s">
        <v>22</v>
      </c>
      <c r="C73" s="11" t="s">
        <v>378</v>
      </c>
      <c r="D73" s="15" t="s">
        <v>2880</v>
      </c>
      <c r="E73" s="620" t="s">
        <v>2880</v>
      </c>
      <c r="F73" s="13" t="b">
        <v>1</v>
      </c>
      <c r="G73" s="13" t="b">
        <v>1</v>
      </c>
      <c r="H73" s="92" t="b">
        <v>0</v>
      </c>
      <c r="I73" s="319"/>
      <c r="J73" s="319"/>
      <c r="K73" s="612"/>
      <c r="L73" s="612">
        <v>45824</v>
      </c>
      <c r="M73" s="15"/>
    </row>
    <row r="74" spans="1:13" ht="12.75">
      <c r="A74" s="511"/>
      <c r="B74" s="13" t="s">
        <v>22</v>
      </c>
      <c r="C74" s="11" t="s">
        <v>383</v>
      </c>
      <c r="D74" s="15" t="s">
        <v>2880</v>
      </c>
      <c r="E74" s="511"/>
      <c r="F74" s="13" t="b">
        <v>1</v>
      </c>
      <c r="G74" s="13" t="b">
        <v>1</v>
      </c>
      <c r="H74" s="92" t="b">
        <v>0</v>
      </c>
      <c r="I74" s="319"/>
      <c r="J74" s="319"/>
      <c r="K74" s="511"/>
      <c r="L74" s="511"/>
      <c r="M74" s="15"/>
    </row>
    <row r="75" spans="1:13" ht="12.75">
      <c r="A75" s="511"/>
      <c r="B75" s="13" t="s">
        <v>22</v>
      </c>
      <c r="C75" s="11" t="s">
        <v>385</v>
      </c>
      <c r="D75" s="15" t="s">
        <v>2880</v>
      </c>
      <c r="E75" s="511"/>
      <c r="F75" s="13" t="b">
        <v>1</v>
      </c>
      <c r="G75" s="13" t="b">
        <v>1</v>
      </c>
      <c r="H75" s="92" t="b">
        <v>0</v>
      </c>
      <c r="I75" s="319"/>
      <c r="J75" s="319"/>
      <c r="K75" s="511"/>
      <c r="L75" s="511"/>
      <c r="M75" s="15"/>
    </row>
    <row r="76" spans="1:13" ht="12.75">
      <c r="A76" s="511"/>
      <c r="B76" s="13" t="s">
        <v>22</v>
      </c>
      <c r="C76" s="11" t="s">
        <v>387</v>
      </c>
      <c r="D76" s="15" t="s">
        <v>2891</v>
      </c>
      <c r="E76" s="511"/>
      <c r="F76" s="13" t="b">
        <v>1</v>
      </c>
      <c r="G76" s="13" t="b">
        <v>1</v>
      </c>
      <c r="H76" s="92" t="b">
        <v>0</v>
      </c>
      <c r="I76" s="319"/>
      <c r="J76" s="319"/>
      <c r="K76" s="511"/>
      <c r="L76" s="511"/>
      <c r="M76" s="15"/>
    </row>
    <row r="77" spans="1:13" ht="12.75">
      <c r="A77" s="511"/>
      <c r="B77" s="13" t="s">
        <v>22</v>
      </c>
      <c r="C77" s="11" t="s">
        <v>390</v>
      </c>
      <c r="D77" s="15" t="s">
        <v>2880</v>
      </c>
      <c r="E77" s="511"/>
      <c r="F77" s="13" t="b">
        <v>1</v>
      </c>
      <c r="G77" s="13" t="b">
        <v>1</v>
      </c>
      <c r="H77" s="92" t="b">
        <v>0</v>
      </c>
      <c r="I77" s="319"/>
      <c r="J77" s="319"/>
      <c r="K77" s="511"/>
      <c r="L77" s="511"/>
      <c r="M77" s="15"/>
    </row>
    <row r="78" spans="1:13" ht="12.75">
      <c r="A78" s="512"/>
      <c r="B78" s="13" t="s">
        <v>22</v>
      </c>
      <c r="C78" s="11" t="s">
        <v>391</v>
      </c>
      <c r="D78" s="15" t="s">
        <v>2880</v>
      </c>
      <c r="E78" s="512"/>
      <c r="F78" s="13" t="b">
        <v>1</v>
      </c>
      <c r="G78" s="13" t="b">
        <v>1</v>
      </c>
      <c r="H78" s="92" t="b">
        <v>0</v>
      </c>
      <c r="I78" s="319"/>
      <c r="J78" s="319"/>
      <c r="K78" s="512"/>
      <c r="L78" s="512"/>
      <c r="M78" s="15"/>
    </row>
    <row r="79" spans="1:13" ht="12.75">
      <c r="A79" s="613">
        <v>13</v>
      </c>
      <c r="B79" s="13" t="s">
        <v>22</v>
      </c>
      <c r="C79" s="11" t="s">
        <v>21</v>
      </c>
      <c r="D79" s="15" t="s">
        <v>2928</v>
      </c>
      <c r="E79" s="515" t="s">
        <v>2880</v>
      </c>
      <c r="F79" s="13" t="b">
        <v>1</v>
      </c>
      <c r="G79" s="13" t="b">
        <v>1</v>
      </c>
      <c r="H79" s="92" t="b">
        <v>0</v>
      </c>
      <c r="I79" s="13" t="s">
        <v>2929</v>
      </c>
      <c r="J79" s="13" t="s">
        <v>2930</v>
      </c>
      <c r="K79" s="612"/>
      <c r="L79" s="612">
        <v>45824</v>
      </c>
      <c r="M79" s="15"/>
    </row>
    <row r="80" spans="1:13" ht="12.75">
      <c r="A80" s="511"/>
      <c r="B80" s="13" t="s">
        <v>22</v>
      </c>
      <c r="C80" s="11" t="s">
        <v>44</v>
      </c>
      <c r="D80" s="15" t="s">
        <v>2928</v>
      </c>
      <c r="E80" s="511"/>
      <c r="F80" s="13" t="b">
        <v>1</v>
      </c>
      <c r="G80" s="13" t="b">
        <v>1</v>
      </c>
      <c r="H80" s="92" t="b">
        <v>0</v>
      </c>
      <c r="I80" s="13" t="s">
        <v>2931</v>
      </c>
      <c r="J80" s="13" t="s">
        <v>2932</v>
      </c>
      <c r="K80" s="511"/>
      <c r="L80" s="511"/>
      <c r="M80" s="15"/>
    </row>
    <row r="81" spans="1:13" ht="12.75">
      <c r="A81" s="511"/>
      <c r="B81" s="13" t="s">
        <v>22</v>
      </c>
      <c r="C81" s="11" t="s">
        <v>49</v>
      </c>
      <c r="D81" s="15" t="s">
        <v>2928</v>
      </c>
      <c r="E81" s="511"/>
      <c r="F81" s="13" t="b">
        <v>1</v>
      </c>
      <c r="G81" s="13" t="b">
        <v>1</v>
      </c>
      <c r="H81" s="92" t="b">
        <v>0</v>
      </c>
      <c r="I81" s="13" t="s">
        <v>2933</v>
      </c>
      <c r="J81" s="13" t="s">
        <v>2934</v>
      </c>
      <c r="K81" s="511"/>
      <c r="L81" s="511"/>
      <c r="M81" s="15"/>
    </row>
    <row r="82" spans="1:13" ht="12.75">
      <c r="A82" s="511"/>
      <c r="B82" s="13" t="s">
        <v>22</v>
      </c>
      <c r="C82" s="11" t="s">
        <v>53</v>
      </c>
      <c r="D82" s="15" t="s">
        <v>2928</v>
      </c>
      <c r="E82" s="511"/>
      <c r="F82" s="13" t="b">
        <v>1</v>
      </c>
      <c r="G82" s="13" t="b">
        <v>1</v>
      </c>
      <c r="H82" s="92" t="b">
        <v>0</v>
      </c>
      <c r="I82" s="13" t="s">
        <v>2935</v>
      </c>
      <c r="J82" s="13" t="s">
        <v>2936</v>
      </c>
      <c r="K82" s="511"/>
      <c r="L82" s="511"/>
      <c r="M82" s="15"/>
    </row>
    <row r="83" spans="1:13" ht="12.75">
      <c r="A83" s="511"/>
      <c r="B83" s="13" t="s">
        <v>22</v>
      </c>
      <c r="C83" s="11" t="s">
        <v>58</v>
      </c>
      <c r="D83" s="15" t="s">
        <v>2938</v>
      </c>
      <c r="E83" s="511"/>
      <c r="F83" s="13" t="b">
        <v>1</v>
      </c>
      <c r="G83" s="13" t="b">
        <v>1</v>
      </c>
      <c r="H83" s="92" t="b">
        <v>0</v>
      </c>
      <c r="I83" s="13" t="s">
        <v>2939</v>
      </c>
      <c r="J83" s="13" t="s">
        <v>2940</v>
      </c>
      <c r="K83" s="511"/>
      <c r="L83" s="511"/>
      <c r="M83" s="15"/>
    </row>
    <row r="84" spans="1:13" ht="12.75">
      <c r="A84" s="511"/>
      <c r="B84" s="13" t="s">
        <v>22</v>
      </c>
      <c r="C84" s="11" t="s">
        <v>60</v>
      </c>
      <c r="D84" s="15" t="s">
        <v>2938</v>
      </c>
      <c r="E84" s="511"/>
      <c r="F84" s="13" t="b">
        <v>1</v>
      </c>
      <c r="G84" s="13" t="b">
        <v>1</v>
      </c>
      <c r="H84" s="92" t="b">
        <v>0</v>
      </c>
      <c r="I84" s="13" t="s">
        <v>2941</v>
      </c>
      <c r="J84" s="13" t="s">
        <v>2942</v>
      </c>
      <c r="K84" s="511"/>
      <c r="L84" s="511"/>
      <c r="M84" s="15"/>
    </row>
    <row r="85" spans="1:13" ht="12.75">
      <c r="A85" s="512"/>
      <c r="B85" s="13" t="s">
        <v>66</v>
      </c>
      <c r="C85" s="11" t="s">
        <v>64</v>
      </c>
      <c r="D85" s="15" t="s">
        <v>2891</v>
      </c>
      <c r="E85" s="512"/>
      <c r="F85" s="13" t="b">
        <v>1</v>
      </c>
      <c r="G85" s="13" t="b">
        <v>1</v>
      </c>
      <c r="H85" s="92" t="b">
        <v>0</v>
      </c>
      <c r="I85" s="319"/>
      <c r="J85" s="319"/>
      <c r="K85" s="512"/>
      <c r="L85" s="512"/>
      <c r="M85" s="15"/>
    </row>
    <row r="86" spans="1:13" ht="12.75">
      <c r="A86" s="613">
        <v>14</v>
      </c>
      <c r="B86" s="13" t="s">
        <v>22</v>
      </c>
      <c r="C86" s="11" t="s">
        <v>70</v>
      </c>
      <c r="D86" s="15" t="s">
        <v>2928</v>
      </c>
      <c r="E86" s="515" t="s">
        <v>2880</v>
      </c>
      <c r="F86" s="13" t="b">
        <v>1</v>
      </c>
      <c r="G86" s="13" t="b">
        <v>1</v>
      </c>
      <c r="H86" s="92" t="b">
        <v>0</v>
      </c>
      <c r="I86" s="13" t="s">
        <v>2943</v>
      </c>
      <c r="J86" s="13" t="s">
        <v>2944</v>
      </c>
      <c r="K86" s="612"/>
      <c r="L86" s="612">
        <v>45824</v>
      </c>
      <c r="M86" s="15"/>
    </row>
    <row r="87" spans="1:13" ht="12.75">
      <c r="A87" s="511"/>
      <c r="B87" s="13" t="s">
        <v>22</v>
      </c>
      <c r="C87" s="11" t="s">
        <v>73</v>
      </c>
      <c r="D87" s="15" t="s">
        <v>2938</v>
      </c>
      <c r="E87" s="511"/>
      <c r="F87" s="13" t="b">
        <v>1</v>
      </c>
      <c r="G87" s="13" t="b">
        <v>1</v>
      </c>
      <c r="H87" s="92" t="b">
        <v>0</v>
      </c>
      <c r="I87" s="13" t="s">
        <v>2946</v>
      </c>
      <c r="J87" s="13" t="s">
        <v>2947</v>
      </c>
      <c r="K87" s="511"/>
      <c r="L87" s="511"/>
      <c r="M87" s="15"/>
    </row>
    <row r="88" spans="1:13" ht="12.75">
      <c r="A88" s="511"/>
      <c r="B88" s="13" t="s">
        <v>22</v>
      </c>
      <c r="C88" s="11" t="s">
        <v>74</v>
      </c>
      <c r="D88" s="15" t="s">
        <v>2928</v>
      </c>
      <c r="E88" s="511"/>
      <c r="F88" s="13" t="b">
        <v>1</v>
      </c>
      <c r="G88" s="13" t="b">
        <v>1</v>
      </c>
      <c r="H88" s="92" t="b">
        <v>0</v>
      </c>
      <c r="I88" s="13" t="s">
        <v>2948</v>
      </c>
      <c r="J88" s="13" t="s">
        <v>2949</v>
      </c>
      <c r="K88" s="511"/>
      <c r="L88" s="511"/>
      <c r="M88" s="15"/>
    </row>
    <row r="89" spans="1:13" ht="12.75">
      <c r="A89" s="511"/>
      <c r="B89" s="13" t="s">
        <v>22</v>
      </c>
      <c r="C89" s="11" t="s">
        <v>77</v>
      </c>
      <c r="D89" s="15" t="s">
        <v>2938</v>
      </c>
      <c r="E89" s="511"/>
      <c r="F89" s="13" t="b">
        <v>1</v>
      </c>
      <c r="G89" s="13" t="b">
        <v>1</v>
      </c>
      <c r="H89" s="92" t="b">
        <v>0</v>
      </c>
      <c r="I89" s="13" t="s">
        <v>2950</v>
      </c>
      <c r="J89" s="13" t="s">
        <v>2951</v>
      </c>
      <c r="K89" s="511"/>
      <c r="L89" s="511"/>
      <c r="M89" s="15"/>
    </row>
    <row r="90" spans="1:13" ht="12.75">
      <c r="A90" s="511"/>
      <c r="B90" s="13" t="s">
        <v>22</v>
      </c>
      <c r="C90" s="11" t="s">
        <v>78</v>
      </c>
      <c r="D90" s="15" t="s">
        <v>2928</v>
      </c>
      <c r="E90" s="511"/>
      <c r="F90" s="13" t="b">
        <v>1</v>
      </c>
      <c r="G90" s="13" t="b">
        <v>1</v>
      </c>
      <c r="H90" s="92" t="b">
        <v>0</v>
      </c>
      <c r="I90" s="13" t="s">
        <v>2952</v>
      </c>
      <c r="J90" s="13" t="s">
        <v>2953</v>
      </c>
      <c r="K90" s="511"/>
      <c r="L90" s="511"/>
      <c r="M90" s="15"/>
    </row>
    <row r="91" spans="1:13" ht="12.75">
      <c r="A91" s="512"/>
      <c r="B91" s="13" t="s">
        <v>22</v>
      </c>
      <c r="C91" s="11" t="s">
        <v>80</v>
      </c>
      <c r="D91" s="15" t="s">
        <v>2938</v>
      </c>
      <c r="E91" s="512"/>
      <c r="F91" s="13" t="b">
        <v>1</v>
      </c>
      <c r="G91" s="13" t="b">
        <v>1</v>
      </c>
      <c r="H91" s="92" t="b">
        <v>0</v>
      </c>
      <c r="I91" s="13" t="s">
        <v>2954</v>
      </c>
      <c r="J91" s="13" t="s">
        <v>2955</v>
      </c>
      <c r="K91" s="512"/>
      <c r="L91" s="512"/>
      <c r="M91" s="15"/>
    </row>
    <row r="92" spans="1:13" ht="12.75">
      <c r="A92" s="613">
        <v>15</v>
      </c>
      <c r="B92" s="13" t="s">
        <v>22</v>
      </c>
      <c r="C92" s="11" t="s">
        <v>85</v>
      </c>
      <c r="D92" s="15" t="s">
        <v>2880</v>
      </c>
      <c r="E92" s="515" t="s">
        <v>2880</v>
      </c>
      <c r="F92" s="13" t="b">
        <v>1</v>
      </c>
      <c r="G92" s="13" t="b">
        <v>1</v>
      </c>
      <c r="H92" s="92" t="b">
        <v>0</v>
      </c>
      <c r="I92" s="13" t="s">
        <v>2957</v>
      </c>
      <c r="J92" s="13" t="s">
        <v>2958</v>
      </c>
      <c r="K92" s="612"/>
      <c r="L92" s="612">
        <v>45824</v>
      </c>
      <c r="M92" s="15"/>
    </row>
    <row r="93" spans="1:13" ht="12.75">
      <c r="A93" s="511"/>
      <c r="B93" s="13" t="s">
        <v>22</v>
      </c>
      <c r="C93" s="11" t="s">
        <v>86</v>
      </c>
      <c r="D93" s="15" t="s">
        <v>2880</v>
      </c>
      <c r="E93" s="511"/>
      <c r="F93" s="13" t="b">
        <v>1</v>
      </c>
      <c r="G93" s="13" t="b">
        <v>1</v>
      </c>
      <c r="H93" s="92" t="b">
        <v>0</v>
      </c>
      <c r="I93" s="13" t="s">
        <v>2959</v>
      </c>
      <c r="J93" s="13" t="s">
        <v>2960</v>
      </c>
      <c r="K93" s="511"/>
      <c r="L93" s="511"/>
      <c r="M93" s="15"/>
    </row>
    <row r="94" spans="1:13" ht="12.75">
      <c r="A94" s="511"/>
      <c r="B94" s="13" t="s">
        <v>22</v>
      </c>
      <c r="C94" s="11" t="s">
        <v>88</v>
      </c>
      <c r="D94" s="15" t="s">
        <v>2880</v>
      </c>
      <c r="E94" s="511"/>
      <c r="F94" s="13" t="b">
        <v>1</v>
      </c>
      <c r="G94" s="13" t="b">
        <v>1</v>
      </c>
      <c r="H94" s="92" t="b">
        <v>0</v>
      </c>
      <c r="I94" s="13" t="s">
        <v>2962</v>
      </c>
      <c r="J94" s="13" t="s">
        <v>2963</v>
      </c>
      <c r="K94" s="511"/>
      <c r="L94" s="511"/>
      <c r="M94" s="15"/>
    </row>
    <row r="95" spans="1:13" ht="12.75">
      <c r="A95" s="511"/>
      <c r="B95" s="13" t="s">
        <v>22</v>
      </c>
      <c r="C95" s="11" t="s">
        <v>90</v>
      </c>
      <c r="D95" s="15" t="s">
        <v>2880</v>
      </c>
      <c r="E95" s="511"/>
      <c r="F95" s="13" t="b">
        <v>1</v>
      </c>
      <c r="G95" s="13" t="b">
        <v>1</v>
      </c>
      <c r="H95" s="92" t="b">
        <v>0</v>
      </c>
      <c r="I95" s="13" t="s">
        <v>2965</v>
      </c>
      <c r="J95" s="13" t="s">
        <v>2966</v>
      </c>
      <c r="K95" s="511"/>
      <c r="L95" s="511"/>
      <c r="M95" s="15"/>
    </row>
    <row r="96" spans="1:13" ht="12.75">
      <c r="A96" s="511"/>
      <c r="B96" s="13" t="s">
        <v>22</v>
      </c>
      <c r="C96" s="11" t="s">
        <v>92</v>
      </c>
      <c r="D96" s="15" t="s">
        <v>2880</v>
      </c>
      <c r="E96" s="511"/>
      <c r="F96" s="13" t="b">
        <v>1</v>
      </c>
      <c r="G96" s="13" t="b">
        <v>1</v>
      </c>
      <c r="H96" s="92" t="b">
        <v>0</v>
      </c>
      <c r="I96" s="319"/>
      <c r="J96" s="319"/>
      <c r="K96" s="511"/>
      <c r="L96" s="511"/>
      <c r="M96" s="15"/>
    </row>
    <row r="97" spans="1:13" ht="12.75">
      <c r="A97" s="512"/>
      <c r="B97" s="13" t="s">
        <v>22</v>
      </c>
      <c r="C97" s="11" t="s">
        <v>94</v>
      </c>
      <c r="D97" s="15" t="s">
        <v>2891</v>
      </c>
      <c r="E97" s="512"/>
      <c r="F97" s="13" t="b">
        <v>1</v>
      </c>
      <c r="G97" s="13" t="b">
        <v>1</v>
      </c>
      <c r="H97" s="92" t="b">
        <v>0</v>
      </c>
      <c r="I97" s="13" t="s">
        <v>2968</v>
      </c>
      <c r="J97" s="13" t="s">
        <v>2969</v>
      </c>
      <c r="K97" s="512"/>
      <c r="L97" s="512"/>
      <c r="M97" s="15"/>
    </row>
    <row r="98" spans="1:13" ht="12.75">
      <c r="A98" s="613">
        <v>16</v>
      </c>
      <c r="B98" s="13" t="s">
        <v>22</v>
      </c>
      <c r="C98" s="11" t="s">
        <v>100</v>
      </c>
      <c r="D98" s="15" t="s">
        <v>2928</v>
      </c>
      <c r="E98" s="515" t="s">
        <v>2880</v>
      </c>
      <c r="F98" s="13" t="b">
        <v>1</v>
      </c>
      <c r="G98" s="13" t="b">
        <v>1</v>
      </c>
      <c r="H98" s="92" t="b">
        <v>0</v>
      </c>
      <c r="I98" s="13" t="s">
        <v>2970</v>
      </c>
      <c r="J98" s="13" t="s">
        <v>2971</v>
      </c>
      <c r="K98" s="612"/>
      <c r="L98" s="612">
        <v>45824</v>
      </c>
      <c r="M98" s="15"/>
    </row>
    <row r="99" spans="1:13" ht="12.75">
      <c r="A99" s="511"/>
      <c r="B99" s="13" t="s">
        <v>22</v>
      </c>
      <c r="C99" s="11" t="s">
        <v>101</v>
      </c>
      <c r="D99" s="15" t="s">
        <v>2928</v>
      </c>
      <c r="E99" s="511"/>
      <c r="F99" s="13" t="b">
        <v>1</v>
      </c>
      <c r="G99" s="13" t="b">
        <v>1</v>
      </c>
      <c r="H99" s="92" t="b">
        <v>0</v>
      </c>
      <c r="I99" s="13" t="s">
        <v>2972</v>
      </c>
      <c r="J99" s="13" t="s">
        <v>2973</v>
      </c>
      <c r="K99" s="511"/>
      <c r="L99" s="511"/>
      <c r="M99" s="15"/>
    </row>
    <row r="100" spans="1:13" ht="12.75">
      <c r="A100" s="511"/>
      <c r="B100" s="13" t="s">
        <v>22</v>
      </c>
      <c r="C100" s="11" t="s">
        <v>104</v>
      </c>
      <c r="D100" s="15" t="s">
        <v>2928</v>
      </c>
      <c r="E100" s="511"/>
      <c r="F100" s="13" t="b">
        <v>1</v>
      </c>
      <c r="G100" s="13" t="b">
        <v>1</v>
      </c>
      <c r="H100" s="92" t="b">
        <v>0</v>
      </c>
      <c r="I100" s="13" t="s">
        <v>2975</v>
      </c>
      <c r="J100" s="13" t="s">
        <v>2976</v>
      </c>
      <c r="K100" s="511"/>
      <c r="L100" s="511"/>
      <c r="M100" s="15"/>
    </row>
    <row r="101" spans="1:13" ht="12.75">
      <c r="A101" s="511"/>
      <c r="B101" s="13" t="s">
        <v>22</v>
      </c>
      <c r="C101" s="11" t="s">
        <v>107</v>
      </c>
      <c r="D101" s="15" t="s">
        <v>2938</v>
      </c>
      <c r="E101" s="511"/>
      <c r="F101" s="13" t="b">
        <v>1</v>
      </c>
      <c r="G101" s="13" t="b">
        <v>1</v>
      </c>
      <c r="H101" s="92" t="b">
        <v>0</v>
      </c>
      <c r="I101" s="13" t="s">
        <v>2977</v>
      </c>
      <c r="J101" s="13" t="s">
        <v>2978</v>
      </c>
      <c r="K101" s="511"/>
      <c r="L101" s="511"/>
      <c r="M101" s="15"/>
    </row>
    <row r="102" spans="1:13" ht="12.75">
      <c r="A102" s="511"/>
      <c r="B102" s="13" t="s">
        <v>22</v>
      </c>
      <c r="C102" s="11" t="s">
        <v>109</v>
      </c>
      <c r="D102" s="15" t="s">
        <v>2938</v>
      </c>
      <c r="E102" s="511"/>
      <c r="F102" s="13" t="b">
        <v>1</v>
      </c>
      <c r="G102" s="13" t="b">
        <v>1</v>
      </c>
      <c r="H102" s="92" t="b">
        <v>0</v>
      </c>
      <c r="I102" s="13" t="s">
        <v>2979</v>
      </c>
      <c r="J102" s="13" t="s">
        <v>2980</v>
      </c>
      <c r="K102" s="511"/>
      <c r="L102" s="511"/>
      <c r="M102" s="15"/>
    </row>
    <row r="103" spans="1:13" ht="12.75">
      <c r="A103" s="512"/>
      <c r="B103" s="13" t="s">
        <v>22</v>
      </c>
      <c r="C103" s="11" t="s">
        <v>111</v>
      </c>
      <c r="D103" s="15" t="s">
        <v>2928</v>
      </c>
      <c r="E103" s="512"/>
      <c r="F103" s="13" t="b">
        <v>1</v>
      </c>
      <c r="G103" s="13" t="b">
        <v>1</v>
      </c>
      <c r="H103" s="92" t="b">
        <v>0</v>
      </c>
      <c r="I103" s="13" t="s">
        <v>2981</v>
      </c>
      <c r="J103" s="13" t="s">
        <v>2982</v>
      </c>
      <c r="K103" s="512"/>
      <c r="L103" s="512"/>
      <c r="M103" s="15"/>
    </row>
    <row r="104" spans="1:13" ht="12.75">
      <c r="A104" s="613">
        <v>17</v>
      </c>
      <c r="B104" s="13" t="s">
        <v>22</v>
      </c>
      <c r="C104" s="11" t="s">
        <v>116</v>
      </c>
      <c r="D104" s="15" t="s">
        <v>2928</v>
      </c>
      <c r="E104" s="515" t="s">
        <v>2880</v>
      </c>
      <c r="F104" s="13" t="b">
        <v>1</v>
      </c>
      <c r="G104" s="13" t="b">
        <v>1</v>
      </c>
      <c r="H104" s="92" t="b">
        <v>0</v>
      </c>
      <c r="I104" s="13" t="s">
        <v>2983</v>
      </c>
      <c r="J104" s="13" t="s">
        <v>2984</v>
      </c>
      <c r="K104" s="612"/>
      <c r="L104" s="612">
        <v>45824</v>
      </c>
      <c r="M104" s="15"/>
    </row>
    <row r="105" spans="1:13" ht="12.75">
      <c r="A105" s="511"/>
      <c r="B105" s="13" t="s">
        <v>22</v>
      </c>
      <c r="C105" s="11" t="s">
        <v>119</v>
      </c>
      <c r="D105" s="15" t="s">
        <v>2928</v>
      </c>
      <c r="E105" s="511"/>
      <c r="F105" s="13" t="b">
        <v>1</v>
      </c>
      <c r="G105" s="13" t="b">
        <v>1</v>
      </c>
      <c r="H105" s="92" t="b">
        <v>0</v>
      </c>
      <c r="I105" s="13" t="s">
        <v>2987</v>
      </c>
      <c r="J105" s="13" t="s">
        <v>2988</v>
      </c>
      <c r="K105" s="511"/>
      <c r="L105" s="511"/>
      <c r="M105" s="15"/>
    </row>
    <row r="106" spans="1:13" ht="12.75">
      <c r="A106" s="511"/>
      <c r="B106" s="13" t="s">
        <v>22</v>
      </c>
      <c r="C106" s="11" t="s">
        <v>121</v>
      </c>
      <c r="D106" s="15" t="s">
        <v>2928</v>
      </c>
      <c r="E106" s="511"/>
      <c r="F106" s="13" t="b">
        <v>1</v>
      </c>
      <c r="G106" s="13" t="b">
        <v>1</v>
      </c>
      <c r="H106" s="92" t="b">
        <v>0</v>
      </c>
      <c r="I106" s="13" t="s">
        <v>2991</v>
      </c>
      <c r="J106" s="13" t="s">
        <v>2992</v>
      </c>
      <c r="K106" s="511"/>
      <c r="L106" s="511"/>
      <c r="M106" s="15"/>
    </row>
    <row r="107" spans="1:13" ht="12.75">
      <c r="A107" s="511"/>
      <c r="B107" s="13" t="s">
        <v>22</v>
      </c>
      <c r="C107" s="11" t="s">
        <v>123</v>
      </c>
      <c r="D107" s="15" t="s">
        <v>2880</v>
      </c>
      <c r="E107" s="511"/>
      <c r="F107" s="13" t="b">
        <v>1</v>
      </c>
      <c r="G107" s="13" t="b">
        <v>1</v>
      </c>
      <c r="H107" s="92" t="b">
        <v>0</v>
      </c>
      <c r="I107" s="13" t="s">
        <v>2993</v>
      </c>
      <c r="J107" s="13" t="s">
        <v>2994</v>
      </c>
      <c r="K107" s="511"/>
      <c r="L107" s="511"/>
      <c r="M107" s="15"/>
    </row>
    <row r="108" spans="1:13" ht="12.75">
      <c r="A108" s="511"/>
      <c r="B108" s="13" t="s">
        <v>22</v>
      </c>
      <c r="C108" s="11" t="s">
        <v>125</v>
      </c>
      <c r="D108" s="15" t="s">
        <v>2928</v>
      </c>
      <c r="E108" s="511"/>
      <c r="F108" s="13" t="b">
        <v>1</v>
      </c>
      <c r="G108" s="13" t="b">
        <v>1</v>
      </c>
      <c r="H108" s="92" t="b">
        <v>0</v>
      </c>
      <c r="I108" s="13" t="s">
        <v>2997</v>
      </c>
      <c r="J108" s="13" t="s">
        <v>2999</v>
      </c>
      <c r="K108" s="511"/>
      <c r="L108" s="511"/>
      <c r="M108" s="15"/>
    </row>
    <row r="109" spans="1:13" ht="12.75">
      <c r="A109" s="511"/>
      <c r="B109" s="13" t="s">
        <v>22</v>
      </c>
      <c r="C109" s="11" t="s">
        <v>127</v>
      </c>
      <c r="D109" s="15" t="s">
        <v>2928</v>
      </c>
      <c r="E109" s="511"/>
      <c r="F109" s="13" t="b">
        <v>1</v>
      </c>
      <c r="G109" s="13" t="b">
        <v>1</v>
      </c>
      <c r="H109" s="92" t="b">
        <v>0</v>
      </c>
      <c r="I109" s="13" t="s">
        <v>3002</v>
      </c>
      <c r="J109" s="13" t="s">
        <v>3003</v>
      </c>
      <c r="K109" s="511"/>
      <c r="L109" s="511"/>
      <c r="M109" s="15"/>
    </row>
    <row r="110" spans="1:13" ht="12.75">
      <c r="A110" s="512"/>
      <c r="B110" s="13" t="s">
        <v>66</v>
      </c>
      <c r="C110" s="11" t="s">
        <v>132</v>
      </c>
      <c r="D110" s="15" t="s">
        <v>2880</v>
      </c>
      <c r="E110" s="512"/>
      <c r="F110" s="13" t="b">
        <v>1</v>
      </c>
      <c r="G110" s="13" t="b">
        <v>1</v>
      </c>
      <c r="H110" s="92" t="b">
        <v>0</v>
      </c>
      <c r="I110" s="319"/>
      <c r="J110" s="319"/>
      <c r="K110" s="512"/>
      <c r="L110" s="512"/>
      <c r="M110" s="15"/>
    </row>
    <row r="111" spans="1:13" ht="12.75">
      <c r="A111" s="613">
        <v>18</v>
      </c>
      <c r="B111" s="13" t="s">
        <v>22</v>
      </c>
      <c r="C111" s="11" t="s">
        <v>146</v>
      </c>
      <c r="D111" s="15" t="s">
        <v>2938</v>
      </c>
      <c r="E111" s="515" t="s">
        <v>2880</v>
      </c>
      <c r="F111" s="13" t="b">
        <v>1</v>
      </c>
      <c r="G111" s="13" t="b">
        <v>1</v>
      </c>
      <c r="H111" s="92" t="b">
        <v>0</v>
      </c>
      <c r="I111" s="13" t="s">
        <v>3008</v>
      </c>
      <c r="J111" s="13" t="s">
        <v>3009</v>
      </c>
      <c r="K111" s="612"/>
      <c r="L111" s="612">
        <v>45824</v>
      </c>
      <c r="M111" s="15"/>
    </row>
    <row r="112" spans="1:13" ht="12.75">
      <c r="A112" s="511"/>
      <c r="B112" s="13" t="s">
        <v>22</v>
      </c>
      <c r="C112" s="11" t="s">
        <v>148</v>
      </c>
      <c r="D112" s="15" t="s">
        <v>2928</v>
      </c>
      <c r="E112" s="511"/>
      <c r="F112" s="13" t="b">
        <v>1</v>
      </c>
      <c r="G112" s="13" t="b">
        <v>1</v>
      </c>
      <c r="H112" s="92" t="b">
        <v>0</v>
      </c>
      <c r="I112" s="13" t="s">
        <v>3012</v>
      </c>
      <c r="J112" s="13" t="s">
        <v>3013</v>
      </c>
      <c r="K112" s="511"/>
      <c r="L112" s="511"/>
      <c r="M112" s="15"/>
    </row>
    <row r="113" spans="1:13" ht="12.75">
      <c r="A113" s="511"/>
      <c r="B113" s="13" t="s">
        <v>22</v>
      </c>
      <c r="C113" s="11" t="s">
        <v>153</v>
      </c>
      <c r="D113" s="15" t="s">
        <v>2928</v>
      </c>
      <c r="E113" s="511"/>
      <c r="F113" s="13" t="b">
        <v>1</v>
      </c>
      <c r="G113" s="13" t="b">
        <v>1</v>
      </c>
      <c r="H113" s="92" t="b">
        <v>0</v>
      </c>
      <c r="I113" s="13" t="s">
        <v>3014</v>
      </c>
      <c r="J113" s="13" t="s">
        <v>3015</v>
      </c>
      <c r="K113" s="511"/>
      <c r="L113" s="511"/>
      <c r="M113" s="15"/>
    </row>
    <row r="114" spans="1:13" ht="12.75">
      <c r="A114" s="511"/>
      <c r="B114" s="13" t="s">
        <v>22</v>
      </c>
      <c r="C114" s="11" t="s">
        <v>158</v>
      </c>
      <c r="D114" s="15" t="s">
        <v>2938</v>
      </c>
      <c r="E114" s="511"/>
      <c r="F114" s="13" t="b">
        <v>1</v>
      </c>
      <c r="G114" s="13" t="b">
        <v>1</v>
      </c>
      <c r="H114" s="92" t="b">
        <v>0</v>
      </c>
      <c r="I114" s="13" t="s">
        <v>3016</v>
      </c>
      <c r="J114" s="13" t="s">
        <v>3017</v>
      </c>
      <c r="K114" s="511"/>
      <c r="L114" s="511"/>
      <c r="M114" s="15"/>
    </row>
    <row r="115" spans="1:13" ht="12.75">
      <c r="A115" s="511"/>
      <c r="B115" s="13" t="s">
        <v>22</v>
      </c>
      <c r="C115" s="11" t="s">
        <v>157</v>
      </c>
      <c r="D115" s="15" t="s">
        <v>2938</v>
      </c>
      <c r="E115" s="511"/>
      <c r="F115" s="13" t="b">
        <v>1</v>
      </c>
      <c r="G115" s="13" t="b">
        <v>1</v>
      </c>
      <c r="H115" s="92" t="b">
        <v>0</v>
      </c>
      <c r="I115" s="13" t="s">
        <v>3018</v>
      </c>
      <c r="J115" s="13" t="s">
        <v>3019</v>
      </c>
      <c r="K115" s="511"/>
      <c r="L115" s="511"/>
      <c r="M115" s="15"/>
    </row>
    <row r="116" spans="1:13" ht="12.75">
      <c r="A116" s="511"/>
      <c r="B116" s="13" t="s">
        <v>22</v>
      </c>
      <c r="C116" s="11" t="s">
        <v>164</v>
      </c>
      <c r="D116" s="15" t="s">
        <v>2938</v>
      </c>
      <c r="E116" s="511"/>
      <c r="F116" s="13" t="b">
        <v>1</v>
      </c>
      <c r="G116" s="13" t="b">
        <v>1</v>
      </c>
      <c r="H116" s="92" t="b">
        <v>0</v>
      </c>
      <c r="I116" s="13" t="s">
        <v>3020</v>
      </c>
      <c r="J116" s="13" t="s">
        <v>3021</v>
      </c>
      <c r="K116" s="511"/>
      <c r="L116" s="511"/>
      <c r="M116" s="15"/>
    </row>
    <row r="117" spans="1:13" ht="12.75">
      <c r="A117" s="512"/>
      <c r="B117" s="13" t="s">
        <v>66</v>
      </c>
      <c r="C117" s="11" t="s">
        <v>168</v>
      </c>
      <c r="D117" s="15" t="s">
        <v>2880</v>
      </c>
      <c r="E117" s="512"/>
      <c r="F117" s="13" t="b">
        <v>1</v>
      </c>
      <c r="G117" s="13" t="b">
        <v>1</v>
      </c>
      <c r="H117" s="92" t="b">
        <v>0</v>
      </c>
      <c r="I117" s="319"/>
      <c r="J117" s="319"/>
      <c r="K117" s="512"/>
      <c r="L117" s="512"/>
      <c r="M117" s="15"/>
    </row>
    <row r="118" spans="1:13" ht="12.75">
      <c r="A118" s="613">
        <v>19</v>
      </c>
      <c r="B118" s="13" t="s">
        <v>22</v>
      </c>
      <c r="C118" s="11" t="s">
        <v>175</v>
      </c>
      <c r="D118" s="15" t="s">
        <v>2880</v>
      </c>
      <c r="E118" s="515" t="s">
        <v>2880</v>
      </c>
      <c r="F118" s="13" t="b">
        <v>1</v>
      </c>
      <c r="G118" s="13" t="b">
        <v>1</v>
      </c>
      <c r="H118" s="92" t="b">
        <v>0</v>
      </c>
      <c r="I118" s="13" t="s">
        <v>3024</v>
      </c>
      <c r="J118" s="13" t="s">
        <v>3025</v>
      </c>
      <c r="K118" s="612"/>
      <c r="L118" s="612">
        <v>45824</v>
      </c>
      <c r="M118" s="15"/>
    </row>
    <row r="119" spans="1:13" ht="12.75">
      <c r="A119" s="511"/>
      <c r="B119" s="13" t="s">
        <v>22</v>
      </c>
      <c r="C119" s="11" t="s">
        <v>178</v>
      </c>
      <c r="D119" s="15" t="s">
        <v>2880</v>
      </c>
      <c r="E119" s="511"/>
      <c r="F119" s="13" t="b">
        <v>1</v>
      </c>
      <c r="G119" s="13" t="b">
        <v>1</v>
      </c>
      <c r="H119" s="92" t="b">
        <v>0</v>
      </c>
      <c r="I119" s="13" t="s">
        <v>3027</v>
      </c>
      <c r="J119" s="13" t="s">
        <v>3028</v>
      </c>
      <c r="K119" s="511"/>
      <c r="L119" s="511"/>
      <c r="M119" s="15"/>
    </row>
    <row r="120" spans="1:13" ht="12.75">
      <c r="A120" s="511"/>
      <c r="B120" s="13" t="s">
        <v>22</v>
      </c>
      <c r="C120" s="11" t="s">
        <v>180</v>
      </c>
      <c r="D120" s="15" t="s">
        <v>2880</v>
      </c>
      <c r="E120" s="511"/>
      <c r="F120" s="13" t="b">
        <v>1</v>
      </c>
      <c r="G120" s="13" t="b">
        <v>1</v>
      </c>
      <c r="H120" s="92" t="b">
        <v>0</v>
      </c>
      <c r="I120" s="13" t="s">
        <v>3029</v>
      </c>
      <c r="J120" s="13" t="s">
        <v>3030</v>
      </c>
      <c r="K120" s="511"/>
      <c r="L120" s="511"/>
      <c r="M120" s="15"/>
    </row>
    <row r="121" spans="1:13" ht="12.75">
      <c r="A121" s="511"/>
      <c r="B121" s="13" t="s">
        <v>22</v>
      </c>
      <c r="C121" s="11" t="s">
        <v>187</v>
      </c>
      <c r="D121" s="15" t="s">
        <v>2880</v>
      </c>
      <c r="E121" s="511"/>
      <c r="F121" s="13" t="b">
        <v>1</v>
      </c>
      <c r="G121" s="13" t="b">
        <v>1</v>
      </c>
      <c r="H121" s="92" t="b">
        <v>0</v>
      </c>
      <c r="I121" s="13" t="s">
        <v>3031</v>
      </c>
      <c r="J121" s="13" t="s">
        <v>3032</v>
      </c>
      <c r="K121" s="511"/>
      <c r="L121" s="511"/>
      <c r="M121" s="15"/>
    </row>
    <row r="122" spans="1:13" ht="12.75">
      <c r="A122" s="511"/>
      <c r="B122" s="13" t="s">
        <v>22</v>
      </c>
      <c r="C122" s="11" t="s">
        <v>192</v>
      </c>
      <c r="D122" s="15" t="s">
        <v>2880</v>
      </c>
      <c r="E122" s="511"/>
      <c r="F122" s="13" t="b">
        <v>1</v>
      </c>
      <c r="G122" s="13" t="b">
        <v>1</v>
      </c>
      <c r="H122" s="92" t="b">
        <v>0</v>
      </c>
      <c r="I122" s="13" t="s">
        <v>3033</v>
      </c>
      <c r="J122" s="13" t="s">
        <v>3034</v>
      </c>
      <c r="K122" s="511"/>
      <c r="L122" s="511"/>
      <c r="M122" s="15"/>
    </row>
    <row r="123" spans="1:13" ht="12.75">
      <c r="A123" s="511"/>
      <c r="B123" s="13" t="s">
        <v>22</v>
      </c>
      <c r="C123" s="11" t="s">
        <v>195</v>
      </c>
      <c r="D123" s="15" t="s">
        <v>2880</v>
      </c>
      <c r="E123" s="511"/>
      <c r="F123" s="13" t="b">
        <v>1</v>
      </c>
      <c r="G123" s="13" t="b">
        <v>1</v>
      </c>
      <c r="H123" s="92" t="b">
        <v>0</v>
      </c>
      <c r="I123" s="13" t="s">
        <v>3035</v>
      </c>
      <c r="J123" s="13" t="s">
        <v>3036</v>
      </c>
      <c r="K123" s="511"/>
      <c r="L123" s="511"/>
      <c r="M123" s="15"/>
    </row>
    <row r="124" spans="1:13" ht="12.75">
      <c r="A124" s="512"/>
      <c r="B124" s="13" t="s">
        <v>66</v>
      </c>
      <c r="C124" s="77" t="s">
        <v>206</v>
      </c>
      <c r="D124" s="15" t="s">
        <v>2891</v>
      </c>
      <c r="E124" s="512"/>
      <c r="F124" s="13" t="b">
        <v>1</v>
      </c>
      <c r="G124" s="13" t="b">
        <v>1</v>
      </c>
      <c r="H124" s="92" t="b">
        <v>0</v>
      </c>
      <c r="I124" s="319"/>
      <c r="J124" s="319"/>
      <c r="K124" s="512"/>
      <c r="L124" s="512"/>
      <c r="M124" s="15"/>
    </row>
    <row r="125" spans="1:13" ht="12.75">
      <c r="A125" s="613">
        <v>20</v>
      </c>
      <c r="B125" s="13" t="s">
        <v>22</v>
      </c>
      <c r="C125" s="7" t="s">
        <v>215</v>
      </c>
      <c r="D125" s="15" t="s">
        <v>2928</v>
      </c>
      <c r="E125" s="515" t="s">
        <v>2880</v>
      </c>
      <c r="F125" s="13" t="b">
        <v>1</v>
      </c>
      <c r="G125" s="13" t="b">
        <v>1</v>
      </c>
      <c r="H125" s="92" t="b">
        <v>0</v>
      </c>
      <c r="I125" s="13" t="s">
        <v>3040</v>
      </c>
      <c r="J125" s="13" t="s">
        <v>3042</v>
      </c>
      <c r="K125" s="612"/>
      <c r="L125" s="612">
        <v>45830</v>
      </c>
      <c r="M125" s="15"/>
    </row>
    <row r="126" spans="1:13" ht="12.75">
      <c r="A126" s="511"/>
      <c r="B126" s="13" t="s">
        <v>22</v>
      </c>
      <c r="C126" s="7" t="s">
        <v>217</v>
      </c>
      <c r="D126" s="15" t="s">
        <v>2928</v>
      </c>
      <c r="E126" s="511"/>
      <c r="F126" s="13" t="b">
        <v>1</v>
      </c>
      <c r="G126" s="13" t="b">
        <v>1</v>
      </c>
      <c r="H126" s="92" t="b">
        <v>0</v>
      </c>
      <c r="I126" s="13" t="s">
        <v>3052</v>
      </c>
      <c r="J126" s="13" t="s">
        <v>3053</v>
      </c>
      <c r="K126" s="511"/>
      <c r="L126" s="511"/>
      <c r="M126" s="15"/>
    </row>
    <row r="127" spans="1:13" ht="12.75">
      <c r="A127" s="511"/>
      <c r="B127" s="13" t="s">
        <v>22</v>
      </c>
      <c r="C127" s="7" t="s">
        <v>219</v>
      </c>
      <c r="D127" s="15" t="s">
        <v>2928</v>
      </c>
      <c r="E127" s="511"/>
      <c r="F127" s="13" t="b">
        <v>1</v>
      </c>
      <c r="G127" s="13" t="b">
        <v>1</v>
      </c>
      <c r="H127" s="92" t="b">
        <v>0</v>
      </c>
      <c r="I127" s="13" t="s">
        <v>3057</v>
      </c>
      <c r="J127" s="13" t="s">
        <v>3058</v>
      </c>
      <c r="K127" s="511"/>
      <c r="L127" s="511"/>
      <c r="M127" s="15"/>
    </row>
    <row r="128" spans="1:13" ht="12.75">
      <c r="A128" s="511"/>
      <c r="B128" s="13" t="s">
        <v>22</v>
      </c>
      <c r="C128" s="7" t="s">
        <v>222</v>
      </c>
      <c r="D128" s="15" t="s">
        <v>2928</v>
      </c>
      <c r="E128" s="511"/>
      <c r="F128" s="13" t="b">
        <v>1</v>
      </c>
      <c r="G128" s="13" t="b">
        <v>1</v>
      </c>
      <c r="H128" s="92" t="b">
        <v>0</v>
      </c>
      <c r="I128" s="13" t="s">
        <v>3059</v>
      </c>
      <c r="J128" s="13" t="s">
        <v>3060</v>
      </c>
      <c r="K128" s="511"/>
      <c r="L128" s="511"/>
      <c r="M128" s="15"/>
    </row>
    <row r="129" spans="1:13" ht="16.5" customHeight="1">
      <c r="A129" s="511"/>
      <c r="B129" s="13" t="s">
        <v>22</v>
      </c>
      <c r="C129" s="7" t="s">
        <v>224</v>
      </c>
      <c r="D129" s="15" t="s">
        <v>2880</v>
      </c>
      <c r="E129" s="511"/>
      <c r="F129" s="13" t="b">
        <v>1</v>
      </c>
      <c r="G129" s="13" t="b">
        <v>1</v>
      </c>
      <c r="H129" s="92" t="b">
        <v>0</v>
      </c>
      <c r="I129" s="13" t="s">
        <v>3063</v>
      </c>
      <c r="J129" s="13" t="s">
        <v>3064</v>
      </c>
      <c r="K129" s="511"/>
      <c r="L129" s="511"/>
      <c r="M129" s="15"/>
    </row>
    <row r="130" spans="1:13" ht="12.75">
      <c r="A130" s="511"/>
      <c r="B130" s="13" t="s">
        <v>22</v>
      </c>
      <c r="C130" s="11" t="s">
        <v>227</v>
      </c>
      <c r="D130" s="15" t="s">
        <v>2928</v>
      </c>
      <c r="E130" s="511"/>
      <c r="F130" s="13" t="b">
        <v>1</v>
      </c>
      <c r="G130" s="13" t="b">
        <v>1</v>
      </c>
      <c r="H130" s="92" t="b">
        <v>0</v>
      </c>
      <c r="I130" s="13" t="s">
        <v>3065</v>
      </c>
      <c r="J130" s="13" t="s">
        <v>3066</v>
      </c>
      <c r="K130" s="511"/>
      <c r="L130" s="511"/>
      <c r="M130" s="15"/>
    </row>
    <row r="131" spans="1:13" ht="12.75">
      <c r="A131" s="511"/>
      <c r="B131" s="13" t="s">
        <v>66</v>
      </c>
      <c r="C131" s="77" t="s">
        <v>231</v>
      </c>
      <c r="D131" s="15" t="s">
        <v>2891</v>
      </c>
      <c r="E131" s="511"/>
      <c r="F131" s="13" t="b">
        <v>1</v>
      </c>
      <c r="G131" s="13" t="b">
        <v>1</v>
      </c>
      <c r="H131" s="92" t="b">
        <v>0</v>
      </c>
      <c r="I131" s="319"/>
      <c r="J131" s="319"/>
      <c r="K131" s="511"/>
      <c r="L131" s="511"/>
      <c r="M131" s="15"/>
    </row>
    <row r="132" spans="1:13" ht="12.75">
      <c r="A132" s="512"/>
      <c r="B132" s="13" t="s">
        <v>66</v>
      </c>
      <c r="C132" s="84" t="s">
        <v>501</v>
      </c>
      <c r="D132" s="15" t="s">
        <v>2891</v>
      </c>
      <c r="E132" s="512"/>
      <c r="F132" s="13" t="b">
        <v>1</v>
      </c>
      <c r="G132" s="13" t="b">
        <v>1</v>
      </c>
      <c r="H132" s="92" t="b">
        <v>0</v>
      </c>
      <c r="I132" s="319"/>
      <c r="J132" s="319"/>
      <c r="K132" s="512"/>
      <c r="L132" s="512"/>
      <c r="M132" s="15"/>
    </row>
    <row r="133" spans="1:13" ht="12.75">
      <c r="A133" s="613">
        <v>21</v>
      </c>
      <c r="B133" s="13" t="s">
        <v>22</v>
      </c>
      <c r="C133" s="11" t="s">
        <v>242</v>
      </c>
      <c r="D133" s="15" t="s">
        <v>2928</v>
      </c>
      <c r="E133" s="515" t="s">
        <v>2880</v>
      </c>
      <c r="F133" s="13" t="b">
        <v>1</v>
      </c>
      <c r="G133" s="13" t="b">
        <v>1</v>
      </c>
      <c r="H133" s="92" t="b">
        <v>0</v>
      </c>
      <c r="I133" s="13" t="s">
        <v>3077</v>
      </c>
      <c r="J133" s="13" t="s">
        <v>3078</v>
      </c>
      <c r="K133" s="612"/>
      <c r="L133" s="612">
        <v>45824</v>
      </c>
      <c r="M133" s="15"/>
    </row>
    <row r="134" spans="1:13" ht="12.75">
      <c r="A134" s="511"/>
      <c r="B134" s="13" t="s">
        <v>22</v>
      </c>
      <c r="C134" s="11" t="s">
        <v>247</v>
      </c>
      <c r="D134" s="15" t="s">
        <v>2928</v>
      </c>
      <c r="E134" s="511"/>
      <c r="F134" s="13" t="b">
        <v>1</v>
      </c>
      <c r="G134" s="13" t="b">
        <v>1</v>
      </c>
      <c r="H134" s="92" t="b">
        <v>0</v>
      </c>
      <c r="I134" s="13" t="s">
        <v>3083</v>
      </c>
      <c r="J134" s="13" t="s">
        <v>3084</v>
      </c>
      <c r="K134" s="511"/>
      <c r="L134" s="511"/>
      <c r="M134" s="15"/>
    </row>
    <row r="135" spans="1:13" ht="12.75">
      <c r="A135" s="511"/>
      <c r="B135" s="13" t="s">
        <v>22</v>
      </c>
      <c r="C135" s="11" t="s">
        <v>249</v>
      </c>
      <c r="D135" s="15" t="s">
        <v>2928</v>
      </c>
      <c r="E135" s="511"/>
      <c r="F135" s="13" t="b">
        <v>1</v>
      </c>
      <c r="G135" s="13" t="b">
        <v>1</v>
      </c>
      <c r="H135" s="92" t="b">
        <v>0</v>
      </c>
      <c r="I135" s="13" t="s">
        <v>3086</v>
      </c>
      <c r="J135" s="13" t="s">
        <v>3087</v>
      </c>
      <c r="K135" s="511"/>
      <c r="L135" s="511"/>
      <c r="M135" s="15"/>
    </row>
    <row r="136" spans="1:13" ht="12.75">
      <c r="A136" s="511"/>
      <c r="B136" s="13" t="s">
        <v>22</v>
      </c>
      <c r="C136" s="11" t="s">
        <v>250</v>
      </c>
      <c r="D136" s="15" t="s">
        <v>2928</v>
      </c>
      <c r="E136" s="511"/>
      <c r="F136" s="13" t="b">
        <v>1</v>
      </c>
      <c r="G136" s="13" t="b">
        <v>1</v>
      </c>
      <c r="H136" s="92" t="b">
        <v>0</v>
      </c>
      <c r="I136" s="13" t="s">
        <v>3088</v>
      </c>
      <c r="J136" s="13" t="s">
        <v>3089</v>
      </c>
      <c r="K136" s="511"/>
      <c r="L136" s="511"/>
      <c r="M136" s="15"/>
    </row>
    <row r="137" spans="1:13" ht="12.75">
      <c r="A137" s="511"/>
      <c r="B137" s="13" t="s">
        <v>22</v>
      </c>
      <c r="C137" s="11" t="s">
        <v>254</v>
      </c>
      <c r="D137" s="15" t="s">
        <v>2938</v>
      </c>
      <c r="E137" s="511"/>
      <c r="F137" s="13" t="b">
        <v>1</v>
      </c>
      <c r="G137" s="13" t="b">
        <v>1</v>
      </c>
      <c r="H137" s="92" t="b">
        <v>0</v>
      </c>
      <c r="I137" s="13" t="s">
        <v>3090</v>
      </c>
      <c r="J137" s="13" t="s">
        <v>3091</v>
      </c>
      <c r="K137" s="511"/>
      <c r="L137" s="511"/>
      <c r="M137" s="15"/>
    </row>
    <row r="138" spans="1:13" ht="12.75">
      <c r="A138" s="511"/>
      <c r="B138" s="13" t="s">
        <v>22</v>
      </c>
      <c r="C138" s="11" t="s">
        <v>255</v>
      </c>
      <c r="D138" s="15" t="s">
        <v>2938</v>
      </c>
      <c r="E138" s="511"/>
      <c r="F138" s="13" t="b">
        <v>0</v>
      </c>
      <c r="G138" s="13" t="b">
        <v>1</v>
      </c>
      <c r="H138" s="92" t="b">
        <v>0</v>
      </c>
      <c r="I138" s="13" t="s">
        <v>3092</v>
      </c>
      <c r="J138" s="13" t="s">
        <v>3093</v>
      </c>
      <c r="K138" s="511"/>
      <c r="L138" s="511"/>
      <c r="M138" s="15"/>
    </row>
    <row r="139" spans="1:13" ht="12.75">
      <c r="A139" s="512"/>
      <c r="B139" s="13" t="s">
        <v>66</v>
      </c>
      <c r="C139" s="11" t="s">
        <v>256</v>
      </c>
      <c r="D139" s="15" t="s">
        <v>2928</v>
      </c>
      <c r="E139" s="512"/>
      <c r="F139" s="13" t="b">
        <v>1</v>
      </c>
      <c r="G139" s="13" t="b">
        <v>1</v>
      </c>
      <c r="H139" s="92" t="b">
        <v>0</v>
      </c>
      <c r="I139" s="13" t="s">
        <v>3094</v>
      </c>
      <c r="J139" s="13" t="s">
        <v>3095</v>
      </c>
      <c r="K139" s="512"/>
      <c r="L139" s="512"/>
      <c r="M139" s="15"/>
    </row>
    <row r="140" spans="1:13" ht="12.75" hidden="1">
      <c r="A140" s="618" t="s">
        <v>261</v>
      </c>
      <c r="B140" s="543"/>
      <c r="C140" s="543"/>
      <c r="D140" s="543"/>
      <c r="E140" s="543"/>
      <c r="F140" s="543"/>
      <c r="G140" s="543"/>
      <c r="H140" s="543"/>
      <c r="I140" s="543"/>
      <c r="J140" s="543"/>
      <c r="K140" s="543"/>
      <c r="L140" s="544"/>
      <c r="M140" s="318"/>
    </row>
    <row r="141" spans="1:13" ht="12.75" hidden="1">
      <c r="A141" s="613">
        <v>1</v>
      </c>
      <c r="B141" s="13" t="s">
        <v>261</v>
      </c>
      <c r="C141" s="11" t="s">
        <v>259</v>
      </c>
      <c r="D141" s="15"/>
      <c r="E141" s="515"/>
      <c r="F141" s="92" t="b">
        <v>0</v>
      </c>
      <c r="G141" s="92" t="b">
        <v>0</v>
      </c>
      <c r="H141" s="92" t="b">
        <v>0</v>
      </c>
      <c r="I141" s="6"/>
      <c r="J141" s="6"/>
      <c r="K141" s="613"/>
      <c r="L141" s="613"/>
      <c r="M141" s="15"/>
    </row>
    <row r="142" spans="1:13" ht="12.75" hidden="1">
      <c r="A142" s="512"/>
      <c r="B142" s="13" t="s">
        <v>261</v>
      </c>
      <c r="C142" s="11" t="s">
        <v>263</v>
      </c>
      <c r="D142" s="15"/>
      <c r="E142" s="512"/>
      <c r="F142" s="92" t="b">
        <v>0</v>
      </c>
      <c r="G142" s="92" t="b">
        <v>0</v>
      </c>
      <c r="H142" s="92" t="b">
        <v>0</v>
      </c>
      <c r="I142" s="6"/>
      <c r="J142" s="6"/>
      <c r="K142" s="512"/>
      <c r="L142" s="512"/>
      <c r="M142" s="15"/>
    </row>
    <row r="143" spans="1:13" ht="12.75" hidden="1">
      <c r="A143" s="613">
        <v>2</v>
      </c>
      <c r="B143" s="13" t="s">
        <v>261</v>
      </c>
      <c r="C143" s="11" t="s">
        <v>269</v>
      </c>
      <c r="D143" s="15"/>
      <c r="E143" s="515"/>
      <c r="F143" s="92" t="b">
        <v>0</v>
      </c>
      <c r="G143" s="92" t="b">
        <v>0</v>
      </c>
      <c r="H143" s="92" t="b">
        <v>0</v>
      </c>
      <c r="I143" s="6"/>
      <c r="J143" s="6"/>
      <c r="K143" s="613"/>
      <c r="L143" s="613"/>
      <c r="M143" s="15"/>
    </row>
    <row r="144" spans="1:13" ht="12.75" hidden="1">
      <c r="A144" s="511"/>
      <c r="B144" s="13" t="s">
        <v>261</v>
      </c>
      <c r="C144" s="11" t="s">
        <v>273</v>
      </c>
      <c r="D144" s="15"/>
      <c r="E144" s="511"/>
      <c r="F144" s="92" t="b">
        <v>0</v>
      </c>
      <c r="G144" s="92" t="b">
        <v>0</v>
      </c>
      <c r="H144" s="92" t="b">
        <v>0</v>
      </c>
      <c r="I144" s="6"/>
      <c r="J144" s="6"/>
      <c r="K144" s="511"/>
      <c r="L144" s="511"/>
      <c r="M144" s="15"/>
    </row>
    <row r="145" spans="1:13" ht="31.5" hidden="1" customHeight="1">
      <c r="A145" s="512"/>
      <c r="B145" s="13" t="s">
        <v>261</v>
      </c>
      <c r="C145" s="77" t="s">
        <v>277</v>
      </c>
      <c r="D145" s="15"/>
      <c r="E145" s="512"/>
      <c r="F145" s="92" t="b">
        <v>0</v>
      </c>
      <c r="G145" s="92" t="b">
        <v>0</v>
      </c>
      <c r="H145" s="92" t="b">
        <v>0</v>
      </c>
      <c r="I145" s="6"/>
      <c r="J145" s="6"/>
      <c r="K145" s="512"/>
      <c r="L145" s="512"/>
      <c r="M145" s="15"/>
    </row>
    <row r="146" spans="1:13" ht="12.75" hidden="1">
      <c r="A146" s="613">
        <v>2</v>
      </c>
      <c r="B146" s="13" t="s">
        <v>261</v>
      </c>
      <c r="C146" s="11" t="s">
        <v>281</v>
      </c>
      <c r="D146" s="15"/>
      <c r="E146" s="515"/>
      <c r="F146" s="92" t="b">
        <v>0</v>
      </c>
      <c r="G146" s="92" t="b">
        <v>0</v>
      </c>
      <c r="H146" s="92" t="b">
        <v>0</v>
      </c>
      <c r="I146" s="6"/>
      <c r="J146" s="6"/>
      <c r="K146" s="613"/>
      <c r="L146" s="613"/>
      <c r="M146" s="15"/>
    </row>
    <row r="147" spans="1:13" ht="12.75" hidden="1">
      <c r="A147" s="512"/>
      <c r="B147" s="13" t="s">
        <v>261</v>
      </c>
      <c r="C147" s="11" t="s">
        <v>285</v>
      </c>
      <c r="D147" s="15"/>
      <c r="E147" s="512"/>
      <c r="F147" s="92" t="b">
        <v>0</v>
      </c>
      <c r="G147" s="92" t="b">
        <v>0</v>
      </c>
      <c r="H147" s="92" t="b">
        <v>0</v>
      </c>
      <c r="I147" s="6"/>
      <c r="J147" s="6"/>
      <c r="K147" s="512"/>
      <c r="L147" s="512"/>
      <c r="M147" s="15"/>
    </row>
    <row r="148" spans="1:13" ht="12.75" hidden="1">
      <c r="A148" s="613">
        <v>3</v>
      </c>
      <c r="B148" s="13" t="s">
        <v>261</v>
      </c>
      <c r="C148" s="11" t="s">
        <v>289</v>
      </c>
      <c r="D148" s="15"/>
      <c r="E148" s="515"/>
      <c r="F148" s="92" t="b">
        <v>0</v>
      </c>
      <c r="G148" s="92" t="b">
        <v>0</v>
      </c>
      <c r="H148" s="92" t="b">
        <v>0</v>
      </c>
      <c r="I148" s="6"/>
      <c r="J148" s="6"/>
      <c r="K148" s="613"/>
      <c r="L148" s="613"/>
      <c r="M148" s="15"/>
    </row>
    <row r="149" spans="1:13" ht="12.75" hidden="1">
      <c r="A149" s="511"/>
      <c r="B149" s="13" t="s">
        <v>261</v>
      </c>
      <c r="C149" s="11" t="s">
        <v>293</v>
      </c>
      <c r="D149" s="15"/>
      <c r="E149" s="511"/>
      <c r="F149" s="92" t="b">
        <v>0</v>
      </c>
      <c r="G149" s="92" t="b">
        <v>0</v>
      </c>
      <c r="H149" s="92" t="b">
        <v>0</v>
      </c>
      <c r="I149" s="6"/>
      <c r="J149" s="6"/>
      <c r="K149" s="511"/>
      <c r="L149" s="511"/>
      <c r="M149" s="15"/>
    </row>
    <row r="150" spans="1:13" ht="17.25" hidden="1" customHeight="1">
      <c r="A150" s="512"/>
      <c r="B150" s="13" t="s">
        <v>261</v>
      </c>
      <c r="C150" s="11" t="s">
        <v>297</v>
      </c>
      <c r="D150" s="15"/>
      <c r="E150" s="512"/>
      <c r="F150" s="92" t="b">
        <v>0</v>
      </c>
      <c r="G150" s="92" t="b">
        <v>0</v>
      </c>
      <c r="H150" s="92" t="b">
        <v>0</v>
      </c>
      <c r="I150" s="6"/>
      <c r="J150" s="6"/>
      <c r="K150" s="512"/>
      <c r="L150" s="512"/>
      <c r="M150" s="15"/>
    </row>
    <row r="151" spans="1:13" ht="12.75" hidden="1">
      <c r="A151" s="613">
        <v>4</v>
      </c>
      <c r="B151" s="13" t="s">
        <v>261</v>
      </c>
      <c r="C151" s="77" t="s">
        <v>480</v>
      </c>
      <c r="D151" s="15"/>
      <c r="E151" s="515"/>
      <c r="F151" s="92" t="b">
        <v>0</v>
      </c>
      <c r="G151" s="92" t="b">
        <v>0</v>
      </c>
      <c r="H151" s="92" t="b">
        <v>0</v>
      </c>
      <c r="I151" s="6"/>
      <c r="J151" s="6"/>
      <c r="K151" s="613"/>
      <c r="L151" s="613"/>
      <c r="M151" s="15"/>
    </row>
    <row r="152" spans="1:13" ht="12.75" hidden="1">
      <c r="A152" s="511"/>
      <c r="B152" s="13" t="s">
        <v>261</v>
      </c>
      <c r="C152" s="11" t="s">
        <v>482</v>
      </c>
      <c r="D152" s="15"/>
      <c r="E152" s="511"/>
      <c r="F152" s="92" t="b">
        <v>0</v>
      </c>
      <c r="G152" s="92" t="b">
        <v>0</v>
      </c>
      <c r="H152" s="92" t="b">
        <v>0</v>
      </c>
      <c r="I152" s="6"/>
      <c r="J152" s="6"/>
      <c r="K152" s="511"/>
      <c r="L152" s="511"/>
      <c r="M152" s="15"/>
    </row>
    <row r="153" spans="1:13" ht="12.75" hidden="1">
      <c r="A153" s="512"/>
      <c r="B153" s="35" t="s">
        <v>261</v>
      </c>
      <c r="C153" s="27" t="s">
        <v>307</v>
      </c>
      <c r="D153" s="369"/>
      <c r="E153" s="512"/>
      <c r="F153" s="370" t="b">
        <v>0</v>
      </c>
      <c r="G153" s="370" t="b">
        <v>0</v>
      </c>
      <c r="H153" s="370" t="b">
        <v>0</v>
      </c>
      <c r="I153" s="6"/>
      <c r="J153" s="6"/>
      <c r="K153" s="512"/>
      <c r="L153" s="512"/>
      <c r="M153" s="369"/>
    </row>
    <row r="154" spans="1:13" ht="12.75" hidden="1">
      <c r="A154" s="613">
        <v>5</v>
      </c>
      <c r="B154" s="13" t="s">
        <v>261</v>
      </c>
      <c r="C154" s="11" t="s">
        <v>45</v>
      </c>
      <c r="D154" s="15"/>
      <c r="E154" s="515"/>
      <c r="F154" s="92" t="b">
        <v>0</v>
      </c>
      <c r="G154" s="92" t="b">
        <v>0</v>
      </c>
      <c r="H154" s="92" t="b">
        <v>0</v>
      </c>
      <c r="I154" s="6"/>
      <c r="J154" s="6"/>
      <c r="K154" s="613"/>
      <c r="L154" s="613"/>
      <c r="M154" s="15"/>
    </row>
    <row r="155" spans="1:13" ht="12.75" hidden="1">
      <c r="A155" s="511"/>
      <c r="B155" s="13" t="s">
        <v>261</v>
      </c>
      <c r="C155" s="11" t="s">
        <v>30</v>
      </c>
      <c r="D155" s="15"/>
      <c r="E155" s="511"/>
      <c r="F155" s="92" t="b">
        <v>0</v>
      </c>
      <c r="G155" s="92" t="b">
        <v>0</v>
      </c>
      <c r="H155" s="92" t="b">
        <v>0</v>
      </c>
      <c r="I155" s="6"/>
      <c r="J155" s="6"/>
      <c r="K155" s="511"/>
      <c r="L155" s="511"/>
      <c r="M155" s="15"/>
    </row>
    <row r="156" spans="1:13" ht="12.75" hidden="1">
      <c r="A156" s="511"/>
      <c r="B156" s="13" t="s">
        <v>261</v>
      </c>
      <c r="C156" s="11" t="s">
        <v>32</v>
      </c>
      <c r="D156" s="15"/>
      <c r="E156" s="511"/>
      <c r="F156" s="92" t="b">
        <v>0</v>
      </c>
      <c r="G156" s="92" t="b">
        <v>0</v>
      </c>
      <c r="H156" s="92" t="b">
        <v>0</v>
      </c>
      <c r="I156" s="6"/>
      <c r="J156" s="6"/>
      <c r="K156" s="511"/>
      <c r="L156" s="511"/>
      <c r="M156" s="15"/>
    </row>
    <row r="157" spans="1:13" ht="12.75" hidden="1">
      <c r="A157" s="511"/>
      <c r="B157" s="13" t="s">
        <v>261</v>
      </c>
      <c r="C157" s="11" t="s">
        <v>19</v>
      </c>
      <c r="D157" s="15"/>
      <c r="E157" s="511"/>
      <c r="F157" s="92" t="b">
        <v>0</v>
      </c>
      <c r="G157" s="92" t="b">
        <v>0</v>
      </c>
      <c r="H157" s="92" t="b">
        <v>0</v>
      </c>
      <c r="I157" s="6"/>
      <c r="J157" s="6"/>
      <c r="K157" s="511"/>
      <c r="L157" s="511"/>
      <c r="M157" s="15"/>
    </row>
    <row r="158" spans="1:13" ht="12.75" hidden="1">
      <c r="A158" s="511"/>
      <c r="B158" s="13" t="s">
        <v>261</v>
      </c>
      <c r="C158" s="11" t="s">
        <v>25</v>
      </c>
      <c r="D158" s="15"/>
      <c r="E158" s="511"/>
      <c r="F158" s="92" t="b">
        <v>0</v>
      </c>
      <c r="G158" s="92" t="b">
        <v>0</v>
      </c>
      <c r="H158" s="92" t="b">
        <v>0</v>
      </c>
      <c r="I158" s="6"/>
      <c r="J158" s="6"/>
      <c r="K158" s="511"/>
      <c r="L158" s="511"/>
      <c r="M158" s="15"/>
    </row>
    <row r="159" spans="1:13" ht="12.75" hidden="1">
      <c r="A159" s="511"/>
      <c r="B159" s="13" t="s">
        <v>261</v>
      </c>
      <c r="C159" s="11" t="s">
        <v>27</v>
      </c>
      <c r="D159" s="15"/>
      <c r="E159" s="511"/>
      <c r="F159" s="92" t="b">
        <v>0</v>
      </c>
      <c r="G159" s="92" t="b">
        <v>0</v>
      </c>
      <c r="H159" s="92" t="b">
        <v>0</v>
      </c>
      <c r="I159" s="6"/>
      <c r="J159" s="6"/>
      <c r="K159" s="511"/>
      <c r="L159" s="511"/>
      <c r="M159" s="15"/>
    </row>
    <row r="160" spans="1:13" ht="12.75" hidden="1">
      <c r="A160" s="511"/>
      <c r="B160" s="13" t="s">
        <v>261</v>
      </c>
      <c r="C160" s="11" t="s">
        <v>24</v>
      </c>
      <c r="D160" s="15"/>
      <c r="E160" s="511"/>
      <c r="F160" s="92" t="b">
        <v>0</v>
      </c>
      <c r="G160" s="92" t="b">
        <v>0</v>
      </c>
      <c r="H160" s="92" t="b">
        <v>0</v>
      </c>
      <c r="I160" s="6"/>
      <c r="J160" s="6"/>
      <c r="K160" s="511"/>
      <c r="L160" s="511"/>
      <c r="M160" s="15"/>
    </row>
    <row r="161" spans="1:13" ht="12.75" hidden="1">
      <c r="A161" s="512"/>
      <c r="B161" s="13" t="s">
        <v>261</v>
      </c>
      <c r="C161" s="11" t="s">
        <v>28</v>
      </c>
      <c r="D161" s="15"/>
      <c r="E161" s="512"/>
      <c r="F161" s="92" t="b">
        <v>0</v>
      </c>
      <c r="G161" s="92" t="b">
        <v>0</v>
      </c>
      <c r="H161" s="92" t="b">
        <v>0</v>
      </c>
      <c r="I161" s="6"/>
      <c r="J161" s="6"/>
      <c r="K161" s="512"/>
      <c r="L161" s="512"/>
      <c r="M161" s="15"/>
    </row>
    <row r="162" spans="1:13" ht="21" hidden="1" customHeight="1">
      <c r="A162" s="613">
        <v>6</v>
      </c>
      <c r="B162" s="13" t="s">
        <v>261</v>
      </c>
      <c r="C162" s="11" t="s">
        <v>52</v>
      </c>
      <c r="D162" s="15"/>
      <c r="E162" s="515"/>
      <c r="F162" s="92" t="b">
        <v>0</v>
      </c>
      <c r="G162" s="92" t="b">
        <v>0</v>
      </c>
      <c r="H162" s="92" t="b">
        <v>0</v>
      </c>
      <c r="I162" s="6"/>
      <c r="J162" s="6"/>
      <c r="K162" s="613"/>
      <c r="L162" s="613"/>
      <c r="M162" s="15"/>
    </row>
    <row r="163" spans="1:13" ht="12.75" hidden="1">
      <c r="A163" s="511"/>
      <c r="B163" s="13" t="s">
        <v>261</v>
      </c>
      <c r="C163" s="11" t="s">
        <v>54</v>
      </c>
      <c r="D163" s="15"/>
      <c r="E163" s="511"/>
      <c r="F163" s="92" t="b">
        <v>0</v>
      </c>
      <c r="G163" s="92" t="b">
        <v>0</v>
      </c>
      <c r="H163" s="92" t="b">
        <v>0</v>
      </c>
      <c r="I163" s="6"/>
      <c r="J163" s="6"/>
      <c r="K163" s="511"/>
      <c r="L163" s="511"/>
      <c r="M163" s="15"/>
    </row>
    <row r="164" spans="1:13" ht="12.75" hidden="1">
      <c r="A164" s="512"/>
      <c r="B164" s="13" t="s">
        <v>261</v>
      </c>
      <c r="C164" s="11" t="s">
        <v>55</v>
      </c>
      <c r="D164" s="15"/>
      <c r="E164" s="512"/>
      <c r="F164" s="92" t="b">
        <v>0</v>
      </c>
      <c r="G164" s="92" t="b">
        <v>0</v>
      </c>
      <c r="H164" s="92" t="b">
        <v>0</v>
      </c>
      <c r="I164" s="6"/>
      <c r="J164" s="6"/>
      <c r="K164" s="512"/>
      <c r="L164" s="512"/>
      <c r="M164" s="15"/>
    </row>
    <row r="165" spans="1:13" ht="19.5" hidden="1" customHeight="1">
      <c r="A165" s="613">
        <v>7</v>
      </c>
      <c r="B165" s="13" t="s">
        <v>261</v>
      </c>
      <c r="C165" s="11" t="s">
        <v>46</v>
      </c>
      <c r="D165" s="15"/>
      <c r="E165" s="515"/>
      <c r="F165" s="92" t="b">
        <v>0</v>
      </c>
      <c r="G165" s="92" t="b">
        <v>0</v>
      </c>
      <c r="H165" s="92" t="b">
        <v>0</v>
      </c>
      <c r="I165" s="6"/>
      <c r="J165" s="6"/>
      <c r="K165" s="613"/>
      <c r="L165" s="613"/>
      <c r="M165" s="15"/>
    </row>
    <row r="166" spans="1:13" ht="12.75" hidden="1">
      <c r="A166" s="511"/>
      <c r="B166" s="13" t="s">
        <v>261</v>
      </c>
      <c r="C166" s="11" t="s">
        <v>47</v>
      </c>
      <c r="D166" s="15"/>
      <c r="E166" s="511"/>
      <c r="F166" s="92" t="b">
        <v>0</v>
      </c>
      <c r="G166" s="92" t="b">
        <v>0</v>
      </c>
      <c r="H166" s="92" t="b">
        <v>0</v>
      </c>
      <c r="I166" s="6"/>
      <c r="J166" s="6"/>
      <c r="K166" s="511"/>
      <c r="L166" s="511"/>
      <c r="M166" s="15"/>
    </row>
    <row r="167" spans="1:13" ht="12.75" hidden="1">
      <c r="A167" s="511"/>
      <c r="B167" s="13" t="s">
        <v>261</v>
      </c>
      <c r="C167" s="11" t="s">
        <v>48</v>
      </c>
      <c r="D167" s="15"/>
      <c r="E167" s="511"/>
      <c r="F167" s="92" t="b">
        <v>0</v>
      </c>
      <c r="G167" s="92" t="b">
        <v>0</v>
      </c>
      <c r="H167" s="92" t="b">
        <v>0</v>
      </c>
      <c r="I167" s="6"/>
      <c r="J167" s="6"/>
      <c r="K167" s="511"/>
      <c r="L167" s="511"/>
      <c r="M167" s="15"/>
    </row>
    <row r="168" spans="1:13" ht="12.75" hidden="1">
      <c r="A168" s="512"/>
      <c r="B168" s="13" t="s">
        <v>261</v>
      </c>
      <c r="C168" s="11" t="s">
        <v>50</v>
      </c>
      <c r="D168" s="15"/>
      <c r="E168" s="512"/>
      <c r="F168" s="92" t="b">
        <v>0</v>
      </c>
      <c r="G168" s="92" t="b">
        <v>0</v>
      </c>
      <c r="H168" s="92" t="b">
        <v>0</v>
      </c>
      <c r="I168" s="6"/>
      <c r="J168" s="6"/>
      <c r="K168" s="512"/>
      <c r="L168" s="512"/>
      <c r="M168" s="15"/>
    </row>
    <row r="169" spans="1:13" ht="12.75">
      <c r="A169" s="618" t="s">
        <v>3115</v>
      </c>
      <c r="B169" s="543"/>
      <c r="C169" s="543"/>
      <c r="D169" s="543"/>
      <c r="E169" s="543"/>
      <c r="F169" s="543"/>
      <c r="G169" s="543"/>
      <c r="H169" s="543"/>
      <c r="I169" s="543"/>
      <c r="J169" s="543"/>
      <c r="K169" s="543"/>
      <c r="L169" s="544"/>
      <c r="M169" s="318"/>
    </row>
    <row r="170" spans="1:13" ht="12.75">
      <c r="A170" s="613">
        <v>1</v>
      </c>
      <c r="B170" s="13" t="s">
        <v>513</v>
      </c>
      <c r="C170" s="11" t="s">
        <v>510</v>
      </c>
      <c r="D170" s="15" t="s">
        <v>2880</v>
      </c>
      <c r="E170" s="515" t="s">
        <v>2880</v>
      </c>
      <c r="F170" s="92" t="b">
        <v>0</v>
      </c>
      <c r="G170" s="92" t="b">
        <v>0</v>
      </c>
      <c r="H170" s="92" t="b">
        <v>0</v>
      </c>
      <c r="I170" s="6"/>
      <c r="J170" s="6"/>
      <c r="K170" s="613"/>
      <c r="L170" s="613"/>
      <c r="M170" s="13"/>
    </row>
    <row r="171" spans="1:13" ht="12.75">
      <c r="A171" s="511"/>
      <c r="B171" s="13" t="s">
        <v>513</v>
      </c>
      <c r="C171" s="11" t="s">
        <v>517</v>
      </c>
      <c r="D171" s="15" t="s">
        <v>2880</v>
      </c>
      <c r="E171" s="511"/>
      <c r="F171" s="92" t="b">
        <v>0</v>
      </c>
      <c r="G171" s="92" t="b">
        <v>0</v>
      </c>
      <c r="H171" s="92" t="b">
        <v>0</v>
      </c>
      <c r="I171" s="6"/>
      <c r="J171" s="6"/>
      <c r="K171" s="511"/>
      <c r="L171" s="511"/>
      <c r="M171" s="13"/>
    </row>
    <row r="172" spans="1:13" ht="12.75">
      <c r="A172" s="512"/>
      <c r="B172" s="13" t="s">
        <v>513</v>
      </c>
      <c r="C172" s="11" t="s">
        <v>518</v>
      </c>
      <c r="D172" s="15" t="s">
        <v>2880</v>
      </c>
      <c r="E172" s="512"/>
      <c r="F172" s="92" t="b">
        <v>0</v>
      </c>
      <c r="G172" s="92" t="b">
        <v>0</v>
      </c>
      <c r="H172" s="92" t="b">
        <v>0</v>
      </c>
      <c r="I172" s="6"/>
      <c r="J172" s="6"/>
      <c r="K172" s="512"/>
      <c r="L172" s="512"/>
      <c r="M172" s="13"/>
    </row>
    <row r="173" spans="1:13" ht="12.75">
      <c r="A173" s="613">
        <v>2</v>
      </c>
      <c r="B173" s="13" t="s">
        <v>513</v>
      </c>
      <c r="C173" s="11" t="s">
        <v>3117</v>
      </c>
      <c r="D173" s="15" t="s">
        <v>2880</v>
      </c>
      <c r="E173" s="515" t="s">
        <v>2880</v>
      </c>
      <c r="F173" s="92" t="b">
        <v>0</v>
      </c>
      <c r="G173" s="92" t="b">
        <v>0</v>
      </c>
      <c r="H173" s="92" t="b">
        <v>0</v>
      </c>
      <c r="I173" s="6"/>
      <c r="J173" s="6"/>
      <c r="K173" s="613"/>
      <c r="L173" s="613"/>
      <c r="M173" s="13"/>
    </row>
    <row r="174" spans="1:13" ht="12.75">
      <c r="A174" s="511"/>
      <c r="B174" s="13" t="s">
        <v>513</v>
      </c>
      <c r="C174" s="11" t="s">
        <v>3118</v>
      </c>
      <c r="D174" s="15" t="s">
        <v>2880</v>
      </c>
      <c r="E174" s="511"/>
      <c r="F174" s="92" t="b">
        <v>0</v>
      </c>
      <c r="G174" s="92" t="b">
        <v>0</v>
      </c>
      <c r="H174" s="92" t="b">
        <v>0</v>
      </c>
      <c r="I174" s="6"/>
      <c r="J174" s="6"/>
      <c r="K174" s="511"/>
      <c r="L174" s="511"/>
      <c r="M174" s="13"/>
    </row>
    <row r="175" spans="1:13" ht="12.75">
      <c r="A175" s="511"/>
      <c r="B175" s="13" t="s">
        <v>513</v>
      </c>
      <c r="C175" s="11" t="s">
        <v>522</v>
      </c>
      <c r="D175" s="15" t="s">
        <v>2880</v>
      </c>
      <c r="E175" s="511"/>
      <c r="F175" s="92" t="b">
        <v>0</v>
      </c>
      <c r="G175" s="92" t="b">
        <v>0</v>
      </c>
      <c r="H175" s="92" t="b">
        <v>0</v>
      </c>
      <c r="I175" s="6"/>
      <c r="J175" s="6"/>
      <c r="K175" s="511"/>
      <c r="L175" s="511"/>
      <c r="M175" s="13"/>
    </row>
    <row r="176" spans="1:13" ht="12.75">
      <c r="A176" s="512"/>
      <c r="B176" s="13" t="s">
        <v>513</v>
      </c>
      <c r="C176" s="11" t="s">
        <v>524</v>
      </c>
      <c r="D176" s="15" t="s">
        <v>2891</v>
      </c>
      <c r="E176" s="512"/>
      <c r="F176" s="92" t="b">
        <v>0</v>
      </c>
      <c r="G176" s="92" t="b">
        <v>0</v>
      </c>
      <c r="H176" s="92" t="b">
        <v>0</v>
      </c>
      <c r="I176" s="6"/>
      <c r="J176" s="6"/>
      <c r="K176" s="512"/>
      <c r="L176" s="512"/>
      <c r="M176" s="13"/>
    </row>
    <row r="177" spans="1:13" ht="12.75">
      <c r="A177" s="613">
        <v>3</v>
      </c>
      <c r="B177" s="13" t="s">
        <v>513</v>
      </c>
      <c r="C177" s="11" t="s">
        <v>526</v>
      </c>
      <c r="D177" s="15"/>
      <c r="E177" s="515"/>
      <c r="F177" s="92" t="b">
        <v>0</v>
      </c>
      <c r="G177" s="92" t="b">
        <v>0</v>
      </c>
      <c r="H177" s="92" t="b">
        <v>0</v>
      </c>
      <c r="I177" s="6"/>
      <c r="J177" s="6"/>
      <c r="K177" s="613"/>
      <c r="L177" s="613"/>
      <c r="M177" s="13"/>
    </row>
    <row r="178" spans="1:13" ht="12.75">
      <c r="A178" s="511"/>
      <c r="B178" s="13" t="s">
        <v>513</v>
      </c>
      <c r="C178" s="11" t="s">
        <v>528</v>
      </c>
      <c r="D178" s="15"/>
      <c r="E178" s="511"/>
      <c r="F178" s="92" t="b">
        <v>0</v>
      </c>
      <c r="G178" s="92" t="b">
        <v>0</v>
      </c>
      <c r="H178" s="92" t="b">
        <v>0</v>
      </c>
      <c r="I178" s="6"/>
      <c r="J178" s="6"/>
      <c r="K178" s="511"/>
      <c r="L178" s="511"/>
      <c r="M178" s="13"/>
    </row>
    <row r="179" spans="1:13" ht="12.75">
      <c r="A179" s="512"/>
      <c r="B179" s="13" t="s">
        <v>513</v>
      </c>
      <c r="C179" s="11" t="s">
        <v>530</v>
      </c>
      <c r="D179" s="15"/>
      <c r="E179" s="512"/>
      <c r="F179" s="92" t="b">
        <v>0</v>
      </c>
      <c r="G179" s="92" t="b">
        <v>0</v>
      </c>
      <c r="H179" s="92" t="b">
        <v>0</v>
      </c>
      <c r="I179" s="6"/>
      <c r="J179" s="6"/>
      <c r="K179" s="512"/>
      <c r="L179" s="512"/>
      <c r="M179" s="13"/>
    </row>
    <row r="180" spans="1:13" ht="12.75">
      <c r="A180" s="613">
        <v>4</v>
      </c>
      <c r="B180" s="13" t="s">
        <v>513</v>
      </c>
      <c r="C180" s="11" t="s">
        <v>531</v>
      </c>
      <c r="D180" s="15"/>
      <c r="E180" s="515"/>
      <c r="F180" s="92" t="b">
        <v>0</v>
      </c>
      <c r="G180" s="92" t="b">
        <v>0</v>
      </c>
      <c r="H180" s="92" t="b">
        <v>0</v>
      </c>
      <c r="I180" s="6"/>
      <c r="J180" s="6"/>
      <c r="K180" s="613"/>
      <c r="L180" s="613"/>
      <c r="M180" s="13"/>
    </row>
    <row r="181" spans="1:13" ht="12.75">
      <c r="A181" s="511"/>
      <c r="B181" s="13" t="s">
        <v>513</v>
      </c>
      <c r="C181" s="11" t="s">
        <v>533</v>
      </c>
      <c r="D181" s="15"/>
      <c r="E181" s="511"/>
      <c r="F181" s="92" t="b">
        <v>0</v>
      </c>
      <c r="G181" s="92" t="b">
        <v>0</v>
      </c>
      <c r="H181" s="92" t="b">
        <v>0</v>
      </c>
      <c r="I181" s="6"/>
      <c r="J181" s="6"/>
      <c r="K181" s="511"/>
      <c r="L181" s="511"/>
      <c r="M181" s="13"/>
    </row>
    <row r="182" spans="1:13" ht="12.75">
      <c r="A182" s="511"/>
      <c r="B182" s="13" t="s">
        <v>513</v>
      </c>
      <c r="C182" s="11" t="s">
        <v>534</v>
      </c>
      <c r="D182" s="15"/>
      <c r="E182" s="511"/>
      <c r="F182" s="92" t="b">
        <v>0</v>
      </c>
      <c r="G182" s="92" t="b">
        <v>0</v>
      </c>
      <c r="H182" s="92" t="b">
        <v>0</v>
      </c>
      <c r="I182" s="6"/>
      <c r="J182" s="6"/>
      <c r="K182" s="511"/>
      <c r="L182" s="511"/>
      <c r="M182" s="13"/>
    </row>
    <row r="183" spans="1:13" ht="12.75">
      <c r="A183" s="512"/>
      <c r="B183" s="13" t="s">
        <v>513</v>
      </c>
      <c r="C183" s="11" t="s">
        <v>83</v>
      </c>
      <c r="D183" s="15"/>
      <c r="E183" s="512"/>
      <c r="F183" s="92" t="b">
        <v>0</v>
      </c>
      <c r="G183" s="92" t="b">
        <v>0</v>
      </c>
      <c r="H183" s="92" t="b">
        <v>0</v>
      </c>
      <c r="I183" s="6"/>
      <c r="J183" s="6"/>
      <c r="K183" s="512"/>
      <c r="L183" s="512"/>
      <c r="M183" s="13"/>
    </row>
    <row r="184" spans="1:13" ht="12.75">
      <c r="A184" s="613">
        <v>5</v>
      </c>
      <c r="B184" s="13" t="s">
        <v>513</v>
      </c>
      <c r="C184" s="11" t="s">
        <v>537</v>
      </c>
      <c r="D184" s="15"/>
      <c r="E184" s="515"/>
      <c r="F184" s="92" t="b">
        <v>0</v>
      </c>
      <c r="G184" s="92" t="b">
        <v>0</v>
      </c>
      <c r="H184" s="92" t="b">
        <v>0</v>
      </c>
      <c r="I184" s="6"/>
      <c r="J184" s="6"/>
      <c r="K184" s="613"/>
      <c r="L184" s="613"/>
      <c r="M184" s="13"/>
    </row>
    <row r="185" spans="1:13" ht="12.75">
      <c r="A185" s="511"/>
      <c r="B185" s="13" t="s">
        <v>513</v>
      </c>
      <c r="C185" s="7" t="s">
        <v>539</v>
      </c>
      <c r="D185" s="15"/>
      <c r="E185" s="511"/>
      <c r="F185" s="92" t="b">
        <v>0</v>
      </c>
      <c r="G185" s="92" t="b">
        <v>0</v>
      </c>
      <c r="H185" s="92" t="b">
        <v>0</v>
      </c>
      <c r="I185" s="6"/>
      <c r="J185" s="6"/>
      <c r="K185" s="511"/>
      <c r="L185" s="511"/>
      <c r="M185" s="13"/>
    </row>
    <row r="186" spans="1:13" ht="12.75">
      <c r="A186" s="512"/>
      <c r="B186" s="13" t="s">
        <v>513</v>
      </c>
      <c r="C186" s="11" t="s">
        <v>540</v>
      </c>
      <c r="D186" s="15"/>
      <c r="E186" s="512"/>
      <c r="F186" s="92" t="b">
        <v>0</v>
      </c>
      <c r="G186" s="92" t="b">
        <v>0</v>
      </c>
      <c r="H186" s="92" t="b">
        <v>0</v>
      </c>
      <c r="I186" s="6"/>
      <c r="J186" s="6"/>
      <c r="K186" s="512"/>
      <c r="L186" s="512"/>
      <c r="M186" s="13"/>
    </row>
    <row r="187" spans="1:13" ht="12.75">
      <c r="A187" s="613">
        <v>6</v>
      </c>
      <c r="B187" s="13" t="s">
        <v>513</v>
      </c>
      <c r="C187" s="11" t="s">
        <v>542</v>
      </c>
      <c r="D187" s="15"/>
      <c r="E187" s="515"/>
      <c r="F187" s="92" t="b">
        <v>0</v>
      </c>
      <c r="G187" s="92" t="b">
        <v>0</v>
      </c>
      <c r="H187" s="92" t="b">
        <v>0</v>
      </c>
      <c r="I187" s="6"/>
      <c r="J187" s="6"/>
      <c r="K187" s="613"/>
      <c r="L187" s="613"/>
      <c r="M187" s="13"/>
    </row>
    <row r="188" spans="1:13" ht="12.75">
      <c r="A188" s="512"/>
      <c r="B188" s="13" t="s">
        <v>513</v>
      </c>
      <c r="C188" s="11" t="s">
        <v>544</v>
      </c>
      <c r="D188" s="15"/>
      <c r="E188" s="512"/>
      <c r="F188" s="92" t="b">
        <v>0</v>
      </c>
      <c r="G188" s="92" t="b">
        <v>0</v>
      </c>
      <c r="H188" s="92" t="b">
        <v>0</v>
      </c>
      <c r="I188" s="6"/>
      <c r="J188" s="6"/>
      <c r="K188" s="512"/>
      <c r="L188" s="512"/>
      <c r="M188" s="13"/>
    </row>
    <row r="189" spans="1:13" ht="12.75">
      <c r="A189" s="613">
        <v>7</v>
      </c>
      <c r="B189" s="13" t="s">
        <v>513</v>
      </c>
      <c r="C189" s="11" t="s">
        <v>547</v>
      </c>
      <c r="D189" s="15"/>
      <c r="E189" s="515"/>
      <c r="F189" s="92" t="b">
        <v>0</v>
      </c>
      <c r="G189" s="92" t="b">
        <v>0</v>
      </c>
      <c r="H189" s="92" t="b">
        <v>0</v>
      </c>
      <c r="I189" s="6"/>
      <c r="J189" s="6"/>
      <c r="K189" s="613"/>
      <c r="L189" s="613"/>
      <c r="M189" s="13"/>
    </row>
    <row r="190" spans="1:13" ht="12.75">
      <c r="A190" s="511"/>
      <c r="B190" s="13" t="s">
        <v>513</v>
      </c>
      <c r="C190" s="11" t="s">
        <v>548</v>
      </c>
      <c r="D190" s="15"/>
      <c r="E190" s="511"/>
      <c r="F190" s="92" t="b">
        <v>0</v>
      </c>
      <c r="G190" s="92" t="b">
        <v>0</v>
      </c>
      <c r="H190" s="92" t="b">
        <v>0</v>
      </c>
      <c r="I190" s="6"/>
      <c r="J190" s="6"/>
      <c r="K190" s="511"/>
      <c r="L190" s="511"/>
      <c r="M190" s="13"/>
    </row>
    <row r="191" spans="1:13" ht="12.75">
      <c r="A191" s="511"/>
      <c r="B191" s="13" t="s">
        <v>513</v>
      </c>
      <c r="C191" s="11" t="s">
        <v>549</v>
      </c>
      <c r="D191" s="15"/>
      <c r="E191" s="511"/>
      <c r="F191" s="92" t="b">
        <v>0</v>
      </c>
      <c r="G191" s="92" t="b">
        <v>0</v>
      </c>
      <c r="H191" s="92" t="b">
        <v>0</v>
      </c>
      <c r="I191" s="6"/>
      <c r="J191" s="6"/>
      <c r="K191" s="511"/>
      <c r="L191" s="511"/>
      <c r="M191" s="13"/>
    </row>
    <row r="192" spans="1:13" ht="12.75">
      <c r="A192" s="511"/>
      <c r="B192" s="13" t="s">
        <v>513</v>
      </c>
      <c r="C192" s="11" t="s">
        <v>549</v>
      </c>
      <c r="D192" s="15"/>
      <c r="E192" s="511"/>
      <c r="F192" s="92" t="b">
        <v>0</v>
      </c>
      <c r="G192" s="92" t="b">
        <v>0</v>
      </c>
      <c r="H192" s="92" t="b">
        <v>0</v>
      </c>
      <c r="I192" s="6"/>
      <c r="J192" s="6"/>
      <c r="K192" s="511"/>
      <c r="L192" s="511"/>
      <c r="M192" s="13"/>
    </row>
    <row r="193" spans="1:13" ht="12.75">
      <c r="A193" s="512"/>
      <c r="B193" s="13" t="s">
        <v>513</v>
      </c>
      <c r="C193" s="11" t="s">
        <v>551</v>
      </c>
      <c r="D193" s="15"/>
      <c r="E193" s="512"/>
      <c r="F193" s="92" t="b">
        <v>0</v>
      </c>
      <c r="G193" s="92" t="b">
        <v>0</v>
      </c>
      <c r="H193" s="92" t="b">
        <v>0</v>
      </c>
      <c r="I193" s="6"/>
      <c r="J193" s="6"/>
      <c r="K193" s="512"/>
      <c r="L193" s="512"/>
      <c r="M193" s="13"/>
    </row>
    <row r="194" spans="1:13" ht="12.75">
      <c r="A194" s="613">
        <v>8</v>
      </c>
      <c r="B194" s="13" t="s">
        <v>513</v>
      </c>
      <c r="C194" s="11" t="s">
        <v>110</v>
      </c>
      <c r="D194" s="15"/>
      <c r="E194" s="515"/>
      <c r="F194" s="92" t="b">
        <v>0</v>
      </c>
      <c r="G194" s="92" t="b">
        <v>0</v>
      </c>
      <c r="H194" s="92" t="b">
        <v>0</v>
      </c>
      <c r="I194" s="6"/>
      <c r="J194" s="6"/>
      <c r="K194" s="613"/>
      <c r="L194" s="613"/>
      <c r="M194" s="13"/>
    </row>
    <row r="195" spans="1:13" ht="12.75">
      <c r="A195" s="511"/>
      <c r="B195" s="13" t="s">
        <v>513</v>
      </c>
      <c r="C195" s="11" t="s">
        <v>129</v>
      </c>
      <c r="D195" s="15"/>
      <c r="E195" s="511"/>
      <c r="F195" s="92" t="b">
        <v>0</v>
      </c>
      <c r="G195" s="92" t="b">
        <v>0</v>
      </c>
      <c r="H195" s="92" t="b">
        <v>0</v>
      </c>
      <c r="I195" s="6"/>
      <c r="J195" s="6"/>
      <c r="K195" s="511"/>
      <c r="L195" s="511"/>
      <c r="M195" s="13"/>
    </row>
    <row r="196" spans="1:13" ht="12.75">
      <c r="A196" s="512"/>
      <c r="B196" s="13" t="s">
        <v>513</v>
      </c>
      <c r="C196" s="11" t="s">
        <v>135</v>
      </c>
      <c r="D196" s="15"/>
      <c r="E196" s="512"/>
      <c r="F196" s="92" t="b">
        <v>0</v>
      </c>
      <c r="G196" s="92" t="b">
        <v>0</v>
      </c>
      <c r="H196" s="92" t="b">
        <v>0</v>
      </c>
      <c r="I196" s="6"/>
      <c r="J196" s="6"/>
      <c r="K196" s="512"/>
      <c r="L196" s="512"/>
      <c r="M196" s="13"/>
    </row>
    <row r="197" spans="1:13" ht="12.75">
      <c r="A197" s="613">
        <v>9</v>
      </c>
      <c r="B197" s="13" t="s">
        <v>513</v>
      </c>
      <c r="C197" s="11" t="s">
        <v>554</v>
      </c>
      <c r="D197" s="15"/>
      <c r="E197" s="515"/>
      <c r="F197" s="92" t="b">
        <v>0</v>
      </c>
      <c r="G197" s="92" t="b">
        <v>0</v>
      </c>
      <c r="H197" s="92" t="b">
        <v>0</v>
      </c>
      <c r="I197" s="6"/>
      <c r="J197" s="6"/>
      <c r="K197" s="613"/>
      <c r="L197" s="613"/>
      <c r="M197" s="13"/>
    </row>
    <row r="198" spans="1:13" ht="12.75">
      <c r="A198" s="512"/>
      <c r="B198" s="13" t="s">
        <v>513</v>
      </c>
      <c r="C198" s="11" t="s">
        <v>556</v>
      </c>
      <c r="D198" s="15"/>
      <c r="E198" s="512"/>
      <c r="F198" s="92" t="b">
        <v>0</v>
      </c>
      <c r="G198" s="92" t="b">
        <v>0</v>
      </c>
      <c r="H198" s="92" t="b">
        <v>0</v>
      </c>
      <c r="I198" s="6"/>
      <c r="J198" s="6"/>
      <c r="K198" s="512"/>
      <c r="L198" s="512"/>
      <c r="M198" s="13"/>
    </row>
    <row r="199" spans="1:13" ht="12.75">
      <c r="A199" s="613">
        <v>10</v>
      </c>
      <c r="B199" s="13" t="s">
        <v>513</v>
      </c>
      <c r="C199" s="11" t="s">
        <v>558</v>
      </c>
      <c r="D199" s="15"/>
      <c r="E199" s="515"/>
      <c r="F199" s="92" t="b">
        <v>0</v>
      </c>
      <c r="G199" s="92" t="b">
        <v>0</v>
      </c>
      <c r="H199" s="92" t="b">
        <v>0</v>
      </c>
      <c r="I199" s="6"/>
      <c r="J199" s="6"/>
      <c r="K199" s="613"/>
      <c r="L199" s="613"/>
      <c r="M199" s="13"/>
    </row>
    <row r="200" spans="1:13" ht="12.75">
      <c r="A200" s="512"/>
      <c r="B200" s="13" t="s">
        <v>513</v>
      </c>
      <c r="C200" s="11" t="s">
        <v>559</v>
      </c>
      <c r="D200" s="15"/>
      <c r="E200" s="512"/>
      <c r="F200" s="92" t="b">
        <v>0</v>
      </c>
      <c r="G200" s="92" t="b">
        <v>0</v>
      </c>
      <c r="H200" s="92" t="b">
        <v>0</v>
      </c>
      <c r="I200" s="6"/>
      <c r="J200" s="6"/>
      <c r="K200" s="512"/>
      <c r="L200" s="512"/>
      <c r="M200" s="13"/>
    </row>
    <row r="201" spans="1:13" ht="12.75">
      <c r="A201" s="613">
        <v>11</v>
      </c>
      <c r="B201" s="13" t="s">
        <v>513</v>
      </c>
      <c r="C201" s="11" t="s">
        <v>137</v>
      </c>
      <c r="D201" s="15"/>
      <c r="E201" s="515"/>
      <c r="F201" s="92" t="b">
        <v>0</v>
      </c>
      <c r="G201" s="92" t="b">
        <v>0</v>
      </c>
      <c r="H201" s="92" t="b">
        <v>0</v>
      </c>
      <c r="I201" s="6"/>
      <c r="J201" s="6"/>
      <c r="K201" s="613"/>
      <c r="L201" s="613"/>
      <c r="M201" s="13"/>
    </row>
    <row r="202" spans="1:13" ht="12.75">
      <c r="A202" s="512"/>
      <c r="B202" s="13" t="s">
        <v>513</v>
      </c>
      <c r="C202" s="11" t="s">
        <v>560</v>
      </c>
      <c r="D202" s="15"/>
      <c r="E202" s="512"/>
      <c r="F202" s="92" t="b">
        <v>0</v>
      </c>
      <c r="G202" s="92" t="b">
        <v>0</v>
      </c>
      <c r="H202" s="92" t="b">
        <v>0</v>
      </c>
      <c r="I202" s="6"/>
      <c r="J202" s="6"/>
      <c r="K202" s="512"/>
      <c r="L202" s="512"/>
      <c r="M202" s="13"/>
    </row>
    <row r="203" spans="1:13" ht="12.75">
      <c r="A203" s="613">
        <v>12</v>
      </c>
      <c r="B203" s="13" t="s">
        <v>513</v>
      </c>
      <c r="C203" s="11" t="s">
        <v>562</v>
      </c>
      <c r="D203" s="15"/>
      <c r="E203" s="515"/>
      <c r="F203" s="92" t="b">
        <v>0</v>
      </c>
      <c r="G203" s="92" t="b">
        <v>0</v>
      </c>
      <c r="H203" s="92" t="b">
        <v>0</v>
      </c>
      <c r="I203" s="6"/>
      <c r="J203" s="6"/>
      <c r="K203" s="613"/>
      <c r="L203" s="613"/>
      <c r="M203" s="13"/>
    </row>
    <row r="204" spans="1:13" ht="12.75">
      <c r="A204" s="511"/>
      <c r="B204" s="13" t="s">
        <v>513</v>
      </c>
      <c r="C204" s="11" t="s">
        <v>564</v>
      </c>
      <c r="D204" s="15"/>
      <c r="E204" s="511"/>
      <c r="F204" s="92" t="b">
        <v>0</v>
      </c>
      <c r="G204" s="92" t="b">
        <v>0</v>
      </c>
      <c r="H204" s="92" t="b">
        <v>0</v>
      </c>
      <c r="I204" s="6"/>
      <c r="J204" s="6"/>
      <c r="K204" s="511"/>
      <c r="L204" s="511"/>
      <c r="M204" s="13"/>
    </row>
    <row r="205" spans="1:13" ht="12.75">
      <c r="A205" s="512"/>
      <c r="B205" s="13" t="s">
        <v>513</v>
      </c>
      <c r="C205" s="11" t="s">
        <v>149</v>
      </c>
      <c r="D205" s="15"/>
      <c r="E205" s="512"/>
      <c r="F205" s="92" t="b">
        <v>0</v>
      </c>
      <c r="G205" s="92" t="b">
        <v>0</v>
      </c>
      <c r="H205" s="92" t="b">
        <v>0</v>
      </c>
      <c r="I205" s="6"/>
      <c r="J205" s="6"/>
      <c r="K205" s="512"/>
      <c r="L205" s="512"/>
      <c r="M205" s="13"/>
    </row>
    <row r="206" spans="1:13" ht="12.75">
      <c r="A206" s="613">
        <v>13</v>
      </c>
      <c r="B206" s="13" t="s">
        <v>513</v>
      </c>
      <c r="C206" s="11" t="s">
        <v>565</v>
      </c>
      <c r="D206" s="15"/>
      <c r="E206" s="515"/>
      <c r="F206" s="92" t="b">
        <v>0</v>
      </c>
      <c r="G206" s="92" t="b">
        <v>0</v>
      </c>
      <c r="H206" s="92" t="b">
        <v>0</v>
      </c>
      <c r="I206" s="402"/>
      <c r="J206" s="402"/>
      <c r="K206" s="621">
        <v>45817</v>
      </c>
      <c r="L206" s="612">
        <v>45839</v>
      </c>
      <c r="M206" s="13"/>
    </row>
    <row r="207" spans="1:13" ht="12.75">
      <c r="A207" s="511"/>
      <c r="B207" s="13" t="s">
        <v>513</v>
      </c>
      <c r="C207" s="7" t="s">
        <v>568</v>
      </c>
      <c r="D207" s="15"/>
      <c r="E207" s="511"/>
      <c r="F207" s="92" t="b">
        <v>0</v>
      </c>
      <c r="G207" s="92" t="b">
        <v>0</v>
      </c>
      <c r="H207" s="92" t="b">
        <v>0</v>
      </c>
      <c r="I207" s="402"/>
      <c r="J207" s="402"/>
      <c r="K207" s="511"/>
      <c r="L207" s="511"/>
      <c r="M207" s="13"/>
    </row>
    <row r="208" spans="1:13" ht="12.75">
      <c r="A208" s="512"/>
      <c r="B208" s="13" t="s">
        <v>513</v>
      </c>
      <c r="C208" s="11" t="s">
        <v>156</v>
      </c>
      <c r="D208" s="15"/>
      <c r="E208" s="512"/>
      <c r="F208" s="92" t="b">
        <v>0</v>
      </c>
      <c r="G208" s="92" t="b">
        <v>0</v>
      </c>
      <c r="H208" s="92" t="b">
        <v>0</v>
      </c>
      <c r="I208" s="402"/>
      <c r="J208" s="402"/>
      <c r="K208" s="512"/>
      <c r="L208" s="512"/>
      <c r="M208" s="13"/>
    </row>
    <row r="209" spans="1:13" ht="12.75">
      <c r="A209" s="613">
        <v>14</v>
      </c>
      <c r="B209" s="13" t="s">
        <v>513</v>
      </c>
      <c r="C209" s="11" t="s">
        <v>161</v>
      </c>
      <c r="D209" s="15"/>
      <c r="E209" s="515"/>
      <c r="F209" s="92" t="b">
        <v>0</v>
      </c>
      <c r="G209" s="92" t="b">
        <v>0</v>
      </c>
      <c r="H209" s="92" t="b">
        <v>0</v>
      </c>
      <c r="I209" s="6"/>
      <c r="J209" s="6"/>
      <c r="K209" s="613"/>
      <c r="L209" s="613"/>
      <c r="M209" s="13"/>
    </row>
    <row r="210" spans="1:13" ht="12.75">
      <c r="A210" s="511"/>
      <c r="B210" s="13" t="s">
        <v>513</v>
      </c>
      <c r="C210" s="11" t="s">
        <v>572</v>
      </c>
      <c r="D210" s="15"/>
      <c r="E210" s="511"/>
      <c r="F210" s="92" t="b">
        <v>0</v>
      </c>
      <c r="G210" s="92" t="b">
        <v>0</v>
      </c>
      <c r="H210" s="92" t="b">
        <v>0</v>
      </c>
      <c r="I210" s="6"/>
      <c r="J210" s="6"/>
      <c r="K210" s="511"/>
      <c r="L210" s="511"/>
      <c r="M210" s="13"/>
    </row>
    <row r="211" spans="1:13" ht="12.75">
      <c r="A211" s="512"/>
      <c r="B211" s="13" t="s">
        <v>513</v>
      </c>
      <c r="C211" s="11" t="s">
        <v>574</v>
      </c>
      <c r="D211" s="15"/>
      <c r="E211" s="512"/>
      <c r="F211" s="92" t="b">
        <v>0</v>
      </c>
      <c r="G211" s="92" t="b">
        <v>0</v>
      </c>
      <c r="H211" s="92" t="b">
        <v>0</v>
      </c>
      <c r="I211" s="6"/>
      <c r="J211" s="6"/>
      <c r="K211" s="512"/>
      <c r="L211" s="512"/>
      <c r="M211" s="13"/>
    </row>
    <row r="212" spans="1:13" ht="12.75">
      <c r="A212" s="613">
        <v>15</v>
      </c>
      <c r="B212" s="13" t="s">
        <v>513</v>
      </c>
      <c r="C212" s="11" t="s">
        <v>166</v>
      </c>
      <c r="D212" s="15"/>
      <c r="E212" s="515"/>
      <c r="F212" s="92" t="b">
        <v>0</v>
      </c>
      <c r="G212" s="92" t="b">
        <v>0</v>
      </c>
      <c r="H212" s="92" t="b">
        <v>0</v>
      </c>
      <c r="I212" s="6"/>
      <c r="J212" s="6"/>
      <c r="K212" s="613"/>
      <c r="L212" s="613"/>
      <c r="M212" s="13"/>
    </row>
    <row r="213" spans="1:13" ht="12.75">
      <c r="A213" s="511"/>
      <c r="B213" s="13" t="s">
        <v>513</v>
      </c>
      <c r="C213" s="11" t="s">
        <v>577</v>
      </c>
      <c r="D213" s="15"/>
      <c r="E213" s="511"/>
      <c r="F213" s="92" t="b">
        <v>0</v>
      </c>
      <c r="G213" s="92" t="b">
        <v>0</v>
      </c>
      <c r="H213" s="92" t="b">
        <v>0</v>
      </c>
      <c r="I213" s="6"/>
      <c r="J213" s="6"/>
      <c r="K213" s="511"/>
      <c r="L213" s="511"/>
      <c r="M213" s="13"/>
    </row>
    <row r="214" spans="1:13" ht="12.75">
      <c r="A214" s="512"/>
      <c r="B214" s="13" t="s">
        <v>513</v>
      </c>
      <c r="C214" s="11" t="s">
        <v>170</v>
      </c>
      <c r="D214" s="15"/>
      <c r="E214" s="512"/>
      <c r="F214" s="92" t="b">
        <v>0</v>
      </c>
      <c r="G214" s="92" t="b">
        <v>0</v>
      </c>
      <c r="H214" s="92" t="b">
        <v>0</v>
      </c>
      <c r="I214" s="6"/>
      <c r="J214" s="6"/>
      <c r="K214" s="512"/>
      <c r="L214" s="512"/>
      <c r="M214" s="13"/>
    </row>
    <row r="215" spans="1:13" ht="12.75">
      <c r="A215" s="613">
        <v>16</v>
      </c>
      <c r="B215" s="13" t="s">
        <v>513</v>
      </c>
      <c r="C215" s="7" t="s">
        <v>580</v>
      </c>
      <c r="D215" s="15"/>
      <c r="E215" s="515"/>
      <c r="F215" s="92" t="b">
        <v>0</v>
      </c>
      <c r="G215" s="92" t="b">
        <v>0</v>
      </c>
      <c r="H215" s="92" t="b">
        <v>0</v>
      </c>
      <c r="I215" s="6"/>
      <c r="J215" s="6"/>
      <c r="K215" s="613"/>
      <c r="L215" s="613"/>
      <c r="M215" s="13"/>
    </row>
    <row r="216" spans="1:13" ht="12.75">
      <c r="A216" s="511"/>
      <c r="B216" s="13" t="s">
        <v>513</v>
      </c>
      <c r="C216" s="11" t="s">
        <v>582</v>
      </c>
      <c r="D216" s="15"/>
      <c r="E216" s="511"/>
      <c r="F216" s="92" t="b">
        <v>0</v>
      </c>
      <c r="G216" s="92" t="b">
        <v>0</v>
      </c>
      <c r="H216" s="92" t="b">
        <v>0</v>
      </c>
      <c r="I216" s="6"/>
      <c r="J216" s="6"/>
      <c r="K216" s="511"/>
      <c r="L216" s="511"/>
      <c r="M216" s="13"/>
    </row>
    <row r="217" spans="1:13" ht="12.75">
      <c r="A217" s="512"/>
      <c r="B217" s="13" t="s">
        <v>513</v>
      </c>
      <c r="C217" s="11" t="s">
        <v>584</v>
      </c>
      <c r="D217" s="15"/>
      <c r="E217" s="512"/>
      <c r="F217" s="92" t="b">
        <v>0</v>
      </c>
      <c r="G217" s="92" t="b">
        <v>0</v>
      </c>
      <c r="H217" s="92" t="b">
        <v>0</v>
      </c>
      <c r="I217" s="6"/>
      <c r="J217" s="6"/>
      <c r="K217" s="512"/>
      <c r="L217" s="512"/>
      <c r="M217" s="13"/>
    </row>
    <row r="218" spans="1:13" ht="12.75">
      <c r="A218" s="613">
        <v>17</v>
      </c>
      <c r="B218" s="13" t="s">
        <v>513</v>
      </c>
      <c r="C218" s="7" t="s">
        <v>585</v>
      </c>
      <c r="D218" s="15"/>
      <c r="E218" s="515"/>
      <c r="F218" s="92" t="b">
        <v>0</v>
      </c>
      <c r="G218" s="92" t="b">
        <v>0</v>
      </c>
      <c r="H218" s="92" t="b">
        <v>0</v>
      </c>
      <c r="I218" s="6"/>
      <c r="J218" s="6"/>
      <c r="K218" s="613"/>
      <c r="L218" s="613"/>
      <c r="M218" s="13"/>
    </row>
    <row r="219" spans="1:13" ht="12.75">
      <c r="A219" s="511"/>
      <c r="B219" s="13" t="s">
        <v>513</v>
      </c>
      <c r="C219" s="11" t="s">
        <v>587</v>
      </c>
      <c r="D219" s="15"/>
      <c r="E219" s="511"/>
      <c r="F219" s="92" t="b">
        <v>0</v>
      </c>
      <c r="G219" s="92" t="b">
        <v>0</v>
      </c>
      <c r="H219" s="92" t="b">
        <v>0</v>
      </c>
      <c r="I219" s="6"/>
      <c r="J219" s="6"/>
      <c r="K219" s="511"/>
      <c r="L219" s="511"/>
      <c r="M219" s="13"/>
    </row>
    <row r="220" spans="1:13" ht="12.75">
      <c r="A220" s="512"/>
      <c r="B220" s="13" t="s">
        <v>513</v>
      </c>
      <c r="C220" s="11" t="s">
        <v>588</v>
      </c>
      <c r="D220" s="15"/>
      <c r="E220" s="512"/>
      <c r="F220" s="92" t="b">
        <v>0</v>
      </c>
      <c r="G220" s="92" t="b">
        <v>0</v>
      </c>
      <c r="H220" s="92" t="b">
        <v>0</v>
      </c>
      <c r="I220" s="6"/>
      <c r="J220" s="6"/>
      <c r="K220" s="512"/>
      <c r="L220" s="512"/>
      <c r="M220" s="13"/>
    </row>
    <row r="221" spans="1:13" ht="12.75">
      <c r="A221" s="613">
        <v>18</v>
      </c>
      <c r="B221" s="13" t="s">
        <v>513</v>
      </c>
      <c r="C221" s="7" t="s">
        <v>590</v>
      </c>
      <c r="D221" s="15"/>
      <c r="E221" s="515"/>
      <c r="F221" s="92" t="b">
        <v>0</v>
      </c>
      <c r="G221" s="92" t="b">
        <v>0</v>
      </c>
      <c r="H221" s="92" t="b">
        <v>0</v>
      </c>
      <c r="I221" s="6"/>
      <c r="J221" s="6"/>
      <c r="K221" s="613"/>
      <c r="L221" s="613"/>
      <c r="M221" s="13"/>
    </row>
    <row r="222" spans="1:13" ht="12.75">
      <c r="A222" s="511"/>
      <c r="B222" s="13" t="s">
        <v>513</v>
      </c>
      <c r="C222" s="11" t="s">
        <v>592</v>
      </c>
      <c r="D222" s="15"/>
      <c r="E222" s="511"/>
      <c r="F222" s="92" t="b">
        <v>0</v>
      </c>
      <c r="G222" s="92" t="b">
        <v>0</v>
      </c>
      <c r="H222" s="92" t="b">
        <v>0</v>
      </c>
      <c r="I222" s="6"/>
      <c r="J222" s="6"/>
      <c r="K222" s="511"/>
      <c r="L222" s="511"/>
      <c r="M222" s="13"/>
    </row>
    <row r="223" spans="1:13" ht="12.75">
      <c r="A223" s="512"/>
      <c r="B223" s="13" t="s">
        <v>513</v>
      </c>
      <c r="C223" s="11" t="s">
        <v>594</v>
      </c>
      <c r="D223" s="15"/>
      <c r="E223" s="512"/>
      <c r="F223" s="92" t="b">
        <v>0</v>
      </c>
      <c r="G223" s="92" t="b">
        <v>0</v>
      </c>
      <c r="H223" s="92" t="b">
        <v>0</v>
      </c>
      <c r="I223" s="6"/>
      <c r="J223" s="6"/>
      <c r="K223" s="512"/>
      <c r="L223" s="512"/>
      <c r="M223" s="13"/>
    </row>
    <row r="224" spans="1:13" ht="12.75">
      <c r="A224" s="613">
        <v>19</v>
      </c>
      <c r="B224" s="13" t="s">
        <v>513</v>
      </c>
      <c r="C224" s="7" t="s">
        <v>179</v>
      </c>
      <c r="D224" s="15"/>
      <c r="E224" s="515"/>
      <c r="F224" s="92" t="b">
        <v>0</v>
      </c>
      <c r="G224" s="92" t="b">
        <v>0</v>
      </c>
      <c r="H224" s="92" t="b">
        <v>0</v>
      </c>
      <c r="I224" s="6"/>
      <c r="J224" s="6"/>
      <c r="K224" s="613"/>
      <c r="L224" s="613"/>
      <c r="M224" s="13"/>
    </row>
    <row r="225" spans="1:13" ht="12.75">
      <c r="A225" s="511"/>
      <c r="B225" s="13" t="s">
        <v>513</v>
      </c>
      <c r="C225" s="7" t="s">
        <v>189</v>
      </c>
      <c r="D225" s="15"/>
      <c r="E225" s="511"/>
      <c r="F225" s="92" t="b">
        <v>0</v>
      </c>
      <c r="G225" s="92" t="b">
        <v>0</v>
      </c>
      <c r="H225" s="92" t="b">
        <v>0</v>
      </c>
      <c r="I225" s="6"/>
      <c r="J225" s="6"/>
      <c r="K225" s="511"/>
      <c r="L225" s="511"/>
      <c r="M225" s="13"/>
    </row>
    <row r="226" spans="1:13" ht="12.75">
      <c r="A226" s="512"/>
      <c r="B226" s="13" t="s">
        <v>513</v>
      </c>
      <c r="C226" s="7" t="s">
        <v>193</v>
      </c>
      <c r="D226" s="15"/>
      <c r="E226" s="512"/>
      <c r="F226" s="92" t="b">
        <v>0</v>
      </c>
      <c r="G226" s="92" t="b">
        <v>0</v>
      </c>
      <c r="H226" s="92" t="b">
        <v>0</v>
      </c>
      <c r="I226" s="6"/>
      <c r="J226" s="6"/>
      <c r="K226" s="512"/>
      <c r="L226" s="512"/>
      <c r="M226" s="13"/>
    </row>
    <row r="227" spans="1:13" ht="12.75">
      <c r="A227" s="613">
        <v>20</v>
      </c>
      <c r="B227" s="13" t="s">
        <v>513</v>
      </c>
      <c r="C227" s="11" t="s">
        <v>197</v>
      </c>
      <c r="D227" s="15"/>
      <c r="E227" s="515"/>
      <c r="F227" s="92" t="b">
        <v>0</v>
      </c>
      <c r="G227" s="92" t="b">
        <v>0</v>
      </c>
      <c r="H227" s="92" t="b">
        <v>0</v>
      </c>
      <c r="I227" s="6"/>
      <c r="J227" s="6"/>
      <c r="K227" s="613"/>
      <c r="L227" s="613"/>
      <c r="M227" s="13"/>
    </row>
    <row r="228" spans="1:13" ht="12.75">
      <c r="A228" s="511"/>
      <c r="B228" s="13" t="s">
        <v>513</v>
      </c>
      <c r="C228" s="11" t="s">
        <v>599</v>
      </c>
      <c r="D228" s="15"/>
      <c r="E228" s="511"/>
      <c r="F228" s="92" t="b">
        <v>0</v>
      </c>
      <c r="G228" s="92" t="b">
        <v>0</v>
      </c>
      <c r="H228" s="92" t="b">
        <v>0</v>
      </c>
      <c r="I228" s="6"/>
      <c r="J228" s="6"/>
      <c r="K228" s="511"/>
      <c r="L228" s="511"/>
      <c r="M228" s="13"/>
    </row>
    <row r="229" spans="1:13" ht="12.75">
      <c r="A229" s="512"/>
      <c r="B229" s="13" t="s">
        <v>513</v>
      </c>
      <c r="C229" s="11" t="s">
        <v>601</v>
      </c>
      <c r="D229" s="15"/>
      <c r="E229" s="512"/>
      <c r="F229" s="92" t="b">
        <v>0</v>
      </c>
      <c r="G229" s="92" t="b">
        <v>0</v>
      </c>
      <c r="H229" s="92" t="b">
        <v>0</v>
      </c>
      <c r="I229" s="6"/>
      <c r="J229" s="6"/>
      <c r="K229" s="512"/>
      <c r="L229" s="512"/>
      <c r="M229" s="13"/>
    </row>
    <row r="230" spans="1:13" ht="15" customHeight="1">
      <c r="A230" s="613">
        <v>21</v>
      </c>
      <c r="B230" s="13" t="s">
        <v>513</v>
      </c>
      <c r="C230" s="11" t="s">
        <v>602</v>
      </c>
      <c r="D230" s="15"/>
      <c r="E230" s="515"/>
      <c r="F230" s="92" t="b">
        <v>0</v>
      </c>
      <c r="G230" s="92" t="b">
        <v>0</v>
      </c>
      <c r="H230" s="92" t="b">
        <v>0</v>
      </c>
      <c r="I230" s="6"/>
      <c r="J230" s="6"/>
      <c r="K230" s="613"/>
      <c r="L230" s="613"/>
      <c r="M230" s="13"/>
    </row>
    <row r="231" spans="1:13" ht="12.75">
      <c r="A231" s="511"/>
      <c r="B231" s="13" t="s">
        <v>513</v>
      </c>
      <c r="C231" s="11" t="s">
        <v>604</v>
      </c>
      <c r="D231" s="15"/>
      <c r="E231" s="511"/>
      <c r="F231" s="92" t="b">
        <v>0</v>
      </c>
      <c r="G231" s="92" t="b">
        <v>0</v>
      </c>
      <c r="H231" s="92" t="b">
        <v>0</v>
      </c>
      <c r="I231" s="6"/>
      <c r="J231" s="6"/>
      <c r="K231" s="511"/>
      <c r="L231" s="511"/>
      <c r="M231" s="13"/>
    </row>
    <row r="232" spans="1:13" ht="12.75">
      <c r="A232" s="512"/>
      <c r="B232" s="13" t="s">
        <v>513</v>
      </c>
      <c r="C232" s="11" t="s">
        <v>202</v>
      </c>
      <c r="D232" s="15"/>
      <c r="E232" s="512"/>
      <c r="F232" s="92" t="b">
        <v>0</v>
      </c>
      <c r="G232" s="92" t="b">
        <v>0</v>
      </c>
      <c r="H232" s="92" t="b">
        <v>0</v>
      </c>
      <c r="I232" s="6"/>
      <c r="J232" s="6"/>
      <c r="K232" s="512"/>
      <c r="L232" s="512"/>
      <c r="M232" s="13"/>
    </row>
    <row r="233" spans="1:13" ht="12.75">
      <c r="A233" s="613">
        <v>22</v>
      </c>
      <c r="B233" s="13" t="s">
        <v>513</v>
      </c>
      <c r="C233" s="11" t="s">
        <v>605</v>
      </c>
      <c r="D233" s="15"/>
      <c r="E233" s="515"/>
      <c r="F233" s="92" t="b">
        <v>0</v>
      </c>
      <c r="G233" s="92" t="b">
        <v>0</v>
      </c>
      <c r="H233" s="92" t="b">
        <v>0</v>
      </c>
      <c r="I233" s="6"/>
      <c r="J233" s="6"/>
      <c r="K233" s="613"/>
      <c r="L233" s="613"/>
      <c r="M233" s="13"/>
    </row>
    <row r="234" spans="1:13" ht="12.75">
      <c r="A234" s="511"/>
      <c r="B234" s="13" t="s">
        <v>513</v>
      </c>
      <c r="C234" s="11" t="s">
        <v>608</v>
      </c>
      <c r="D234" s="15"/>
      <c r="E234" s="511"/>
      <c r="F234" s="92" t="b">
        <v>0</v>
      </c>
      <c r="G234" s="92" t="b">
        <v>0</v>
      </c>
      <c r="H234" s="92" t="b">
        <v>0</v>
      </c>
      <c r="I234" s="6"/>
      <c r="J234" s="6"/>
      <c r="K234" s="511"/>
      <c r="L234" s="511"/>
      <c r="M234" s="13"/>
    </row>
    <row r="235" spans="1:13" ht="12.75">
      <c r="A235" s="512"/>
      <c r="B235" s="13" t="s">
        <v>513</v>
      </c>
      <c r="C235" s="11" t="s">
        <v>607</v>
      </c>
      <c r="D235" s="15"/>
      <c r="E235" s="512"/>
      <c r="F235" s="92" t="b">
        <v>0</v>
      </c>
      <c r="G235" s="92" t="b">
        <v>0</v>
      </c>
      <c r="H235" s="92" t="b">
        <v>0</v>
      </c>
      <c r="I235" s="6"/>
      <c r="J235" s="6"/>
      <c r="K235" s="512"/>
      <c r="L235" s="512"/>
      <c r="M235" s="13"/>
    </row>
    <row r="236" spans="1:13" ht="12.75">
      <c r="A236" s="613">
        <v>23</v>
      </c>
      <c r="B236" s="13" t="s">
        <v>513</v>
      </c>
      <c r="C236" s="11" t="s">
        <v>610</v>
      </c>
      <c r="D236" s="15"/>
      <c r="E236" s="515"/>
      <c r="F236" s="92" t="b">
        <v>0</v>
      </c>
      <c r="G236" s="92" t="b">
        <v>0</v>
      </c>
      <c r="H236" s="92" t="b">
        <v>0</v>
      </c>
      <c r="I236" s="6"/>
      <c r="J236" s="6"/>
      <c r="K236" s="613"/>
      <c r="L236" s="613"/>
      <c r="M236" s="13"/>
    </row>
    <row r="237" spans="1:13" ht="12.75">
      <c r="A237" s="512"/>
      <c r="B237" s="13" t="s">
        <v>513</v>
      </c>
      <c r="C237" s="11" t="s">
        <v>612</v>
      </c>
      <c r="D237" s="15"/>
      <c r="E237" s="512"/>
      <c r="F237" s="92" t="b">
        <v>0</v>
      </c>
      <c r="G237" s="92" t="b">
        <v>0</v>
      </c>
      <c r="H237" s="92" t="b">
        <v>0</v>
      </c>
      <c r="I237" s="6"/>
      <c r="J237" s="6"/>
      <c r="K237" s="512"/>
      <c r="L237" s="512"/>
      <c r="M237" s="13"/>
    </row>
    <row r="238" spans="1:13" ht="12.75">
      <c r="A238" s="613">
        <v>24</v>
      </c>
      <c r="B238" s="13" t="s">
        <v>513</v>
      </c>
      <c r="C238" s="11" t="s">
        <v>37</v>
      </c>
      <c r="D238" s="15"/>
      <c r="E238" s="515"/>
      <c r="F238" s="92" t="b">
        <v>0</v>
      </c>
      <c r="G238" s="92" t="b">
        <v>0</v>
      </c>
      <c r="H238" s="92" t="b">
        <v>0</v>
      </c>
      <c r="I238" s="6"/>
      <c r="J238" s="6"/>
      <c r="K238" s="613"/>
      <c r="L238" s="613"/>
      <c r="M238" s="13"/>
    </row>
    <row r="239" spans="1:13" ht="12.75">
      <c r="A239" s="511"/>
      <c r="B239" s="13" t="s">
        <v>513</v>
      </c>
      <c r="C239" s="11" t="s">
        <v>38</v>
      </c>
      <c r="D239" s="15"/>
      <c r="E239" s="511"/>
      <c r="F239" s="92" t="b">
        <v>0</v>
      </c>
      <c r="G239" s="92" t="b">
        <v>0</v>
      </c>
      <c r="H239" s="92" t="b">
        <v>0</v>
      </c>
      <c r="I239" s="6"/>
      <c r="J239" s="6"/>
      <c r="K239" s="511"/>
      <c r="L239" s="511"/>
      <c r="M239" s="13"/>
    </row>
    <row r="240" spans="1:13" ht="12.75">
      <c r="A240" s="511"/>
      <c r="B240" s="13" t="s">
        <v>513</v>
      </c>
      <c r="C240" s="11" t="s">
        <v>39</v>
      </c>
      <c r="D240" s="15"/>
      <c r="E240" s="511"/>
      <c r="F240" s="92" t="b">
        <v>0</v>
      </c>
      <c r="G240" s="92" t="b">
        <v>0</v>
      </c>
      <c r="H240" s="92" t="b">
        <v>0</v>
      </c>
      <c r="I240" s="6"/>
      <c r="J240" s="6"/>
      <c r="K240" s="511"/>
      <c r="L240" s="511"/>
      <c r="M240" s="13"/>
    </row>
    <row r="241" spans="1:13" ht="12.75">
      <c r="A241" s="512"/>
      <c r="B241" s="13" t="s">
        <v>513</v>
      </c>
      <c r="C241" s="11" t="s">
        <v>36</v>
      </c>
      <c r="D241" s="15"/>
      <c r="E241" s="512"/>
      <c r="F241" s="92" t="b">
        <v>0</v>
      </c>
      <c r="G241" s="92" t="b">
        <v>0</v>
      </c>
      <c r="H241" s="92" t="b">
        <v>0</v>
      </c>
      <c r="I241" s="6"/>
      <c r="J241" s="6"/>
      <c r="K241" s="512"/>
      <c r="L241" s="512"/>
      <c r="M241" s="13"/>
    </row>
    <row r="242" spans="1:13" ht="12.75">
      <c r="A242" s="613">
        <v>25</v>
      </c>
      <c r="B242" s="13" t="s">
        <v>513</v>
      </c>
      <c r="C242" s="11" t="s">
        <v>615</v>
      </c>
      <c r="D242" s="15"/>
      <c r="E242" s="515"/>
      <c r="F242" s="92" t="b">
        <v>0</v>
      </c>
      <c r="G242" s="92" t="b">
        <v>0</v>
      </c>
      <c r="H242" s="92" t="b">
        <v>0</v>
      </c>
      <c r="I242" s="6"/>
      <c r="J242" s="6"/>
      <c r="K242" s="613"/>
      <c r="L242" s="613"/>
      <c r="M242" s="13"/>
    </row>
    <row r="243" spans="1:13" ht="12.75">
      <c r="A243" s="511"/>
      <c r="B243" s="13" t="s">
        <v>513</v>
      </c>
      <c r="C243" s="11" t="s">
        <v>617</v>
      </c>
      <c r="D243" s="15"/>
      <c r="E243" s="511"/>
      <c r="F243" s="92" t="b">
        <v>0</v>
      </c>
      <c r="G243" s="92" t="b">
        <v>0</v>
      </c>
      <c r="H243" s="92" t="b">
        <v>0</v>
      </c>
      <c r="I243" s="6"/>
      <c r="J243" s="6"/>
      <c r="K243" s="511"/>
      <c r="L243" s="511"/>
      <c r="M243" s="13"/>
    </row>
    <row r="244" spans="1:13" ht="12.75">
      <c r="A244" s="511"/>
      <c r="B244" s="13" t="s">
        <v>513</v>
      </c>
      <c r="C244" s="11" t="s">
        <v>618</v>
      </c>
      <c r="D244" s="15"/>
      <c r="E244" s="511"/>
      <c r="F244" s="92" t="b">
        <v>0</v>
      </c>
      <c r="G244" s="92" t="b">
        <v>0</v>
      </c>
      <c r="H244" s="92" t="b">
        <v>0</v>
      </c>
      <c r="I244" s="6"/>
      <c r="J244" s="6"/>
      <c r="K244" s="511"/>
      <c r="L244" s="511"/>
      <c r="M244" s="13"/>
    </row>
    <row r="245" spans="1:13" ht="12.75">
      <c r="A245" s="512"/>
      <c r="B245" s="13" t="s">
        <v>513</v>
      </c>
      <c r="C245" s="11" t="s">
        <v>619</v>
      </c>
      <c r="D245" s="15"/>
      <c r="E245" s="512"/>
      <c r="F245" s="92" t="b">
        <v>0</v>
      </c>
      <c r="G245" s="92" t="b">
        <v>0</v>
      </c>
      <c r="H245" s="92" t="b">
        <v>0</v>
      </c>
      <c r="I245" s="6"/>
      <c r="J245" s="6"/>
      <c r="K245" s="512"/>
      <c r="L245" s="512"/>
      <c r="M245" s="13"/>
    </row>
    <row r="246" spans="1:13" ht="12.75">
      <c r="A246" s="618" t="s">
        <v>3146</v>
      </c>
      <c r="B246" s="543"/>
      <c r="C246" s="543"/>
      <c r="D246" s="543"/>
      <c r="E246" s="543"/>
      <c r="F246" s="543"/>
      <c r="G246" s="543"/>
      <c r="H246" s="543"/>
      <c r="I246" s="543"/>
      <c r="J246" s="543"/>
      <c r="K246" s="543"/>
      <c r="L246" s="544"/>
      <c r="M246" s="410"/>
    </row>
    <row r="247" spans="1:13" ht="12.75">
      <c r="A247" s="613">
        <v>1</v>
      </c>
      <c r="B247" s="13" t="s">
        <v>311</v>
      </c>
      <c r="C247" s="7" t="s">
        <v>310</v>
      </c>
      <c r="D247" s="15"/>
      <c r="E247" s="515"/>
      <c r="F247" s="92" t="b">
        <v>0</v>
      </c>
      <c r="G247" s="92" t="b">
        <v>0</v>
      </c>
      <c r="H247" s="92" t="b">
        <v>0</v>
      </c>
      <c r="I247" s="6"/>
      <c r="J247" s="6"/>
      <c r="K247" s="613"/>
      <c r="L247" s="613"/>
      <c r="M247" s="13"/>
    </row>
    <row r="248" spans="1:13" ht="12.75">
      <c r="A248" s="511"/>
      <c r="B248" s="13" t="s">
        <v>311</v>
      </c>
      <c r="C248" s="7" t="s">
        <v>314</v>
      </c>
      <c r="D248" s="15"/>
      <c r="E248" s="511"/>
      <c r="F248" s="92" t="b">
        <v>0</v>
      </c>
      <c r="G248" s="92" t="b">
        <v>0</v>
      </c>
      <c r="H248" s="92" t="b">
        <v>0</v>
      </c>
      <c r="I248" s="6"/>
      <c r="J248" s="6"/>
      <c r="K248" s="511"/>
      <c r="L248" s="511"/>
      <c r="M248" s="13"/>
    </row>
    <row r="249" spans="1:13" ht="12.75">
      <c r="A249" s="512"/>
      <c r="B249" s="13" t="s">
        <v>311</v>
      </c>
      <c r="C249" s="7" t="s">
        <v>317</v>
      </c>
      <c r="D249" s="15"/>
      <c r="E249" s="512"/>
      <c r="F249" s="92" t="b">
        <v>0</v>
      </c>
      <c r="G249" s="92" t="b">
        <v>0</v>
      </c>
      <c r="H249" s="92" t="b">
        <v>0</v>
      </c>
      <c r="I249" s="6"/>
      <c r="J249" s="6"/>
      <c r="K249" s="512"/>
      <c r="L249" s="512"/>
      <c r="M249" s="13"/>
    </row>
    <row r="250" spans="1:13" ht="12.75">
      <c r="A250" s="613">
        <v>2</v>
      </c>
      <c r="B250" s="13" t="s">
        <v>311</v>
      </c>
      <c r="C250" s="7" t="s">
        <v>323</v>
      </c>
      <c r="D250" s="15"/>
      <c r="E250" s="515"/>
      <c r="F250" s="92" t="b">
        <v>0</v>
      </c>
      <c r="G250" s="92" t="b">
        <v>0</v>
      </c>
      <c r="H250" s="92" t="b">
        <v>0</v>
      </c>
      <c r="I250" s="6"/>
      <c r="J250" s="6"/>
      <c r="K250" s="613"/>
      <c r="L250" s="613"/>
      <c r="M250" s="13"/>
    </row>
    <row r="251" spans="1:13" ht="12.75">
      <c r="A251" s="511"/>
      <c r="B251" s="13" t="s">
        <v>311</v>
      </c>
      <c r="C251" s="7" t="s">
        <v>324</v>
      </c>
      <c r="D251" s="15"/>
      <c r="E251" s="511"/>
      <c r="F251" s="92" t="b">
        <v>0</v>
      </c>
      <c r="G251" s="92" t="b">
        <v>0</v>
      </c>
      <c r="H251" s="92" t="b">
        <v>0</v>
      </c>
      <c r="I251" s="6"/>
      <c r="J251" s="6"/>
      <c r="K251" s="511"/>
      <c r="L251" s="511"/>
      <c r="M251" s="13"/>
    </row>
    <row r="252" spans="1:13" ht="12.75">
      <c r="A252" s="511"/>
      <c r="B252" s="13" t="s">
        <v>311</v>
      </c>
      <c r="C252" s="7" t="s">
        <v>326</v>
      </c>
      <c r="D252" s="15"/>
      <c r="E252" s="511"/>
      <c r="F252" s="92" t="b">
        <v>0</v>
      </c>
      <c r="G252" s="92" t="b">
        <v>0</v>
      </c>
      <c r="H252" s="92" t="b">
        <v>0</v>
      </c>
      <c r="I252" s="6"/>
      <c r="J252" s="6"/>
      <c r="K252" s="511"/>
      <c r="L252" s="511"/>
      <c r="M252" s="13"/>
    </row>
    <row r="253" spans="1:13" ht="12.75">
      <c r="A253" s="512"/>
      <c r="B253" s="13" t="s">
        <v>311</v>
      </c>
      <c r="C253" s="7" t="s">
        <v>329</v>
      </c>
      <c r="D253" s="15"/>
      <c r="E253" s="512"/>
      <c r="F253" s="92" t="b">
        <v>0</v>
      </c>
      <c r="G253" s="92" t="b">
        <v>0</v>
      </c>
      <c r="H253" s="92" t="b">
        <v>0</v>
      </c>
      <c r="I253" s="6"/>
      <c r="J253" s="6"/>
      <c r="K253" s="512"/>
      <c r="L253" s="512"/>
      <c r="M253" s="13"/>
    </row>
    <row r="254" spans="1:13" ht="12.75">
      <c r="A254" s="613">
        <v>3</v>
      </c>
      <c r="B254" s="13" t="s">
        <v>311</v>
      </c>
      <c r="C254" s="7" t="s">
        <v>335</v>
      </c>
      <c r="D254" s="15"/>
      <c r="E254" s="515"/>
      <c r="F254" s="92" t="b">
        <v>0</v>
      </c>
      <c r="G254" s="92" t="b">
        <v>0</v>
      </c>
      <c r="H254" s="92" t="b">
        <v>0</v>
      </c>
      <c r="I254" s="6"/>
      <c r="J254" s="6"/>
      <c r="K254" s="613"/>
      <c r="L254" s="613"/>
      <c r="M254" s="13"/>
    </row>
    <row r="255" spans="1:13" ht="12.75">
      <c r="A255" s="511"/>
      <c r="B255" s="13" t="s">
        <v>311</v>
      </c>
      <c r="C255" s="7" t="s">
        <v>337</v>
      </c>
      <c r="D255" s="15"/>
      <c r="E255" s="511"/>
      <c r="F255" s="92" t="b">
        <v>0</v>
      </c>
      <c r="G255" s="92" t="b">
        <v>0</v>
      </c>
      <c r="H255" s="92" t="b">
        <v>0</v>
      </c>
      <c r="I255" s="6"/>
      <c r="J255" s="6"/>
      <c r="K255" s="511"/>
      <c r="L255" s="511"/>
      <c r="M255" s="13"/>
    </row>
    <row r="256" spans="1:13" ht="12.75">
      <c r="A256" s="511"/>
      <c r="B256" s="13" t="s">
        <v>311</v>
      </c>
      <c r="C256" s="7" t="s">
        <v>341</v>
      </c>
      <c r="D256" s="15"/>
      <c r="E256" s="511"/>
      <c r="F256" s="92" t="b">
        <v>0</v>
      </c>
      <c r="G256" s="92" t="b">
        <v>0</v>
      </c>
      <c r="H256" s="92" t="b">
        <v>0</v>
      </c>
      <c r="I256" s="6"/>
      <c r="J256" s="6"/>
      <c r="K256" s="511"/>
      <c r="L256" s="511"/>
      <c r="M256" s="13"/>
    </row>
    <row r="257" spans="1:13" ht="12.75">
      <c r="A257" s="512"/>
      <c r="B257" s="13" t="s">
        <v>311</v>
      </c>
      <c r="C257" s="7" t="s">
        <v>343</v>
      </c>
      <c r="D257" s="15"/>
      <c r="E257" s="512"/>
      <c r="F257" s="92" t="b">
        <v>0</v>
      </c>
      <c r="G257" s="92" t="b">
        <v>0</v>
      </c>
      <c r="H257" s="92" t="b">
        <v>0</v>
      </c>
      <c r="I257" s="6"/>
      <c r="J257" s="6"/>
      <c r="K257" s="512"/>
      <c r="L257" s="512"/>
      <c r="M257" s="13"/>
    </row>
    <row r="258" spans="1:13" ht="12.75">
      <c r="A258" s="64"/>
      <c r="B258" s="64"/>
      <c r="C258" s="64"/>
      <c r="D258" s="64"/>
      <c r="E258" s="64"/>
    </row>
    <row r="259" spans="1:13" ht="12.75">
      <c r="A259" s="64"/>
      <c r="B259" s="64"/>
      <c r="C259" s="64"/>
      <c r="D259" s="64"/>
      <c r="E259" s="64"/>
    </row>
    <row r="260" spans="1:13" ht="12.75">
      <c r="A260" s="64"/>
      <c r="B260" s="64"/>
      <c r="C260" s="64"/>
      <c r="D260" s="64"/>
      <c r="E260" s="64"/>
    </row>
    <row r="261" spans="1:13" ht="12.75">
      <c r="A261" s="64"/>
      <c r="B261" s="64"/>
      <c r="C261" s="64"/>
      <c r="D261" s="64"/>
      <c r="E261" s="64"/>
    </row>
    <row r="262" spans="1:13" ht="12.75">
      <c r="A262" s="64"/>
      <c r="B262" s="64"/>
      <c r="C262" s="64"/>
      <c r="D262" s="64"/>
      <c r="E262" s="64"/>
    </row>
    <row r="263" spans="1:13" ht="12.75">
      <c r="A263" s="64"/>
      <c r="B263" s="64"/>
      <c r="C263" s="64"/>
      <c r="D263" s="64"/>
      <c r="E263" s="64"/>
    </row>
    <row r="264" spans="1:13" ht="12.75">
      <c r="A264" s="64"/>
      <c r="B264" s="64"/>
      <c r="C264" s="64"/>
      <c r="D264" s="64"/>
      <c r="E264" s="64"/>
    </row>
    <row r="265" spans="1:13" ht="12.75">
      <c r="A265" s="64"/>
      <c r="B265" s="64"/>
      <c r="C265" s="64"/>
      <c r="D265" s="64"/>
      <c r="E265" s="64"/>
    </row>
    <row r="266" spans="1:13" ht="12.75">
      <c r="A266" s="64"/>
      <c r="B266" s="64"/>
      <c r="C266" s="64"/>
      <c r="D266" s="64"/>
      <c r="E266" s="64"/>
    </row>
    <row r="267" spans="1:13" ht="12.75">
      <c r="A267" s="64"/>
      <c r="B267" s="64"/>
      <c r="C267" s="64"/>
      <c r="D267" s="64"/>
      <c r="E267" s="64"/>
    </row>
    <row r="268" spans="1:13" ht="12.75">
      <c r="A268" s="64"/>
      <c r="B268" s="64"/>
      <c r="C268" s="64"/>
      <c r="D268" s="64"/>
      <c r="E268" s="64"/>
    </row>
    <row r="269" spans="1:13" ht="12.75">
      <c r="A269" s="64"/>
      <c r="B269" s="64"/>
      <c r="C269" s="64"/>
      <c r="D269" s="64"/>
      <c r="E269" s="64"/>
    </row>
    <row r="270" spans="1:13" ht="12.75">
      <c r="A270" s="64"/>
      <c r="B270" s="64"/>
      <c r="C270" s="64"/>
      <c r="D270" s="64"/>
      <c r="E270" s="64"/>
    </row>
    <row r="271" spans="1:13" ht="12.75">
      <c r="A271" s="64"/>
      <c r="B271" s="64"/>
      <c r="C271" s="64"/>
      <c r="D271" s="64"/>
      <c r="E271" s="64"/>
    </row>
    <row r="272" spans="1:13" ht="12.75">
      <c r="A272" s="64"/>
      <c r="B272" s="64"/>
      <c r="C272" s="64"/>
      <c r="D272" s="64"/>
      <c r="E272" s="64"/>
    </row>
    <row r="273" spans="1:5" ht="12.75">
      <c r="A273" s="64"/>
      <c r="B273" s="64"/>
      <c r="C273" s="64"/>
      <c r="D273" s="64"/>
      <c r="E273" s="64"/>
    </row>
    <row r="274" spans="1:5" ht="12.75">
      <c r="A274" s="64"/>
      <c r="B274" s="64"/>
      <c r="C274" s="64"/>
      <c r="D274" s="64"/>
      <c r="E274" s="64"/>
    </row>
    <row r="275" spans="1:5" ht="12.75">
      <c r="A275" s="64"/>
      <c r="B275" s="64"/>
      <c r="C275" s="64"/>
      <c r="D275" s="64"/>
      <c r="E275" s="64"/>
    </row>
    <row r="276" spans="1:5" ht="12.75">
      <c r="A276" s="64"/>
      <c r="B276" s="64"/>
      <c r="C276" s="64"/>
      <c r="D276" s="64"/>
      <c r="E276" s="64"/>
    </row>
    <row r="277" spans="1:5" ht="12.75">
      <c r="A277" s="64"/>
      <c r="B277" s="64"/>
      <c r="C277" s="64"/>
      <c r="D277" s="64"/>
      <c r="E277" s="64"/>
    </row>
    <row r="278" spans="1:5" ht="12.75">
      <c r="A278" s="64"/>
      <c r="B278" s="64"/>
      <c r="C278" s="64"/>
      <c r="D278" s="64"/>
      <c r="E278" s="64"/>
    </row>
    <row r="279" spans="1:5" ht="12.75">
      <c r="A279" s="64"/>
      <c r="B279" s="64"/>
      <c r="C279" s="64"/>
      <c r="D279" s="64"/>
      <c r="E279" s="64"/>
    </row>
    <row r="280" spans="1:5" ht="12.75">
      <c r="A280" s="64"/>
      <c r="B280" s="64"/>
      <c r="C280" s="64"/>
      <c r="D280" s="64"/>
      <c r="E280" s="64"/>
    </row>
    <row r="281" spans="1:5" ht="12.75">
      <c r="A281" s="64"/>
      <c r="B281" s="64"/>
      <c r="C281" s="64"/>
      <c r="D281" s="64"/>
      <c r="E281" s="64"/>
    </row>
    <row r="282" spans="1:5" ht="12.75">
      <c r="A282" s="64"/>
      <c r="B282" s="64"/>
      <c r="C282" s="64"/>
      <c r="D282" s="64"/>
      <c r="E282" s="64"/>
    </row>
    <row r="283" spans="1:5" ht="12.75">
      <c r="A283" s="64"/>
      <c r="B283" s="64"/>
      <c r="C283" s="64"/>
      <c r="D283" s="64"/>
      <c r="E283" s="64"/>
    </row>
    <row r="284" spans="1:5" ht="12.75">
      <c r="A284" s="64"/>
      <c r="B284" s="64"/>
      <c r="C284" s="64"/>
      <c r="D284" s="64"/>
      <c r="E284" s="64"/>
    </row>
    <row r="285" spans="1:5" ht="12.75">
      <c r="A285" s="64"/>
      <c r="B285" s="64"/>
      <c r="C285" s="64"/>
      <c r="D285" s="64"/>
      <c r="E285" s="64"/>
    </row>
    <row r="286" spans="1:5" ht="12.75">
      <c r="A286" s="64"/>
      <c r="B286" s="64"/>
      <c r="C286" s="64"/>
      <c r="D286" s="64"/>
      <c r="E286" s="64"/>
    </row>
    <row r="287" spans="1:5" ht="12.75">
      <c r="A287" s="64"/>
      <c r="B287" s="64"/>
      <c r="C287" s="64"/>
      <c r="D287" s="64"/>
      <c r="E287" s="64"/>
    </row>
    <row r="288" spans="1:5" ht="12.75">
      <c r="A288" s="64"/>
      <c r="B288" s="64"/>
      <c r="C288" s="64"/>
      <c r="D288" s="64"/>
      <c r="E288" s="64"/>
    </row>
    <row r="289" spans="1:5" ht="12.75">
      <c r="A289" s="64"/>
      <c r="B289" s="64"/>
      <c r="C289" s="64"/>
      <c r="D289" s="64"/>
      <c r="E289" s="64"/>
    </row>
    <row r="290" spans="1:5" ht="12.75">
      <c r="A290" s="64"/>
      <c r="B290" s="64"/>
      <c r="C290" s="64"/>
      <c r="D290" s="64"/>
      <c r="E290" s="64"/>
    </row>
    <row r="291" spans="1:5" ht="12.75">
      <c r="A291" s="64"/>
      <c r="B291" s="64"/>
      <c r="C291" s="64"/>
      <c r="D291" s="64"/>
      <c r="E291" s="64"/>
    </row>
    <row r="292" spans="1:5" ht="12.75">
      <c r="A292" s="64"/>
      <c r="B292" s="64"/>
      <c r="C292" s="64"/>
      <c r="D292" s="64"/>
      <c r="E292" s="64"/>
    </row>
    <row r="293" spans="1:5" ht="12.75">
      <c r="A293" s="64"/>
      <c r="B293" s="64"/>
      <c r="C293" s="64"/>
      <c r="D293" s="64"/>
      <c r="E293" s="64"/>
    </row>
    <row r="294" spans="1:5" ht="12.75">
      <c r="A294" s="64"/>
      <c r="B294" s="64"/>
      <c r="C294" s="64"/>
      <c r="D294" s="64"/>
      <c r="E294" s="64"/>
    </row>
    <row r="295" spans="1:5" ht="12.75">
      <c r="A295" s="64"/>
      <c r="B295" s="64"/>
      <c r="C295" s="64"/>
      <c r="D295" s="64"/>
      <c r="E295" s="64"/>
    </row>
    <row r="296" spans="1:5" ht="12.75">
      <c r="A296" s="64"/>
      <c r="B296" s="64"/>
      <c r="C296" s="64"/>
      <c r="D296" s="64"/>
      <c r="E296" s="64"/>
    </row>
    <row r="297" spans="1:5" ht="12.75">
      <c r="A297" s="64"/>
      <c r="B297" s="64"/>
      <c r="C297" s="64"/>
      <c r="D297" s="64"/>
      <c r="E297" s="64"/>
    </row>
    <row r="298" spans="1:5" ht="12.75">
      <c r="A298" s="64"/>
      <c r="B298" s="64"/>
      <c r="C298" s="64"/>
      <c r="D298" s="64"/>
      <c r="E298" s="64"/>
    </row>
    <row r="299" spans="1:5" ht="12.75">
      <c r="A299" s="64"/>
      <c r="B299" s="64"/>
      <c r="C299" s="64"/>
      <c r="D299" s="64"/>
      <c r="E299" s="64"/>
    </row>
    <row r="300" spans="1:5" ht="12.75">
      <c r="A300" s="64"/>
      <c r="B300" s="64"/>
      <c r="C300" s="64"/>
      <c r="D300" s="64"/>
      <c r="E300" s="64"/>
    </row>
    <row r="301" spans="1:5" ht="12.75">
      <c r="A301" s="64"/>
      <c r="B301" s="64"/>
      <c r="C301" s="64"/>
      <c r="D301" s="64"/>
      <c r="E301" s="64"/>
    </row>
    <row r="302" spans="1:5" ht="12.75">
      <c r="A302" s="64"/>
      <c r="B302" s="64"/>
      <c r="C302" s="64"/>
      <c r="D302" s="64"/>
      <c r="E302" s="64"/>
    </row>
    <row r="303" spans="1:5" ht="12.75">
      <c r="A303" s="64"/>
      <c r="B303" s="64"/>
      <c r="C303" s="64"/>
      <c r="D303" s="64"/>
      <c r="E303" s="64"/>
    </row>
    <row r="304" spans="1:5" ht="12.75">
      <c r="A304" s="64"/>
      <c r="B304" s="64"/>
      <c r="C304" s="64"/>
      <c r="D304" s="64"/>
      <c r="E304" s="64"/>
    </row>
    <row r="305" spans="1:5" ht="12.75">
      <c r="A305" s="64"/>
      <c r="B305" s="64"/>
      <c r="C305" s="64"/>
      <c r="D305" s="64"/>
      <c r="E305" s="64"/>
    </row>
    <row r="306" spans="1:5" ht="12.75">
      <c r="A306" s="64"/>
      <c r="B306" s="64"/>
      <c r="C306" s="64"/>
      <c r="D306" s="64"/>
      <c r="E306" s="64"/>
    </row>
    <row r="307" spans="1:5" ht="12.75">
      <c r="A307" s="64"/>
      <c r="B307" s="64"/>
      <c r="C307" s="64"/>
      <c r="D307" s="64"/>
      <c r="E307" s="64"/>
    </row>
    <row r="308" spans="1:5" ht="12.75">
      <c r="A308" s="64"/>
      <c r="B308" s="64"/>
      <c r="C308" s="64"/>
      <c r="D308" s="64"/>
      <c r="E308" s="64"/>
    </row>
    <row r="309" spans="1:5" ht="12.75">
      <c r="A309" s="64"/>
      <c r="B309" s="64"/>
      <c r="C309" s="64"/>
      <c r="D309" s="64"/>
      <c r="E309" s="64"/>
    </row>
    <row r="310" spans="1:5" ht="12.75">
      <c r="A310" s="64"/>
      <c r="B310" s="64"/>
      <c r="C310" s="64"/>
      <c r="D310" s="64"/>
      <c r="E310" s="64"/>
    </row>
    <row r="311" spans="1:5" ht="12.75">
      <c r="A311" s="64"/>
      <c r="B311" s="64"/>
      <c r="C311" s="64"/>
      <c r="D311" s="64"/>
      <c r="E311" s="64"/>
    </row>
    <row r="312" spans="1:5" ht="12.75">
      <c r="A312" s="64"/>
      <c r="B312" s="64"/>
      <c r="C312" s="64"/>
      <c r="D312" s="64"/>
      <c r="E312" s="64"/>
    </row>
    <row r="313" spans="1:5" ht="12.75">
      <c r="A313" s="64"/>
      <c r="B313" s="64"/>
      <c r="C313" s="64"/>
      <c r="D313" s="64"/>
      <c r="E313" s="64"/>
    </row>
    <row r="314" spans="1:5" ht="12.75">
      <c r="A314" s="64"/>
      <c r="B314" s="64"/>
      <c r="C314" s="64"/>
      <c r="D314" s="64"/>
      <c r="E314" s="64"/>
    </row>
    <row r="315" spans="1:5" ht="12.75">
      <c r="A315" s="64"/>
      <c r="B315" s="64"/>
      <c r="C315" s="64"/>
      <c r="D315" s="64"/>
      <c r="E315" s="64"/>
    </row>
    <row r="316" spans="1:5" ht="12.75">
      <c r="A316" s="64"/>
      <c r="B316" s="64"/>
      <c r="C316" s="64"/>
      <c r="D316" s="64"/>
      <c r="E316" s="64"/>
    </row>
    <row r="317" spans="1:5" ht="12.75">
      <c r="A317" s="64"/>
      <c r="B317" s="64"/>
      <c r="C317" s="64"/>
      <c r="D317" s="64"/>
      <c r="E317" s="64"/>
    </row>
    <row r="318" spans="1:5" ht="12.75">
      <c r="A318" s="64"/>
      <c r="B318" s="64"/>
      <c r="C318" s="64"/>
      <c r="D318" s="64"/>
      <c r="E318" s="64"/>
    </row>
    <row r="319" spans="1:5" ht="12.75">
      <c r="A319" s="64"/>
      <c r="B319" s="64"/>
      <c r="C319" s="64"/>
      <c r="D319" s="64"/>
      <c r="E319" s="64"/>
    </row>
    <row r="320" spans="1:5" ht="12.75">
      <c r="A320" s="64"/>
      <c r="B320" s="64"/>
      <c r="C320" s="64"/>
      <c r="D320" s="64"/>
      <c r="E320" s="64"/>
    </row>
    <row r="321" spans="1:5" ht="12.75">
      <c r="A321" s="64"/>
      <c r="B321" s="64"/>
      <c r="C321" s="64"/>
      <c r="D321" s="64"/>
      <c r="E321" s="64"/>
    </row>
    <row r="322" spans="1:5" ht="12.75">
      <c r="A322" s="64"/>
      <c r="B322" s="64"/>
      <c r="C322" s="64"/>
      <c r="D322" s="64"/>
      <c r="E322" s="64"/>
    </row>
    <row r="323" spans="1:5" ht="12.75">
      <c r="A323" s="64"/>
      <c r="B323" s="64"/>
      <c r="C323" s="64"/>
      <c r="D323" s="64"/>
      <c r="E323" s="64"/>
    </row>
    <row r="324" spans="1:5" ht="12.75">
      <c r="A324" s="64"/>
      <c r="B324" s="64"/>
      <c r="C324" s="64"/>
      <c r="D324" s="64"/>
      <c r="E324" s="64"/>
    </row>
    <row r="325" spans="1:5" ht="12.75">
      <c r="A325" s="64"/>
      <c r="B325" s="64"/>
      <c r="C325" s="64"/>
      <c r="D325" s="64"/>
      <c r="E325" s="64"/>
    </row>
    <row r="326" spans="1:5" ht="12.75">
      <c r="A326" s="64"/>
      <c r="B326" s="64"/>
      <c r="C326" s="64"/>
      <c r="D326" s="64"/>
      <c r="E326" s="64"/>
    </row>
    <row r="327" spans="1:5" ht="12.75">
      <c r="A327" s="64"/>
      <c r="B327" s="64"/>
      <c r="C327" s="64"/>
      <c r="D327" s="64"/>
      <c r="E327" s="64"/>
    </row>
    <row r="328" spans="1:5" ht="12.75">
      <c r="A328" s="64"/>
      <c r="B328" s="64"/>
      <c r="C328" s="64"/>
      <c r="D328" s="64"/>
      <c r="E328" s="64"/>
    </row>
    <row r="329" spans="1:5" ht="12.75">
      <c r="A329" s="64"/>
      <c r="B329" s="64"/>
      <c r="C329" s="64"/>
      <c r="D329" s="64"/>
      <c r="E329" s="64"/>
    </row>
    <row r="330" spans="1:5" ht="12.75">
      <c r="A330" s="64"/>
      <c r="B330" s="64"/>
      <c r="C330" s="64"/>
      <c r="D330" s="64"/>
      <c r="E330" s="64"/>
    </row>
    <row r="331" spans="1:5" ht="12.75">
      <c r="A331" s="64"/>
      <c r="B331" s="64"/>
      <c r="C331" s="64"/>
      <c r="D331" s="64"/>
      <c r="E331" s="64"/>
    </row>
    <row r="332" spans="1:5" ht="12.75">
      <c r="A332" s="64"/>
      <c r="B332" s="64"/>
      <c r="C332" s="64"/>
      <c r="D332" s="64"/>
      <c r="E332" s="64"/>
    </row>
    <row r="333" spans="1:5" ht="12.75">
      <c r="A333" s="64"/>
      <c r="B333" s="64"/>
      <c r="C333" s="64"/>
      <c r="D333" s="64"/>
      <c r="E333" s="64"/>
    </row>
    <row r="334" spans="1:5" ht="12.75">
      <c r="A334" s="64"/>
      <c r="B334" s="64"/>
      <c r="C334" s="64"/>
      <c r="D334" s="64"/>
      <c r="E334" s="64"/>
    </row>
    <row r="335" spans="1:5" ht="12.75">
      <c r="A335" s="64"/>
      <c r="B335" s="64"/>
      <c r="C335" s="64"/>
      <c r="D335" s="64"/>
      <c r="E335" s="64"/>
    </row>
    <row r="336" spans="1:5" ht="12.75">
      <c r="A336" s="64"/>
      <c r="B336" s="64"/>
      <c r="C336" s="64"/>
      <c r="D336" s="64"/>
      <c r="E336" s="64"/>
    </row>
    <row r="337" spans="1:5" ht="12.75">
      <c r="A337" s="64"/>
      <c r="B337" s="64"/>
      <c r="C337" s="64"/>
      <c r="D337" s="64"/>
      <c r="E337" s="64"/>
    </row>
    <row r="338" spans="1:5" ht="12.75">
      <c r="A338" s="64"/>
      <c r="B338" s="64"/>
      <c r="C338" s="64"/>
      <c r="D338" s="64"/>
      <c r="E338" s="64"/>
    </row>
    <row r="339" spans="1:5" ht="12.75">
      <c r="A339" s="64"/>
      <c r="B339" s="64"/>
      <c r="C339" s="64"/>
      <c r="D339" s="64"/>
      <c r="E339" s="64"/>
    </row>
    <row r="340" spans="1:5" ht="12.75">
      <c r="A340" s="64"/>
      <c r="B340" s="64"/>
      <c r="C340" s="64"/>
      <c r="D340" s="64"/>
      <c r="E340" s="64"/>
    </row>
    <row r="341" spans="1:5" ht="12.75">
      <c r="A341" s="64"/>
      <c r="B341" s="64"/>
      <c r="C341" s="64"/>
      <c r="D341" s="64"/>
      <c r="E341" s="64"/>
    </row>
    <row r="342" spans="1:5" ht="12.75">
      <c r="A342" s="64"/>
      <c r="B342" s="64"/>
      <c r="C342" s="64"/>
      <c r="D342" s="64"/>
      <c r="E342" s="64"/>
    </row>
    <row r="343" spans="1:5" ht="12.75">
      <c r="A343" s="64"/>
      <c r="B343" s="64"/>
      <c r="C343" s="64"/>
      <c r="D343" s="64"/>
      <c r="E343" s="64"/>
    </row>
    <row r="344" spans="1:5" ht="12.75">
      <c r="A344" s="64"/>
      <c r="B344" s="64"/>
      <c r="C344" s="64"/>
      <c r="D344" s="64"/>
      <c r="E344" s="64"/>
    </row>
    <row r="345" spans="1:5" ht="12.75">
      <c r="A345" s="64"/>
      <c r="B345" s="64"/>
      <c r="C345" s="64"/>
      <c r="D345" s="64"/>
      <c r="E345" s="64"/>
    </row>
    <row r="346" spans="1:5" ht="12.75">
      <c r="A346" s="64"/>
      <c r="B346" s="64"/>
      <c r="C346" s="64"/>
      <c r="D346" s="64"/>
      <c r="E346" s="64"/>
    </row>
    <row r="347" spans="1:5" ht="12.75">
      <c r="A347" s="64"/>
      <c r="B347" s="64"/>
      <c r="C347" s="64"/>
      <c r="D347" s="64"/>
      <c r="E347" s="64"/>
    </row>
    <row r="348" spans="1:5" ht="12.75">
      <c r="A348" s="64"/>
      <c r="B348" s="64"/>
      <c r="C348" s="64"/>
      <c r="D348" s="64"/>
      <c r="E348" s="64"/>
    </row>
    <row r="349" spans="1:5" ht="12.75">
      <c r="A349" s="64"/>
      <c r="B349" s="64"/>
      <c r="C349" s="64"/>
      <c r="D349" s="64"/>
      <c r="E349" s="64"/>
    </row>
    <row r="350" spans="1:5" ht="12.75">
      <c r="A350" s="64"/>
      <c r="B350" s="64"/>
      <c r="C350" s="64"/>
      <c r="D350" s="64"/>
      <c r="E350" s="64"/>
    </row>
    <row r="351" spans="1:5" ht="12.75">
      <c r="A351" s="64"/>
      <c r="B351" s="64"/>
      <c r="C351" s="64"/>
      <c r="D351" s="64"/>
      <c r="E351" s="64"/>
    </row>
    <row r="352" spans="1:5" ht="12.75">
      <c r="A352" s="64"/>
      <c r="B352" s="64"/>
      <c r="C352" s="64"/>
      <c r="D352" s="64"/>
      <c r="E352" s="64"/>
    </row>
    <row r="353" spans="1:5" ht="12.75">
      <c r="A353" s="64"/>
      <c r="B353" s="64"/>
      <c r="C353" s="64"/>
      <c r="D353" s="64"/>
      <c r="E353" s="64"/>
    </row>
    <row r="354" spans="1:5" ht="12.75">
      <c r="A354" s="64"/>
      <c r="B354" s="64"/>
      <c r="C354" s="64"/>
      <c r="D354" s="64"/>
      <c r="E354" s="64"/>
    </row>
    <row r="355" spans="1:5" ht="12.75">
      <c r="A355" s="64"/>
      <c r="B355" s="64"/>
      <c r="C355" s="64"/>
      <c r="D355" s="64"/>
      <c r="E355" s="64"/>
    </row>
    <row r="356" spans="1:5" ht="12.75">
      <c r="A356" s="64"/>
      <c r="B356" s="64"/>
      <c r="C356" s="64"/>
      <c r="D356" s="64"/>
      <c r="E356" s="64"/>
    </row>
    <row r="357" spans="1:5" ht="12.75">
      <c r="A357" s="64"/>
      <c r="B357" s="64"/>
      <c r="C357" s="64"/>
      <c r="D357" s="64"/>
      <c r="E357" s="64"/>
    </row>
    <row r="358" spans="1:5" ht="12.75">
      <c r="A358" s="64"/>
      <c r="B358" s="64"/>
      <c r="C358" s="64"/>
      <c r="D358" s="64"/>
      <c r="E358" s="64"/>
    </row>
    <row r="359" spans="1:5" ht="12.75">
      <c r="A359" s="64"/>
      <c r="B359" s="64"/>
      <c r="C359" s="64"/>
      <c r="D359" s="64"/>
      <c r="E359" s="64"/>
    </row>
    <row r="360" spans="1:5" ht="12.75">
      <c r="A360" s="64"/>
      <c r="B360" s="64"/>
      <c r="C360" s="64"/>
      <c r="D360" s="64"/>
      <c r="E360" s="64"/>
    </row>
    <row r="361" spans="1:5" ht="12.75">
      <c r="A361" s="64"/>
      <c r="B361" s="64"/>
      <c r="C361" s="64"/>
      <c r="D361" s="64"/>
      <c r="E361" s="64"/>
    </row>
    <row r="362" spans="1:5" ht="12.75">
      <c r="A362" s="64"/>
      <c r="B362" s="64"/>
      <c r="C362" s="64"/>
      <c r="D362" s="64"/>
      <c r="E362" s="64"/>
    </row>
    <row r="363" spans="1:5" ht="12.75">
      <c r="A363" s="64"/>
      <c r="B363" s="64"/>
      <c r="C363" s="64"/>
      <c r="D363" s="64"/>
      <c r="E363" s="64"/>
    </row>
    <row r="364" spans="1:5" ht="12.75">
      <c r="A364" s="64"/>
      <c r="B364" s="64"/>
      <c r="C364" s="64"/>
      <c r="D364" s="64"/>
      <c r="E364" s="64"/>
    </row>
    <row r="365" spans="1:5" ht="12.75">
      <c r="A365" s="64"/>
      <c r="B365" s="64"/>
      <c r="C365" s="64"/>
      <c r="D365" s="64"/>
      <c r="E365" s="64"/>
    </row>
    <row r="366" spans="1:5" ht="12.75">
      <c r="A366" s="64"/>
      <c r="B366" s="64"/>
      <c r="C366" s="64"/>
      <c r="D366" s="64"/>
      <c r="E366" s="64"/>
    </row>
    <row r="367" spans="1:5" ht="12.75">
      <c r="A367" s="64"/>
      <c r="B367" s="64"/>
      <c r="C367" s="64"/>
      <c r="D367" s="64"/>
      <c r="E367" s="64"/>
    </row>
    <row r="368" spans="1:5" ht="12.75">
      <c r="A368" s="64"/>
      <c r="B368" s="64"/>
      <c r="C368" s="64"/>
      <c r="D368" s="64"/>
      <c r="E368" s="64"/>
    </row>
    <row r="369" spans="1:5" ht="12.75">
      <c r="A369" s="64"/>
      <c r="B369" s="64"/>
      <c r="C369" s="64"/>
      <c r="D369" s="64"/>
      <c r="E369" s="64"/>
    </row>
    <row r="370" spans="1:5" ht="12.75">
      <c r="A370" s="64"/>
      <c r="B370" s="64"/>
      <c r="C370" s="64"/>
      <c r="D370" s="64"/>
      <c r="E370" s="64"/>
    </row>
    <row r="371" spans="1:5" ht="12.75">
      <c r="A371" s="64"/>
      <c r="B371" s="64"/>
      <c r="C371" s="64"/>
      <c r="D371" s="64"/>
      <c r="E371" s="64"/>
    </row>
    <row r="372" spans="1:5" ht="12.75">
      <c r="A372" s="64"/>
      <c r="B372" s="64"/>
      <c r="C372" s="64"/>
      <c r="D372" s="64"/>
      <c r="E372" s="64"/>
    </row>
    <row r="373" spans="1:5" ht="12.75">
      <c r="A373" s="64"/>
      <c r="B373" s="64"/>
      <c r="C373" s="64"/>
      <c r="D373" s="64"/>
      <c r="E373" s="64"/>
    </row>
    <row r="374" spans="1:5" ht="12.75">
      <c r="A374" s="64"/>
      <c r="B374" s="64"/>
      <c r="C374" s="64"/>
      <c r="D374" s="64"/>
      <c r="E374" s="64"/>
    </row>
    <row r="375" spans="1:5" ht="12.75">
      <c r="A375" s="64"/>
      <c r="B375" s="64"/>
      <c r="C375" s="64"/>
      <c r="D375" s="64"/>
      <c r="E375" s="64"/>
    </row>
    <row r="376" spans="1:5" ht="12.75">
      <c r="A376" s="64"/>
      <c r="B376" s="64"/>
      <c r="C376" s="64"/>
      <c r="D376" s="64"/>
      <c r="E376" s="64"/>
    </row>
    <row r="377" spans="1:5" ht="12.75">
      <c r="A377" s="64"/>
      <c r="B377" s="64"/>
      <c r="C377" s="64"/>
      <c r="D377" s="64"/>
      <c r="E377" s="64"/>
    </row>
    <row r="378" spans="1:5" ht="12.75">
      <c r="A378" s="64"/>
      <c r="B378" s="64"/>
      <c r="C378" s="64"/>
      <c r="D378" s="64"/>
      <c r="E378" s="64"/>
    </row>
    <row r="379" spans="1:5" ht="12.75">
      <c r="A379" s="64"/>
      <c r="B379" s="64"/>
      <c r="C379" s="64"/>
      <c r="D379" s="64"/>
      <c r="E379" s="64"/>
    </row>
    <row r="380" spans="1:5" ht="12.75">
      <c r="A380" s="64"/>
      <c r="B380" s="64"/>
      <c r="C380" s="64"/>
      <c r="D380" s="64"/>
      <c r="E380" s="64"/>
    </row>
    <row r="381" spans="1:5" ht="12.75">
      <c r="A381" s="64"/>
      <c r="B381" s="64"/>
      <c r="C381" s="64"/>
      <c r="D381" s="64"/>
      <c r="E381" s="64"/>
    </row>
    <row r="382" spans="1:5" ht="12.75">
      <c r="A382" s="64"/>
      <c r="B382" s="64"/>
      <c r="C382" s="64"/>
      <c r="D382" s="64"/>
      <c r="E382" s="64"/>
    </row>
    <row r="383" spans="1:5" ht="12.75">
      <c r="A383" s="64"/>
      <c r="B383" s="64"/>
      <c r="C383" s="64"/>
      <c r="D383" s="64"/>
      <c r="E383" s="64"/>
    </row>
    <row r="384" spans="1:5" ht="12.75">
      <c r="A384" s="64"/>
      <c r="B384" s="64"/>
      <c r="C384" s="64"/>
      <c r="D384" s="64"/>
      <c r="E384" s="64"/>
    </row>
    <row r="385" spans="1:5" ht="12.75">
      <c r="A385" s="64"/>
      <c r="B385" s="64"/>
      <c r="C385" s="64"/>
      <c r="D385" s="64"/>
      <c r="E385" s="64"/>
    </row>
    <row r="386" spans="1:5" ht="12.75">
      <c r="A386" s="64"/>
      <c r="B386" s="64"/>
      <c r="C386" s="64"/>
      <c r="D386" s="64"/>
      <c r="E386" s="64"/>
    </row>
    <row r="387" spans="1:5" ht="12.75">
      <c r="A387" s="64"/>
      <c r="B387" s="64"/>
      <c r="C387" s="64"/>
      <c r="D387" s="64"/>
      <c r="E387" s="64"/>
    </row>
    <row r="388" spans="1:5" ht="12.75">
      <c r="A388" s="64"/>
      <c r="B388" s="64"/>
      <c r="C388" s="64"/>
      <c r="D388" s="64"/>
      <c r="E388" s="64"/>
    </row>
    <row r="389" spans="1:5" ht="12.75">
      <c r="A389" s="64"/>
      <c r="B389" s="64"/>
      <c r="C389" s="64"/>
      <c r="D389" s="64"/>
      <c r="E389" s="64"/>
    </row>
    <row r="390" spans="1:5" ht="12.75">
      <c r="A390" s="64"/>
      <c r="B390" s="64"/>
      <c r="C390" s="64"/>
      <c r="D390" s="64"/>
      <c r="E390" s="64"/>
    </row>
    <row r="391" spans="1:5" ht="12.75">
      <c r="A391" s="64"/>
      <c r="B391" s="64"/>
      <c r="C391" s="64"/>
      <c r="D391" s="64"/>
      <c r="E391" s="64"/>
    </row>
    <row r="392" spans="1:5" ht="12.75">
      <c r="A392" s="64"/>
      <c r="B392" s="64"/>
      <c r="C392" s="64"/>
      <c r="D392" s="64"/>
      <c r="E392" s="64"/>
    </row>
    <row r="393" spans="1:5" ht="12.75">
      <c r="A393" s="64"/>
      <c r="B393" s="64"/>
      <c r="C393" s="64"/>
      <c r="D393" s="64"/>
      <c r="E393" s="64"/>
    </row>
    <row r="394" spans="1:5" ht="12.75">
      <c r="A394" s="64"/>
      <c r="B394" s="64"/>
      <c r="C394" s="64"/>
      <c r="D394" s="64"/>
      <c r="E394" s="64"/>
    </row>
    <row r="395" spans="1:5" ht="12.75">
      <c r="A395" s="64"/>
      <c r="B395" s="64"/>
      <c r="C395" s="64"/>
      <c r="D395" s="64"/>
      <c r="E395" s="64"/>
    </row>
    <row r="396" spans="1:5" ht="12.75">
      <c r="A396" s="64"/>
      <c r="B396" s="64"/>
      <c r="C396" s="64"/>
      <c r="D396" s="64"/>
      <c r="E396" s="64"/>
    </row>
    <row r="397" spans="1:5" ht="12.75">
      <c r="A397" s="64"/>
      <c r="B397" s="64"/>
      <c r="C397" s="64"/>
      <c r="D397" s="64"/>
      <c r="E397" s="64"/>
    </row>
    <row r="398" spans="1:5" ht="12.75">
      <c r="A398" s="64"/>
      <c r="B398" s="64"/>
      <c r="C398" s="64"/>
      <c r="D398" s="64"/>
      <c r="E398" s="64"/>
    </row>
    <row r="399" spans="1:5" ht="12.75">
      <c r="A399" s="64"/>
      <c r="B399" s="64"/>
      <c r="C399" s="64"/>
      <c r="D399" s="64"/>
      <c r="E399" s="64"/>
    </row>
    <row r="400" spans="1:5" ht="12.75">
      <c r="A400" s="64"/>
      <c r="B400" s="64"/>
      <c r="C400" s="64"/>
      <c r="D400" s="64"/>
      <c r="E400" s="64"/>
    </row>
    <row r="401" spans="1:5" ht="12.75">
      <c r="A401" s="64"/>
      <c r="B401" s="64"/>
      <c r="C401" s="64"/>
      <c r="D401" s="64"/>
      <c r="E401" s="64"/>
    </row>
    <row r="402" spans="1:5" ht="12.75">
      <c r="A402" s="64"/>
      <c r="B402" s="64"/>
      <c r="C402" s="64"/>
      <c r="D402" s="64"/>
      <c r="E402" s="64"/>
    </row>
    <row r="403" spans="1:5" ht="12.75">
      <c r="A403" s="64"/>
      <c r="B403" s="64"/>
      <c r="C403" s="64"/>
      <c r="D403" s="64"/>
      <c r="E403" s="64"/>
    </row>
    <row r="404" spans="1:5" ht="12.75">
      <c r="A404" s="64"/>
      <c r="B404" s="64"/>
      <c r="C404" s="64"/>
      <c r="D404" s="64"/>
      <c r="E404" s="64"/>
    </row>
    <row r="405" spans="1:5" ht="12.75">
      <c r="A405" s="64"/>
      <c r="B405" s="64"/>
      <c r="C405" s="64"/>
      <c r="D405" s="64"/>
      <c r="E405" s="64"/>
    </row>
    <row r="406" spans="1:5" ht="12.75">
      <c r="A406" s="64"/>
      <c r="B406" s="64"/>
      <c r="C406" s="64"/>
      <c r="D406" s="64"/>
      <c r="E406" s="64"/>
    </row>
    <row r="407" spans="1:5" ht="12.75">
      <c r="A407" s="64"/>
      <c r="B407" s="64"/>
      <c r="C407" s="64"/>
      <c r="D407" s="64"/>
      <c r="E407" s="64"/>
    </row>
    <row r="408" spans="1:5" ht="12.75">
      <c r="A408" s="64"/>
      <c r="B408" s="64"/>
      <c r="C408" s="64"/>
      <c r="D408" s="64"/>
      <c r="E408" s="64"/>
    </row>
    <row r="409" spans="1:5" ht="12.75">
      <c r="A409" s="64"/>
      <c r="B409" s="64"/>
      <c r="C409" s="64"/>
      <c r="D409" s="64"/>
      <c r="E409" s="64"/>
    </row>
    <row r="410" spans="1:5" ht="12.75">
      <c r="A410" s="64"/>
      <c r="B410" s="64"/>
      <c r="C410" s="64"/>
      <c r="D410" s="64"/>
      <c r="E410" s="64"/>
    </row>
    <row r="411" spans="1:5" ht="12.75">
      <c r="A411" s="64"/>
      <c r="B411" s="64"/>
      <c r="C411" s="64"/>
      <c r="D411" s="64"/>
      <c r="E411" s="64"/>
    </row>
    <row r="412" spans="1:5" ht="12.75">
      <c r="A412" s="64"/>
      <c r="B412" s="64"/>
      <c r="C412" s="64"/>
      <c r="D412" s="64"/>
      <c r="E412" s="64"/>
    </row>
    <row r="413" spans="1:5" ht="12.75">
      <c r="A413" s="64"/>
      <c r="B413" s="64"/>
      <c r="C413" s="64"/>
      <c r="D413" s="64"/>
      <c r="E413" s="64"/>
    </row>
    <row r="414" spans="1:5" ht="12.75">
      <c r="A414" s="64"/>
      <c r="B414" s="64"/>
      <c r="C414" s="64"/>
      <c r="D414" s="64"/>
      <c r="E414" s="64"/>
    </row>
    <row r="415" spans="1:5" ht="12.75">
      <c r="A415" s="64"/>
      <c r="B415" s="64"/>
      <c r="C415" s="64"/>
      <c r="D415" s="64"/>
      <c r="E415" s="64"/>
    </row>
    <row r="416" spans="1:5" ht="12.75">
      <c r="A416" s="64"/>
      <c r="B416" s="64"/>
      <c r="C416" s="64"/>
      <c r="D416" s="64"/>
      <c r="E416" s="64"/>
    </row>
    <row r="417" spans="1:5" ht="12.75">
      <c r="A417" s="64"/>
      <c r="B417" s="64"/>
      <c r="C417" s="64"/>
      <c r="D417" s="64"/>
      <c r="E417" s="64"/>
    </row>
    <row r="418" spans="1:5" ht="12.75">
      <c r="A418" s="64"/>
      <c r="B418" s="64"/>
      <c r="C418" s="64"/>
      <c r="D418" s="64"/>
      <c r="E418" s="64"/>
    </row>
    <row r="419" spans="1:5" ht="12.75">
      <c r="A419" s="64"/>
      <c r="B419" s="64"/>
      <c r="C419" s="64"/>
      <c r="D419" s="64"/>
      <c r="E419" s="64"/>
    </row>
    <row r="420" spans="1:5" ht="12.75">
      <c r="A420" s="64"/>
      <c r="B420" s="64"/>
      <c r="C420" s="64"/>
      <c r="D420" s="64"/>
      <c r="E420" s="64"/>
    </row>
    <row r="421" spans="1:5" ht="12.75">
      <c r="A421" s="64"/>
      <c r="B421" s="64"/>
      <c r="C421" s="64"/>
      <c r="D421" s="64"/>
      <c r="E421" s="64"/>
    </row>
    <row r="422" spans="1:5" ht="12.75">
      <c r="A422" s="64"/>
      <c r="B422" s="64"/>
      <c r="C422" s="64"/>
      <c r="D422" s="64"/>
      <c r="E422" s="64"/>
    </row>
    <row r="423" spans="1:5" ht="12.75">
      <c r="A423" s="64"/>
      <c r="B423" s="64"/>
      <c r="C423" s="64"/>
      <c r="D423" s="64"/>
      <c r="E423" s="64"/>
    </row>
    <row r="424" spans="1:5" ht="12.75">
      <c r="A424" s="64"/>
      <c r="B424" s="64"/>
      <c r="C424" s="64"/>
      <c r="D424" s="64"/>
      <c r="E424" s="64"/>
    </row>
    <row r="425" spans="1:5" ht="12.75">
      <c r="A425" s="64"/>
      <c r="B425" s="64"/>
      <c r="C425" s="64"/>
      <c r="D425" s="64"/>
      <c r="E425" s="64"/>
    </row>
    <row r="426" spans="1:5" ht="12.75">
      <c r="A426" s="64"/>
      <c r="B426" s="64"/>
      <c r="C426" s="64"/>
      <c r="D426" s="64"/>
      <c r="E426" s="64"/>
    </row>
    <row r="427" spans="1:5" ht="12.75">
      <c r="A427" s="64"/>
      <c r="B427" s="64"/>
      <c r="C427" s="64"/>
      <c r="D427" s="64"/>
      <c r="E427" s="64"/>
    </row>
    <row r="428" spans="1:5" ht="12.75">
      <c r="A428" s="64"/>
      <c r="B428" s="64"/>
      <c r="C428" s="64"/>
      <c r="D428" s="64"/>
      <c r="E428" s="64"/>
    </row>
    <row r="429" spans="1:5" ht="12.75">
      <c r="A429" s="64"/>
      <c r="B429" s="64"/>
      <c r="C429" s="64"/>
      <c r="D429" s="64"/>
      <c r="E429" s="64"/>
    </row>
    <row r="430" spans="1:5" ht="12.75">
      <c r="A430" s="64"/>
      <c r="B430" s="64"/>
      <c r="C430" s="64"/>
      <c r="D430" s="64"/>
      <c r="E430" s="64"/>
    </row>
    <row r="431" spans="1:5" ht="12.75">
      <c r="A431" s="64"/>
      <c r="B431" s="64"/>
      <c r="C431" s="64"/>
      <c r="D431" s="64"/>
      <c r="E431" s="64"/>
    </row>
    <row r="432" spans="1:5" ht="12.75">
      <c r="A432" s="64"/>
      <c r="B432" s="64"/>
      <c r="C432" s="64"/>
      <c r="D432" s="64"/>
      <c r="E432" s="64"/>
    </row>
    <row r="433" spans="1:5" ht="12.75">
      <c r="A433" s="64"/>
      <c r="B433" s="64"/>
      <c r="C433" s="64"/>
      <c r="D433" s="64"/>
      <c r="E433" s="64"/>
    </row>
    <row r="434" spans="1:5" ht="12.75">
      <c r="A434" s="64"/>
      <c r="B434" s="64"/>
      <c r="C434" s="64"/>
      <c r="D434" s="64"/>
      <c r="E434" s="64"/>
    </row>
    <row r="435" spans="1:5" ht="12.75">
      <c r="A435" s="64"/>
      <c r="B435" s="64"/>
      <c r="C435" s="64"/>
      <c r="D435" s="64"/>
      <c r="E435" s="64"/>
    </row>
    <row r="436" spans="1:5" ht="12.75">
      <c r="A436" s="64"/>
      <c r="B436" s="64"/>
      <c r="C436" s="64"/>
      <c r="D436" s="64"/>
      <c r="E436" s="64"/>
    </row>
    <row r="437" spans="1:5" ht="12.75">
      <c r="A437" s="64"/>
      <c r="B437" s="64"/>
      <c r="C437" s="64"/>
      <c r="D437" s="64"/>
      <c r="E437" s="64"/>
    </row>
    <row r="438" spans="1:5" ht="12.75">
      <c r="A438" s="64"/>
      <c r="B438" s="64"/>
      <c r="C438" s="64"/>
      <c r="D438" s="64"/>
      <c r="E438" s="64"/>
    </row>
    <row r="439" spans="1:5" ht="12.75">
      <c r="A439" s="64"/>
      <c r="B439" s="64"/>
      <c r="C439" s="64"/>
      <c r="D439" s="64"/>
      <c r="E439" s="64"/>
    </row>
    <row r="440" spans="1:5" ht="12.75">
      <c r="A440" s="64"/>
      <c r="B440" s="64"/>
      <c r="C440" s="64"/>
      <c r="D440" s="64"/>
      <c r="E440" s="64"/>
    </row>
    <row r="441" spans="1:5" ht="12.75">
      <c r="A441" s="64"/>
      <c r="B441" s="64"/>
      <c r="C441" s="64"/>
      <c r="D441" s="64"/>
      <c r="E441" s="64"/>
    </row>
    <row r="442" spans="1:5" ht="12.75">
      <c r="A442" s="64"/>
      <c r="B442" s="64"/>
      <c r="C442" s="64"/>
      <c r="D442" s="64"/>
      <c r="E442" s="64"/>
    </row>
    <row r="443" spans="1:5" ht="12.75">
      <c r="A443" s="64"/>
      <c r="B443" s="64"/>
      <c r="C443" s="64"/>
      <c r="D443" s="64"/>
      <c r="E443" s="64"/>
    </row>
    <row r="444" spans="1:5" ht="12.75">
      <c r="A444" s="64"/>
      <c r="B444" s="64"/>
      <c r="C444" s="64"/>
      <c r="D444" s="64"/>
      <c r="E444" s="64"/>
    </row>
    <row r="445" spans="1:5" ht="12.75">
      <c r="A445" s="64"/>
      <c r="B445" s="64"/>
      <c r="C445" s="64"/>
      <c r="D445" s="64"/>
      <c r="E445" s="64"/>
    </row>
    <row r="446" spans="1:5" ht="12.75">
      <c r="A446" s="64"/>
      <c r="B446" s="64"/>
      <c r="C446" s="64"/>
      <c r="D446" s="64"/>
      <c r="E446" s="64"/>
    </row>
    <row r="447" spans="1:5" ht="12.75">
      <c r="A447" s="64"/>
      <c r="B447" s="64"/>
      <c r="C447" s="64"/>
      <c r="D447" s="64"/>
      <c r="E447" s="64"/>
    </row>
    <row r="448" spans="1:5" ht="12.75">
      <c r="A448" s="64"/>
      <c r="B448" s="64"/>
      <c r="C448" s="64"/>
      <c r="D448" s="64"/>
      <c r="E448" s="64"/>
    </row>
    <row r="449" spans="1:5" ht="12.75">
      <c r="A449" s="64"/>
      <c r="B449" s="64"/>
      <c r="C449" s="64"/>
      <c r="D449" s="64"/>
      <c r="E449" s="64"/>
    </row>
    <row r="450" spans="1:5" ht="12.75">
      <c r="A450" s="64"/>
      <c r="B450" s="64"/>
      <c r="C450" s="64"/>
      <c r="D450" s="64"/>
      <c r="E450" s="64"/>
    </row>
    <row r="451" spans="1:5" ht="12.75">
      <c r="A451" s="64"/>
      <c r="B451" s="64"/>
      <c r="C451" s="64"/>
      <c r="D451" s="64"/>
      <c r="E451" s="64"/>
    </row>
    <row r="452" spans="1:5" ht="12.75">
      <c r="A452" s="64"/>
      <c r="B452" s="64"/>
      <c r="C452" s="64"/>
      <c r="D452" s="64"/>
      <c r="E452" s="64"/>
    </row>
    <row r="453" spans="1:5" ht="12.75">
      <c r="A453" s="64"/>
      <c r="B453" s="64"/>
      <c r="C453" s="64"/>
      <c r="D453" s="64"/>
      <c r="E453" s="64"/>
    </row>
    <row r="454" spans="1:5" ht="12.75">
      <c r="A454" s="64"/>
      <c r="B454" s="64"/>
      <c r="C454" s="64"/>
      <c r="D454" s="64"/>
      <c r="E454" s="64"/>
    </row>
    <row r="455" spans="1:5" ht="12.75">
      <c r="A455" s="64"/>
      <c r="B455" s="64"/>
      <c r="C455" s="64"/>
      <c r="D455" s="64"/>
      <c r="E455" s="64"/>
    </row>
    <row r="456" spans="1:5" ht="12.75">
      <c r="A456" s="64"/>
      <c r="B456" s="64"/>
      <c r="C456" s="64"/>
      <c r="D456" s="64"/>
      <c r="E456" s="64"/>
    </row>
    <row r="457" spans="1:5" ht="12.75">
      <c r="A457" s="64"/>
      <c r="B457" s="64"/>
      <c r="C457" s="64"/>
      <c r="D457" s="64"/>
      <c r="E457" s="64"/>
    </row>
    <row r="458" spans="1:5" ht="12.75">
      <c r="A458" s="64"/>
      <c r="B458" s="64"/>
      <c r="C458" s="64"/>
      <c r="D458" s="64"/>
      <c r="E458" s="64"/>
    </row>
    <row r="459" spans="1:5" ht="12.75">
      <c r="A459" s="64"/>
      <c r="B459" s="64"/>
      <c r="C459" s="64"/>
      <c r="D459" s="64"/>
      <c r="E459" s="64"/>
    </row>
    <row r="460" spans="1:5" ht="12.75">
      <c r="A460" s="64"/>
      <c r="B460" s="64"/>
      <c r="C460" s="64"/>
      <c r="D460" s="64"/>
      <c r="E460" s="64"/>
    </row>
    <row r="461" spans="1:5" ht="12.75">
      <c r="A461" s="64"/>
      <c r="B461" s="64"/>
      <c r="C461" s="64"/>
      <c r="D461" s="64"/>
      <c r="E461" s="64"/>
    </row>
    <row r="462" spans="1:5" ht="12.75">
      <c r="A462" s="64"/>
      <c r="B462" s="64"/>
      <c r="C462" s="64"/>
      <c r="D462" s="64"/>
      <c r="E462" s="64"/>
    </row>
    <row r="463" spans="1:5" ht="12.75">
      <c r="A463" s="64"/>
      <c r="B463" s="64"/>
      <c r="C463" s="64"/>
      <c r="D463" s="64"/>
      <c r="E463" s="64"/>
    </row>
    <row r="464" spans="1:5" ht="12.75">
      <c r="A464" s="64"/>
      <c r="B464" s="64"/>
      <c r="C464" s="64"/>
      <c r="D464" s="64"/>
      <c r="E464" s="64"/>
    </row>
    <row r="465" spans="1:5" ht="12.75">
      <c r="A465" s="64"/>
      <c r="B465" s="64"/>
      <c r="C465" s="64"/>
      <c r="D465" s="64"/>
      <c r="E465" s="64"/>
    </row>
    <row r="466" spans="1:5" ht="12.75">
      <c r="A466" s="64"/>
      <c r="B466" s="64"/>
      <c r="C466" s="64"/>
      <c r="D466" s="64"/>
      <c r="E466" s="64"/>
    </row>
    <row r="467" spans="1:5" ht="12.75">
      <c r="A467" s="64"/>
      <c r="B467" s="64"/>
      <c r="C467" s="64"/>
      <c r="D467" s="64"/>
      <c r="E467" s="64"/>
    </row>
    <row r="468" spans="1:5" ht="12.75">
      <c r="A468" s="64"/>
      <c r="B468" s="64"/>
      <c r="C468" s="64"/>
      <c r="D468" s="64"/>
      <c r="E468" s="64"/>
    </row>
    <row r="469" spans="1:5" ht="12.75">
      <c r="A469" s="64"/>
      <c r="B469" s="64"/>
      <c r="C469" s="64"/>
      <c r="D469" s="64"/>
      <c r="E469" s="64"/>
    </row>
    <row r="470" spans="1:5" ht="12.75">
      <c r="A470" s="64"/>
      <c r="B470" s="64"/>
      <c r="C470" s="64"/>
      <c r="D470" s="64"/>
      <c r="E470" s="64"/>
    </row>
    <row r="471" spans="1:5" ht="12.75">
      <c r="A471" s="64"/>
      <c r="B471" s="64"/>
      <c r="C471" s="64"/>
      <c r="D471" s="64"/>
      <c r="E471" s="64"/>
    </row>
    <row r="472" spans="1:5" ht="12.75">
      <c r="A472" s="64"/>
      <c r="B472" s="64"/>
      <c r="C472" s="64"/>
      <c r="D472" s="64"/>
      <c r="E472" s="64"/>
    </row>
    <row r="473" spans="1:5" ht="12.75">
      <c r="A473" s="64"/>
      <c r="B473" s="64"/>
      <c r="C473" s="64"/>
      <c r="D473" s="64"/>
      <c r="E473" s="64"/>
    </row>
    <row r="474" spans="1:5" ht="12.75">
      <c r="A474" s="64"/>
      <c r="B474" s="64"/>
      <c r="C474" s="64"/>
      <c r="D474" s="64"/>
      <c r="E474" s="64"/>
    </row>
    <row r="475" spans="1:5" ht="12.75">
      <c r="A475" s="64"/>
      <c r="B475" s="64"/>
      <c r="C475" s="64"/>
      <c r="D475" s="64"/>
      <c r="E475" s="64"/>
    </row>
    <row r="476" spans="1:5" ht="12.75">
      <c r="A476" s="64"/>
      <c r="B476" s="64"/>
      <c r="C476" s="64"/>
      <c r="D476" s="64"/>
      <c r="E476" s="64"/>
    </row>
    <row r="477" spans="1:5" ht="12.75">
      <c r="A477" s="64"/>
      <c r="B477" s="64"/>
      <c r="C477" s="64"/>
      <c r="D477" s="64"/>
      <c r="E477" s="64"/>
    </row>
    <row r="478" spans="1:5" ht="12.75">
      <c r="A478" s="64"/>
      <c r="B478" s="64"/>
      <c r="C478" s="64"/>
      <c r="D478" s="64"/>
      <c r="E478" s="64"/>
    </row>
    <row r="479" spans="1:5" ht="12.75">
      <c r="A479" s="64"/>
      <c r="B479" s="64"/>
      <c r="C479" s="64"/>
      <c r="D479" s="64"/>
      <c r="E479" s="64"/>
    </row>
    <row r="480" spans="1:5" ht="12.75">
      <c r="A480" s="64"/>
      <c r="B480" s="64"/>
      <c r="C480" s="64"/>
      <c r="D480" s="64"/>
      <c r="E480" s="64"/>
    </row>
    <row r="481" spans="1:5" ht="12.75">
      <c r="A481" s="64"/>
      <c r="B481" s="64"/>
      <c r="C481" s="64"/>
      <c r="D481" s="64"/>
      <c r="E481" s="64"/>
    </row>
    <row r="482" spans="1:5" ht="12.75">
      <c r="A482" s="64"/>
      <c r="B482" s="64"/>
      <c r="C482" s="64"/>
      <c r="D482" s="64"/>
      <c r="E482" s="64"/>
    </row>
    <row r="483" spans="1:5" ht="12.75">
      <c r="A483" s="64"/>
      <c r="B483" s="64"/>
      <c r="C483" s="64"/>
      <c r="D483" s="64"/>
      <c r="E483" s="64"/>
    </row>
    <row r="484" spans="1:5" ht="12.75">
      <c r="A484" s="64"/>
      <c r="B484" s="64"/>
      <c r="C484" s="64"/>
      <c r="D484" s="64"/>
      <c r="E484" s="64"/>
    </row>
    <row r="485" spans="1:5" ht="12.75">
      <c r="A485" s="64"/>
      <c r="B485" s="64"/>
      <c r="C485" s="64"/>
      <c r="D485" s="64"/>
      <c r="E485" s="64"/>
    </row>
    <row r="486" spans="1:5" ht="12.75">
      <c r="A486" s="64"/>
      <c r="B486" s="64"/>
      <c r="C486" s="64"/>
      <c r="D486" s="64"/>
      <c r="E486" s="64"/>
    </row>
    <row r="487" spans="1:5" ht="12.75">
      <c r="A487" s="64"/>
      <c r="B487" s="64"/>
      <c r="C487" s="64"/>
      <c r="D487" s="64"/>
      <c r="E487" s="64"/>
    </row>
    <row r="488" spans="1:5" ht="12.75">
      <c r="A488" s="64"/>
      <c r="B488" s="64"/>
      <c r="C488" s="64"/>
      <c r="D488" s="64"/>
      <c r="E488" s="64"/>
    </row>
    <row r="489" spans="1:5" ht="12.75">
      <c r="A489" s="64"/>
      <c r="B489" s="64"/>
      <c r="C489" s="64"/>
      <c r="D489" s="64"/>
      <c r="E489" s="64"/>
    </row>
    <row r="490" spans="1:5" ht="12.75">
      <c r="A490" s="64"/>
      <c r="B490" s="64"/>
      <c r="C490" s="64"/>
      <c r="D490" s="64"/>
      <c r="E490" s="64"/>
    </row>
    <row r="491" spans="1:5" ht="12.75">
      <c r="A491" s="64"/>
      <c r="B491" s="64"/>
      <c r="C491" s="64"/>
      <c r="D491" s="64"/>
      <c r="E491" s="64"/>
    </row>
    <row r="492" spans="1:5" ht="12.75">
      <c r="A492" s="64"/>
      <c r="B492" s="64"/>
      <c r="C492" s="64"/>
      <c r="D492" s="64"/>
      <c r="E492" s="64"/>
    </row>
    <row r="493" spans="1:5" ht="12.75">
      <c r="A493" s="64"/>
      <c r="B493" s="64"/>
      <c r="C493" s="64"/>
      <c r="D493" s="64"/>
      <c r="E493" s="64"/>
    </row>
    <row r="494" spans="1:5" ht="12.75">
      <c r="A494" s="64"/>
      <c r="B494" s="64"/>
      <c r="C494" s="64"/>
      <c r="D494" s="64"/>
      <c r="E494" s="64"/>
    </row>
    <row r="495" spans="1:5" ht="12.75">
      <c r="A495" s="64"/>
      <c r="B495" s="64"/>
      <c r="C495" s="64"/>
      <c r="D495" s="64"/>
      <c r="E495" s="64"/>
    </row>
    <row r="496" spans="1:5" ht="12.75">
      <c r="A496" s="64"/>
      <c r="B496" s="64"/>
      <c r="C496" s="64"/>
      <c r="D496" s="64"/>
      <c r="E496" s="64"/>
    </row>
    <row r="497" spans="1:5" ht="12.75">
      <c r="A497" s="64"/>
      <c r="B497" s="64"/>
      <c r="C497" s="64"/>
      <c r="D497" s="64"/>
      <c r="E497" s="64"/>
    </row>
    <row r="498" spans="1:5" ht="12.75">
      <c r="A498" s="64"/>
      <c r="B498" s="64"/>
      <c r="C498" s="64"/>
      <c r="D498" s="64"/>
      <c r="E498" s="64"/>
    </row>
    <row r="499" spans="1:5" ht="12.75">
      <c r="A499" s="64"/>
      <c r="B499" s="64"/>
      <c r="C499" s="64"/>
      <c r="D499" s="64"/>
      <c r="E499" s="64"/>
    </row>
    <row r="500" spans="1:5" ht="12.75">
      <c r="A500" s="64"/>
      <c r="B500" s="64"/>
      <c r="C500" s="64"/>
      <c r="D500" s="64"/>
      <c r="E500" s="64"/>
    </row>
    <row r="501" spans="1:5" ht="12.75">
      <c r="A501" s="64"/>
      <c r="B501" s="64"/>
      <c r="C501" s="64"/>
      <c r="D501" s="64"/>
      <c r="E501" s="64"/>
    </row>
    <row r="502" spans="1:5" ht="12.75">
      <c r="A502" s="64"/>
      <c r="B502" s="64"/>
      <c r="C502" s="64"/>
      <c r="D502" s="64"/>
      <c r="E502" s="64"/>
    </row>
    <row r="503" spans="1:5" ht="12.75">
      <c r="A503" s="64"/>
      <c r="B503" s="64"/>
      <c r="C503" s="64"/>
      <c r="D503" s="64"/>
      <c r="E503" s="64"/>
    </row>
    <row r="504" spans="1:5" ht="12.75">
      <c r="A504" s="64"/>
      <c r="B504" s="64"/>
      <c r="C504" s="64"/>
      <c r="D504" s="64"/>
      <c r="E504" s="64"/>
    </row>
    <row r="505" spans="1:5" ht="12.75">
      <c r="A505" s="64"/>
      <c r="B505" s="64"/>
      <c r="C505" s="64"/>
      <c r="D505" s="64"/>
      <c r="E505" s="64"/>
    </row>
    <row r="506" spans="1:5" ht="12.75">
      <c r="A506" s="64"/>
      <c r="B506" s="64"/>
      <c r="C506" s="64"/>
      <c r="D506" s="64"/>
      <c r="E506" s="64"/>
    </row>
    <row r="507" spans="1:5" ht="12.75">
      <c r="A507" s="64"/>
      <c r="B507" s="64"/>
      <c r="C507" s="64"/>
      <c r="D507" s="64"/>
      <c r="E507" s="64"/>
    </row>
    <row r="508" spans="1:5" ht="12.75">
      <c r="A508" s="64"/>
      <c r="B508" s="64"/>
      <c r="C508" s="64"/>
      <c r="D508" s="64"/>
      <c r="E508" s="64"/>
    </row>
    <row r="509" spans="1:5" ht="12.75">
      <c r="A509" s="64"/>
      <c r="B509" s="64"/>
      <c r="C509" s="64"/>
      <c r="D509" s="64"/>
      <c r="E509" s="64"/>
    </row>
    <row r="510" spans="1:5" ht="12.75">
      <c r="A510" s="64"/>
      <c r="B510" s="64"/>
      <c r="C510" s="64"/>
      <c r="D510" s="64"/>
      <c r="E510" s="64"/>
    </row>
    <row r="511" spans="1:5" ht="12.75">
      <c r="A511" s="64"/>
      <c r="B511" s="64"/>
      <c r="C511" s="64"/>
      <c r="D511" s="64"/>
      <c r="E511" s="64"/>
    </row>
    <row r="512" spans="1:5" ht="12.75">
      <c r="A512" s="64"/>
      <c r="B512" s="64"/>
      <c r="C512" s="64"/>
      <c r="D512" s="64"/>
      <c r="E512" s="64"/>
    </row>
    <row r="513" spans="1:5" ht="12.75">
      <c r="A513" s="64"/>
      <c r="B513" s="64"/>
      <c r="C513" s="64"/>
      <c r="D513" s="64"/>
      <c r="E513" s="64"/>
    </row>
    <row r="514" spans="1:5" ht="12.75">
      <c r="A514" s="64"/>
      <c r="B514" s="64"/>
      <c r="C514" s="64"/>
      <c r="D514" s="64"/>
      <c r="E514" s="64"/>
    </row>
    <row r="515" spans="1:5" ht="12.75">
      <c r="A515" s="64"/>
      <c r="B515" s="64"/>
      <c r="C515" s="64"/>
      <c r="D515" s="64"/>
      <c r="E515" s="64"/>
    </row>
    <row r="516" spans="1:5" ht="12.75">
      <c r="A516" s="64"/>
      <c r="B516" s="64"/>
      <c r="C516" s="64"/>
      <c r="D516" s="64"/>
      <c r="E516" s="64"/>
    </row>
    <row r="517" spans="1:5" ht="12.75">
      <c r="A517" s="64"/>
      <c r="B517" s="64"/>
      <c r="C517" s="64"/>
      <c r="D517" s="64"/>
      <c r="E517" s="64"/>
    </row>
    <row r="518" spans="1:5" ht="12.75">
      <c r="A518" s="64"/>
      <c r="B518" s="64"/>
      <c r="C518" s="64"/>
      <c r="D518" s="64"/>
      <c r="E518" s="64"/>
    </row>
    <row r="519" spans="1:5" ht="12.75">
      <c r="A519" s="64"/>
      <c r="B519" s="64"/>
      <c r="C519" s="64"/>
      <c r="D519" s="64"/>
      <c r="E519" s="64"/>
    </row>
    <row r="520" spans="1:5" ht="12.75">
      <c r="A520" s="64"/>
      <c r="B520" s="64"/>
      <c r="C520" s="64"/>
      <c r="D520" s="64"/>
      <c r="E520" s="64"/>
    </row>
    <row r="521" spans="1:5" ht="12.75">
      <c r="A521" s="64"/>
      <c r="B521" s="64"/>
      <c r="C521" s="64"/>
      <c r="D521" s="64"/>
      <c r="E521" s="64"/>
    </row>
    <row r="522" spans="1:5" ht="12.75">
      <c r="A522" s="64"/>
      <c r="B522" s="64"/>
      <c r="C522" s="64"/>
      <c r="D522" s="64"/>
      <c r="E522" s="64"/>
    </row>
    <row r="523" spans="1:5" ht="12.75">
      <c r="A523" s="64"/>
      <c r="B523" s="64"/>
      <c r="C523" s="64"/>
      <c r="D523" s="64"/>
      <c r="E523" s="64"/>
    </row>
    <row r="524" spans="1:5" ht="12.75">
      <c r="A524" s="64"/>
      <c r="B524" s="64"/>
      <c r="C524" s="64"/>
      <c r="D524" s="64"/>
      <c r="E524" s="64"/>
    </row>
    <row r="525" spans="1:5" ht="12.75">
      <c r="A525" s="64"/>
      <c r="B525" s="64"/>
      <c r="C525" s="64"/>
      <c r="D525" s="64"/>
      <c r="E525" s="64"/>
    </row>
    <row r="526" spans="1:5" ht="12.75">
      <c r="A526" s="64"/>
      <c r="B526" s="64"/>
      <c r="C526" s="64"/>
      <c r="D526" s="64"/>
      <c r="E526" s="64"/>
    </row>
    <row r="527" spans="1:5" ht="12.75">
      <c r="A527" s="64"/>
      <c r="B527" s="64"/>
      <c r="C527" s="64"/>
      <c r="D527" s="64"/>
      <c r="E527" s="64"/>
    </row>
    <row r="528" spans="1:5" ht="12.75">
      <c r="A528" s="64"/>
      <c r="B528" s="64"/>
      <c r="C528" s="64"/>
      <c r="D528" s="64"/>
      <c r="E528" s="64"/>
    </row>
    <row r="529" spans="1:5" ht="12.75">
      <c r="A529" s="64"/>
      <c r="B529" s="64"/>
      <c r="C529" s="64"/>
      <c r="D529" s="64"/>
      <c r="E529" s="64"/>
    </row>
    <row r="530" spans="1:5" ht="12.75">
      <c r="A530" s="64"/>
      <c r="B530" s="64"/>
      <c r="C530" s="64"/>
      <c r="D530" s="64"/>
      <c r="E530" s="64"/>
    </row>
    <row r="531" spans="1:5" ht="12.75">
      <c r="A531" s="64"/>
      <c r="B531" s="64"/>
      <c r="C531" s="64"/>
      <c r="D531" s="64"/>
      <c r="E531" s="64"/>
    </row>
    <row r="532" spans="1:5" ht="12.75">
      <c r="A532" s="64"/>
      <c r="B532" s="64"/>
      <c r="C532" s="64"/>
      <c r="D532" s="64"/>
      <c r="E532" s="64"/>
    </row>
    <row r="533" spans="1:5" ht="12.75">
      <c r="A533" s="64"/>
      <c r="B533" s="64"/>
      <c r="C533" s="64"/>
      <c r="D533" s="64"/>
      <c r="E533" s="64"/>
    </row>
    <row r="534" spans="1:5" ht="12.75">
      <c r="A534" s="64"/>
      <c r="B534" s="64"/>
      <c r="C534" s="64"/>
      <c r="D534" s="64"/>
      <c r="E534" s="64"/>
    </row>
    <row r="535" spans="1:5" ht="12.75">
      <c r="A535" s="64"/>
      <c r="B535" s="64"/>
      <c r="C535" s="64"/>
      <c r="D535" s="64"/>
      <c r="E535" s="64"/>
    </row>
    <row r="536" spans="1:5" ht="12.75">
      <c r="A536" s="64"/>
      <c r="B536" s="64"/>
      <c r="C536" s="64"/>
      <c r="D536" s="64"/>
      <c r="E536" s="64"/>
    </row>
    <row r="537" spans="1:5" ht="12.75">
      <c r="A537" s="64"/>
      <c r="B537" s="64"/>
      <c r="C537" s="64"/>
      <c r="D537" s="64"/>
      <c r="E537" s="64"/>
    </row>
    <row r="538" spans="1:5" ht="12.75">
      <c r="A538" s="64"/>
      <c r="B538" s="64"/>
      <c r="C538" s="64"/>
      <c r="D538" s="64"/>
      <c r="E538" s="64"/>
    </row>
    <row r="539" spans="1:5" ht="12.75">
      <c r="A539" s="64"/>
      <c r="B539" s="64"/>
      <c r="C539" s="64"/>
      <c r="D539" s="64"/>
      <c r="E539" s="64"/>
    </row>
    <row r="540" spans="1:5" ht="12.75">
      <c r="A540" s="64"/>
      <c r="B540" s="64"/>
      <c r="C540" s="64"/>
      <c r="D540" s="64"/>
      <c r="E540" s="64"/>
    </row>
    <row r="541" spans="1:5" ht="12.75">
      <c r="A541" s="64"/>
      <c r="B541" s="64"/>
      <c r="C541" s="64"/>
      <c r="D541" s="64"/>
      <c r="E541" s="64"/>
    </row>
    <row r="542" spans="1:5" ht="12.75">
      <c r="A542" s="64"/>
      <c r="B542" s="64"/>
      <c r="C542" s="64"/>
      <c r="D542" s="64"/>
      <c r="E542" s="64"/>
    </row>
    <row r="543" spans="1:5" ht="12.75">
      <c r="A543" s="64"/>
      <c r="B543" s="64"/>
      <c r="C543" s="64"/>
      <c r="D543" s="64"/>
      <c r="E543" s="64"/>
    </row>
    <row r="544" spans="1:5" ht="12.75">
      <c r="A544" s="64"/>
      <c r="B544" s="64"/>
      <c r="C544" s="64"/>
      <c r="D544" s="64"/>
      <c r="E544" s="64"/>
    </row>
    <row r="545" spans="1:5" ht="12.75">
      <c r="A545" s="64"/>
      <c r="B545" s="64"/>
      <c r="C545" s="64"/>
      <c r="D545" s="64"/>
      <c r="E545" s="64"/>
    </row>
    <row r="546" spans="1:5" ht="12.75">
      <c r="A546" s="64"/>
      <c r="B546" s="64"/>
      <c r="C546" s="64"/>
      <c r="D546" s="64"/>
      <c r="E546" s="64"/>
    </row>
    <row r="547" spans="1:5" ht="12.75">
      <c r="A547" s="64"/>
      <c r="B547" s="64"/>
      <c r="C547" s="64"/>
      <c r="D547" s="64"/>
      <c r="E547" s="64"/>
    </row>
    <row r="548" spans="1:5" ht="12.75">
      <c r="A548" s="64"/>
      <c r="B548" s="64"/>
      <c r="C548" s="64"/>
      <c r="D548" s="64"/>
      <c r="E548" s="64"/>
    </row>
    <row r="549" spans="1:5" ht="12.75">
      <c r="A549" s="64"/>
      <c r="B549" s="64"/>
      <c r="C549" s="64"/>
      <c r="D549" s="64"/>
      <c r="E549" s="64"/>
    </row>
    <row r="550" spans="1:5" ht="12.75">
      <c r="A550" s="64"/>
      <c r="B550" s="64"/>
      <c r="C550" s="64"/>
      <c r="D550" s="64"/>
      <c r="E550" s="64"/>
    </row>
    <row r="551" spans="1:5" ht="12.75">
      <c r="A551" s="64"/>
      <c r="B551" s="64"/>
      <c r="C551" s="64"/>
      <c r="D551" s="64"/>
      <c r="E551" s="64"/>
    </row>
    <row r="552" spans="1:5" ht="12.75">
      <c r="A552" s="64"/>
      <c r="B552" s="64"/>
      <c r="C552" s="64"/>
      <c r="D552" s="64"/>
      <c r="E552" s="64"/>
    </row>
    <row r="553" spans="1:5" ht="12.75">
      <c r="A553" s="64"/>
      <c r="B553" s="64"/>
      <c r="C553" s="64"/>
      <c r="D553" s="64"/>
      <c r="E553" s="64"/>
    </row>
    <row r="554" spans="1:5" ht="12.75">
      <c r="A554" s="64"/>
      <c r="B554" s="64"/>
      <c r="C554" s="64"/>
      <c r="D554" s="64"/>
      <c r="E554" s="64"/>
    </row>
    <row r="555" spans="1:5" ht="12.75">
      <c r="A555" s="64"/>
      <c r="B555" s="64"/>
      <c r="C555" s="64"/>
      <c r="D555" s="64"/>
      <c r="E555" s="64"/>
    </row>
    <row r="556" spans="1:5" ht="12.75">
      <c r="A556" s="64"/>
      <c r="B556" s="64"/>
      <c r="C556" s="64"/>
      <c r="D556" s="64"/>
      <c r="E556" s="64"/>
    </row>
    <row r="557" spans="1:5" ht="12.75">
      <c r="A557" s="64"/>
      <c r="B557" s="64"/>
      <c r="C557" s="64"/>
      <c r="D557" s="64"/>
      <c r="E557" s="64"/>
    </row>
    <row r="558" spans="1:5" ht="12.75">
      <c r="A558" s="64"/>
      <c r="B558" s="64"/>
      <c r="C558" s="64"/>
      <c r="D558" s="64"/>
      <c r="E558" s="64"/>
    </row>
    <row r="559" spans="1:5" ht="12.75">
      <c r="A559" s="64"/>
      <c r="B559" s="64"/>
      <c r="C559" s="64"/>
      <c r="D559" s="64"/>
      <c r="E559" s="64"/>
    </row>
    <row r="560" spans="1:5" ht="12.75">
      <c r="A560" s="64"/>
      <c r="B560" s="64"/>
      <c r="C560" s="64"/>
      <c r="D560" s="64"/>
      <c r="E560" s="64"/>
    </row>
    <row r="561" spans="1:5" ht="12.75">
      <c r="A561" s="64"/>
      <c r="B561" s="64"/>
      <c r="C561" s="64"/>
      <c r="D561" s="64"/>
      <c r="E561" s="64"/>
    </row>
    <row r="562" spans="1:5" ht="12.75">
      <c r="A562" s="64"/>
      <c r="B562" s="64"/>
      <c r="C562" s="64"/>
      <c r="D562" s="64"/>
      <c r="E562" s="64"/>
    </row>
    <row r="563" spans="1:5" ht="12.75">
      <c r="A563" s="64"/>
      <c r="B563" s="64"/>
      <c r="C563" s="64"/>
      <c r="D563" s="64"/>
      <c r="E563" s="64"/>
    </row>
    <row r="564" spans="1:5" ht="12.75">
      <c r="A564" s="64"/>
      <c r="B564" s="64"/>
      <c r="C564" s="64"/>
      <c r="D564" s="64"/>
      <c r="E564" s="64"/>
    </row>
    <row r="565" spans="1:5" ht="12.75">
      <c r="A565" s="64"/>
      <c r="B565" s="64"/>
      <c r="C565" s="64"/>
      <c r="D565" s="64"/>
      <c r="E565" s="64"/>
    </row>
    <row r="566" spans="1:5" ht="12.75">
      <c r="A566" s="64"/>
      <c r="B566" s="64"/>
      <c r="C566" s="64"/>
      <c r="D566" s="64"/>
      <c r="E566" s="64"/>
    </row>
    <row r="567" spans="1:5" ht="12.75">
      <c r="A567" s="64"/>
      <c r="B567" s="64"/>
      <c r="C567" s="64"/>
      <c r="D567" s="64"/>
      <c r="E567" s="64"/>
    </row>
    <row r="568" spans="1:5" ht="12.75">
      <c r="A568" s="64"/>
      <c r="B568" s="64"/>
      <c r="C568" s="64"/>
      <c r="D568" s="64"/>
      <c r="E568" s="64"/>
    </row>
    <row r="569" spans="1:5" ht="12.75">
      <c r="A569" s="64"/>
      <c r="B569" s="64"/>
      <c r="C569" s="64"/>
      <c r="D569" s="64"/>
      <c r="E569" s="64"/>
    </row>
    <row r="570" spans="1:5" ht="12.75">
      <c r="A570" s="64"/>
      <c r="B570" s="64"/>
      <c r="C570" s="64"/>
      <c r="D570" s="64"/>
      <c r="E570" s="64"/>
    </row>
    <row r="571" spans="1:5" ht="12.75">
      <c r="A571" s="64"/>
      <c r="B571" s="64"/>
      <c r="C571" s="64"/>
      <c r="D571" s="64"/>
      <c r="E571" s="64"/>
    </row>
    <row r="572" spans="1:5" ht="12.75">
      <c r="A572" s="64"/>
      <c r="B572" s="64"/>
      <c r="C572" s="64"/>
      <c r="D572" s="64"/>
      <c r="E572" s="64"/>
    </row>
    <row r="573" spans="1:5" ht="12.75">
      <c r="A573" s="64"/>
      <c r="B573" s="64"/>
      <c r="C573" s="64"/>
      <c r="D573" s="64"/>
      <c r="E573" s="64"/>
    </row>
    <row r="574" spans="1:5" ht="12.75">
      <c r="A574" s="64"/>
      <c r="B574" s="64"/>
      <c r="C574" s="64"/>
      <c r="D574" s="64"/>
      <c r="E574" s="64"/>
    </row>
    <row r="575" spans="1:5" ht="12.75">
      <c r="A575" s="64"/>
      <c r="B575" s="64"/>
      <c r="C575" s="64"/>
      <c r="D575" s="64"/>
      <c r="E575" s="64"/>
    </row>
    <row r="576" spans="1:5" ht="12.75">
      <c r="A576" s="64"/>
      <c r="B576" s="64"/>
      <c r="C576" s="64"/>
      <c r="D576" s="64"/>
      <c r="E576" s="64"/>
    </row>
    <row r="577" spans="1:5" ht="12.75">
      <c r="A577" s="64"/>
      <c r="B577" s="64"/>
      <c r="C577" s="64"/>
      <c r="D577" s="64"/>
      <c r="E577" s="64"/>
    </row>
    <row r="578" spans="1:5" ht="12.75">
      <c r="A578" s="64"/>
      <c r="B578" s="64"/>
      <c r="C578" s="64"/>
      <c r="D578" s="64"/>
      <c r="E578" s="64"/>
    </row>
    <row r="579" spans="1:5" ht="12.75">
      <c r="A579" s="64"/>
      <c r="B579" s="64"/>
      <c r="C579" s="64"/>
      <c r="D579" s="64"/>
      <c r="E579" s="64"/>
    </row>
    <row r="580" spans="1:5" ht="12.75">
      <c r="A580" s="64"/>
      <c r="B580" s="64"/>
      <c r="C580" s="64"/>
      <c r="D580" s="64"/>
      <c r="E580" s="64"/>
    </row>
    <row r="581" spans="1:5" ht="12.75">
      <c r="A581" s="64"/>
      <c r="B581" s="64"/>
      <c r="C581" s="64"/>
      <c r="D581" s="64"/>
      <c r="E581" s="64"/>
    </row>
    <row r="582" spans="1:5" ht="12.75">
      <c r="A582" s="64"/>
      <c r="B582" s="64"/>
      <c r="C582" s="64"/>
      <c r="D582" s="64"/>
      <c r="E582" s="64"/>
    </row>
    <row r="583" spans="1:5" ht="12.75">
      <c r="A583" s="64"/>
      <c r="B583" s="64"/>
      <c r="C583" s="64"/>
      <c r="D583" s="64"/>
      <c r="E583" s="64"/>
    </row>
    <row r="584" spans="1:5" ht="12.75">
      <c r="A584" s="64"/>
      <c r="B584" s="64"/>
      <c r="C584" s="64"/>
      <c r="D584" s="64"/>
      <c r="E584" s="64"/>
    </row>
    <row r="585" spans="1:5" ht="12.75">
      <c r="A585" s="64"/>
      <c r="B585" s="64"/>
      <c r="C585" s="64"/>
      <c r="D585" s="64"/>
      <c r="E585" s="64"/>
    </row>
    <row r="586" spans="1:5" ht="12.75">
      <c r="A586" s="64"/>
      <c r="B586" s="64"/>
      <c r="C586" s="64"/>
      <c r="D586" s="64"/>
      <c r="E586" s="64"/>
    </row>
    <row r="587" spans="1:5" ht="12.75">
      <c r="A587" s="64"/>
      <c r="B587" s="64"/>
      <c r="C587" s="64"/>
      <c r="D587" s="64"/>
      <c r="E587" s="64"/>
    </row>
    <row r="588" spans="1:5" ht="12.75">
      <c r="A588" s="64"/>
      <c r="B588" s="64"/>
      <c r="C588" s="64"/>
      <c r="D588" s="64"/>
      <c r="E588" s="64"/>
    </row>
    <row r="589" spans="1:5" ht="12.75">
      <c r="A589" s="64"/>
      <c r="B589" s="64"/>
      <c r="C589" s="64"/>
      <c r="D589" s="64"/>
      <c r="E589" s="64"/>
    </row>
    <row r="590" spans="1:5" ht="12.75">
      <c r="A590" s="64"/>
      <c r="B590" s="64"/>
      <c r="C590" s="64"/>
      <c r="D590" s="64"/>
      <c r="E590" s="64"/>
    </row>
    <row r="591" spans="1:5" ht="12.75">
      <c r="A591" s="64"/>
      <c r="B591" s="64"/>
      <c r="C591" s="64"/>
      <c r="D591" s="64"/>
      <c r="E591" s="64"/>
    </row>
    <row r="592" spans="1:5" ht="12.75">
      <c r="A592" s="64"/>
      <c r="B592" s="64"/>
      <c r="C592" s="64"/>
      <c r="D592" s="64"/>
      <c r="E592" s="64"/>
    </row>
    <row r="593" spans="1:5" ht="12.75">
      <c r="A593" s="64"/>
      <c r="B593" s="64"/>
      <c r="C593" s="64"/>
      <c r="D593" s="64"/>
      <c r="E593" s="64"/>
    </row>
    <row r="594" spans="1:5" ht="12.75">
      <c r="A594" s="64"/>
      <c r="B594" s="64"/>
      <c r="C594" s="64"/>
      <c r="D594" s="64"/>
      <c r="E594" s="64"/>
    </row>
    <row r="595" spans="1:5" ht="12.75">
      <c r="A595" s="64"/>
      <c r="B595" s="64"/>
      <c r="C595" s="64"/>
      <c r="D595" s="64"/>
      <c r="E595" s="64"/>
    </row>
    <row r="596" spans="1:5" ht="12.75">
      <c r="A596" s="64"/>
      <c r="B596" s="64"/>
      <c r="C596" s="64"/>
      <c r="D596" s="64"/>
      <c r="E596" s="64"/>
    </row>
    <row r="597" spans="1:5" ht="12.75">
      <c r="A597" s="64"/>
      <c r="B597" s="64"/>
      <c r="C597" s="64"/>
      <c r="D597" s="64"/>
      <c r="E597" s="64"/>
    </row>
    <row r="598" spans="1:5" ht="12.75">
      <c r="A598" s="64"/>
      <c r="B598" s="64"/>
      <c r="C598" s="64"/>
      <c r="D598" s="64"/>
      <c r="E598" s="64"/>
    </row>
    <row r="599" spans="1:5" ht="12.75">
      <c r="A599" s="64"/>
      <c r="B599" s="64"/>
      <c r="C599" s="64"/>
      <c r="D599" s="64"/>
      <c r="E599" s="64"/>
    </row>
    <row r="600" spans="1:5" ht="12.75">
      <c r="A600" s="64"/>
      <c r="B600" s="64"/>
      <c r="C600" s="64"/>
      <c r="D600" s="64"/>
      <c r="E600" s="64"/>
    </row>
    <row r="601" spans="1:5" ht="12.75">
      <c r="A601" s="64"/>
      <c r="B601" s="64"/>
      <c r="C601" s="64"/>
      <c r="D601" s="64"/>
      <c r="E601" s="64"/>
    </row>
    <row r="602" spans="1:5" ht="12.75">
      <c r="A602" s="64"/>
      <c r="B602" s="64"/>
      <c r="C602" s="64"/>
      <c r="D602" s="64"/>
      <c r="E602" s="64"/>
    </row>
    <row r="603" spans="1:5" ht="12.75">
      <c r="A603" s="64"/>
      <c r="B603" s="64"/>
      <c r="C603" s="64"/>
      <c r="D603" s="64"/>
      <c r="E603" s="64"/>
    </row>
    <row r="604" spans="1:5" ht="12.75">
      <c r="A604" s="64"/>
      <c r="B604" s="64"/>
      <c r="C604" s="64"/>
      <c r="D604" s="64"/>
      <c r="E604" s="64"/>
    </row>
    <row r="605" spans="1:5" ht="12.75">
      <c r="A605" s="64"/>
      <c r="B605" s="64"/>
      <c r="C605" s="64"/>
      <c r="D605" s="64"/>
      <c r="E605" s="64"/>
    </row>
    <row r="606" spans="1:5" ht="12.75">
      <c r="A606" s="64"/>
      <c r="B606" s="64"/>
      <c r="C606" s="64"/>
      <c r="D606" s="64"/>
      <c r="E606" s="64"/>
    </row>
    <row r="607" spans="1:5" ht="12.75">
      <c r="A607" s="64"/>
      <c r="B607" s="64"/>
      <c r="C607" s="64"/>
      <c r="D607" s="64"/>
      <c r="E607" s="64"/>
    </row>
    <row r="608" spans="1:5" ht="12.75">
      <c r="A608" s="64"/>
      <c r="B608" s="64"/>
      <c r="C608" s="64"/>
      <c r="D608" s="64"/>
      <c r="E608" s="64"/>
    </row>
    <row r="609" spans="1:5" ht="12.75">
      <c r="A609" s="64"/>
      <c r="B609" s="64"/>
      <c r="C609" s="64"/>
      <c r="D609" s="64"/>
      <c r="E609" s="64"/>
    </row>
    <row r="610" spans="1:5" ht="12.75">
      <c r="A610" s="64"/>
      <c r="B610" s="64"/>
      <c r="C610" s="64"/>
      <c r="D610" s="64"/>
      <c r="E610" s="64"/>
    </row>
    <row r="611" spans="1:5" ht="12.75">
      <c r="A611" s="64"/>
      <c r="B611" s="64"/>
      <c r="C611" s="64"/>
      <c r="D611" s="64"/>
      <c r="E611" s="64"/>
    </row>
    <row r="612" spans="1:5" ht="12.75">
      <c r="A612" s="64"/>
      <c r="B612" s="64"/>
      <c r="C612" s="64"/>
      <c r="D612" s="64"/>
      <c r="E612" s="64"/>
    </row>
    <row r="613" spans="1:5" ht="12.75">
      <c r="A613" s="64"/>
      <c r="B613" s="64"/>
      <c r="C613" s="64"/>
      <c r="D613" s="64"/>
      <c r="E613" s="64"/>
    </row>
    <row r="614" spans="1:5" ht="12.75">
      <c r="A614" s="64"/>
      <c r="B614" s="64"/>
      <c r="C614" s="64"/>
      <c r="D614" s="64"/>
      <c r="E614" s="64"/>
    </row>
    <row r="615" spans="1:5" ht="12.75">
      <c r="A615" s="64"/>
      <c r="B615" s="64"/>
      <c r="C615" s="64"/>
      <c r="D615" s="64"/>
      <c r="E615" s="64"/>
    </row>
    <row r="616" spans="1:5" ht="12.75">
      <c r="A616" s="64"/>
      <c r="B616" s="64"/>
      <c r="C616" s="64"/>
      <c r="D616" s="64"/>
      <c r="E616" s="64"/>
    </row>
    <row r="617" spans="1:5" ht="12.75">
      <c r="A617" s="64"/>
      <c r="B617" s="64"/>
      <c r="C617" s="64"/>
      <c r="D617" s="64"/>
      <c r="E617" s="64"/>
    </row>
    <row r="618" spans="1:5" ht="12.75">
      <c r="A618" s="64"/>
      <c r="B618" s="64"/>
      <c r="C618" s="64"/>
      <c r="D618" s="64"/>
      <c r="E618" s="64"/>
    </row>
    <row r="619" spans="1:5" ht="12.75">
      <c r="A619" s="64"/>
      <c r="B619" s="64"/>
      <c r="C619" s="64"/>
      <c r="D619" s="64"/>
      <c r="E619" s="64"/>
    </row>
    <row r="620" spans="1:5" ht="12.75">
      <c r="A620" s="64"/>
      <c r="B620" s="64"/>
      <c r="C620" s="64"/>
      <c r="D620" s="64"/>
      <c r="E620" s="64"/>
    </row>
    <row r="621" spans="1:5" ht="12.75">
      <c r="A621" s="64"/>
      <c r="B621" s="64"/>
      <c r="C621" s="64"/>
      <c r="D621" s="64"/>
      <c r="E621" s="64"/>
    </row>
    <row r="622" spans="1:5" ht="12.75">
      <c r="A622" s="64"/>
      <c r="B622" s="64"/>
      <c r="C622" s="64"/>
      <c r="D622" s="64"/>
      <c r="E622" s="64"/>
    </row>
    <row r="623" spans="1:5" ht="12.75">
      <c r="A623" s="64"/>
      <c r="B623" s="64"/>
      <c r="C623" s="64"/>
      <c r="D623" s="64"/>
      <c r="E623" s="64"/>
    </row>
    <row r="624" spans="1:5" ht="12.75">
      <c r="A624" s="64"/>
      <c r="B624" s="64"/>
      <c r="C624" s="64"/>
      <c r="D624" s="64"/>
      <c r="E624" s="64"/>
    </row>
    <row r="625" spans="1:5" ht="12.75">
      <c r="A625" s="64"/>
      <c r="B625" s="64"/>
      <c r="C625" s="64"/>
      <c r="D625" s="64"/>
      <c r="E625" s="64"/>
    </row>
    <row r="626" spans="1:5" ht="12.75">
      <c r="A626" s="64"/>
      <c r="B626" s="64"/>
      <c r="C626" s="64"/>
      <c r="D626" s="64"/>
      <c r="E626" s="64"/>
    </row>
    <row r="627" spans="1:5" ht="12.75">
      <c r="A627" s="64"/>
      <c r="B627" s="64"/>
      <c r="C627" s="64"/>
      <c r="D627" s="64"/>
      <c r="E627" s="64"/>
    </row>
    <row r="628" spans="1:5" ht="12.75">
      <c r="A628" s="64"/>
      <c r="B628" s="64"/>
      <c r="C628" s="64"/>
      <c r="D628" s="64"/>
      <c r="E628" s="64"/>
    </row>
    <row r="629" spans="1:5" ht="12.75">
      <c r="A629" s="64"/>
      <c r="B629" s="64"/>
      <c r="C629" s="64"/>
      <c r="D629" s="64"/>
      <c r="E629" s="64"/>
    </row>
    <row r="630" spans="1:5" ht="12.75">
      <c r="A630" s="64"/>
      <c r="B630" s="64"/>
      <c r="C630" s="64"/>
      <c r="D630" s="64"/>
      <c r="E630" s="64"/>
    </row>
    <row r="631" spans="1:5" ht="12.75">
      <c r="A631" s="64"/>
      <c r="B631" s="64"/>
      <c r="C631" s="64"/>
      <c r="D631" s="64"/>
      <c r="E631" s="64"/>
    </row>
    <row r="632" spans="1:5" ht="12.75">
      <c r="A632" s="64"/>
      <c r="B632" s="64"/>
      <c r="C632" s="64"/>
      <c r="D632" s="64"/>
      <c r="E632" s="64"/>
    </row>
    <row r="633" spans="1:5" ht="12.75">
      <c r="A633" s="64"/>
      <c r="B633" s="64"/>
      <c r="C633" s="64"/>
      <c r="D633" s="64"/>
      <c r="E633" s="64"/>
    </row>
    <row r="634" spans="1:5" ht="12.75">
      <c r="A634" s="64"/>
      <c r="B634" s="64"/>
      <c r="C634" s="64"/>
      <c r="D634" s="64"/>
      <c r="E634" s="64"/>
    </row>
    <row r="635" spans="1:5" ht="12.75">
      <c r="A635" s="64"/>
      <c r="B635" s="64"/>
      <c r="C635" s="64"/>
      <c r="D635" s="64"/>
      <c r="E635" s="64"/>
    </row>
    <row r="636" spans="1:5" ht="12.75">
      <c r="A636" s="64"/>
      <c r="B636" s="64"/>
      <c r="C636" s="64"/>
      <c r="D636" s="64"/>
      <c r="E636" s="64"/>
    </row>
    <row r="637" spans="1:5" ht="12.75">
      <c r="A637" s="64"/>
      <c r="B637" s="64"/>
      <c r="C637" s="64"/>
      <c r="D637" s="64"/>
      <c r="E637" s="64"/>
    </row>
    <row r="638" spans="1:5" ht="12.75">
      <c r="A638" s="64"/>
      <c r="B638" s="64"/>
      <c r="C638" s="64"/>
      <c r="D638" s="64"/>
      <c r="E638" s="64"/>
    </row>
    <row r="639" spans="1:5" ht="12.75">
      <c r="A639" s="64"/>
      <c r="B639" s="64"/>
      <c r="C639" s="64"/>
      <c r="D639" s="64"/>
      <c r="E639" s="64"/>
    </row>
    <row r="640" spans="1:5" ht="12.75">
      <c r="A640" s="64"/>
      <c r="B640" s="64"/>
      <c r="C640" s="64"/>
      <c r="D640" s="64"/>
      <c r="E640" s="64"/>
    </row>
    <row r="641" spans="1:5" ht="12.75">
      <c r="A641" s="64"/>
      <c r="B641" s="64"/>
      <c r="C641" s="64"/>
      <c r="D641" s="64"/>
      <c r="E641" s="64"/>
    </row>
    <row r="642" spans="1:5" ht="12.75">
      <c r="A642" s="64"/>
      <c r="B642" s="64"/>
      <c r="C642" s="64"/>
      <c r="D642" s="64"/>
      <c r="E642" s="64"/>
    </row>
    <row r="643" spans="1:5" ht="12.75">
      <c r="A643" s="64"/>
      <c r="B643" s="64"/>
      <c r="C643" s="64"/>
      <c r="D643" s="64"/>
      <c r="E643" s="64"/>
    </row>
    <row r="644" spans="1:5" ht="12.75">
      <c r="A644" s="64"/>
      <c r="B644" s="64"/>
      <c r="C644" s="64"/>
      <c r="D644" s="64"/>
      <c r="E644" s="64"/>
    </row>
    <row r="645" spans="1:5" ht="12.75">
      <c r="A645" s="64"/>
      <c r="B645" s="64"/>
      <c r="C645" s="64"/>
      <c r="D645" s="64"/>
      <c r="E645" s="64"/>
    </row>
    <row r="646" spans="1:5" ht="12.75">
      <c r="A646" s="64"/>
      <c r="B646" s="64"/>
      <c r="C646" s="64"/>
      <c r="D646" s="64"/>
      <c r="E646" s="64"/>
    </row>
    <row r="647" spans="1:5" ht="12.75">
      <c r="A647" s="64"/>
      <c r="B647" s="64"/>
      <c r="C647" s="64"/>
      <c r="D647" s="64"/>
      <c r="E647" s="64"/>
    </row>
    <row r="648" spans="1:5" ht="12.75">
      <c r="A648" s="64"/>
      <c r="B648" s="64"/>
      <c r="C648" s="64"/>
      <c r="D648" s="64"/>
      <c r="E648" s="64"/>
    </row>
    <row r="649" spans="1:5" ht="12.75">
      <c r="A649" s="64"/>
      <c r="B649" s="64"/>
      <c r="C649" s="64"/>
      <c r="D649" s="64"/>
      <c r="E649" s="64"/>
    </row>
    <row r="650" spans="1:5" ht="12.75">
      <c r="A650" s="64"/>
      <c r="B650" s="64"/>
      <c r="C650" s="64"/>
      <c r="D650" s="64"/>
      <c r="E650" s="64"/>
    </row>
    <row r="651" spans="1:5" ht="12.75">
      <c r="A651" s="64"/>
      <c r="B651" s="64"/>
      <c r="C651" s="64"/>
      <c r="D651" s="64"/>
      <c r="E651" s="64"/>
    </row>
    <row r="652" spans="1:5" ht="12.75">
      <c r="A652" s="64"/>
      <c r="B652" s="64"/>
      <c r="C652" s="64"/>
      <c r="D652" s="64"/>
      <c r="E652" s="64"/>
    </row>
    <row r="653" spans="1:5" ht="12.75">
      <c r="A653" s="64"/>
      <c r="B653" s="64"/>
      <c r="C653" s="64"/>
      <c r="D653" s="64"/>
      <c r="E653" s="64"/>
    </row>
    <row r="654" spans="1:5" ht="12.75">
      <c r="A654" s="64"/>
      <c r="B654" s="64"/>
      <c r="C654" s="64"/>
      <c r="D654" s="64"/>
      <c r="E654" s="64"/>
    </row>
    <row r="655" spans="1:5" ht="12.75">
      <c r="A655" s="64"/>
      <c r="B655" s="64"/>
      <c r="C655" s="64"/>
      <c r="D655" s="64"/>
      <c r="E655" s="64"/>
    </row>
    <row r="656" spans="1:5" ht="12.75">
      <c r="A656" s="64"/>
      <c r="B656" s="64"/>
      <c r="C656" s="64"/>
      <c r="D656" s="64"/>
      <c r="E656" s="64"/>
    </row>
    <row r="657" spans="1:5" ht="12.75">
      <c r="A657" s="64"/>
      <c r="B657" s="64"/>
      <c r="C657" s="64"/>
      <c r="D657" s="64"/>
      <c r="E657" s="64"/>
    </row>
    <row r="658" spans="1:5" ht="12.75">
      <c r="A658" s="64"/>
      <c r="B658" s="64"/>
      <c r="C658" s="64"/>
      <c r="D658" s="64"/>
      <c r="E658" s="64"/>
    </row>
    <row r="659" spans="1:5" ht="12.75">
      <c r="A659" s="64"/>
      <c r="B659" s="64"/>
      <c r="C659" s="64"/>
      <c r="D659" s="64"/>
      <c r="E659" s="64"/>
    </row>
    <row r="660" spans="1:5" ht="12.75">
      <c r="A660" s="64"/>
      <c r="B660" s="64"/>
      <c r="C660" s="64"/>
      <c r="D660" s="64"/>
      <c r="E660" s="64"/>
    </row>
    <row r="661" spans="1:5" ht="12.75">
      <c r="A661" s="64"/>
      <c r="B661" s="64"/>
      <c r="C661" s="64"/>
      <c r="D661" s="64"/>
      <c r="E661" s="64"/>
    </row>
    <row r="662" spans="1:5" ht="12.75">
      <c r="A662" s="64"/>
      <c r="B662" s="64"/>
      <c r="C662" s="64"/>
      <c r="D662" s="64"/>
      <c r="E662" s="64"/>
    </row>
    <row r="663" spans="1:5" ht="12.75">
      <c r="A663" s="64"/>
      <c r="B663" s="64"/>
      <c r="C663" s="64"/>
      <c r="D663" s="64"/>
      <c r="E663" s="64"/>
    </row>
    <row r="664" spans="1:5" ht="12.75">
      <c r="A664" s="64"/>
      <c r="B664" s="64"/>
      <c r="C664" s="64"/>
      <c r="D664" s="64"/>
      <c r="E664" s="64"/>
    </row>
    <row r="665" spans="1:5" ht="12.75">
      <c r="A665" s="64"/>
      <c r="B665" s="64"/>
      <c r="C665" s="64"/>
      <c r="D665" s="64"/>
      <c r="E665" s="64"/>
    </row>
    <row r="666" spans="1:5" ht="12.75">
      <c r="A666" s="64"/>
      <c r="B666" s="64"/>
      <c r="C666" s="64"/>
      <c r="D666" s="64"/>
      <c r="E666" s="64"/>
    </row>
    <row r="667" spans="1:5" ht="12.75">
      <c r="A667" s="64"/>
      <c r="B667" s="64"/>
      <c r="C667" s="64"/>
      <c r="D667" s="64"/>
      <c r="E667" s="64"/>
    </row>
    <row r="668" spans="1:5" ht="12.75">
      <c r="A668" s="64"/>
      <c r="B668" s="64"/>
      <c r="C668" s="64"/>
      <c r="D668" s="64"/>
      <c r="E668" s="64"/>
    </row>
    <row r="669" spans="1:5" ht="12.75">
      <c r="A669" s="64"/>
      <c r="B669" s="64"/>
      <c r="C669" s="64"/>
      <c r="D669" s="64"/>
      <c r="E669" s="64"/>
    </row>
    <row r="670" spans="1:5" ht="12.75">
      <c r="A670" s="64"/>
      <c r="B670" s="64"/>
      <c r="C670" s="64"/>
      <c r="D670" s="64"/>
      <c r="E670" s="64"/>
    </row>
    <row r="671" spans="1:5" ht="12.75">
      <c r="A671" s="64"/>
      <c r="B671" s="64"/>
      <c r="C671" s="64"/>
      <c r="D671" s="64"/>
      <c r="E671" s="64"/>
    </row>
    <row r="672" spans="1:5" ht="12.75">
      <c r="A672" s="64"/>
      <c r="B672" s="64"/>
      <c r="C672" s="64"/>
      <c r="D672" s="64"/>
      <c r="E672" s="64"/>
    </row>
    <row r="673" spans="1:5" ht="12.75">
      <c r="A673" s="64"/>
      <c r="B673" s="64"/>
      <c r="C673" s="64"/>
      <c r="D673" s="64"/>
      <c r="E673" s="64"/>
    </row>
    <row r="674" spans="1:5" ht="12.75">
      <c r="A674" s="64"/>
      <c r="B674" s="64"/>
      <c r="C674" s="64"/>
      <c r="D674" s="64"/>
      <c r="E674" s="64"/>
    </row>
    <row r="675" spans="1:5" ht="12.75">
      <c r="A675" s="64"/>
      <c r="B675" s="64"/>
      <c r="C675" s="64"/>
      <c r="D675" s="64"/>
      <c r="E675" s="64"/>
    </row>
    <row r="676" spans="1:5" ht="12.75">
      <c r="A676" s="64"/>
      <c r="B676" s="64"/>
      <c r="C676" s="64"/>
      <c r="D676" s="64"/>
      <c r="E676" s="64"/>
    </row>
    <row r="677" spans="1:5" ht="12.75">
      <c r="A677" s="64"/>
      <c r="B677" s="64"/>
      <c r="C677" s="64"/>
      <c r="D677" s="64"/>
      <c r="E677" s="64"/>
    </row>
    <row r="678" spans="1:5" ht="12.75">
      <c r="A678" s="64"/>
      <c r="B678" s="64"/>
      <c r="C678" s="64"/>
      <c r="D678" s="64"/>
      <c r="E678" s="64"/>
    </row>
    <row r="679" spans="1:5" ht="12.75">
      <c r="A679" s="64"/>
      <c r="B679" s="64"/>
      <c r="C679" s="64"/>
      <c r="D679" s="64"/>
      <c r="E679" s="64"/>
    </row>
    <row r="680" spans="1:5" ht="12.75">
      <c r="A680" s="64"/>
      <c r="B680" s="64"/>
      <c r="C680" s="64"/>
      <c r="D680" s="64"/>
      <c r="E680" s="64"/>
    </row>
    <row r="681" spans="1:5" ht="12.75">
      <c r="A681" s="64"/>
      <c r="B681" s="64"/>
      <c r="C681" s="64"/>
      <c r="D681" s="64"/>
      <c r="E681" s="64"/>
    </row>
    <row r="682" spans="1:5" ht="12.75">
      <c r="A682" s="64"/>
      <c r="B682" s="64"/>
      <c r="C682" s="64"/>
      <c r="D682" s="64"/>
      <c r="E682" s="64"/>
    </row>
    <row r="683" spans="1:5" ht="12.75">
      <c r="A683" s="64"/>
      <c r="B683" s="64"/>
      <c r="C683" s="64"/>
      <c r="D683" s="64"/>
      <c r="E683" s="64"/>
    </row>
    <row r="684" spans="1:5" ht="12.75">
      <c r="A684" s="64"/>
      <c r="B684" s="64"/>
      <c r="C684" s="64"/>
      <c r="D684" s="64"/>
      <c r="E684" s="64"/>
    </row>
    <row r="685" spans="1:5" ht="12.75">
      <c r="A685" s="64"/>
      <c r="B685" s="64"/>
      <c r="C685" s="64"/>
      <c r="D685" s="64"/>
      <c r="E685" s="64"/>
    </row>
    <row r="686" spans="1:5" ht="12.75">
      <c r="A686" s="64"/>
      <c r="B686" s="64"/>
      <c r="C686" s="64"/>
      <c r="D686" s="64"/>
      <c r="E686" s="64"/>
    </row>
    <row r="687" spans="1:5" ht="12.75">
      <c r="A687" s="64"/>
      <c r="B687" s="64"/>
      <c r="C687" s="64"/>
      <c r="D687" s="64"/>
      <c r="E687" s="64"/>
    </row>
    <row r="688" spans="1:5" ht="12.75">
      <c r="A688" s="64"/>
      <c r="B688" s="64"/>
      <c r="C688" s="64"/>
      <c r="D688" s="64"/>
      <c r="E688" s="64"/>
    </row>
    <row r="689" spans="1:5" ht="12.75">
      <c r="A689" s="64"/>
      <c r="B689" s="64"/>
      <c r="C689" s="64"/>
      <c r="D689" s="64"/>
      <c r="E689" s="64"/>
    </row>
    <row r="690" spans="1:5" ht="12.75">
      <c r="A690" s="64"/>
      <c r="B690" s="64"/>
      <c r="C690" s="64"/>
      <c r="D690" s="64"/>
      <c r="E690" s="64"/>
    </row>
    <row r="691" spans="1:5" ht="12.75">
      <c r="A691" s="64"/>
      <c r="B691" s="64"/>
      <c r="C691" s="64"/>
      <c r="D691" s="64"/>
      <c r="E691" s="64"/>
    </row>
    <row r="692" spans="1:5" ht="12.75">
      <c r="A692" s="64"/>
      <c r="B692" s="64"/>
      <c r="C692" s="64"/>
      <c r="D692" s="64"/>
      <c r="E692" s="64"/>
    </row>
    <row r="693" spans="1:5" ht="12.75">
      <c r="A693" s="64"/>
      <c r="B693" s="64"/>
      <c r="C693" s="64"/>
      <c r="D693" s="64"/>
      <c r="E693" s="64"/>
    </row>
    <row r="694" spans="1:5" ht="12.75">
      <c r="A694" s="64"/>
      <c r="B694" s="64"/>
      <c r="C694" s="64"/>
      <c r="D694" s="64"/>
      <c r="E694" s="64"/>
    </row>
    <row r="695" spans="1:5" ht="12.75">
      <c r="A695" s="64"/>
      <c r="B695" s="64"/>
      <c r="C695" s="64"/>
      <c r="D695" s="64"/>
      <c r="E695" s="64"/>
    </row>
    <row r="696" spans="1:5" ht="12.75">
      <c r="A696" s="64"/>
      <c r="B696" s="64"/>
      <c r="C696" s="64"/>
      <c r="D696" s="64"/>
      <c r="E696" s="64"/>
    </row>
    <row r="697" spans="1:5" ht="12.75">
      <c r="A697" s="64"/>
      <c r="B697" s="64"/>
      <c r="C697" s="64"/>
      <c r="D697" s="64"/>
      <c r="E697" s="64"/>
    </row>
    <row r="698" spans="1:5" ht="12.75">
      <c r="A698" s="64"/>
      <c r="B698" s="64"/>
      <c r="C698" s="64"/>
      <c r="D698" s="64"/>
      <c r="E698" s="64"/>
    </row>
    <row r="699" spans="1:5" ht="12.75">
      <c r="A699" s="64"/>
      <c r="B699" s="64"/>
      <c r="C699" s="64"/>
      <c r="D699" s="64"/>
      <c r="E699" s="64"/>
    </row>
    <row r="700" spans="1:5" ht="12.75">
      <c r="A700" s="64"/>
      <c r="B700" s="64"/>
      <c r="C700" s="64"/>
      <c r="D700" s="64"/>
      <c r="E700" s="64"/>
    </row>
    <row r="701" spans="1:5" ht="12.75">
      <c r="A701" s="64"/>
      <c r="B701" s="64"/>
      <c r="C701" s="64"/>
      <c r="D701" s="64"/>
      <c r="E701" s="64"/>
    </row>
    <row r="702" spans="1:5" ht="12.75">
      <c r="A702" s="64"/>
      <c r="B702" s="64"/>
      <c r="C702" s="64"/>
      <c r="D702" s="64"/>
      <c r="E702" s="64"/>
    </row>
    <row r="703" spans="1:5" ht="12.75">
      <c r="A703" s="64"/>
      <c r="B703" s="64"/>
      <c r="C703" s="64"/>
      <c r="D703" s="64"/>
      <c r="E703" s="64"/>
    </row>
    <row r="704" spans="1:5" ht="12.75">
      <c r="A704" s="64"/>
      <c r="B704" s="64"/>
      <c r="C704" s="64"/>
      <c r="D704" s="64"/>
      <c r="E704" s="64"/>
    </row>
    <row r="705" spans="1:5" ht="12.75">
      <c r="A705" s="64"/>
      <c r="B705" s="64"/>
      <c r="C705" s="64"/>
      <c r="D705" s="64"/>
      <c r="E705" s="64"/>
    </row>
    <row r="706" spans="1:5" ht="12.75">
      <c r="A706" s="64"/>
      <c r="B706" s="64"/>
      <c r="C706" s="64"/>
      <c r="D706" s="64"/>
      <c r="E706" s="64"/>
    </row>
    <row r="707" spans="1:5" ht="12.75">
      <c r="A707" s="64"/>
      <c r="B707" s="64"/>
      <c r="C707" s="64"/>
      <c r="D707" s="64"/>
      <c r="E707" s="64"/>
    </row>
    <row r="708" spans="1:5" ht="12.75">
      <c r="A708" s="64"/>
      <c r="B708" s="64"/>
      <c r="C708" s="64"/>
      <c r="D708" s="64"/>
      <c r="E708" s="64"/>
    </row>
    <row r="709" spans="1:5" ht="12.75">
      <c r="A709" s="64"/>
      <c r="B709" s="64"/>
      <c r="C709" s="64"/>
      <c r="D709" s="64"/>
      <c r="E709" s="64"/>
    </row>
    <row r="710" spans="1:5" ht="12.75">
      <c r="A710" s="64"/>
      <c r="B710" s="64"/>
      <c r="C710" s="64"/>
      <c r="D710" s="64"/>
      <c r="E710" s="64"/>
    </row>
    <row r="711" spans="1:5" ht="12.75">
      <c r="A711" s="64"/>
      <c r="B711" s="64"/>
      <c r="C711" s="64"/>
      <c r="D711" s="64"/>
      <c r="E711" s="64"/>
    </row>
    <row r="712" spans="1:5" ht="12.75">
      <c r="A712" s="64"/>
      <c r="B712" s="64"/>
      <c r="C712" s="64"/>
      <c r="D712" s="64"/>
      <c r="E712" s="64"/>
    </row>
    <row r="713" spans="1:5" ht="12.75">
      <c r="A713" s="64"/>
      <c r="B713" s="64"/>
      <c r="C713" s="64"/>
      <c r="D713" s="64"/>
      <c r="E713" s="64"/>
    </row>
    <row r="714" spans="1:5" ht="12.75">
      <c r="A714" s="64"/>
      <c r="B714" s="64"/>
      <c r="C714" s="64"/>
      <c r="D714" s="64"/>
      <c r="E714" s="64"/>
    </row>
    <row r="715" spans="1:5" ht="12.75">
      <c r="A715" s="64"/>
      <c r="B715" s="64"/>
      <c r="C715" s="64"/>
      <c r="D715" s="64"/>
      <c r="E715" s="64"/>
    </row>
    <row r="716" spans="1:5" ht="12.75">
      <c r="A716" s="64"/>
      <c r="B716" s="64"/>
      <c r="C716" s="64"/>
      <c r="D716" s="64"/>
      <c r="E716" s="64"/>
    </row>
    <row r="717" spans="1:5" ht="12.75">
      <c r="A717" s="64"/>
      <c r="B717" s="64"/>
      <c r="C717" s="64"/>
      <c r="D717" s="64"/>
      <c r="E717" s="64"/>
    </row>
    <row r="718" spans="1:5" ht="12.75">
      <c r="A718" s="64"/>
      <c r="B718" s="64"/>
      <c r="C718" s="64"/>
      <c r="D718" s="64"/>
      <c r="E718" s="64"/>
    </row>
    <row r="719" spans="1:5" ht="12.75">
      <c r="A719" s="64"/>
      <c r="B719" s="64"/>
      <c r="C719" s="64"/>
      <c r="D719" s="64"/>
      <c r="E719" s="64"/>
    </row>
    <row r="720" spans="1:5" ht="12.75">
      <c r="A720" s="64"/>
      <c r="B720" s="64"/>
      <c r="C720" s="64"/>
      <c r="D720" s="64"/>
      <c r="E720" s="64"/>
    </row>
    <row r="721" spans="1:5" ht="12.75">
      <c r="A721" s="64"/>
      <c r="B721" s="64"/>
      <c r="C721" s="64"/>
      <c r="D721" s="64"/>
      <c r="E721" s="64"/>
    </row>
    <row r="722" spans="1:5" ht="12.75">
      <c r="A722" s="64"/>
      <c r="B722" s="64"/>
      <c r="C722" s="64"/>
      <c r="D722" s="64"/>
      <c r="E722" s="64"/>
    </row>
    <row r="723" spans="1:5" ht="12.75">
      <c r="A723" s="64"/>
      <c r="B723" s="64"/>
      <c r="C723" s="64"/>
      <c r="D723" s="64"/>
      <c r="E723" s="64"/>
    </row>
    <row r="724" spans="1:5" ht="12.75">
      <c r="A724" s="64"/>
      <c r="B724" s="64"/>
      <c r="C724" s="64"/>
      <c r="D724" s="64"/>
      <c r="E724" s="64"/>
    </row>
    <row r="725" spans="1:5" ht="12.75">
      <c r="A725" s="64"/>
      <c r="B725" s="64"/>
      <c r="C725" s="64"/>
      <c r="D725" s="64"/>
      <c r="E725" s="64"/>
    </row>
    <row r="726" spans="1:5" ht="12.75">
      <c r="A726" s="64"/>
      <c r="B726" s="64"/>
      <c r="C726" s="64"/>
      <c r="D726" s="64"/>
      <c r="E726" s="64"/>
    </row>
    <row r="727" spans="1:5" ht="12.75">
      <c r="A727" s="64"/>
      <c r="B727" s="64"/>
      <c r="C727" s="64"/>
      <c r="D727" s="64"/>
      <c r="E727" s="64"/>
    </row>
    <row r="728" spans="1:5" ht="12.75">
      <c r="A728" s="64"/>
      <c r="B728" s="64"/>
      <c r="C728" s="64"/>
      <c r="D728" s="64"/>
      <c r="E728" s="64"/>
    </row>
    <row r="729" spans="1:5" ht="12.75">
      <c r="A729" s="64"/>
      <c r="B729" s="64"/>
      <c r="C729" s="64"/>
      <c r="D729" s="64"/>
      <c r="E729" s="64"/>
    </row>
    <row r="730" spans="1:5" ht="12.75">
      <c r="A730" s="64"/>
      <c r="B730" s="64"/>
      <c r="C730" s="64"/>
      <c r="D730" s="64"/>
      <c r="E730" s="64"/>
    </row>
    <row r="731" spans="1:5" ht="12.75">
      <c r="A731" s="64"/>
      <c r="B731" s="64"/>
      <c r="C731" s="64"/>
      <c r="D731" s="64"/>
      <c r="E731" s="64"/>
    </row>
    <row r="732" spans="1:5" ht="12.75">
      <c r="A732" s="64"/>
      <c r="B732" s="64"/>
      <c r="C732" s="64"/>
      <c r="D732" s="64"/>
      <c r="E732" s="64"/>
    </row>
    <row r="733" spans="1:5" ht="12.75">
      <c r="A733" s="64"/>
      <c r="B733" s="64"/>
      <c r="C733" s="64"/>
      <c r="D733" s="64"/>
      <c r="E733" s="64"/>
    </row>
    <row r="734" spans="1:5" ht="12.75">
      <c r="A734" s="64"/>
      <c r="B734" s="64"/>
      <c r="C734" s="64"/>
      <c r="D734" s="64"/>
      <c r="E734" s="64"/>
    </row>
    <row r="735" spans="1:5" ht="12.75">
      <c r="A735" s="64"/>
      <c r="B735" s="64"/>
      <c r="C735" s="64"/>
      <c r="D735" s="64"/>
      <c r="E735" s="64"/>
    </row>
    <row r="736" spans="1:5" ht="12.75">
      <c r="A736" s="64"/>
      <c r="B736" s="64"/>
      <c r="C736" s="64"/>
      <c r="D736" s="64"/>
      <c r="E736" s="64"/>
    </row>
    <row r="737" spans="1:5" ht="12.75">
      <c r="A737" s="64"/>
      <c r="B737" s="64"/>
      <c r="C737" s="64"/>
      <c r="D737" s="64"/>
      <c r="E737" s="64"/>
    </row>
    <row r="738" spans="1:5" ht="12.75">
      <c r="A738" s="64"/>
      <c r="B738" s="64"/>
      <c r="C738" s="64"/>
      <c r="D738" s="64"/>
      <c r="E738" s="64"/>
    </row>
    <row r="739" spans="1:5" ht="12.75">
      <c r="A739" s="64"/>
      <c r="B739" s="64"/>
      <c r="C739" s="64"/>
      <c r="D739" s="64"/>
      <c r="E739" s="64"/>
    </row>
    <row r="740" spans="1:5" ht="12.75">
      <c r="A740" s="64"/>
      <c r="B740" s="64"/>
      <c r="C740" s="64"/>
      <c r="D740" s="64"/>
      <c r="E740" s="64"/>
    </row>
    <row r="741" spans="1:5" ht="12.75">
      <c r="A741" s="64"/>
      <c r="B741" s="64"/>
      <c r="C741" s="64"/>
      <c r="D741" s="64"/>
      <c r="E741" s="64"/>
    </row>
    <row r="742" spans="1:5" ht="12.75">
      <c r="A742" s="64"/>
      <c r="B742" s="64"/>
      <c r="C742" s="64"/>
      <c r="D742" s="64"/>
      <c r="E742" s="64"/>
    </row>
    <row r="743" spans="1:5" ht="12.75">
      <c r="A743" s="64"/>
      <c r="B743" s="64"/>
      <c r="C743" s="64"/>
      <c r="D743" s="64"/>
      <c r="E743" s="64"/>
    </row>
    <row r="744" spans="1:5" ht="12.75">
      <c r="A744" s="64"/>
      <c r="B744" s="64"/>
      <c r="C744" s="64"/>
      <c r="D744" s="64"/>
      <c r="E744" s="64"/>
    </row>
    <row r="745" spans="1:5" ht="12.75">
      <c r="A745" s="64"/>
      <c r="B745" s="64"/>
      <c r="C745" s="64"/>
      <c r="D745" s="64"/>
      <c r="E745" s="64"/>
    </row>
    <row r="746" spans="1:5" ht="12.75">
      <c r="A746" s="64"/>
      <c r="B746" s="64"/>
      <c r="C746" s="64"/>
      <c r="D746" s="64"/>
      <c r="E746" s="64"/>
    </row>
    <row r="747" spans="1:5" ht="12.75">
      <c r="A747" s="64"/>
      <c r="B747" s="64"/>
      <c r="C747" s="64"/>
      <c r="D747" s="64"/>
      <c r="E747" s="64"/>
    </row>
    <row r="748" spans="1:5" ht="12.75">
      <c r="A748" s="64"/>
      <c r="B748" s="64"/>
      <c r="C748" s="64"/>
      <c r="D748" s="64"/>
      <c r="E748" s="64"/>
    </row>
    <row r="749" spans="1:5" ht="12.75">
      <c r="A749" s="64"/>
      <c r="B749" s="64"/>
      <c r="C749" s="64"/>
      <c r="D749" s="64"/>
      <c r="E749" s="64"/>
    </row>
    <row r="750" spans="1:5" ht="12.75">
      <c r="A750" s="64"/>
      <c r="B750" s="64"/>
      <c r="C750" s="64"/>
      <c r="D750" s="64"/>
      <c r="E750" s="64"/>
    </row>
    <row r="751" spans="1:5" ht="12.75">
      <c r="A751" s="64"/>
      <c r="B751" s="64"/>
      <c r="C751" s="64"/>
      <c r="D751" s="64"/>
      <c r="E751" s="64"/>
    </row>
    <row r="752" spans="1:5" ht="12.75">
      <c r="A752" s="64"/>
      <c r="B752" s="64"/>
      <c r="C752" s="64"/>
      <c r="D752" s="64"/>
      <c r="E752" s="64"/>
    </row>
    <row r="753" spans="1:5" ht="12.75">
      <c r="A753" s="64"/>
      <c r="B753" s="64"/>
      <c r="C753" s="64"/>
      <c r="D753" s="64"/>
      <c r="E753" s="64"/>
    </row>
    <row r="754" spans="1:5" ht="12.75">
      <c r="A754" s="64"/>
      <c r="B754" s="64"/>
      <c r="C754" s="64"/>
      <c r="D754" s="64"/>
      <c r="E754" s="64"/>
    </row>
    <row r="755" spans="1:5" ht="12.75">
      <c r="A755" s="64"/>
      <c r="B755" s="64"/>
      <c r="C755" s="64"/>
      <c r="D755" s="64"/>
      <c r="E755" s="64"/>
    </row>
    <row r="756" spans="1:5" ht="12.75">
      <c r="A756" s="64"/>
      <c r="B756" s="64"/>
      <c r="C756" s="64"/>
      <c r="D756" s="64"/>
      <c r="E756" s="64"/>
    </row>
    <row r="757" spans="1:5" ht="12.75">
      <c r="A757" s="64"/>
      <c r="B757" s="64"/>
      <c r="C757" s="64"/>
      <c r="D757" s="64"/>
      <c r="E757" s="64"/>
    </row>
    <row r="758" spans="1:5" ht="12.75">
      <c r="A758" s="64"/>
      <c r="B758" s="64"/>
      <c r="C758" s="64"/>
      <c r="D758" s="64"/>
      <c r="E758" s="64"/>
    </row>
    <row r="759" spans="1:5" ht="12.75">
      <c r="A759" s="64"/>
      <c r="B759" s="64"/>
      <c r="C759" s="64"/>
      <c r="D759" s="64"/>
      <c r="E759" s="64"/>
    </row>
    <row r="760" spans="1:5" ht="12.75">
      <c r="A760" s="64"/>
      <c r="B760" s="64"/>
      <c r="C760" s="64"/>
      <c r="D760" s="64"/>
      <c r="E760" s="64"/>
    </row>
    <row r="761" spans="1:5" ht="12.75">
      <c r="A761" s="64"/>
      <c r="B761" s="64"/>
      <c r="C761" s="64"/>
      <c r="D761" s="64"/>
      <c r="E761" s="64"/>
    </row>
    <row r="762" spans="1:5" ht="12.75">
      <c r="A762" s="64"/>
      <c r="B762" s="64"/>
      <c r="C762" s="64"/>
      <c r="D762" s="64"/>
      <c r="E762" s="64"/>
    </row>
    <row r="763" spans="1:5" ht="12.75">
      <c r="A763" s="64"/>
      <c r="B763" s="64"/>
      <c r="C763" s="64"/>
      <c r="D763" s="64"/>
      <c r="E763" s="64"/>
    </row>
    <row r="764" spans="1:5" ht="12.75">
      <c r="A764" s="64"/>
      <c r="B764" s="64"/>
      <c r="C764" s="64"/>
      <c r="D764" s="64"/>
      <c r="E764" s="64"/>
    </row>
    <row r="765" spans="1:5" ht="12.75">
      <c r="A765" s="64"/>
      <c r="B765" s="64"/>
      <c r="C765" s="64"/>
      <c r="D765" s="64"/>
      <c r="E765" s="64"/>
    </row>
    <row r="766" spans="1:5" ht="12.75">
      <c r="A766" s="64"/>
      <c r="B766" s="64"/>
      <c r="C766" s="64"/>
      <c r="D766" s="64"/>
      <c r="E766" s="64"/>
    </row>
    <row r="767" spans="1:5" ht="12.75">
      <c r="A767" s="64"/>
      <c r="B767" s="64"/>
      <c r="C767" s="64"/>
      <c r="D767" s="64"/>
      <c r="E767" s="64"/>
    </row>
    <row r="768" spans="1:5" ht="12.75">
      <c r="A768" s="64"/>
      <c r="B768" s="64"/>
      <c r="C768" s="64"/>
      <c r="D768" s="64"/>
      <c r="E768" s="64"/>
    </row>
    <row r="769" spans="1:5" ht="12.75">
      <c r="A769" s="64"/>
      <c r="B769" s="64"/>
      <c r="C769" s="64"/>
      <c r="D769" s="64"/>
      <c r="E769" s="64"/>
    </row>
    <row r="770" spans="1:5" ht="12.75">
      <c r="A770" s="64"/>
      <c r="B770" s="64"/>
      <c r="C770" s="64"/>
      <c r="D770" s="64"/>
      <c r="E770" s="64"/>
    </row>
    <row r="771" spans="1:5" ht="12.75">
      <c r="A771" s="64"/>
      <c r="B771" s="64"/>
      <c r="C771" s="64"/>
      <c r="D771" s="64"/>
      <c r="E771" s="64"/>
    </row>
    <row r="772" spans="1:5" ht="12.75">
      <c r="A772" s="64"/>
      <c r="B772" s="64"/>
      <c r="C772" s="64"/>
      <c r="D772" s="64"/>
      <c r="E772" s="64"/>
    </row>
    <row r="773" spans="1:5" ht="12.75">
      <c r="A773" s="64"/>
      <c r="B773" s="64"/>
      <c r="C773" s="64"/>
      <c r="D773" s="64"/>
      <c r="E773" s="64"/>
    </row>
    <row r="774" spans="1:5" ht="12.75">
      <c r="A774" s="64"/>
      <c r="B774" s="64"/>
      <c r="C774" s="64"/>
      <c r="D774" s="64"/>
      <c r="E774" s="64"/>
    </row>
    <row r="775" spans="1:5" ht="12.75">
      <c r="A775" s="64"/>
      <c r="B775" s="64"/>
      <c r="C775" s="64"/>
      <c r="D775" s="64"/>
      <c r="E775" s="64"/>
    </row>
    <row r="776" spans="1:5" ht="12.75">
      <c r="A776" s="64"/>
      <c r="B776" s="64"/>
      <c r="C776" s="64"/>
      <c r="D776" s="64"/>
      <c r="E776" s="64"/>
    </row>
    <row r="777" spans="1:5" ht="12.75">
      <c r="A777" s="64"/>
      <c r="B777" s="64"/>
      <c r="C777" s="64"/>
      <c r="D777" s="64"/>
      <c r="E777" s="64"/>
    </row>
    <row r="778" spans="1:5" ht="12.75">
      <c r="A778" s="64"/>
      <c r="B778" s="64"/>
      <c r="C778" s="64"/>
      <c r="D778" s="64"/>
      <c r="E778" s="64"/>
    </row>
    <row r="779" spans="1:5" ht="12.75">
      <c r="A779" s="64"/>
      <c r="B779" s="64"/>
      <c r="C779" s="64"/>
      <c r="D779" s="64"/>
      <c r="E779" s="64"/>
    </row>
    <row r="780" spans="1:5" ht="12.75">
      <c r="A780" s="64"/>
      <c r="B780" s="64"/>
      <c r="C780" s="64"/>
      <c r="D780" s="64"/>
      <c r="E780" s="64"/>
    </row>
    <row r="781" spans="1:5" ht="12.75">
      <c r="A781" s="64"/>
      <c r="B781" s="64"/>
      <c r="C781" s="64"/>
      <c r="D781" s="64"/>
      <c r="E781" s="64"/>
    </row>
    <row r="782" spans="1:5" ht="12.75">
      <c r="A782" s="64"/>
      <c r="B782" s="64"/>
      <c r="C782" s="64"/>
      <c r="D782" s="64"/>
      <c r="E782" s="64"/>
    </row>
    <row r="783" spans="1:5" ht="12.75">
      <c r="A783" s="64"/>
      <c r="B783" s="64"/>
      <c r="C783" s="64"/>
      <c r="D783" s="64"/>
      <c r="E783" s="64"/>
    </row>
    <row r="784" spans="1:5" ht="12.75">
      <c r="A784" s="64"/>
      <c r="B784" s="64"/>
      <c r="C784" s="64"/>
      <c r="D784" s="64"/>
      <c r="E784" s="64"/>
    </row>
    <row r="785" spans="1:5" ht="12.75">
      <c r="A785" s="64"/>
      <c r="B785" s="64"/>
      <c r="C785" s="64"/>
      <c r="D785" s="64"/>
      <c r="E785" s="64"/>
    </row>
    <row r="786" spans="1:5" ht="12.75">
      <c r="A786" s="64"/>
      <c r="B786" s="64"/>
      <c r="C786" s="64"/>
      <c r="D786" s="64"/>
      <c r="E786" s="64"/>
    </row>
    <row r="787" spans="1:5" ht="12.75">
      <c r="A787" s="64"/>
      <c r="B787" s="64"/>
      <c r="C787" s="64"/>
      <c r="D787" s="64"/>
      <c r="E787" s="64"/>
    </row>
    <row r="788" spans="1:5" ht="12.75">
      <c r="A788" s="64"/>
      <c r="B788" s="64"/>
      <c r="C788" s="64"/>
      <c r="D788" s="64"/>
      <c r="E788" s="64"/>
    </row>
    <row r="789" spans="1:5" ht="12.75">
      <c r="A789" s="64"/>
      <c r="B789" s="64"/>
      <c r="C789" s="64"/>
      <c r="D789" s="64"/>
      <c r="E789" s="64"/>
    </row>
    <row r="790" spans="1:5" ht="12.75">
      <c r="A790" s="64"/>
      <c r="B790" s="64"/>
      <c r="C790" s="64"/>
      <c r="D790" s="64"/>
      <c r="E790" s="64"/>
    </row>
    <row r="791" spans="1:5" ht="12.75">
      <c r="A791" s="64"/>
      <c r="B791" s="64"/>
      <c r="C791" s="64"/>
      <c r="D791" s="64"/>
      <c r="E791" s="64"/>
    </row>
    <row r="792" spans="1:5" ht="12.75">
      <c r="A792" s="64"/>
      <c r="B792" s="64"/>
      <c r="C792" s="64"/>
      <c r="D792" s="64"/>
      <c r="E792" s="64"/>
    </row>
    <row r="793" spans="1:5" ht="12.75">
      <c r="A793" s="64"/>
      <c r="B793" s="64"/>
      <c r="C793" s="64"/>
      <c r="D793" s="64"/>
      <c r="E793" s="64"/>
    </row>
    <row r="794" spans="1:5" ht="12.75">
      <c r="A794" s="64"/>
      <c r="B794" s="64"/>
      <c r="C794" s="64"/>
      <c r="D794" s="64"/>
      <c r="E794" s="64"/>
    </row>
    <row r="795" spans="1:5" ht="12.75">
      <c r="A795" s="64"/>
      <c r="B795" s="64"/>
      <c r="C795" s="64"/>
      <c r="D795" s="64"/>
      <c r="E795" s="64"/>
    </row>
    <row r="796" spans="1:5" ht="12.75">
      <c r="A796" s="64"/>
      <c r="B796" s="64"/>
      <c r="C796" s="64"/>
      <c r="D796" s="64"/>
      <c r="E796" s="64"/>
    </row>
    <row r="797" spans="1:5" ht="12.75">
      <c r="A797" s="64"/>
      <c r="B797" s="64"/>
      <c r="C797" s="64"/>
      <c r="D797" s="64"/>
      <c r="E797" s="64"/>
    </row>
    <row r="798" spans="1:5" ht="12.75">
      <c r="A798" s="64"/>
      <c r="B798" s="64"/>
      <c r="C798" s="64"/>
      <c r="D798" s="64"/>
      <c r="E798" s="64"/>
    </row>
    <row r="799" spans="1:5" ht="12.75">
      <c r="A799" s="64"/>
      <c r="B799" s="64"/>
      <c r="C799" s="64"/>
      <c r="D799" s="64"/>
      <c r="E799" s="64"/>
    </row>
    <row r="800" spans="1:5" ht="12.75">
      <c r="A800" s="64"/>
      <c r="B800" s="64"/>
      <c r="C800" s="64"/>
      <c r="D800" s="64"/>
      <c r="E800" s="64"/>
    </row>
    <row r="801" spans="1:5" ht="12.75">
      <c r="A801" s="64"/>
      <c r="B801" s="64"/>
      <c r="C801" s="64"/>
      <c r="D801" s="64"/>
      <c r="E801" s="64"/>
    </row>
    <row r="802" spans="1:5" ht="12.75">
      <c r="A802" s="64"/>
      <c r="B802" s="64"/>
      <c r="C802" s="64"/>
      <c r="D802" s="64"/>
      <c r="E802" s="64"/>
    </row>
    <row r="803" spans="1:5" ht="12.75">
      <c r="A803" s="64"/>
      <c r="B803" s="64"/>
      <c r="C803" s="64"/>
      <c r="D803" s="64"/>
      <c r="E803" s="64"/>
    </row>
    <row r="804" spans="1:5" ht="12.75">
      <c r="A804" s="64"/>
      <c r="B804" s="64"/>
      <c r="C804" s="64"/>
      <c r="D804" s="64"/>
      <c r="E804" s="64"/>
    </row>
    <row r="805" spans="1:5" ht="12.75">
      <c r="A805" s="64"/>
      <c r="B805" s="64"/>
      <c r="C805" s="64"/>
      <c r="D805" s="64"/>
      <c r="E805" s="64"/>
    </row>
    <row r="806" spans="1:5" ht="12.75">
      <c r="A806" s="64"/>
      <c r="B806" s="64"/>
      <c r="C806" s="64"/>
      <c r="D806" s="64"/>
      <c r="E806" s="64"/>
    </row>
    <row r="807" spans="1:5" ht="12.75">
      <c r="A807" s="64"/>
      <c r="B807" s="64"/>
      <c r="C807" s="64"/>
      <c r="D807" s="64"/>
      <c r="E807" s="64"/>
    </row>
    <row r="808" spans="1:5" ht="12.75">
      <c r="A808" s="64"/>
      <c r="B808" s="64"/>
      <c r="C808" s="64"/>
      <c r="D808" s="64"/>
      <c r="E808" s="64"/>
    </row>
    <row r="809" spans="1:5" ht="12.75">
      <c r="A809" s="64"/>
      <c r="B809" s="64"/>
      <c r="C809" s="64"/>
      <c r="D809" s="64"/>
      <c r="E809" s="64"/>
    </row>
    <row r="810" spans="1:5" ht="12.75">
      <c r="A810" s="64"/>
      <c r="B810" s="64"/>
      <c r="C810" s="64"/>
      <c r="D810" s="64"/>
      <c r="E810" s="64"/>
    </row>
    <row r="811" spans="1:5" ht="12.75">
      <c r="A811" s="64"/>
      <c r="B811" s="64"/>
      <c r="C811" s="64"/>
      <c r="D811" s="64"/>
      <c r="E811" s="64"/>
    </row>
    <row r="812" spans="1:5" ht="12.75">
      <c r="A812" s="64"/>
      <c r="B812" s="64"/>
      <c r="C812" s="64"/>
      <c r="D812" s="64"/>
      <c r="E812" s="64"/>
    </row>
    <row r="813" spans="1:5" ht="12.75">
      <c r="A813" s="64"/>
      <c r="B813" s="64"/>
      <c r="C813" s="64"/>
      <c r="D813" s="64"/>
      <c r="E813" s="64"/>
    </row>
    <row r="814" spans="1:5" ht="12.75">
      <c r="A814" s="64"/>
      <c r="B814" s="64"/>
      <c r="C814" s="64"/>
      <c r="D814" s="64"/>
      <c r="E814" s="64"/>
    </row>
    <row r="815" spans="1:5" ht="12.75">
      <c r="A815" s="64"/>
      <c r="B815" s="64"/>
      <c r="C815" s="64"/>
      <c r="D815" s="64"/>
      <c r="E815" s="64"/>
    </row>
    <row r="816" spans="1:5" ht="12.75">
      <c r="A816" s="64"/>
      <c r="B816" s="64"/>
      <c r="C816" s="64"/>
      <c r="D816" s="64"/>
      <c r="E816" s="64"/>
    </row>
    <row r="817" spans="1:5" ht="12.75">
      <c r="A817" s="64"/>
      <c r="B817" s="64"/>
      <c r="C817" s="64"/>
      <c r="D817" s="64"/>
      <c r="E817" s="64"/>
    </row>
    <row r="818" spans="1:5" ht="12.75">
      <c r="A818" s="64"/>
      <c r="B818" s="64"/>
      <c r="C818" s="64"/>
      <c r="D818" s="64"/>
      <c r="E818" s="64"/>
    </row>
    <row r="819" spans="1:5" ht="12.75">
      <c r="A819" s="64"/>
      <c r="B819" s="64"/>
      <c r="C819" s="64"/>
      <c r="D819" s="64"/>
      <c r="E819" s="64"/>
    </row>
    <row r="820" spans="1:5" ht="12.75">
      <c r="A820" s="64"/>
      <c r="B820" s="64"/>
      <c r="C820" s="64"/>
      <c r="D820" s="64"/>
      <c r="E820" s="64"/>
    </row>
    <row r="821" spans="1:5" ht="12.75">
      <c r="A821" s="64"/>
      <c r="B821" s="64"/>
      <c r="C821" s="64"/>
      <c r="D821" s="64"/>
      <c r="E821" s="64"/>
    </row>
    <row r="822" spans="1:5" ht="12.75">
      <c r="A822" s="64"/>
      <c r="B822" s="64"/>
      <c r="C822" s="64"/>
      <c r="D822" s="64"/>
      <c r="E822" s="64"/>
    </row>
    <row r="823" spans="1:5" ht="12.75">
      <c r="A823" s="64"/>
      <c r="B823" s="64"/>
      <c r="C823" s="64"/>
      <c r="D823" s="64"/>
      <c r="E823" s="64"/>
    </row>
    <row r="824" spans="1:5" ht="12.75">
      <c r="A824" s="64"/>
      <c r="B824" s="64"/>
      <c r="C824" s="64"/>
      <c r="D824" s="64"/>
      <c r="E824" s="64"/>
    </row>
    <row r="825" spans="1:5" ht="12.75">
      <c r="A825" s="64"/>
      <c r="B825" s="64"/>
      <c r="C825" s="64"/>
      <c r="D825" s="64"/>
      <c r="E825" s="64"/>
    </row>
    <row r="826" spans="1:5" ht="12.75">
      <c r="A826" s="64"/>
      <c r="B826" s="64"/>
      <c r="C826" s="64"/>
      <c r="D826" s="64"/>
      <c r="E826" s="64"/>
    </row>
    <row r="827" spans="1:5" ht="12.75">
      <c r="A827" s="64"/>
      <c r="B827" s="64"/>
      <c r="C827" s="64"/>
      <c r="D827" s="64"/>
      <c r="E827" s="64"/>
    </row>
    <row r="828" spans="1:5" ht="12.75">
      <c r="A828" s="64"/>
      <c r="B828" s="64"/>
      <c r="C828" s="64"/>
      <c r="D828" s="64"/>
      <c r="E828" s="64"/>
    </row>
    <row r="829" spans="1:5" ht="12.75">
      <c r="A829" s="64"/>
      <c r="B829" s="64"/>
      <c r="C829" s="64"/>
      <c r="D829" s="64"/>
      <c r="E829" s="64"/>
    </row>
    <row r="830" spans="1:5" ht="12.75">
      <c r="A830" s="64"/>
      <c r="B830" s="64"/>
      <c r="C830" s="64"/>
      <c r="D830" s="64"/>
      <c r="E830" s="64"/>
    </row>
    <row r="831" spans="1:5" ht="12.75">
      <c r="A831" s="64"/>
      <c r="B831" s="64"/>
      <c r="C831" s="64"/>
      <c r="D831" s="64"/>
      <c r="E831" s="64"/>
    </row>
  </sheetData>
  <mergeCells count="242">
    <mergeCell ref="L177:L179"/>
    <mergeCell ref="L194:L196"/>
    <mergeCell ref="L197:L198"/>
    <mergeCell ref="A246:L246"/>
    <mergeCell ref="K209:K211"/>
    <mergeCell ref="L209:L211"/>
    <mergeCell ref="K238:K241"/>
    <mergeCell ref="K242:K245"/>
    <mergeCell ref="K180:K183"/>
    <mergeCell ref="L180:L183"/>
    <mergeCell ref="K184:K186"/>
    <mergeCell ref="L184:L186"/>
    <mergeCell ref="K187:K188"/>
    <mergeCell ref="L187:L188"/>
    <mergeCell ref="L189:L193"/>
    <mergeCell ref="K189:K193"/>
    <mergeCell ref="K194:K196"/>
    <mergeCell ref="E242:E245"/>
    <mergeCell ref="E197:E198"/>
    <mergeCell ref="L165:L168"/>
    <mergeCell ref="A169:L169"/>
    <mergeCell ref="K165:K168"/>
    <mergeCell ref="A154:A161"/>
    <mergeCell ref="A162:A164"/>
    <mergeCell ref="A165:A168"/>
    <mergeCell ref="K170:K172"/>
    <mergeCell ref="L170:L172"/>
    <mergeCell ref="K173:K176"/>
    <mergeCell ref="L173:L176"/>
    <mergeCell ref="L151:L153"/>
    <mergeCell ref="E141:E142"/>
    <mergeCell ref="E143:E145"/>
    <mergeCell ref="E146:E147"/>
    <mergeCell ref="E148:E150"/>
    <mergeCell ref="E151:E153"/>
    <mergeCell ref="E154:E161"/>
    <mergeCell ref="E162:E164"/>
    <mergeCell ref="K151:K153"/>
    <mergeCell ref="K154:K161"/>
    <mergeCell ref="L154:L161"/>
    <mergeCell ref="K162:K164"/>
    <mergeCell ref="L162:L164"/>
    <mergeCell ref="L133:L139"/>
    <mergeCell ref="K141:K142"/>
    <mergeCell ref="L141:L142"/>
    <mergeCell ref="K143:K145"/>
    <mergeCell ref="L143:L145"/>
    <mergeCell ref="K146:K147"/>
    <mergeCell ref="L146:L147"/>
    <mergeCell ref="K148:K150"/>
    <mergeCell ref="L148:L150"/>
    <mergeCell ref="K254:K257"/>
    <mergeCell ref="K212:K214"/>
    <mergeCell ref="K215:K217"/>
    <mergeCell ref="K218:K220"/>
    <mergeCell ref="K221:K223"/>
    <mergeCell ref="K224:K226"/>
    <mergeCell ref="K227:K229"/>
    <mergeCell ref="K230:K232"/>
    <mergeCell ref="L236:L237"/>
    <mergeCell ref="L238:L241"/>
    <mergeCell ref="L242:L245"/>
    <mergeCell ref="L247:L249"/>
    <mergeCell ref="L250:L253"/>
    <mergeCell ref="L254:L257"/>
    <mergeCell ref="L215:L217"/>
    <mergeCell ref="L218:L220"/>
    <mergeCell ref="L221:L223"/>
    <mergeCell ref="L224:L226"/>
    <mergeCell ref="L227:L229"/>
    <mergeCell ref="L230:L232"/>
    <mergeCell ref="L233:L235"/>
    <mergeCell ref="L212:L214"/>
    <mergeCell ref="K233:K235"/>
    <mergeCell ref="K236:K237"/>
    <mergeCell ref="K247:K249"/>
    <mergeCell ref="K250:K253"/>
    <mergeCell ref="K197:K198"/>
    <mergeCell ref="K199:K200"/>
    <mergeCell ref="L199:L200"/>
    <mergeCell ref="K201:K202"/>
    <mergeCell ref="L201:L202"/>
    <mergeCell ref="K203:K205"/>
    <mergeCell ref="L203:L205"/>
    <mergeCell ref="K206:K208"/>
    <mergeCell ref="L206:L208"/>
    <mergeCell ref="E247:E249"/>
    <mergeCell ref="E250:E253"/>
    <mergeCell ref="E254:E257"/>
    <mergeCell ref="E209:E211"/>
    <mergeCell ref="E212:E214"/>
    <mergeCell ref="E215:E217"/>
    <mergeCell ref="E218:E220"/>
    <mergeCell ref="E221:E223"/>
    <mergeCell ref="E224:E226"/>
    <mergeCell ref="E227:E229"/>
    <mergeCell ref="E199:E200"/>
    <mergeCell ref="E201:E202"/>
    <mergeCell ref="E203:E205"/>
    <mergeCell ref="E206:E208"/>
    <mergeCell ref="E230:E232"/>
    <mergeCell ref="E233:E235"/>
    <mergeCell ref="E236:E237"/>
    <mergeCell ref="E238:E241"/>
    <mergeCell ref="E165:E168"/>
    <mergeCell ref="E170:E172"/>
    <mergeCell ref="E173:E176"/>
    <mergeCell ref="E177:E179"/>
    <mergeCell ref="E180:E183"/>
    <mergeCell ref="E184:E186"/>
    <mergeCell ref="E187:E188"/>
    <mergeCell ref="E189:E193"/>
    <mergeCell ref="E194:E196"/>
    <mergeCell ref="M1:M2"/>
    <mergeCell ref="K4:K9"/>
    <mergeCell ref="L4:L9"/>
    <mergeCell ref="K10:K15"/>
    <mergeCell ref="L10:L15"/>
    <mergeCell ref="E118:E124"/>
    <mergeCell ref="E125:E132"/>
    <mergeCell ref="A140:L140"/>
    <mergeCell ref="E10:E15"/>
    <mergeCell ref="E28:E34"/>
    <mergeCell ref="E65:E72"/>
    <mergeCell ref="E73:E78"/>
    <mergeCell ref="E79:E85"/>
    <mergeCell ref="E86:E91"/>
    <mergeCell ref="E92:E97"/>
    <mergeCell ref="E98:E103"/>
    <mergeCell ref="E104:E110"/>
    <mergeCell ref="E111:E117"/>
    <mergeCell ref="K111:K117"/>
    <mergeCell ref="L111:L117"/>
    <mergeCell ref="K118:K124"/>
    <mergeCell ref="L118:L124"/>
    <mergeCell ref="K125:K132"/>
    <mergeCell ref="L125:L132"/>
    <mergeCell ref="L1:L2"/>
    <mergeCell ref="K16:K21"/>
    <mergeCell ref="L16:L21"/>
    <mergeCell ref="K22:K27"/>
    <mergeCell ref="L22:L27"/>
    <mergeCell ref="A28:A34"/>
    <mergeCell ref="A35:A40"/>
    <mergeCell ref="E35:E40"/>
    <mergeCell ref="A41:A46"/>
    <mergeCell ref="E41:E46"/>
    <mergeCell ref="L104:L110"/>
    <mergeCell ref="K79:K85"/>
    <mergeCell ref="L79:L85"/>
    <mergeCell ref="K86:K91"/>
    <mergeCell ref="L86:L91"/>
    <mergeCell ref="K92:K97"/>
    <mergeCell ref="L92:L97"/>
    <mergeCell ref="L98:L103"/>
    <mergeCell ref="B1:B2"/>
    <mergeCell ref="C1:C2"/>
    <mergeCell ref="D1:E1"/>
    <mergeCell ref="F1:H1"/>
    <mergeCell ref="I1:I2"/>
    <mergeCell ref="J1:J2"/>
    <mergeCell ref="A3:L3"/>
    <mergeCell ref="E16:E21"/>
    <mergeCell ref="E22:E27"/>
    <mergeCell ref="A1:A2"/>
    <mergeCell ref="A4:A9"/>
    <mergeCell ref="E4:E9"/>
    <mergeCell ref="A10:A15"/>
    <mergeCell ref="A16:A21"/>
    <mergeCell ref="A22:A27"/>
    <mergeCell ref="K1:K2"/>
    <mergeCell ref="A236:A237"/>
    <mergeCell ref="A238:A241"/>
    <mergeCell ref="A242:A245"/>
    <mergeCell ref="A247:A249"/>
    <mergeCell ref="A250:A253"/>
    <mergeCell ref="A254:A257"/>
    <mergeCell ref="A212:A214"/>
    <mergeCell ref="A215:A217"/>
    <mergeCell ref="A218:A220"/>
    <mergeCell ref="A221:A223"/>
    <mergeCell ref="A224:A226"/>
    <mergeCell ref="A227:A229"/>
    <mergeCell ref="A230:A232"/>
    <mergeCell ref="A189:A193"/>
    <mergeCell ref="A194:A196"/>
    <mergeCell ref="A197:A198"/>
    <mergeCell ref="A199:A200"/>
    <mergeCell ref="A201:A202"/>
    <mergeCell ref="A203:A205"/>
    <mergeCell ref="A206:A208"/>
    <mergeCell ref="A209:A211"/>
    <mergeCell ref="A233:A235"/>
    <mergeCell ref="A184:A186"/>
    <mergeCell ref="A187:A188"/>
    <mergeCell ref="A111:A117"/>
    <mergeCell ref="A118:A124"/>
    <mergeCell ref="A125:A132"/>
    <mergeCell ref="A133:A139"/>
    <mergeCell ref="A141:A142"/>
    <mergeCell ref="A143:A145"/>
    <mergeCell ref="A146:A147"/>
    <mergeCell ref="A148:A150"/>
    <mergeCell ref="A151:A153"/>
    <mergeCell ref="A92:A97"/>
    <mergeCell ref="A98:A103"/>
    <mergeCell ref="A104:A110"/>
    <mergeCell ref="K65:K72"/>
    <mergeCell ref="K73:K78"/>
    <mergeCell ref="A170:A172"/>
    <mergeCell ref="A173:A176"/>
    <mergeCell ref="A177:A179"/>
    <mergeCell ref="A180:A183"/>
    <mergeCell ref="K98:K103"/>
    <mergeCell ref="K104:K110"/>
    <mergeCell ref="E133:E139"/>
    <mergeCell ref="K133:K139"/>
    <mergeCell ref="K177:K179"/>
    <mergeCell ref="L65:L72"/>
    <mergeCell ref="L73:L78"/>
    <mergeCell ref="K35:K40"/>
    <mergeCell ref="K41:K46"/>
    <mergeCell ref="K47:K52"/>
    <mergeCell ref="A65:A72"/>
    <mergeCell ref="A73:A78"/>
    <mergeCell ref="A79:A85"/>
    <mergeCell ref="A86:A91"/>
    <mergeCell ref="A47:A52"/>
    <mergeCell ref="E47:E52"/>
    <mergeCell ref="E53:E58"/>
    <mergeCell ref="E59:E64"/>
    <mergeCell ref="A53:A58"/>
    <mergeCell ref="A59:A64"/>
    <mergeCell ref="K28:K34"/>
    <mergeCell ref="L28:L34"/>
    <mergeCell ref="L35:L40"/>
    <mergeCell ref="L41:L46"/>
    <mergeCell ref="L47:L52"/>
    <mergeCell ref="K53:K58"/>
    <mergeCell ref="L53:L58"/>
    <mergeCell ref="K59:K64"/>
    <mergeCell ref="L59:L64"/>
  </mergeCells>
  <dataValidations count="1">
    <dataValidation type="list" allowBlank="1" showErrorMessage="1" sqref="D4:E4 D5:D9 D10:E10 D11:D15 D16:E16 D17:D21 D22:E22 D23:D27 D28:E28 D29:D34 D35:E35 D36:D40 D41:E41 D42:D46 D47:E47 D48:D52 D53:E53 D54:D58 D59:E59 D60:D64 D65:E65 D66:D72 D73:E73 D74:D78 D79:E79 D80:D85 D86:E86 D87:D91 D92:E92 D93:D97 D98:E98 D99:D103 D104:E104 D105:D110 D111:E111 D112:D117 D118:E118 D119:D124 D125:E125 D126:D132 D133:E133 D134:D139 D141:E141 D142 D143:E143 D144:D145 D146:E146 D147 D148:E148 D149:D150 D151:E151 D152:D153 D154:E154 D155:D161 D162:E162 D163:D164 D165:E165 D166:D168 D170:E170 D171:D172 D173:E173 D174:D176 D177:E177 D178:D179 D180:E180 D181:D183 D184:E184 D185:D186 D187:E187 D188 D189:E189 D190:D193 D194:E194 D195:D196 D197:E197 D198 D199:E199 D200 D201:E201 D202 D203:E203 D204:D205 D206:E206 D207:D208 D209:E209 D210:D211 D212:E212 D213:D214 D215:E215 D216:D217 D218:E218 D219:D220 D221:E221 D222:D223 D224:E224 D225:D226 D227:E227 D228:D229 D230:E230 D231:D232 D233:E233 D234:D235 D236:E236 D237 D238:E238 D239:D241 D242:E242 D243:D245 D247:E247 D248:D249 D250:E250 D251:D253 D254:E254 D255:D257" xr:uid="{00000000-0002-0000-1400-000000000000}">
      <formula1>"Low,Medium,High"</formula1>
    </dataValidation>
  </dataValidations>
  <printOptions horizontalCentered="1" gridLines="1"/>
  <pageMargins left="0.25" right="0.25" top="0.75" bottom="0.75" header="0" footer="0"/>
  <pageSetup paperSize="6" fitToHeight="0" pageOrder="overThenDown" orientation="landscape" cellComments="atEnd"/>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M17"/>
  <sheetViews>
    <sheetView showGridLines="0" workbookViewId="0"/>
  </sheetViews>
  <sheetFormatPr defaultColWidth="12.5703125" defaultRowHeight="15.75" customHeight="1"/>
  <cols>
    <col min="1" max="1" width="6.140625" customWidth="1"/>
    <col min="2" max="2" width="11" customWidth="1"/>
    <col min="3" max="4" width="14.7109375" customWidth="1"/>
    <col min="5" max="5" width="64.42578125" customWidth="1"/>
    <col min="6" max="6" width="15" customWidth="1"/>
    <col min="7" max="7" width="15.42578125" customWidth="1"/>
    <col min="8" max="8" width="12.42578125" customWidth="1"/>
    <col min="9" max="9" width="19.42578125" customWidth="1"/>
    <col min="10" max="10" width="18.28515625" customWidth="1"/>
    <col min="11" max="11" width="19" customWidth="1"/>
    <col min="12" max="12" width="38.42578125" customWidth="1"/>
  </cols>
  <sheetData>
    <row r="1" spans="1:13" ht="15.75" customHeight="1">
      <c r="A1" s="539" t="s">
        <v>2892</v>
      </c>
      <c r="B1" s="517"/>
      <c r="C1" s="517"/>
      <c r="D1" s="517"/>
      <c r="E1" s="517"/>
      <c r="F1" s="517"/>
      <c r="G1" s="517"/>
      <c r="H1" s="517"/>
      <c r="I1" s="517"/>
      <c r="J1" s="517"/>
      <c r="K1" s="517"/>
      <c r="L1" s="517"/>
    </row>
    <row r="2" spans="1:13" ht="15.75" customHeight="1">
      <c r="A2" s="540" t="s">
        <v>1464</v>
      </c>
      <c r="B2" s="517"/>
      <c r="C2" s="517"/>
      <c r="D2" s="517"/>
      <c r="E2" s="517"/>
      <c r="F2" s="517"/>
      <c r="G2" s="517"/>
      <c r="H2" s="517"/>
      <c r="I2" s="517"/>
      <c r="J2" s="517"/>
      <c r="K2" s="517"/>
      <c r="L2" s="517"/>
    </row>
    <row r="3" spans="1:13" ht="12.75">
      <c r="A3" s="541">
        <f ca="1">NOW()</f>
        <v>46308.848431481485</v>
      </c>
      <c r="B3" s="517"/>
      <c r="C3" s="517"/>
      <c r="D3" s="517"/>
      <c r="E3" s="517"/>
      <c r="F3" s="517"/>
      <c r="G3" s="517"/>
      <c r="H3" s="517"/>
      <c r="I3" s="517"/>
      <c r="J3" s="517"/>
      <c r="K3" s="517"/>
      <c r="L3" s="517"/>
    </row>
    <row r="4" spans="1:13" ht="12.75">
      <c r="L4" s="31"/>
    </row>
    <row r="5" spans="1:13" ht="12.75">
      <c r="A5" s="624"/>
      <c r="B5" s="543"/>
      <c r="C5" s="543"/>
      <c r="D5" s="543"/>
      <c r="E5" s="543"/>
      <c r="F5" s="543"/>
      <c r="G5" s="543"/>
      <c r="H5" s="544"/>
      <c r="I5" s="625" t="s">
        <v>2895</v>
      </c>
      <c r="J5" s="544"/>
      <c r="K5" s="329">
        <f>COUNTIF(I10:I17,"Down")</f>
        <v>0</v>
      </c>
      <c r="L5" s="31"/>
    </row>
    <row r="6" spans="1:13" ht="12.75">
      <c r="A6" s="622"/>
      <c r="B6" s="543"/>
      <c r="C6" s="543"/>
      <c r="D6" s="543"/>
      <c r="E6" s="543"/>
      <c r="F6" s="543"/>
      <c r="G6" s="543"/>
      <c r="H6" s="544"/>
      <c r="I6" s="623" t="s">
        <v>2899</v>
      </c>
      <c r="J6" s="544"/>
      <c r="K6" s="332">
        <f>COUNT(A10:A17)</f>
        <v>8</v>
      </c>
    </row>
    <row r="8" spans="1:13" ht="12.75">
      <c r="A8" s="127" t="s">
        <v>1466</v>
      </c>
      <c r="B8" s="127" t="s">
        <v>2</v>
      </c>
      <c r="C8" s="127" t="s">
        <v>1</v>
      </c>
      <c r="D8" s="127" t="s">
        <v>0</v>
      </c>
      <c r="E8" s="127" t="s">
        <v>2902</v>
      </c>
      <c r="F8" s="127" t="s">
        <v>14</v>
      </c>
      <c r="G8" s="127" t="s">
        <v>645</v>
      </c>
      <c r="H8" s="127" t="s">
        <v>7</v>
      </c>
      <c r="I8" s="127" t="s">
        <v>1473</v>
      </c>
      <c r="J8" s="127" t="s">
        <v>2904</v>
      </c>
      <c r="K8" s="127" t="s">
        <v>20</v>
      </c>
      <c r="L8" s="127" t="s">
        <v>2905</v>
      </c>
    </row>
    <row r="9" spans="1:13" ht="12.75">
      <c r="A9" s="542" t="s">
        <v>1551</v>
      </c>
      <c r="B9" s="543"/>
      <c r="C9" s="543"/>
      <c r="D9" s="543"/>
      <c r="E9" s="543"/>
      <c r="F9" s="543"/>
      <c r="G9" s="543"/>
      <c r="H9" s="543"/>
      <c r="I9" s="543"/>
      <c r="J9" s="543"/>
      <c r="K9" s="543"/>
      <c r="L9" s="544"/>
    </row>
    <row r="10" spans="1:13" ht="12.75">
      <c r="A10" s="23">
        <v>1</v>
      </c>
      <c r="B10" s="61" t="s">
        <v>67</v>
      </c>
      <c r="C10" s="61" t="s">
        <v>360</v>
      </c>
      <c r="D10" s="61">
        <v>1</v>
      </c>
      <c r="E10" s="54" t="s">
        <v>361</v>
      </c>
      <c r="F10" s="16" t="s">
        <v>666</v>
      </c>
      <c r="G10" s="13"/>
      <c r="H10" s="16" t="s">
        <v>362</v>
      </c>
      <c r="I10" s="13" t="s">
        <v>89</v>
      </c>
      <c r="J10" s="93"/>
      <c r="K10" s="333"/>
      <c r="L10" s="207"/>
      <c r="M10" s="31" t="b">
        <v>1</v>
      </c>
    </row>
    <row r="11" spans="1:13" ht="12.75">
      <c r="A11" s="23">
        <v>2</v>
      </c>
      <c r="B11" s="62" t="s">
        <v>67</v>
      </c>
      <c r="C11" s="62" t="s">
        <v>364</v>
      </c>
      <c r="D11" s="61">
        <v>1</v>
      </c>
      <c r="E11" s="55" t="s">
        <v>365</v>
      </c>
      <c r="F11" s="16" t="s">
        <v>666</v>
      </c>
      <c r="G11" s="13"/>
      <c r="H11" s="16" t="s">
        <v>362</v>
      </c>
      <c r="I11" s="13" t="s">
        <v>89</v>
      </c>
      <c r="J11" s="93"/>
      <c r="K11" s="23"/>
      <c r="L11" s="207"/>
      <c r="M11" s="31" t="b">
        <v>1</v>
      </c>
    </row>
    <row r="12" spans="1:13" ht="12.75">
      <c r="A12" s="335">
        <v>3</v>
      </c>
      <c r="B12" s="62" t="s">
        <v>67</v>
      </c>
      <c r="C12" s="62" t="s">
        <v>367</v>
      </c>
      <c r="D12" s="61">
        <v>1</v>
      </c>
      <c r="E12" s="55" t="s">
        <v>369</v>
      </c>
      <c r="F12" s="97" t="s">
        <v>666</v>
      </c>
      <c r="G12" s="97"/>
      <c r="H12" s="16" t="s">
        <v>362</v>
      </c>
      <c r="I12" s="13" t="s">
        <v>89</v>
      </c>
      <c r="J12" s="93"/>
      <c r="K12" s="23"/>
      <c r="L12" s="207"/>
      <c r="M12" s="31" t="b">
        <v>1</v>
      </c>
    </row>
    <row r="13" spans="1:13" ht="25.5">
      <c r="A13" s="23">
        <v>4</v>
      </c>
      <c r="B13" s="62" t="s">
        <v>268</v>
      </c>
      <c r="C13" s="62" t="s">
        <v>1564</v>
      </c>
      <c r="D13" s="61">
        <v>2</v>
      </c>
      <c r="E13" s="7" t="s">
        <v>2337</v>
      </c>
      <c r="F13" s="97" t="s">
        <v>666</v>
      </c>
      <c r="G13" s="97"/>
      <c r="H13" s="16" t="s">
        <v>362</v>
      </c>
      <c r="I13" s="13" t="s">
        <v>89</v>
      </c>
      <c r="J13" s="93"/>
      <c r="K13" s="23"/>
      <c r="L13" s="207"/>
      <c r="M13" s="31" t="b">
        <v>1</v>
      </c>
    </row>
    <row r="14" spans="1:13" ht="25.5">
      <c r="A14" s="23">
        <v>5</v>
      </c>
      <c r="B14" s="62" t="s">
        <v>268</v>
      </c>
      <c r="C14" s="16" t="s">
        <v>1564</v>
      </c>
      <c r="D14" s="61">
        <v>2</v>
      </c>
      <c r="E14" s="7" t="s">
        <v>2338</v>
      </c>
      <c r="F14" s="17" t="s">
        <v>31</v>
      </c>
      <c r="G14" s="16"/>
      <c r="H14" s="16" t="s">
        <v>362</v>
      </c>
      <c r="I14" s="13" t="s">
        <v>89</v>
      </c>
      <c r="J14" s="93"/>
      <c r="K14" s="23"/>
      <c r="L14" s="207"/>
      <c r="M14" s="31" t="b">
        <v>1</v>
      </c>
    </row>
    <row r="15" spans="1:13" ht="25.5">
      <c r="A15" s="23">
        <v>6</v>
      </c>
      <c r="B15" s="62" t="s">
        <v>268</v>
      </c>
      <c r="C15" s="16" t="s">
        <v>35</v>
      </c>
      <c r="D15" s="61">
        <v>2</v>
      </c>
      <c r="E15" s="7" t="s">
        <v>2339</v>
      </c>
      <c r="F15" s="17" t="s">
        <v>31</v>
      </c>
      <c r="G15" s="97"/>
      <c r="H15" s="16" t="s">
        <v>362</v>
      </c>
      <c r="I15" s="13" t="s">
        <v>89</v>
      </c>
      <c r="J15" s="93"/>
      <c r="K15" s="23"/>
      <c r="L15" s="207"/>
      <c r="M15" s="31" t="b">
        <v>1</v>
      </c>
    </row>
    <row r="16" spans="1:13" ht="25.5">
      <c r="A16" s="23">
        <v>7</v>
      </c>
      <c r="B16" s="62" t="s">
        <v>268</v>
      </c>
      <c r="C16" s="16" t="s">
        <v>2340</v>
      </c>
      <c r="D16" s="61">
        <v>2</v>
      </c>
      <c r="E16" s="7" t="s">
        <v>2341</v>
      </c>
      <c r="F16" s="17" t="s">
        <v>31</v>
      </c>
      <c r="G16" s="16"/>
      <c r="H16" s="16" t="s">
        <v>362</v>
      </c>
      <c r="I16" s="13" t="s">
        <v>89</v>
      </c>
      <c r="J16" s="93"/>
      <c r="K16" s="23"/>
      <c r="L16" s="207"/>
      <c r="M16" s="31" t="b">
        <v>1</v>
      </c>
    </row>
    <row r="17" spans="1:13" ht="25.5">
      <c r="A17" s="23">
        <v>8</v>
      </c>
      <c r="B17" s="62" t="s">
        <v>268</v>
      </c>
      <c r="C17" s="16" t="s">
        <v>2342</v>
      </c>
      <c r="D17" s="61">
        <v>2</v>
      </c>
      <c r="E17" s="7" t="s">
        <v>2343</v>
      </c>
      <c r="F17" s="17" t="s">
        <v>31</v>
      </c>
      <c r="G17" s="97"/>
      <c r="H17" s="16" t="s">
        <v>362</v>
      </c>
      <c r="I17" s="13" t="s">
        <v>89</v>
      </c>
      <c r="J17" s="93"/>
      <c r="K17" s="23"/>
      <c r="L17" s="207"/>
      <c r="M17" s="31" t="b">
        <v>1</v>
      </c>
    </row>
  </sheetData>
  <mergeCells count="8">
    <mergeCell ref="A6:H6"/>
    <mergeCell ref="I6:J6"/>
    <mergeCell ref="A9:L9"/>
    <mergeCell ref="A1:L1"/>
    <mergeCell ref="A2:L2"/>
    <mergeCell ref="A3:L3"/>
    <mergeCell ref="A5:H5"/>
    <mergeCell ref="I5:J5"/>
  </mergeCells>
  <dataValidations count="1">
    <dataValidation type="list" allowBlank="1" showErrorMessage="1" sqref="I10:I17" xr:uid="{00000000-0002-0000-1500-000000000000}">
      <formula1>"Active,Inactive,Ongoing,Assist,Terminated"</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0000"/>
    <outlinePr summaryBelow="0" summaryRight="0"/>
    <pageSetUpPr fitToPage="1"/>
  </sheetPr>
  <dimension ref="A1:M102"/>
  <sheetViews>
    <sheetView showGridLines="0" workbookViewId="0"/>
  </sheetViews>
  <sheetFormatPr defaultColWidth="12.5703125" defaultRowHeight="15.75" customHeight="1"/>
  <cols>
    <col min="1" max="1" width="6.5703125" customWidth="1"/>
    <col min="2" max="2" width="19.85546875" customWidth="1"/>
    <col min="3" max="3" width="21.42578125" customWidth="1"/>
    <col min="4" max="4" width="8.85546875" customWidth="1"/>
    <col min="5" max="5" width="53.5703125" customWidth="1"/>
    <col min="6" max="6" width="16.5703125" hidden="1" customWidth="1"/>
    <col min="7" max="7" width="16.5703125" customWidth="1"/>
    <col min="8" max="8" width="12.5703125" hidden="1"/>
    <col min="9" max="9" width="17.85546875" customWidth="1"/>
    <col min="10" max="10" width="14.140625" customWidth="1"/>
    <col min="11" max="11" width="26.140625" customWidth="1"/>
    <col min="12" max="12" width="26.42578125" customWidth="1"/>
    <col min="13" max="13" width="26.7109375" hidden="1" customWidth="1"/>
  </cols>
  <sheetData>
    <row r="1" spans="1:13" ht="15.75" customHeight="1">
      <c r="A1" s="627" t="s">
        <v>2913</v>
      </c>
      <c r="B1" s="517"/>
      <c r="C1" s="517"/>
      <c r="D1" s="517"/>
      <c r="E1" s="517"/>
      <c r="F1" s="517"/>
      <c r="G1" s="517"/>
      <c r="H1" s="517"/>
      <c r="I1" s="517"/>
      <c r="J1" s="517"/>
    </row>
    <row r="2" spans="1:13" ht="12.75">
      <c r="A2" s="628" t="s">
        <v>2915</v>
      </c>
      <c r="B2" s="517"/>
      <c r="C2" s="517"/>
      <c r="D2" s="517"/>
      <c r="E2" s="517"/>
      <c r="F2" s="517"/>
      <c r="G2" s="517"/>
      <c r="H2" s="517"/>
      <c r="I2" s="517"/>
      <c r="J2" s="517"/>
    </row>
    <row r="3" spans="1:13" ht="12.75">
      <c r="A3" s="629">
        <f ca="1">NOW()</f>
        <v>46308.848431481485</v>
      </c>
      <c r="B3" s="517"/>
      <c r="C3" s="517"/>
      <c r="D3" s="517"/>
      <c r="E3" s="517"/>
      <c r="F3" s="517"/>
      <c r="G3" s="517"/>
      <c r="H3" s="517"/>
      <c r="I3" s="517"/>
      <c r="J3" s="517"/>
    </row>
    <row r="5" spans="1:13" ht="12.75">
      <c r="B5" s="622">
        <f>COUNTIF(J9:J80, "Inactive")</f>
        <v>19</v>
      </c>
      <c r="C5" s="543"/>
      <c r="D5" s="543"/>
      <c r="E5" s="543"/>
      <c r="F5" s="543"/>
      <c r="G5" s="544"/>
      <c r="H5" s="625" t="s">
        <v>2917</v>
      </c>
      <c r="I5" s="543"/>
      <c r="J5" s="544"/>
    </row>
    <row r="6" spans="1:13" ht="12.75">
      <c r="B6" s="626"/>
      <c r="C6" s="543"/>
      <c r="D6" s="543"/>
      <c r="E6" s="543"/>
      <c r="F6" s="543"/>
      <c r="G6" s="544"/>
      <c r="H6" s="623" t="s">
        <v>2918</v>
      </c>
      <c r="I6" s="543"/>
      <c r="J6" s="544"/>
    </row>
    <row r="7" spans="1:13" ht="12.75">
      <c r="A7" s="336"/>
      <c r="B7" s="336"/>
      <c r="C7" s="336"/>
      <c r="D7" s="336"/>
      <c r="E7" s="336"/>
      <c r="F7" s="336"/>
      <c r="G7" s="336"/>
      <c r="H7" s="337"/>
      <c r="I7" s="336"/>
      <c r="J7" s="336"/>
    </row>
    <row r="8" spans="1:13" ht="12.75">
      <c r="A8" s="2" t="s">
        <v>2919</v>
      </c>
      <c r="B8" s="2" t="s">
        <v>2</v>
      </c>
      <c r="C8" s="2" t="s">
        <v>1</v>
      </c>
      <c r="D8" s="2" t="s">
        <v>0</v>
      </c>
      <c r="E8" s="2" t="s">
        <v>3</v>
      </c>
      <c r="F8" s="2" t="s">
        <v>14</v>
      </c>
      <c r="G8" s="2" t="s">
        <v>645</v>
      </c>
      <c r="H8" s="2" t="s">
        <v>7</v>
      </c>
      <c r="I8" s="2" t="s">
        <v>648</v>
      </c>
      <c r="J8" s="2" t="s">
        <v>1747</v>
      </c>
      <c r="K8" s="90" t="s">
        <v>650</v>
      </c>
      <c r="L8" s="90" t="s">
        <v>20</v>
      </c>
      <c r="M8" s="90" t="s">
        <v>2905</v>
      </c>
    </row>
    <row r="9" spans="1:13" ht="14.25">
      <c r="A9" s="13">
        <v>1</v>
      </c>
      <c r="B9" s="13" t="s">
        <v>57</v>
      </c>
      <c r="C9" s="13" t="s">
        <v>191</v>
      </c>
      <c r="D9" s="13">
        <v>2</v>
      </c>
      <c r="E9" s="50" t="s">
        <v>26</v>
      </c>
      <c r="F9" s="13" t="s">
        <v>31</v>
      </c>
      <c r="G9" s="13" t="s">
        <v>667</v>
      </c>
      <c r="H9" s="13" t="s">
        <v>22</v>
      </c>
      <c r="I9" s="93">
        <v>45944.961354166669</v>
      </c>
      <c r="J9" s="13" t="s">
        <v>199</v>
      </c>
      <c r="K9" s="338"/>
      <c r="L9" s="96"/>
      <c r="M9" s="13"/>
    </row>
    <row r="10" spans="1:13" ht="14.25">
      <c r="A10" s="13">
        <v>2</v>
      </c>
      <c r="B10" s="13" t="s">
        <v>57</v>
      </c>
      <c r="C10" s="13" t="s">
        <v>212</v>
      </c>
      <c r="D10" s="13">
        <v>2</v>
      </c>
      <c r="E10" s="50" t="s">
        <v>61</v>
      </c>
      <c r="F10" s="13" t="s">
        <v>65</v>
      </c>
      <c r="G10" s="13" t="s">
        <v>670</v>
      </c>
      <c r="H10" s="13" t="s">
        <v>22</v>
      </c>
      <c r="I10" s="93">
        <v>45950.961458333331</v>
      </c>
      <c r="J10" s="13" t="s">
        <v>199</v>
      </c>
      <c r="K10" s="338"/>
      <c r="L10" s="96"/>
      <c r="M10" s="13"/>
    </row>
    <row r="11" spans="1:13" ht="14.25">
      <c r="A11" s="13">
        <v>3</v>
      </c>
      <c r="B11" s="13" t="s">
        <v>57</v>
      </c>
      <c r="C11" s="13" t="s">
        <v>212</v>
      </c>
      <c r="D11" s="13">
        <v>2</v>
      </c>
      <c r="E11" s="50" t="s">
        <v>87</v>
      </c>
      <c r="F11" s="13" t="s">
        <v>65</v>
      </c>
      <c r="G11" s="13" t="s">
        <v>672</v>
      </c>
      <c r="H11" s="13" t="s">
        <v>22</v>
      </c>
      <c r="I11" s="93">
        <v>45950.961481481485</v>
      </c>
      <c r="J11" s="13" t="s">
        <v>199</v>
      </c>
      <c r="K11" s="338"/>
      <c r="L11" s="96"/>
      <c r="M11" s="13"/>
    </row>
    <row r="12" spans="1:13" ht="14.25">
      <c r="A12" s="13">
        <v>4</v>
      </c>
      <c r="B12" s="13" t="s">
        <v>57</v>
      </c>
      <c r="C12" s="13" t="s">
        <v>212</v>
      </c>
      <c r="D12" s="13">
        <v>2</v>
      </c>
      <c r="E12" s="50" t="s">
        <v>91</v>
      </c>
      <c r="F12" s="13" t="s">
        <v>65</v>
      </c>
      <c r="G12" s="13" t="s">
        <v>674</v>
      </c>
      <c r="H12" s="13" t="s">
        <v>22</v>
      </c>
      <c r="I12" s="93">
        <v>45950.961446759262</v>
      </c>
      <c r="J12" s="13" t="s">
        <v>199</v>
      </c>
      <c r="K12" s="338"/>
      <c r="L12" s="96"/>
      <c r="M12" s="13"/>
    </row>
    <row r="13" spans="1:13" ht="14.25">
      <c r="A13" s="13">
        <v>5</v>
      </c>
      <c r="B13" s="13" t="s">
        <v>57</v>
      </c>
      <c r="C13" s="13" t="s">
        <v>212</v>
      </c>
      <c r="D13" s="13">
        <v>2</v>
      </c>
      <c r="E13" s="50" t="s">
        <v>96</v>
      </c>
      <c r="F13" s="13" t="s">
        <v>99</v>
      </c>
      <c r="G13" s="13" t="s">
        <v>676</v>
      </c>
      <c r="H13" s="13" t="s">
        <v>22</v>
      </c>
      <c r="I13" s="339">
        <v>45944.96466435185</v>
      </c>
      <c r="J13" s="13" t="s">
        <v>199</v>
      </c>
      <c r="K13" s="338"/>
      <c r="L13" s="96"/>
      <c r="M13" s="13"/>
    </row>
    <row r="14" spans="1:13" ht="14.25">
      <c r="A14" s="13">
        <v>6</v>
      </c>
      <c r="B14" s="13" t="s">
        <v>57</v>
      </c>
      <c r="C14" s="13" t="s">
        <v>212</v>
      </c>
      <c r="D14" s="13">
        <v>2</v>
      </c>
      <c r="E14" s="50" t="s">
        <v>102</v>
      </c>
      <c r="F14" s="13" t="s">
        <v>103</v>
      </c>
      <c r="G14" s="13" t="s">
        <v>679</v>
      </c>
      <c r="H14" s="13" t="s">
        <v>22</v>
      </c>
      <c r="I14" s="93">
        <v>45943.318831018521</v>
      </c>
      <c r="J14" s="13" t="s">
        <v>199</v>
      </c>
      <c r="K14" s="338"/>
      <c r="L14" s="96"/>
      <c r="M14" s="13"/>
    </row>
    <row r="15" spans="1:13" ht="12.75">
      <c r="A15" s="13">
        <v>7</v>
      </c>
      <c r="B15" s="13" t="s">
        <v>117</v>
      </c>
      <c r="C15" s="13" t="s">
        <v>191</v>
      </c>
      <c r="D15" s="13">
        <v>2</v>
      </c>
      <c r="E15" s="50" t="s">
        <v>105</v>
      </c>
      <c r="F15" s="13" t="s">
        <v>65</v>
      </c>
      <c r="G15" s="13" t="s">
        <v>681</v>
      </c>
      <c r="H15" s="13" t="s">
        <v>22</v>
      </c>
      <c r="I15" s="93"/>
      <c r="J15" s="13" t="s">
        <v>89</v>
      </c>
      <c r="K15" s="340"/>
      <c r="L15" s="96"/>
      <c r="M15" s="13"/>
    </row>
    <row r="16" spans="1:13" ht="12.75">
      <c r="A16" s="13">
        <v>8</v>
      </c>
      <c r="B16" s="13" t="s">
        <v>117</v>
      </c>
      <c r="C16" s="13" t="s">
        <v>191</v>
      </c>
      <c r="D16" s="13">
        <v>2</v>
      </c>
      <c r="E16" s="50" t="s">
        <v>120</v>
      </c>
      <c r="F16" s="13" t="s">
        <v>65</v>
      </c>
      <c r="G16" s="13" t="s">
        <v>683</v>
      </c>
      <c r="H16" s="13" t="s">
        <v>22</v>
      </c>
      <c r="I16" s="93"/>
      <c r="J16" s="13" t="s">
        <v>89</v>
      </c>
      <c r="K16" s="340"/>
      <c r="L16" s="96"/>
      <c r="M16" s="13"/>
    </row>
    <row r="17" spans="1:13" ht="14.25">
      <c r="A17" s="13">
        <v>9</v>
      </c>
      <c r="B17" s="13" t="s">
        <v>117</v>
      </c>
      <c r="C17" s="13" t="s">
        <v>191</v>
      </c>
      <c r="D17" s="13">
        <v>2</v>
      </c>
      <c r="E17" s="50" t="s">
        <v>124</v>
      </c>
      <c r="F17" s="13" t="s">
        <v>65</v>
      </c>
      <c r="G17" s="13" t="s">
        <v>685</v>
      </c>
      <c r="H17" s="13" t="s">
        <v>22</v>
      </c>
      <c r="I17" s="93"/>
      <c r="J17" s="13" t="s">
        <v>89</v>
      </c>
      <c r="K17" s="341"/>
      <c r="L17" s="96"/>
      <c r="M17" s="13"/>
    </row>
    <row r="18" spans="1:13" ht="14.25">
      <c r="A18" s="13">
        <v>10</v>
      </c>
      <c r="B18" s="13" t="s">
        <v>117</v>
      </c>
      <c r="C18" s="13" t="s">
        <v>191</v>
      </c>
      <c r="D18" s="13">
        <v>2</v>
      </c>
      <c r="E18" s="50" t="s">
        <v>126</v>
      </c>
      <c r="F18" s="13" t="s">
        <v>128</v>
      </c>
      <c r="G18" s="13" t="s">
        <v>687</v>
      </c>
      <c r="H18" s="13" t="s">
        <v>22</v>
      </c>
      <c r="I18" s="93"/>
      <c r="J18" s="13" t="s">
        <v>89</v>
      </c>
      <c r="K18" s="341"/>
      <c r="L18" s="96"/>
      <c r="M18" s="13"/>
    </row>
    <row r="19" spans="1:13" ht="12.75">
      <c r="A19" s="13">
        <v>11</v>
      </c>
      <c r="B19" s="13" t="s">
        <v>117</v>
      </c>
      <c r="C19" s="13" t="s">
        <v>191</v>
      </c>
      <c r="D19" s="13">
        <v>2</v>
      </c>
      <c r="E19" s="50" t="s">
        <v>130</v>
      </c>
      <c r="F19" s="13" t="s">
        <v>31</v>
      </c>
      <c r="G19" s="13" t="s">
        <v>689</v>
      </c>
      <c r="H19" s="13" t="s">
        <v>22</v>
      </c>
      <c r="I19" s="93"/>
      <c r="J19" s="13" t="s">
        <v>89</v>
      </c>
      <c r="K19" s="343"/>
      <c r="L19" s="96"/>
      <c r="M19" s="13"/>
    </row>
    <row r="20" spans="1:13" ht="12.75">
      <c r="A20" s="13">
        <v>12</v>
      </c>
      <c r="B20" s="13" t="s">
        <v>117</v>
      </c>
      <c r="C20" s="13" t="s">
        <v>191</v>
      </c>
      <c r="D20" s="13">
        <v>2</v>
      </c>
      <c r="E20" s="50" t="s">
        <v>131</v>
      </c>
      <c r="F20" s="13" t="s">
        <v>103</v>
      </c>
      <c r="G20" s="13" t="s">
        <v>693</v>
      </c>
      <c r="H20" s="13" t="s">
        <v>22</v>
      </c>
      <c r="I20" s="93"/>
      <c r="J20" s="13" t="s">
        <v>89</v>
      </c>
      <c r="K20" s="340"/>
      <c r="L20" s="96"/>
      <c r="M20" s="13"/>
    </row>
    <row r="21" spans="1:13" ht="12.75">
      <c r="A21" s="13">
        <v>13</v>
      </c>
      <c r="B21" s="13" t="s">
        <v>136</v>
      </c>
      <c r="C21" s="13" t="s">
        <v>251</v>
      </c>
      <c r="D21" s="13">
        <v>2</v>
      </c>
      <c r="E21" s="50" t="s">
        <v>133</v>
      </c>
      <c r="F21" s="13" t="s">
        <v>65</v>
      </c>
      <c r="G21" s="13" t="s">
        <v>695</v>
      </c>
      <c r="H21" s="13" t="s">
        <v>22</v>
      </c>
      <c r="I21" s="98"/>
      <c r="J21" s="13" t="s">
        <v>89</v>
      </c>
      <c r="K21" s="101"/>
      <c r="L21" s="96"/>
      <c r="M21" s="13"/>
    </row>
    <row r="22" spans="1:13" ht="12.75">
      <c r="A22" s="13">
        <v>14</v>
      </c>
      <c r="B22" s="13" t="s">
        <v>136</v>
      </c>
      <c r="C22" s="13" t="s">
        <v>251</v>
      </c>
      <c r="D22" s="13">
        <v>2</v>
      </c>
      <c r="E22" s="50" t="s">
        <v>138</v>
      </c>
      <c r="F22" s="13" t="s">
        <v>65</v>
      </c>
      <c r="G22" s="13" t="s">
        <v>697</v>
      </c>
      <c r="H22" s="13" t="s">
        <v>22</v>
      </c>
      <c r="I22" s="98"/>
      <c r="J22" s="13" t="s">
        <v>89</v>
      </c>
      <c r="K22" s="101"/>
      <c r="L22" s="96"/>
      <c r="M22" s="13"/>
    </row>
    <row r="23" spans="1:13" ht="12.75">
      <c r="A23" s="13">
        <v>15</v>
      </c>
      <c r="B23" s="13" t="s">
        <v>136</v>
      </c>
      <c r="C23" s="13" t="s">
        <v>251</v>
      </c>
      <c r="D23" s="13">
        <v>2</v>
      </c>
      <c r="E23" s="50" t="s">
        <v>145</v>
      </c>
      <c r="F23" s="13" t="s">
        <v>65</v>
      </c>
      <c r="G23" s="13" t="s">
        <v>699</v>
      </c>
      <c r="H23" s="13" t="s">
        <v>22</v>
      </c>
      <c r="I23" s="98">
        <v>45941.549386574072</v>
      </c>
      <c r="J23" s="13" t="s">
        <v>199</v>
      </c>
      <c r="K23" s="101"/>
      <c r="L23" s="96"/>
      <c r="M23" s="13"/>
    </row>
    <row r="24" spans="1:13" ht="12.75">
      <c r="A24" s="13">
        <v>16</v>
      </c>
      <c r="B24" s="13" t="s">
        <v>136</v>
      </c>
      <c r="C24" s="13" t="s">
        <v>251</v>
      </c>
      <c r="D24" s="13">
        <v>2</v>
      </c>
      <c r="E24" s="50" t="s">
        <v>147</v>
      </c>
      <c r="F24" s="13" t="s">
        <v>103</v>
      </c>
      <c r="G24" s="13" t="s">
        <v>702</v>
      </c>
      <c r="H24" s="13" t="s">
        <v>22</v>
      </c>
      <c r="I24" s="98">
        <v>45941.5466087963</v>
      </c>
      <c r="J24" s="13" t="s">
        <v>199</v>
      </c>
      <c r="K24" s="101"/>
      <c r="L24" s="96"/>
      <c r="M24" s="13"/>
    </row>
    <row r="25" spans="1:13" ht="12.75">
      <c r="A25" s="13">
        <v>17</v>
      </c>
      <c r="B25" s="13" t="s">
        <v>136</v>
      </c>
      <c r="C25" s="13" t="s">
        <v>251</v>
      </c>
      <c r="D25" s="13">
        <v>2</v>
      </c>
      <c r="E25" s="50" t="s">
        <v>150</v>
      </c>
      <c r="F25" s="13" t="s">
        <v>151</v>
      </c>
      <c r="G25" s="13" t="s">
        <v>704</v>
      </c>
      <c r="H25" s="13" t="s">
        <v>22</v>
      </c>
      <c r="I25" s="98"/>
      <c r="J25" s="13" t="s">
        <v>89</v>
      </c>
      <c r="K25" s="101"/>
      <c r="L25" s="96"/>
      <c r="M25" s="13"/>
    </row>
    <row r="26" spans="1:13" ht="12.75">
      <c r="A26" s="13">
        <v>18</v>
      </c>
      <c r="B26" s="13" t="s">
        <v>136</v>
      </c>
      <c r="C26" s="13" t="s">
        <v>283</v>
      </c>
      <c r="D26" s="13">
        <v>2</v>
      </c>
      <c r="E26" s="50" t="s">
        <v>154</v>
      </c>
      <c r="F26" s="13" t="s">
        <v>155</v>
      </c>
      <c r="G26" s="13" t="s">
        <v>706</v>
      </c>
      <c r="H26" s="13" t="s">
        <v>22</v>
      </c>
      <c r="I26" s="98"/>
      <c r="J26" s="13" t="s">
        <v>89</v>
      </c>
      <c r="K26" s="101"/>
      <c r="L26" s="96"/>
      <c r="M26" s="13"/>
    </row>
    <row r="27" spans="1:13" ht="12.75">
      <c r="A27" s="13">
        <v>19</v>
      </c>
      <c r="B27" s="4" t="s">
        <v>167</v>
      </c>
      <c r="C27" s="4" t="s">
        <v>290</v>
      </c>
      <c r="D27" s="13">
        <v>2</v>
      </c>
      <c r="E27" s="7" t="s">
        <v>159</v>
      </c>
      <c r="F27" s="13" t="s">
        <v>65</v>
      </c>
      <c r="G27" s="13" t="s">
        <v>710</v>
      </c>
      <c r="H27" s="13" t="s">
        <v>22</v>
      </c>
      <c r="I27" s="98"/>
      <c r="J27" s="13" t="s">
        <v>89</v>
      </c>
      <c r="K27" s="7"/>
      <c r="L27" s="96"/>
      <c r="M27" s="4"/>
    </row>
    <row r="28" spans="1:13" ht="12.75">
      <c r="A28" s="13">
        <v>20</v>
      </c>
      <c r="B28" s="4" t="s">
        <v>167</v>
      </c>
      <c r="C28" s="4" t="s">
        <v>290</v>
      </c>
      <c r="D28" s="13">
        <v>2</v>
      </c>
      <c r="E28" s="7" t="s">
        <v>169</v>
      </c>
      <c r="F28" s="13" t="s">
        <v>65</v>
      </c>
      <c r="G28" s="13" t="s">
        <v>713</v>
      </c>
      <c r="H28" s="13" t="s">
        <v>22</v>
      </c>
      <c r="I28" s="98"/>
      <c r="J28" s="13" t="s">
        <v>89</v>
      </c>
      <c r="K28" s="7"/>
      <c r="L28" s="96"/>
      <c r="M28" s="4"/>
    </row>
    <row r="29" spans="1:13" ht="12.75">
      <c r="A29" s="13">
        <v>21</v>
      </c>
      <c r="B29" s="4" t="s">
        <v>167</v>
      </c>
      <c r="C29" s="4" t="s">
        <v>290</v>
      </c>
      <c r="D29" s="13">
        <v>2</v>
      </c>
      <c r="E29" s="7" t="s">
        <v>174</v>
      </c>
      <c r="F29" s="13" t="s">
        <v>65</v>
      </c>
      <c r="G29" s="13" t="s">
        <v>715</v>
      </c>
      <c r="H29" s="13" t="s">
        <v>22</v>
      </c>
      <c r="I29" s="98"/>
      <c r="J29" s="13" t="s">
        <v>89</v>
      </c>
      <c r="K29" s="7"/>
      <c r="L29" s="96"/>
      <c r="M29" s="4"/>
    </row>
    <row r="30" spans="1:13" ht="12.75">
      <c r="A30" s="13">
        <v>22</v>
      </c>
      <c r="B30" s="4" t="s">
        <v>167</v>
      </c>
      <c r="C30" s="4" t="s">
        <v>290</v>
      </c>
      <c r="D30" s="13">
        <v>2</v>
      </c>
      <c r="E30" s="7" t="s">
        <v>177</v>
      </c>
      <c r="F30" s="13" t="s">
        <v>103</v>
      </c>
      <c r="G30" s="13" t="s">
        <v>717</v>
      </c>
      <c r="H30" s="13" t="s">
        <v>22</v>
      </c>
      <c r="I30" s="98">
        <v>45941.580636574072</v>
      </c>
      <c r="J30" s="13" t="s">
        <v>199</v>
      </c>
      <c r="K30" s="7"/>
      <c r="L30" s="96"/>
      <c r="M30" s="4"/>
    </row>
    <row r="31" spans="1:13" ht="12.75">
      <c r="A31" s="13">
        <v>23</v>
      </c>
      <c r="B31" s="4" t="s">
        <v>167</v>
      </c>
      <c r="C31" s="4" t="s">
        <v>140</v>
      </c>
      <c r="D31" s="13">
        <v>2</v>
      </c>
      <c r="E31" s="7" t="s">
        <v>181</v>
      </c>
      <c r="F31" s="13" t="s">
        <v>65</v>
      </c>
      <c r="G31" s="13" t="s">
        <v>719</v>
      </c>
      <c r="H31" s="13" t="s">
        <v>22</v>
      </c>
      <c r="I31" s="98"/>
      <c r="J31" s="13" t="s">
        <v>89</v>
      </c>
      <c r="K31" s="7"/>
      <c r="L31" s="96"/>
      <c r="M31" s="4"/>
    </row>
    <row r="32" spans="1:13" ht="12.75">
      <c r="A32" s="13">
        <v>24</v>
      </c>
      <c r="B32" s="4" t="s">
        <v>167</v>
      </c>
      <c r="C32" s="4" t="s">
        <v>290</v>
      </c>
      <c r="D32" s="13">
        <v>2</v>
      </c>
      <c r="E32" s="7" t="s">
        <v>184</v>
      </c>
      <c r="F32" s="13" t="s">
        <v>155</v>
      </c>
      <c r="G32" s="13" t="s">
        <v>721</v>
      </c>
      <c r="H32" s="13" t="s">
        <v>22</v>
      </c>
      <c r="I32" s="98"/>
      <c r="J32" s="13" t="s">
        <v>89</v>
      </c>
      <c r="K32" s="7"/>
      <c r="L32" s="96"/>
      <c r="M32" s="4"/>
    </row>
    <row r="33" spans="1:13" ht="12.75">
      <c r="A33" s="13">
        <v>25</v>
      </c>
      <c r="B33" s="4" t="s">
        <v>198</v>
      </c>
      <c r="C33" s="4" t="s">
        <v>327</v>
      </c>
      <c r="D33" s="13">
        <v>2</v>
      </c>
      <c r="E33" s="7" t="s">
        <v>188</v>
      </c>
      <c r="F33" s="13" t="s">
        <v>65</v>
      </c>
      <c r="G33" s="13" t="s">
        <v>724</v>
      </c>
      <c r="H33" s="13" t="s">
        <v>22</v>
      </c>
      <c r="I33" s="98"/>
      <c r="J33" s="13" t="s">
        <v>89</v>
      </c>
      <c r="K33" s="344"/>
      <c r="L33" s="96"/>
      <c r="M33" s="4"/>
    </row>
    <row r="34" spans="1:13" ht="12.75">
      <c r="A34" s="13">
        <v>26</v>
      </c>
      <c r="B34" s="4" t="s">
        <v>198</v>
      </c>
      <c r="C34" s="4" t="s">
        <v>327</v>
      </c>
      <c r="D34" s="13">
        <v>2</v>
      </c>
      <c r="E34" s="7" t="s">
        <v>201</v>
      </c>
      <c r="F34" s="13" t="s">
        <v>65</v>
      </c>
      <c r="G34" s="13" t="s">
        <v>729</v>
      </c>
      <c r="H34" s="13" t="s">
        <v>22</v>
      </c>
      <c r="I34" s="98">
        <v>45943.23641203704</v>
      </c>
      <c r="J34" s="13" t="s">
        <v>199</v>
      </c>
      <c r="K34" s="344"/>
      <c r="L34" s="96"/>
      <c r="M34" s="4"/>
    </row>
    <row r="35" spans="1:13" ht="12.75">
      <c r="A35" s="13">
        <v>27</v>
      </c>
      <c r="B35" s="4" t="s">
        <v>198</v>
      </c>
      <c r="C35" s="4" t="s">
        <v>327</v>
      </c>
      <c r="D35" s="13">
        <v>2</v>
      </c>
      <c r="E35" s="7" t="s">
        <v>203</v>
      </c>
      <c r="F35" s="13" t="s">
        <v>65</v>
      </c>
      <c r="G35" s="13" t="s">
        <v>731</v>
      </c>
      <c r="H35" s="13" t="s">
        <v>22</v>
      </c>
      <c r="I35" s="98"/>
      <c r="J35" s="13" t="s">
        <v>89</v>
      </c>
      <c r="K35" s="344"/>
      <c r="L35" s="96"/>
      <c r="M35" s="4"/>
    </row>
    <row r="36" spans="1:13" ht="12.75">
      <c r="A36" s="13">
        <v>28</v>
      </c>
      <c r="B36" s="4" t="s">
        <v>198</v>
      </c>
      <c r="C36" s="4" t="s">
        <v>345</v>
      </c>
      <c r="D36" s="13">
        <v>2</v>
      </c>
      <c r="E36" s="7" t="s">
        <v>205</v>
      </c>
      <c r="F36" s="13" t="s">
        <v>207</v>
      </c>
      <c r="G36" s="13" t="s">
        <v>735</v>
      </c>
      <c r="H36" s="13" t="s">
        <v>22</v>
      </c>
      <c r="I36" s="98"/>
      <c r="J36" s="13" t="s">
        <v>89</v>
      </c>
      <c r="K36" s="344"/>
      <c r="L36" s="96"/>
      <c r="M36" s="4"/>
    </row>
    <row r="37" spans="1:13" ht="12.75">
      <c r="A37" s="13">
        <v>29</v>
      </c>
      <c r="B37" s="4" t="s">
        <v>198</v>
      </c>
      <c r="C37" s="4" t="s">
        <v>327</v>
      </c>
      <c r="D37" s="13">
        <v>2</v>
      </c>
      <c r="E37" s="7" t="s">
        <v>208</v>
      </c>
      <c r="F37" s="13" t="s">
        <v>103</v>
      </c>
      <c r="G37" s="13" t="s">
        <v>740</v>
      </c>
      <c r="H37" s="13" t="s">
        <v>22</v>
      </c>
      <c r="I37" s="98"/>
      <c r="J37" s="13" t="s">
        <v>89</v>
      </c>
      <c r="K37" s="344"/>
      <c r="L37" s="96"/>
      <c r="M37" s="4"/>
    </row>
    <row r="38" spans="1:13" ht="12.75">
      <c r="A38" s="13">
        <v>30</v>
      </c>
      <c r="B38" s="4" t="s">
        <v>198</v>
      </c>
      <c r="C38" s="4" t="s">
        <v>327</v>
      </c>
      <c r="D38" s="13">
        <v>2</v>
      </c>
      <c r="E38" s="7" t="s">
        <v>209</v>
      </c>
      <c r="F38" s="13" t="s">
        <v>155</v>
      </c>
      <c r="G38" s="13" t="s">
        <v>746</v>
      </c>
      <c r="H38" s="13" t="s">
        <v>22</v>
      </c>
      <c r="I38" s="93"/>
      <c r="J38" s="13" t="s">
        <v>89</v>
      </c>
      <c r="K38" s="344"/>
      <c r="L38" s="96"/>
      <c r="M38" s="4"/>
    </row>
    <row r="39" spans="1:13" ht="12.75">
      <c r="A39" s="13">
        <v>31</v>
      </c>
      <c r="B39" s="4" t="s">
        <v>216</v>
      </c>
      <c r="C39" s="4" t="s">
        <v>376</v>
      </c>
      <c r="D39" s="13">
        <v>2</v>
      </c>
      <c r="E39" s="7" t="s">
        <v>213</v>
      </c>
      <c r="F39" s="13" t="s">
        <v>65</v>
      </c>
      <c r="G39" s="13" t="s">
        <v>752</v>
      </c>
      <c r="H39" s="13" t="s">
        <v>22</v>
      </c>
      <c r="I39" s="93"/>
      <c r="J39" s="13" t="s">
        <v>89</v>
      </c>
      <c r="K39" s="7"/>
      <c r="L39" s="96"/>
      <c r="M39" s="4"/>
    </row>
    <row r="40" spans="1:13" ht="12.75">
      <c r="A40" s="13">
        <v>32</v>
      </c>
      <c r="B40" s="4" t="s">
        <v>216</v>
      </c>
      <c r="C40" s="4" t="s">
        <v>376</v>
      </c>
      <c r="D40" s="13">
        <v>2</v>
      </c>
      <c r="E40" s="7" t="s">
        <v>218</v>
      </c>
      <c r="F40" s="13" t="s">
        <v>65</v>
      </c>
      <c r="G40" s="13" t="s">
        <v>761</v>
      </c>
      <c r="H40" s="13" t="s">
        <v>22</v>
      </c>
      <c r="I40" s="93"/>
      <c r="J40" s="13" t="s">
        <v>89</v>
      </c>
      <c r="K40" s="7"/>
      <c r="L40" s="96"/>
      <c r="M40" s="4"/>
    </row>
    <row r="41" spans="1:13" ht="12.75">
      <c r="A41" s="13">
        <v>33</v>
      </c>
      <c r="B41" s="4" t="s">
        <v>216</v>
      </c>
      <c r="C41" s="4" t="s">
        <v>376</v>
      </c>
      <c r="D41" s="13">
        <v>2</v>
      </c>
      <c r="E41" s="7" t="s">
        <v>220</v>
      </c>
      <c r="F41" s="13" t="s">
        <v>65</v>
      </c>
      <c r="G41" s="13" t="s">
        <v>767</v>
      </c>
      <c r="H41" s="13" t="s">
        <v>22</v>
      </c>
      <c r="I41" s="93"/>
      <c r="J41" s="13" t="s">
        <v>89</v>
      </c>
      <c r="K41" s="7"/>
      <c r="L41" s="96"/>
      <c r="M41" s="4"/>
    </row>
    <row r="42" spans="1:13" ht="12.75">
      <c r="A42" s="13">
        <v>34</v>
      </c>
      <c r="B42" s="4" t="s">
        <v>216</v>
      </c>
      <c r="C42" s="4" t="s">
        <v>356</v>
      </c>
      <c r="D42" s="13">
        <v>2</v>
      </c>
      <c r="E42" s="7" t="s">
        <v>221</v>
      </c>
      <c r="F42" s="13" t="s">
        <v>155</v>
      </c>
      <c r="G42" s="13" t="s">
        <v>773</v>
      </c>
      <c r="H42" s="13" t="s">
        <v>22</v>
      </c>
      <c r="I42" s="93"/>
      <c r="J42" s="13" t="s">
        <v>89</v>
      </c>
      <c r="K42" s="7"/>
      <c r="L42" s="96"/>
      <c r="M42" s="4"/>
    </row>
    <row r="43" spans="1:13" ht="12.75">
      <c r="A43" s="13">
        <v>35</v>
      </c>
      <c r="B43" s="4" t="s">
        <v>216</v>
      </c>
      <c r="C43" s="4" t="s">
        <v>376</v>
      </c>
      <c r="D43" s="13">
        <v>2</v>
      </c>
      <c r="E43" s="7" t="s">
        <v>223</v>
      </c>
      <c r="F43" s="13" t="s">
        <v>31</v>
      </c>
      <c r="G43" s="13" t="s">
        <v>779</v>
      </c>
      <c r="H43" s="13" t="s">
        <v>22</v>
      </c>
      <c r="I43" s="93"/>
      <c r="J43" s="13" t="s">
        <v>89</v>
      </c>
      <c r="K43" s="7"/>
      <c r="L43" s="96"/>
      <c r="M43" s="4"/>
    </row>
    <row r="44" spans="1:13" ht="12.75">
      <c r="A44" s="13">
        <v>36</v>
      </c>
      <c r="B44" s="4" t="s">
        <v>216</v>
      </c>
      <c r="C44" s="4" t="s">
        <v>376</v>
      </c>
      <c r="D44" s="13">
        <v>2</v>
      </c>
      <c r="E44" s="7" t="s">
        <v>225</v>
      </c>
      <c r="F44" s="13" t="s">
        <v>103</v>
      </c>
      <c r="G44" s="13" t="s">
        <v>786</v>
      </c>
      <c r="H44" s="13" t="s">
        <v>22</v>
      </c>
      <c r="I44" s="93">
        <v>45941.50980324074</v>
      </c>
      <c r="J44" s="13" t="s">
        <v>199</v>
      </c>
      <c r="K44" s="7"/>
      <c r="L44" s="96"/>
      <c r="M44" s="4"/>
    </row>
    <row r="45" spans="1:13" ht="12.75">
      <c r="A45" s="13">
        <v>37</v>
      </c>
      <c r="B45" s="4" t="s">
        <v>397</v>
      </c>
      <c r="C45" s="4" t="s">
        <v>191</v>
      </c>
      <c r="D45" s="13">
        <v>2</v>
      </c>
      <c r="E45" s="7" t="s">
        <v>226</v>
      </c>
      <c r="F45" s="13" t="s">
        <v>65</v>
      </c>
      <c r="G45" s="13" t="s">
        <v>791</v>
      </c>
      <c r="H45" s="13" t="s">
        <v>22</v>
      </c>
      <c r="I45" s="93"/>
      <c r="J45" s="13" t="s">
        <v>89</v>
      </c>
      <c r="K45" s="344"/>
      <c r="L45" s="96"/>
      <c r="M45" s="4"/>
    </row>
    <row r="46" spans="1:13" ht="12.75">
      <c r="A46" s="13">
        <v>38</v>
      </c>
      <c r="B46" s="4" t="s">
        <v>397</v>
      </c>
      <c r="C46" s="4" t="s">
        <v>191</v>
      </c>
      <c r="D46" s="13">
        <v>2</v>
      </c>
      <c r="E46" s="7" t="s">
        <v>233</v>
      </c>
      <c r="F46" s="13" t="s">
        <v>65</v>
      </c>
      <c r="G46" s="13" t="s">
        <v>796</v>
      </c>
      <c r="H46" s="13" t="s">
        <v>22</v>
      </c>
      <c r="I46" s="93">
        <v>45939.716747685183</v>
      </c>
      <c r="J46" s="13" t="s">
        <v>199</v>
      </c>
      <c r="K46" s="344"/>
      <c r="L46" s="96"/>
      <c r="M46" s="4"/>
    </row>
    <row r="47" spans="1:13" ht="12.75">
      <c r="A47" s="13">
        <v>39</v>
      </c>
      <c r="B47" s="4" t="s">
        <v>397</v>
      </c>
      <c r="C47" s="4" t="s">
        <v>191</v>
      </c>
      <c r="D47" s="13">
        <v>2</v>
      </c>
      <c r="E47" s="7" t="s">
        <v>236</v>
      </c>
      <c r="F47" s="13" t="s">
        <v>238</v>
      </c>
      <c r="G47" s="13" t="s">
        <v>802</v>
      </c>
      <c r="H47" s="13" t="s">
        <v>22</v>
      </c>
      <c r="I47" s="93"/>
      <c r="J47" s="13" t="s">
        <v>89</v>
      </c>
      <c r="K47" s="344"/>
      <c r="L47" s="96"/>
      <c r="M47" s="4"/>
    </row>
    <row r="48" spans="1:13" ht="12.75">
      <c r="A48" s="13">
        <v>40</v>
      </c>
      <c r="B48" s="4" t="s">
        <v>397</v>
      </c>
      <c r="C48" s="4" t="s">
        <v>191</v>
      </c>
      <c r="D48" s="13">
        <v>2</v>
      </c>
      <c r="E48" s="7" t="s">
        <v>243</v>
      </c>
      <c r="F48" s="13" t="s">
        <v>238</v>
      </c>
      <c r="G48" s="13" t="s">
        <v>806</v>
      </c>
      <c r="H48" s="13" t="s">
        <v>22</v>
      </c>
      <c r="I48" s="93">
        <v>45939.718078703707</v>
      </c>
      <c r="J48" s="13" t="s">
        <v>199</v>
      </c>
      <c r="K48" s="344"/>
      <c r="L48" s="96"/>
      <c r="M48" s="4"/>
    </row>
    <row r="49" spans="1:13" ht="12.75">
      <c r="A49" s="13">
        <v>41</v>
      </c>
      <c r="B49" s="4" t="s">
        <v>397</v>
      </c>
      <c r="C49" s="4" t="s">
        <v>191</v>
      </c>
      <c r="D49" s="13">
        <v>2</v>
      </c>
      <c r="E49" s="7" t="s">
        <v>246</v>
      </c>
      <c r="F49" s="13" t="s">
        <v>103</v>
      </c>
      <c r="G49" s="13" t="s">
        <v>810</v>
      </c>
      <c r="H49" s="13" t="s">
        <v>22</v>
      </c>
      <c r="I49" s="93"/>
      <c r="J49" s="13" t="s">
        <v>89</v>
      </c>
      <c r="K49" s="7"/>
      <c r="L49" s="96"/>
      <c r="M49" s="4"/>
    </row>
    <row r="50" spans="1:13" ht="12.75">
      <c r="A50" s="13">
        <v>42</v>
      </c>
      <c r="B50" s="4" t="s">
        <v>397</v>
      </c>
      <c r="C50" s="4" t="s">
        <v>403</v>
      </c>
      <c r="D50" s="13">
        <v>2</v>
      </c>
      <c r="E50" s="7" t="s">
        <v>248</v>
      </c>
      <c r="F50" s="13" t="s">
        <v>207</v>
      </c>
      <c r="G50" s="13" t="s">
        <v>816</v>
      </c>
      <c r="H50" s="13" t="s">
        <v>22</v>
      </c>
      <c r="I50" s="93"/>
      <c r="J50" s="13" t="s">
        <v>89</v>
      </c>
      <c r="K50" s="7"/>
      <c r="L50" s="96"/>
      <c r="M50" s="4"/>
    </row>
    <row r="51" spans="1:13" ht="12.75">
      <c r="A51" s="13">
        <v>43</v>
      </c>
      <c r="B51" s="4" t="s">
        <v>257</v>
      </c>
      <c r="C51" s="4" t="s">
        <v>405</v>
      </c>
      <c r="D51" s="13">
        <v>2</v>
      </c>
      <c r="E51" s="7" t="s">
        <v>252</v>
      </c>
      <c r="F51" s="13" t="s">
        <v>65</v>
      </c>
      <c r="G51" s="13" t="s">
        <v>821</v>
      </c>
      <c r="H51" s="13" t="s">
        <v>22</v>
      </c>
      <c r="I51" s="93"/>
      <c r="J51" s="13" t="s">
        <v>89</v>
      </c>
      <c r="K51" s="345"/>
      <c r="L51" s="96"/>
      <c r="M51" s="4"/>
    </row>
    <row r="52" spans="1:13" ht="12.75">
      <c r="A52" s="13">
        <v>44</v>
      </c>
      <c r="B52" s="4" t="s">
        <v>257</v>
      </c>
      <c r="C52" s="4" t="s">
        <v>405</v>
      </c>
      <c r="D52" s="13">
        <v>2</v>
      </c>
      <c r="E52" s="7" t="s">
        <v>262</v>
      </c>
      <c r="F52" s="13" t="s">
        <v>65</v>
      </c>
      <c r="G52" s="13" t="s">
        <v>828</v>
      </c>
      <c r="H52" s="13" t="s">
        <v>22</v>
      </c>
      <c r="I52" s="93"/>
      <c r="J52" s="13" t="s">
        <v>89</v>
      </c>
      <c r="K52" s="345"/>
      <c r="L52" s="96"/>
      <c r="M52" s="4"/>
    </row>
    <row r="53" spans="1:13" ht="12.75">
      <c r="A53" s="13">
        <v>45</v>
      </c>
      <c r="B53" s="4" t="s">
        <v>257</v>
      </c>
      <c r="C53" s="4" t="s">
        <v>405</v>
      </c>
      <c r="D53" s="13">
        <v>2</v>
      </c>
      <c r="E53" s="7" t="s">
        <v>266</v>
      </c>
      <c r="F53" s="13" t="s">
        <v>31</v>
      </c>
      <c r="G53" s="13" t="s">
        <v>835</v>
      </c>
      <c r="H53" s="13" t="s">
        <v>22</v>
      </c>
      <c r="I53" s="93"/>
      <c r="J53" s="13" t="s">
        <v>89</v>
      </c>
      <c r="K53" s="346"/>
      <c r="L53" s="96"/>
      <c r="M53" s="16"/>
    </row>
    <row r="54" spans="1:13" ht="12.75">
      <c r="A54" s="13">
        <v>46</v>
      </c>
      <c r="B54" s="4" t="s">
        <v>257</v>
      </c>
      <c r="C54" s="4" t="s">
        <v>405</v>
      </c>
      <c r="D54" s="13">
        <v>2</v>
      </c>
      <c r="E54" s="7" t="s">
        <v>270</v>
      </c>
      <c r="F54" s="13" t="s">
        <v>271</v>
      </c>
      <c r="G54" s="13" t="s">
        <v>841</v>
      </c>
      <c r="H54" s="13" t="s">
        <v>22</v>
      </c>
      <c r="I54" s="93">
        <v>45939.882476851853</v>
      </c>
      <c r="J54" s="13" t="s">
        <v>199</v>
      </c>
      <c r="K54" s="346"/>
      <c r="L54" s="96"/>
      <c r="M54" s="16"/>
    </row>
    <row r="55" spans="1:13" ht="12.75">
      <c r="A55" s="13">
        <v>47</v>
      </c>
      <c r="B55" s="4" t="s">
        <v>257</v>
      </c>
      <c r="C55" s="4" t="s">
        <v>405</v>
      </c>
      <c r="D55" s="13">
        <v>2</v>
      </c>
      <c r="E55" s="7" t="s">
        <v>272</v>
      </c>
      <c r="F55" s="13" t="s">
        <v>103</v>
      </c>
      <c r="G55" s="13" t="s">
        <v>847</v>
      </c>
      <c r="H55" s="13" t="s">
        <v>22</v>
      </c>
      <c r="I55" s="93"/>
      <c r="J55" s="13" t="s">
        <v>89</v>
      </c>
      <c r="K55" s="346"/>
      <c r="L55" s="96"/>
      <c r="M55" s="16"/>
    </row>
    <row r="56" spans="1:13" ht="12.75">
      <c r="A56" s="13">
        <v>48</v>
      </c>
      <c r="B56" s="4" t="s">
        <v>257</v>
      </c>
      <c r="C56" s="4" t="s">
        <v>405</v>
      </c>
      <c r="D56" s="13">
        <v>2</v>
      </c>
      <c r="E56" s="7" t="s">
        <v>274</v>
      </c>
      <c r="F56" s="13" t="s">
        <v>155</v>
      </c>
      <c r="G56" s="13" t="s">
        <v>853</v>
      </c>
      <c r="H56" s="13" t="s">
        <v>22</v>
      </c>
      <c r="I56" s="93"/>
      <c r="J56" s="13" t="s">
        <v>89</v>
      </c>
      <c r="K56" s="204"/>
      <c r="L56" s="96"/>
      <c r="M56" s="16"/>
    </row>
    <row r="57" spans="1:13" ht="12.75">
      <c r="A57" s="13">
        <v>49</v>
      </c>
      <c r="B57" s="4" t="s">
        <v>291</v>
      </c>
      <c r="C57" s="4" t="s">
        <v>411</v>
      </c>
      <c r="D57" s="13">
        <v>2</v>
      </c>
      <c r="E57" s="7" t="s">
        <v>280</v>
      </c>
      <c r="F57" s="13" t="s">
        <v>65</v>
      </c>
      <c r="G57" s="13" t="s">
        <v>862</v>
      </c>
      <c r="H57" s="13" t="s">
        <v>22</v>
      </c>
      <c r="I57" s="93"/>
      <c r="J57" s="13" t="s">
        <v>89</v>
      </c>
      <c r="K57" s="102"/>
      <c r="L57" s="96"/>
      <c r="M57" s="16"/>
    </row>
    <row r="58" spans="1:13" ht="12.75">
      <c r="A58" s="13">
        <v>50</v>
      </c>
      <c r="B58" s="4" t="s">
        <v>291</v>
      </c>
      <c r="C58" s="4" t="s">
        <v>411</v>
      </c>
      <c r="D58" s="13">
        <v>2</v>
      </c>
      <c r="E58" s="7" t="s">
        <v>298</v>
      </c>
      <c r="F58" s="13" t="s">
        <v>65</v>
      </c>
      <c r="G58" s="13" t="s">
        <v>867</v>
      </c>
      <c r="H58" s="13" t="s">
        <v>22</v>
      </c>
      <c r="I58" s="93"/>
      <c r="J58" s="13" t="s">
        <v>89</v>
      </c>
      <c r="K58" s="102"/>
      <c r="L58" s="96"/>
      <c r="M58" s="16"/>
    </row>
    <row r="59" spans="1:13" ht="12.75">
      <c r="A59" s="13">
        <v>51</v>
      </c>
      <c r="B59" s="4" t="s">
        <v>291</v>
      </c>
      <c r="C59" s="4" t="s">
        <v>411</v>
      </c>
      <c r="D59" s="13">
        <v>2</v>
      </c>
      <c r="E59" s="7" t="s">
        <v>302</v>
      </c>
      <c r="F59" s="13" t="s">
        <v>65</v>
      </c>
      <c r="G59" s="13" t="s">
        <v>871</v>
      </c>
      <c r="H59" s="13" t="s">
        <v>22</v>
      </c>
      <c r="I59" s="93"/>
      <c r="J59" s="13" t="s">
        <v>89</v>
      </c>
      <c r="K59" s="102"/>
      <c r="L59" s="96"/>
      <c r="M59" s="16"/>
    </row>
    <row r="60" spans="1:13" ht="12.75">
      <c r="A60" s="13">
        <v>52</v>
      </c>
      <c r="B60" s="4" t="s">
        <v>291</v>
      </c>
      <c r="C60" s="4" t="s">
        <v>411</v>
      </c>
      <c r="D60" s="13">
        <v>2</v>
      </c>
      <c r="E60" s="7" t="s">
        <v>305</v>
      </c>
      <c r="F60" s="13" t="s">
        <v>31</v>
      </c>
      <c r="G60" s="13" t="s">
        <v>876</v>
      </c>
      <c r="H60" s="13" t="s">
        <v>22</v>
      </c>
      <c r="I60" s="93">
        <v>45939.914664351854</v>
      </c>
      <c r="J60" s="13" t="s">
        <v>199</v>
      </c>
      <c r="K60" s="102"/>
      <c r="L60" s="96"/>
      <c r="M60" s="16"/>
    </row>
    <row r="61" spans="1:13" ht="12.75">
      <c r="A61" s="13">
        <v>53</v>
      </c>
      <c r="B61" s="4" t="s">
        <v>291</v>
      </c>
      <c r="C61" s="4" t="s">
        <v>411</v>
      </c>
      <c r="D61" s="13">
        <v>2</v>
      </c>
      <c r="E61" s="7" t="s">
        <v>312</v>
      </c>
      <c r="F61" s="13" t="s">
        <v>103</v>
      </c>
      <c r="G61" s="13" t="s">
        <v>883</v>
      </c>
      <c r="H61" s="13" t="s">
        <v>22</v>
      </c>
      <c r="I61" s="93"/>
      <c r="J61" s="13" t="s">
        <v>89</v>
      </c>
      <c r="K61" s="102"/>
      <c r="L61" s="96"/>
      <c r="M61" s="16"/>
    </row>
    <row r="62" spans="1:13" ht="12.75">
      <c r="A62" s="13">
        <v>54</v>
      </c>
      <c r="B62" s="4" t="s">
        <v>291</v>
      </c>
      <c r="C62" s="4" t="s">
        <v>411</v>
      </c>
      <c r="D62" s="13">
        <v>2</v>
      </c>
      <c r="E62" s="7" t="s">
        <v>315</v>
      </c>
      <c r="F62" s="13" t="s">
        <v>155</v>
      </c>
      <c r="G62" s="13" t="s">
        <v>890</v>
      </c>
      <c r="H62" s="13" t="s">
        <v>22</v>
      </c>
      <c r="I62" s="93">
        <v>45944.274918981479</v>
      </c>
      <c r="J62" s="13" t="s">
        <v>199</v>
      </c>
      <c r="K62" s="102"/>
      <c r="L62" s="96"/>
      <c r="M62" s="16"/>
    </row>
    <row r="63" spans="1:13" ht="12.75">
      <c r="A63" s="13">
        <v>55</v>
      </c>
      <c r="B63" s="4" t="s">
        <v>325</v>
      </c>
      <c r="C63" s="4" t="s">
        <v>415</v>
      </c>
      <c r="D63" s="13">
        <v>2</v>
      </c>
      <c r="E63" s="7" t="s">
        <v>319</v>
      </c>
      <c r="F63" s="13" t="s">
        <v>65</v>
      </c>
      <c r="G63" s="13" t="s">
        <v>897</v>
      </c>
      <c r="H63" s="13" t="s">
        <v>22</v>
      </c>
      <c r="I63" s="93"/>
      <c r="J63" s="13" t="s">
        <v>89</v>
      </c>
      <c r="K63" s="347"/>
      <c r="L63" s="96"/>
      <c r="M63" s="16"/>
    </row>
    <row r="64" spans="1:13" ht="12.75">
      <c r="A64" s="13">
        <v>56</v>
      </c>
      <c r="B64" s="4" t="s">
        <v>325</v>
      </c>
      <c r="C64" s="4" t="s">
        <v>191</v>
      </c>
      <c r="D64" s="13">
        <v>2</v>
      </c>
      <c r="E64" s="7" t="s">
        <v>332</v>
      </c>
      <c r="F64" s="13" t="s">
        <v>207</v>
      </c>
      <c r="G64" s="13" t="s">
        <v>906</v>
      </c>
      <c r="H64" s="13" t="s">
        <v>22</v>
      </c>
      <c r="I64" s="93"/>
      <c r="J64" s="13" t="s">
        <v>89</v>
      </c>
      <c r="K64" s="102"/>
      <c r="L64" s="96"/>
      <c r="M64" s="16"/>
    </row>
    <row r="65" spans="1:13" ht="12.75">
      <c r="A65" s="13">
        <v>57</v>
      </c>
      <c r="B65" s="4" t="s">
        <v>325</v>
      </c>
      <c r="C65" s="4" t="s">
        <v>415</v>
      </c>
      <c r="D65" s="13">
        <v>2</v>
      </c>
      <c r="E65" s="7" t="s">
        <v>328</v>
      </c>
      <c r="F65" s="13" t="s">
        <v>65</v>
      </c>
      <c r="G65" s="13" t="s">
        <v>913</v>
      </c>
      <c r="H65" s="13" t="s">
        <v>22</v>
      </c>
      <c r="I65" s="93"/>
      <c r="J65" s="13" t="s">
        <v>89</v>
      </c>
      <c r="K65" s="347"/>
      <c r="L65" s="96"/>
      <c r="M65" s="16"/>
    </row>
    <row r="66" spans="1:13" ht="12.75">
      <c r="A66" s="13">
        <v>58</v>
      </c>
      <c r="B66" s="4" t="s">
        <v>325</v>
      </c>
      <c r="C66" s="4" t="s">
        <v>415</v>
      </c>
      <c r="D66" s="13">
        <v>2</v>
      </c>
      <c r="E66" s="7" t="s">
        <v>336</v>
      </c>
      <c r="F66" s="13" t="s">
        <v>155</v>
      </c>
      <c r="G66" s="13" t="s">
        <v>916</v>
      </c>
      <c r="H66" s="13" t="s">
        <v>22</v>
      </c>
      <c r="I66" s="93">
        <v>45941.377858796295</v>
      </c>
      <c r="J66" s="13" t="s">
        <v>199</v>
      </c>
      <c r="K66" s="347"/>
      <c r="L66" s="96"/>
      <c r="M66" s="16"/>
    </row>
    <row r="67" spans="1:13" ht="12.75">
      <c r="A67" s="13">
        <v>59</v>
      </c>
      <c r="B67" s="4" t="s">
        <v>325</v>
      </c>
      <c r="C67" s="4" t="s">
        <v>415</v>
      </c>
      <c r="D67" s="13">
        <v>2</v>
      </c>
      <c r="E67" s="7" t="s">
        <v>340</v>
      </c>
      <c r="F67" s="13" t="s">
        <v>31</v>
      </c>
      <c r="G67" s="13" t="s">
        <v>920</v>
      </c>
      <c r="H67" s="13" t="s">
        <v>22</v>
      </c>
      <c r="I67" s="93">
        <v>45939.707175925927</v>
      </c>
      <c r="J67" s="13" t="s">
        <v>199</v>
      </c>
      <c r="K67" s="347"/>
      <c r="L67" s="96"/>
      <c r="M67" s="16"/>
    </row>
    <row r="68" spans="1:13" ht="12.75">
      <c r="A68" s="13">
        <v>60</v>
      </c>
      <c r="B68" s="4" t="s">
        <v>325</v>
      </c>
      <c r="C68" s="4" t="s">
        <v>415</v>
      </c>
      <c r="D68" s="13">
        <v>2</v>
      </c>
      <c r="E68" s="7" t="s">
        <v>344</v>
      </c>
      <c r="F68" s="13" t="s">
        <v>103</v>
      </c>
      <c r="G68" s="13" t="s">
        <v>929</v>
      </c>
      <c r="H68" s="13" t="s">
        <v>22</v>
      </c>
      <c r="I68" s="93"/>
      <c r="J68" s="13" t="s">
        <v>89</v>
      </c>
      <c r="K68" s="347"/>
      <c r="L68" s="96"/>
      <c r="M68" s="16"/>
    </row>
    <row r="69" spans="1:13" ht="12.75">
      <c r="A69" s="13">
        <v>61</v>
      </c>
      <c r="B69" s="4" t="s">
        <v>268</v>
      </c>
      <c r="C69" s="4" t="s">
        <v>40</v>
      </c>
      <c r="D69" s="13">
        <v>2</v>
      </c>
      <c r="E69" s="7" t="s">
        <v>42</v>
      </c>
      <c r="F69" s="13" t="s">
        <v>351</v>
      </c>
      <c r="G69" s="13" t="s">
        <v>936</v>
      </c>
      <c r="H69" s="13" t="s">
        <v>22</v>
      </c>
      <c r="I69" s="93"/>
      <c r="J69" s="13" t="s">
        <v>89</v>
      </c>
      <c r="K69" s="18"/>
      <c r="L69" s="96"/>
      <c r="M69" s="16"/>
    </row>
    <row r="70" spans="1:13" ht="12.75">
      <c r="A70" s="13">
        <v>62</v>
      </c>
      <c r="B70" s="4" t="s">
        <v>268</v>
      </c>
      <c r="C70" s="4" t="s">
        <v>40</v>
      </c>
      <c r="D70" s="13">
        <v>2</v>
      </c>
      <c r="E70" s="7" t="s">
        <v>43</v>
      </c>
      <c r="F70" s="13" t="s">
        <v>351</v>
      </c>
      <c r="G70" s="13" t="s">
        <v>940</v>
      </c>
      <c r="H70" s="13" t="s">
        <v>22</v>
      </c>
      <c r="I70" s="93"/>
      <c r="J70" s="13" t="s">
        <v>89</v>
      </c>
      <c r="K70" s="18"/>
      <c r="L70" s="96"/>
      <c r="M70" s="16"/>
    </row>
    <row r="71" spans="1:13" ht="12.75">
      <c r="A71" s="335">
        <v>63</v>
      </c>
      <c r="B71" s="4" t="s">
        <v>268</v>
      </c>
      <c r="C71" s="4" t="s">
        <v>40</v>
      </c>
      <c r="D71" s="13">
        <v>2</v>
      </c>
      <c r="E71" s="7" t="s">
        <v>56</v>
      </c>
      <c r="F71" s="13" t="s">
        <v>155</v>
      </c>
      <c r="G71" s="13" t="s">
        <v>943</v>
      </c>
      <c r="H71" s="13" t="s">
        <v>22</v>
      </c>
      <c r="I71" s="93"/>
      <c r="J71" s="13" t="s">
        <v>89</v>
      </c>
      <c r="K71" s="18"/>
      <c r="L71" s="96"/>
      <c r="M71" s="16"/>
    </row>
    <row r="72" spans="1:13" ht="12.75">
      <c r="A72" s="13">
        <v>64</v>
      </c>
      <c r="B72" s="4" t="s">
        <v>268</v>
      </c>
      <c r="C72" s="4" t="s">
        <v>40</v>
      </c>
      <c r="D72" s="13">
        <v>2</v>
      </c>
      <c r="E72" s="7" t="s">
        <v>59</v>
      </c>
      <c r="F72" s="13" t="s">
        <v>31</v>
      </c>
      <c r="G72" s="13" t="s">
        <v>948</v>
      </c>
      <c r="H72" s="13" t="s">
        <v>22</v>
      </c>
      <c r="I72" s="93">
        <v>45941.461909722224</v>
      </c>
      <c r="J72" s="13" t="s">
        <v>199</v>
      </c>
      <c r="K72" s="18"/>
      <c r="L72" s="96"/>
      <c r="M72" s="16"/>
    </row>
    <row r="73" spans="1:13" ht="12.75">
      <c r="A73" s="13">
        <v>65</v>
      </c>
      <c r="B73" s="4" t="s">
        <v>268</v>
      </c>
      <c r="C73" s="4" t="s">
        <v>40</v>
      </c>
      <c r="D73" s="13">
        <v>2</v>
      </c>
      <c r="E73" s="7" t="s">
        <v>51</v>
      </c>
      <c r="F73" s="13" t="s">
        <v>374</v>
      </c>
      <c r="G73" s="13" t="s">
        <v>952</v>
      </c>
      <c r="H73" s="13" t="s">
        <v>22</v>
      </c>
      <c r="I73" s="93"/>
      <c r="J73" s="13" t="s">
        <v>89</v>
      </c>
      <c r="K73" s="18"/>
      <c r="L73" s="96"/>
      <c r="M73" s="16"/>
    </row>
    <row r="74" spans="1:13" ht="12.75">
      <c r="A74" s="13">
        <v>66</v>
      </c>
      <c r="B74" s="4" t="s">
        <v>268</v>
      </c>
      <c r="C74" s="4" t="s">
        <v>40</v>
      </c>
      <c r="D74" s="13">
        <v>2</v>
      </c>
      <c r="E74" s="7" t="s">
        <v>41</v>
      </c>
      <c r="F74" s="13" t="s">
        <v>271</v>
      </c>
      <c r="G74" s="13" t="s">
        <v>957</v>
      </c>
      <c r="H74" s="13" t="s">
        <v>22</v>
      </c>
      <c r="I74" s="98"/>
      <c r="J74" s="13" t="s">
        <v>89</v>
      </c>
      <c r="K74" s="350"/>
      <c r="L74" s="96"/>
      <c r="M74" s="16"/>
    </row>
    <row r="75" spans="1:13" ht="12.75">
      <c r="A75" s="13">
        <v>67</v>
      </c>
      <c r="B75" s="4" t="s">
        <v>381</v>
      </c>
      <c r="C75" s="4" t="s">
        <v>140</v>
      </c>
      <c r="D75" s="13">
        <v>2</v>
      </c>
      <c r="E75" s="7" t="s">
        <v>378</v>
      </c>
      <c r="F75" s="13" t="s">
        <v>65</v>
      </c>
      <c r="G75" s="13" t="s">
        <v>962</v>
      </c>
      <c r="H75" s="13" t="s">
        <v>22</v>
      </c>
      <c r="I75" s="98"/>
      <c r="J75" s="13" t="s">
        <v>89</v>
      </c>
      <c r="K75" s="115"/>
      <c r="L75" s="96"/>
      <c r="M75" s="16"/>
    </row>
    <row r="76" spans="1:13" ht="12.75">
      <c r="A76" s="13">
        <v>68</v>
      </c>
      <c r="B76" s="4" t="s">
        <v>381</v>
      </c>
      <c r="C76" s="4" t="s">
        <v>140</v>
      </c>
      <c r="D76" s="13">
        <v>2</v>
      </c>
      <c r="E76" s="7" t="s">
        <v>383</v>
      </c>
      <c r="F76" s="13" t="s">
        <v>65</v>
      </c>
      <c r="G76" s="13" t="s">
        <v>966</v>
      </c>
      <c r="H76" s="13" t="s">
        <v>22</v>
      </c>
      <c r="I76" s="98"/>
      <c r="J76" s="13" t="s">
        <v>89</v>
      </c>
      <c r="K76" s="115"/>
      <c r="L76" s="96"/>
      <c r="M76" s="16"/>
    </row>
    <row r="77" spans="1:13" ht="12.75">
      <c r="A77" s="13">
        <v>69</v>
      </c>
      <c r="B77" s="4" t="s">
        <v>381</v>
      </c>
      <c r="C77" s="4" t="s">
        <v>140</v>
      </c>
      <c r="D77" s="13">
        <v>2</v>
      </c>
      <c r="E77" s="7" t="s">
        <v>385</v>
      </c>
      <c r="F77" s="13" t="s">
        <v>65</v>
      </c>
      <c r="G77" s="13" t="s">
        <v>969</v>
      </c>
      <c r="H77" s="13" t="s">
        <v>22</v>
      </c>
      <c r="I77" s="98"/>
      <c r="J77" s="13" t="s">
        <v>89</v>
      </c>
      <c r="K77" s="115"/>
      <c r="L77" s="96"/>
      <c r="M77" s="16"/>
    </row>
    <row r="78" spans="1:13" ht="12.75">
      <c r="A78" s="13">
        <v>70</v>
      </c>
      <c r="B78" s="4" t="s">
        <v>381</v>
      </c>
      <c r="C78" s="4" t="s">
        <v>140</v>
      </c>
      <c r="D78" s="13">
        <v>2</v>
      </c>
      <c r="E78" s="7" t="s">
        <v>387</v>
      </c>
      <c r="F78" s="13" t="s">
        <v>155</v>
      </c>
      <c r="G78" s="13" t="s">
        <v>973</v>
      </c>
      <c r="H78" s="13" t="s">
        <v>22</v>
      </c>
      <c r="I78" s="98"/>
      <c r="J78" s="13" t="s">
        <v>89</v>
      </c>
      <c r="K78" s="102"/>
      <c r="L78" s="96"/>
      <c r="M78" s="16"/>
    </row>
    <row r="79" spans="1:13" ht="12.75">
      <c r="A79" s="13">
        <v>71</v>
      </c>
      <c r="B79" s="4" t="s">
        <v>381</v>
      </c>
      <c r="C79" s="4" t="s">
        <v>140</v>
      </c>
      <c r="D79" s="13">
        <v>2</v>
      </c>
      <c r="E79" s="7" t="s">
        <v>390</v>
      </c>
      <c r="F79" s="13" t="s">
        <v>103</v>
      </c>
      <c r="G79" s="13" t="s">
        <v>976</v>
      </c>
      <c r="H79" s="13" t="s">
        <v>22</v>
      </c>
      <c r="I79" s="98"/>
      <c r="J79" s="13" t="s">
        <v>89</v>
      </c>
      <c r="K79" s="115"/>
      <c r="L79" s="96"/>
      <c r="M79" s="16"/>
    </row>
    <row r="80" spans="1:13" ht="12.75">
      <c r="A80" s="13">
        <v>72</v>
      </c>
      <c r="B80" s="4" t="s">
        <v>381</v>
      </c>
      <c r="C80" s="4" t="s">
        <v>140</v>
      </c>
      <c r="D80" s="13">
        <v>2</v>
      </c>
      <c r="E80" s="7" t="s">
        <v>391</v>
      </c>
      <c r="F80" s="13" t="s">
        <v>31</v>
      </c>
      <c r="G80" s="13" t="s">
        <v>980</v>
      </c>
      <c r="H80" s="13" t="s">
        <v>22</v>
      </c>
      <c r="I80" s="98"/>
      <c r="J80" s="13" t="s">
        <v>89</v>
      </c>
      <c r="K80" s="115"/>
      <c r="L80" s="96"/>
      <c r="M80" s="16"/>
    </row>
    <row r="83" spans="1:12" ht="12.75">
      <c r="K83" s="31" t="s">
        <v>2995</v>
      </c>
      <c r="L83" s="31" t="s">
        <v>2996</v>
      </c>
    </row>
    <row r="84" spans="1:12" ht="12.75">
      <c r="A84" s="31" t="s">
        <v>2998</v>
      </c>
      <c r="C84" s="313" t="s">
        <v>2996</v>
      </c>
      <c r="D84" s="313"/>
      <c r="E84" s="313"/>
      <c r="K84" s="31" t="s">
        <v>3000</v>
      </c>
      <c r="L84" s="357" t="s">
        <v>3001</v>
      </c>
    </row>
    <row r="85" spans="1:12" ht="12.75">
      <c r="A85" s="31" t="s">
        <v>3041</v>
      </c>
      <c r="C85" s="31" t="s">
        <v>3043</v>
      </c>
      <c r="K85" s="31" t="s">
        <v>3044</v>
      </c>
      <c r="L85" s="31" t="s">
        <v>3045</v>
      </c>
    </row>
    <row r="86" spans="1:12" ht="12.75">
      <c r="K86" s="31" t="s">
        <v>3046</v>
      </c>
      <c r="L86" s="31" t="s">
        <v>3047</v>
      </c>
    </row>
    <row r="89" spans="1:12" ht="12.75">
      <c r="K89" s="313" t="s">
        <v>3048</v>
      </c>
      <c r="L89" s="359" t="s">
        <v>3049</v>
      </c>
    </row>
    <row r="90" spans="1:12" ht="12.75">
      <c r="L90" s="359" t="s">
        <v>3050</v>
      </c>
    </row>
    <row r="95" spans="1:12" ht="51">
      <c r="B95" s="313"/>
      <c r="C95" s="313"/>
      <c r="D95" s="313"/>
      <c r="E95" s="313" t="s">
        <v>3051</v>
      </c>
    </row>
    <row r="97" spans="1:5" ht="12.75">
      <c r="E97" s="360"/>
    </row>
    <row r="99" spans="1:5" ht="12.75">
      <c r="A99" s="360"/>
    </row>
    <row r="102" spans="1:5" ht="12.75">
      <c r="A102" s="31" t="s">
        <v>3056</v>
      </c>
    </row>
  </sheetData>
  <mergeCells count="7">
    <mergeCell ref="B6:G6"/>
    <mergeCell ref="H6:J6"/>
    <mergeCell ref="A1:J1"/>
    <mergeCell ref="A2:J2"/>
    <mergeCell ref="A3:J3"/>
    <mergeCell ref="B5:G5"/>
    <mergeCell ref="H5:J5"/>
  </mergeCells>
  <dataValidations count="1">
    <dataValidation type="list" allowBlank="1" showErrorMessage="1" sqref="J9:J80" xr:uid="{00000000-0002-0000-1600-000000000000}">
      <formula1>"Active,Inactive"</formula1>
    </dataValidation>
  </dataValidations>
  <hyperlinks>
    <hyperlink ref="L84" r:id="rId1" xr:uid="{00000000-0004-0000-1600-000000000000}"/>
  </hyperlinks>
  <printOptions horizontalCentered="1" gridLines="1"/>
  <pageMargins left="0.7" right="0.7" top="0.75" bottom="0.75" header="0" footer="0"/>
  <pageSetup paperSize="9" fitToHeight="0" pageOrder="overThenDown" orientation="landscape" cellComments="atEnd"/>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0000"/>
    <outlinePr summaryBelow="0" summaryRight="0"/>
    <pageSetUpPr fitToPage="1"/>
  </sheetPr>
  <dimension ref="A1:O83"/>
  <sheetViews>
    <sheetView showGridLines="0" workbookViewId="0"/>
  </sheetViews>
  <sheetFormatPr defaultColWidth="12.5703125" defaultRowHeight="15.75" customHeight="1"/>
  <cols>
    <col min="1" max="1" width="6.5703125" customWidth="1"/>
    <col min="2" max="2" width="25.140625" customWidth="1"/>
    <col min="3" max="3" width="25.42578125" customWidth="1"/>
    <col min="4" max="4" width="9" customWidth="1"/>
    <col min="5" max="5" width="52.28515625" customWidth="1"/>
    <col min="6" max="6" width="16.5703125" hidden="1" customWidth="1"/>
    <col min="7" max="7" width="16.5703125" customWidth="1"/>
    <col min="9" max="9" width="18.5703125" customWidth="1"/>
    <col min="10" max="10" width="14.42578125" customWidth="1"/>
    <col min="11" max="11" width="23.5703125" customWidth="1"/>
    <col min="12" max="13" width="26.42578125" customWidth="1"/>
    <col min="14" max="14" width="34.85546875" hidden="1" customWidth="1"/>
    <col min="15" max="15" width="40.85546875" hidden="1" customWidth="1"/>
  </cols>
  <sheetData>
    <row r="1" spans="1:15" ht="30">
      <c r="A1" s="630" t="s">
        <v>2961</v>
      </c>
      <c r="B1" s="517"/>
      <c r="C1" s="517"/>
      <c r="D1" s="517"/>
      <c r="E1" s="517"/>
      <c r="F1" s="517"/>
      <c r="G1" s="517"/>
      <c r="H1" s="517"/>
      <c r="I1" s="517"/>
      <c r="J1" s="517"/>
    </row>
    <row r="2" spans="1:15" ht="12.75">
      <c r="A2" s="631" t="s">
        <v>2964</v>
      </c>
      <c r="B2" s="517"/>
      <c r="C2" s="517"/>
      <c r="D2" s="517"/>
      <c r="E2" s="517"/>
      <c r="F2" s="517"/>
      <c r="G2" s="517"/>
      <c r="H2" s="517"/>
      <c r="I2" s="517"/>
      <c r="J2" s="517"/>
      <c r="L2" s="31"/>
    </row>
    <row r="3" spans="1:15" ht="12.75">
      <c r="A3" s="541">
        <f ca="1">NOW()</f>
        <v>46308.848431481485</v>
      </c>
      <c r="B3" s="517"/>
      <c r="C3" s="517"/>
      <c r="D3" s="517"/>
      <c r="E3" s="517"/>
      <c r="F3" s="517"/>
      <c r="G3" s="517"/>
      <c r="H3" s="517"/>
      <c r="I3" s="517"/>
      <c r="J3" s="517"/>
    </row>
    <row r="5" spans="1:15" ht="12.75">
      <c r="B5" s="622"/>
      <c r="C5" s="543"/>
      <c r="D5" s="543"/>
      <c r="E5" s="543"/>
      <c r="F5" s="543"/>
      <c r="G5" s="544"/>
      <c r="H5" s="625" t="s">
        <v>2917</v>
      </c>
      <c r="I5" s="543"/>
      <c r="J5" s="544"/>
      <c r="K5" s="348">
        <f>COUNTIF(J9:J62, "Down")</f>
        <v>10</v>
      </c>
    </row>
    <row r="6" spans="1:15" ht="12.75">
      <c r="B6" s="626"/>
      <c r="C6" s="543"/>
      <c r="D6" s="543"/>
      <c r="E6" s="543"/>
      <c r="F6" s="543"/>
      <c r="G6" s="544"/>
      <c r="H6" s="623" t="s">
        <v>2899</v>
      </c>
      <c r="I6" s="543"/>
      <c r="J6" s="544"/>
      <c r="K6" s="349"/>
    </row>
    <row r="7" spans="1:15" ht="12.75">
      <c r="A7" s="336"/>
      <c r="B7" s="336"/>
      <c r="C7" s="336"/>
      <c r="D7" s="336"/>
      <c r="E7" s="336"/>
      <c r="F7" s="336"/>
      <c r="G7" s="336"/>
      <c r="H7" s="337"/>
      <c r="I7" s="336"/>
      <c r="J7" s="336"/>
    </row>
    <row r="8" spans="1:15" ht="12.75">
      <c r="A8" s="351" t="s">
        <v>2919</v>
      </c>
      <c r="B8" s="351" t="s">
        <v>2</v>
      </c>
      <c r="C8" s="351" t="s">
        <v>1</v>
      </c>
      <c r="D8" s="351" t="s">
        <v>0</v>
      </c>
      <c r="E8" s="351" t="s">
        <v>3</v>
      </c>
      <c r="F8" s="351" t="s">
        <v>14</v>
      </c>
      <c r="G8" s="351" t="s">
        <v>645</v>
      </c>
      <c r="H8" s="90" t="s">
        <v>7</v>
      </c>
      <c r="I8" s="351" t="s">
        <v>2986</v>
      </c>
      <c r="J8" s="351" t="s">
        <v>1747</v>
      </c>
      <c r="K8" s="90" t="s">
        <v>650</v>
      </c>
      <c r="L8" s="90" t="s">
        <v>20</v>
      </c>
      <c r="M8" s="90" t="s">
        <v>2905</v>
      </c>
      <c r="N8" s="90" t="s">
        <v>2989</v>
      </c>
      <c r="O8" s="352" t="s">
        <v>2990</v>
      </c>
    </row>
    <row r="9" spans="1:15" ht="114.75">
      <c r="A9" s="13">
        <v>1</v>
      </c>
      <c r="B9" s="13" t="s">
        <v>13</v>
      </c>
      <c r="C9" s="13" t="s">
        <v>15</v>
      </c>
      <c r="D9" s="13">
        <v>1</v>
      </c>
      <c r="E9" s="50" t="s">
        <v>21</v>
      </c>
      <c r="F9" s="13" t="s">
        <v>65</v>
      </c>
      <c r="G9" s="13" t="s">
        <v>987</v>
      </c>
      <c r="H9" s="13" t="s">
        <v>22</v>
      </c>
      <c r="I9" s="93"/>
      <c r="J9" s="13" t="s">
        <v>89</v>
      </c>
      <c r="K9" s="353"/>
      <c r="L9" s="96"/>
      <c r="M9" s="96"/>
      <c r="N9" s="205" t="s">
        <v>3004</v>
      </c>
      <c r="O9" s="205" t="s">
        <v>3005</v>
      </c>
    </row>
    <row r="10" spans="1:15" ht="114.75">
      <c r="A10" s="13">
        <v>2</v>
      </c>
      <c r="B10" s="13" t="s">
        <v>13</v>
      </c>
      <c r="C10" s="13" t="s">
        <v>15</v>
      </c>
      <c r="D10" s="13">
        <v>1</v>
      </c>
      <c r="E10" s="50" t="s">
        <v>44</v>
      </c>
      <c r="F10" s="13" t="s">
        <v>65</v>
      </c>
      <c r="G10" s="13" t="s">
        <v>995</v>
      </c>
      <c r="H10" s="13" t="s">
        <v>22</v>
      </c>
      <c r="I10" s="93"/>
      <c r="J10" s="13" t="s">
        <v>89</v>
      </c>
      <c r="K10" s="354"/>
      <c r="L10" s="96"/>
      <c r="M10" s="96"/>
      <c r="N10" s="205" t="s">
        <v>3006</v>
      </c>
      <c r="O10" s="205" t="s">
        <v>3005</v>
      </c>
    </row>
    <row r="11" spans="1:15" ht="38.25">
      <c r="A11" s="13">
        <v>3</v>
      </c>
      <c r="B11" s="13" t="s">
        <v>13</v>
      </c>
      <c r="C11" s="13" t="s">
        <v>15</v>
      </c>
      <c r="D11" s="13">
        <v>1</v>
      </c>
      <c r="E11" s="50" t="s">
        <v>49</v>
      </c>
      <c r="F11" s="13" t="s">
        <v>65</v>
      </c>
      <c r="G11" s="13" t="s">
        <v>1004</v>
      </c>
      <c r="H11" s="13" t="s">
        <v>22</v>
      </c>
      <c r="I11" s="93"/>
      <c r="J11" s="13" t="s">
        <v>89</v>
      </c>
      <c r="K11" s="354"/>
      <c r="L11" s="96"/>
      <c r="M11" s="96"/>
      <c r="N11" s="205" t="s">
        <v>3010</v>
      </c>
      <c r="O11" s="205" t="s">
        <v>3011</v>
      </c>
    </row>
    <row r="12" spans="1:15" ht="38.25">
      <c r="A12" s="13">
        <v>4</v>
      </c>
      <c r="B12" s="13" t="s">
        <v>13</v>
      </c>
      <c r="C12" s="13" t="s">
        <v>15</v>
      </c>
      <c r="D12" s="13">
        <v>1</v>
      </c>
      <c r="E12" s="50" t="s">
        <v>53</v>
      </c>
      <c r="F12" s="13" t="s">
        <v>238</v>
      </c>
      <c r="G12" s="13" t="s">
        <v>1013</v>
      </c>
      <c r="H12" s="13" t="s">
        <v>22</v>
      </c>
      <c r="I12" s="93"/>
      <c r="J12" s="13" t="s">
        <v>89</v>
      </c>
      <c r="K12" s="101"/>
      <c r="L12" s="96"/>
      <c r="M12" s="96"/>
      <c r="N12" s="205" t="s">
        <v>3010</v>
      </c>
      <c r="O12" s="205" t="s">
        <v>3011</v>
      </c>
    </row>
    <row r="13" spans="1:15" ht="38.25">
      <c r="A13" s="13">
        <v>5</v>
      </c>
      <c r="B13" s="13" t="s">
        <v>13</v>
      </c>
      <c r="C13" s="13" t="s">
        <v>15</v>
      </c>
      <c r="D13" s="13">
        <v>1</v>
      </c>
      <c r="E13" s="50" t="s">
        <v>58</v>
      </c>
      <c r="F13" s="13" t="s">
        <v>103</v>
      </c>
      <c r="G13" s="13" t="s">
        <v>1021</v>
      </c>
      <c r="H13" s="13" t="s">
        <v>22</v>
      </c>
      <c r="I13" s="93"/>
      <c r="J13" s="13" t="s">
        <v>89</v>
      </c>
      <c r="K13" s="354"/>
      <c r="L13" s="96"/>
      <c r="M13" s="96"/>
      <c r="N13" s="205" t="s">
        <v>3010</v>
      </c>
      <c r="O13" s="205" t="s">
        <v>3011</v>
      </c>
    </row>
    <row r="14" spans="1:15" ht="38.25">
      <c r="A14" s="13">
        <v>6</v>
      </c>
      <c r="B14" s="13" t="s">
        <v>13</v>
      </c>
      <c r="C14" s="13" t="s">
        <v>15</v>
      </c>
      <c r="D14" s="13">
        <v>1</v>
      </c>
      <c r="E14" s="50" t="s">
        <v>60</v>
      </c>
      <c r="F14" s="13" t="s">
        <v>31</v>
      </c>
      <c r="G14" s="13" t="s">
        <v>1026</v>
      </c>
      <c r="H14" s="13" t="s">
        <v>22</v>
      </c>
      <c r="I14" s="93"/>
      <c r="J14" s="13" t="s">
        <v>89</v>
      </c>
      <c r="K14" s="101"/>
      <c r="L14" s="96"/>
      <c r="M14" s="96"/>
      <c r="N14" s="205" t="s">
        <v>3010</v>
      </c>
      <c r="O14" s="205" t="s">
        <v>3011</v>
      </c>
    </row>
    <row r="15" spans="1:15" ht="38.25">
      <c r="A15" s="13">
        <v>7</v>
      </c>
      <c r="B15" s="13" t="s">
        <v>67</v>
      </c>
      <c r="C15" s="13" t="s">
        <v>68</v>
      </c>
      <c r="D15" s="13">
        <v>1</v>
      </c>
      <c r="E15" s="50" t="s">
        <v>70</v>
      </c>
      <c r="F15" s="13" t="s">
        <v>65</v>
      </c>
      <c r="G15" s="13" t="s">
        <v>1037</v>
      </c>
      <c r="H15" s="13" t="s">
        <v>22</v>
      </c>
      <c r="I15" s="93"/>
      <c r="J15" s="13" t="s">
        <v>89</v>
      </c>
      <c r="K15" s="355"/>
      <c r="L15" s="96"/>
      <c r="M15" s="96"/>
      <c r="N15" s="205" t="s">
        <v>3010</v>
      </c>
      <c r="O15" s="205" t="s">
        <v>3011</v>
      </c>
    </row>
    <row r="16" spans="1:15" ht="38.25">
      <c r="A16" s="13">
        <v>8</v>
      </c>
      <c r="B16" s="13" t="s">
        <v>67</v>
      </c>
      <c r="C16" s="13" t="s">
        <v>68</v>
      </c>
      <c r="D16" s="13">
        <v>1</v>
      </c>
      <c r="E16" s="50" t="s">
        <v>73</v>
      </c>
      <c r="F16" s="13" t="s">
        <v>65</v>
      </c>
      <c r="G16" s="13" t="s">
        <v>1043</v>
      </c>
      <c r="H16" s="13" t="s">
        <v>22</v>
      </c>
      <c r="I16" s="93">
        <v>45932.88140046296</v>
      </c>
      <c r="J16" s="13" t="s">
        <v>3023</v>
      </c>
      <c r="K16" s="354"/>
      <c r="L16" s="96"/>
      <c r="M16" s="96"/>
      <c r="N16" s="205" t="s">
        <v>3010</v>
      </c>
      <c r="O16" s="205" t="s">
        <v>3011</v>
      </c>
    </row>
    <row r="17" spans="1:15" ht="38.25">
      <c r="A17" s="13">
        <v>9</v>
      </c>
      <c r="B17" s="13" t="s">
        <v>67</v>
      </c>
      <c r="C17" s="13" t="s">
        <v>68</v>
      </c>
      <c r="D17" s="13">
        <v>1</v>
      </c>
      <c r="E17" s="50" t="s">
        <v>74</v>
      </c>
      <c r="F17" s="13" t="s">
        <v>238</v>
      </c>
      <c r="G17" s="13" t="s">
        <v>1053</v>
      </c>
      <c r="H17" s="13" t="s">
        <v>22</v>
      </c>
      <c r="I17" s="93"/>
      <c r="J17" s="13" t="s">
        <v>89</v>
      </c>
      <c r="K17" s="355"/>
      <c r="L17" s="96"/>
      <c r="M17" s="96"/>
      <c r="N17" s="205" t="s">
        <v>3010</v>
      </c>
      <c r="O17" s="205" t="s">
        <v>3011</v>
      </c>
    </row>
    <row r="18" spans="1:15" ht="38.25">
      <c r="A18" s="13" t="s">
        <v>3026</v>
      </c>
      <c r="B18" s="13" t="s">
        <v>67</v>
      </c>
      <c r="C18" s="13" t="s">
        <v>76</v>
      </c>
      <c r="D18" s="13">
        <v>1</v>
      </c>
      <c r="E18" s="356" t="s">
        <v>77</v>
      </c>
      <c r="F18" s="13" t="s">
        <v>99</v>
      </c>
      <c r="G18" s="13" t="s">
        <v>1059</v>
      </c>
      <c r="H18" s="13" t="s">
        <v>22</v>
      </c>
      <c r="I18" s="93"/>
      <c r="J18" s="13" t="s">
        <v>89</v>
      </c>
      <c r="K18" s="355"/>
      <c r="L18" s="96"/>
      <c r="M18" s="96"/>
      <c r="N18" s="205" t="s">
        <v>3010</v>
      </c>
      <c r="O18" s="205" t="s">
        <v>3011</v>
      </c>
    </row>
    <row r="19" spans="1:15" ht="38.25">
      <c r="A19" s="13">
        <v>11</v>
      </c>
      <c r="B19" s="13" t="s">
        <v>67</v>
      </c>
      <c r="C19" s="13" t="s">
        <v>76</v>
      </c>
      <c r="D19" s="13">
        <v>1</v>
      </c>
      <c r="E19" s="356" t="s">
        <v>78</v>
      </c>
      <c r="F19" s="13" t="s">
        <v>408</v>
      </c>
      <c r="G19" s="13" t="s">
        <v>1066</v>
      </c>
      <c r="H19" s="13" t="s">
        <v>22</v>
      </c>
      <c r="I19" s="93"/>
      <c r="J19" s="13" t="s">
        <v>89</v>
      </c>
      <c r="K19" s="355"/>
      <c r="L19" s="96"/>
      <c r="M19" s="96"/>
      <c r="N19" s="205" t="s">
        <v>3010</v>
      </c>
      <c r="O19" s="205" t="s">
        <v>3011</v>
      </c>
    </row>
    <row r="20" spans="1:15" ht="38.25">
      <c r="A20" s="13">
        <v>12</v>
      </c>
      <c r="B20" s="13" t="s">
        <v>67</v>
      </c>
      <c r="C20" s="13" t="s">
        <v>68</v>
      </c>
      <c r="D20" s="13">
        <v>1</v>
      </c>
      <c r="E20" s="356" t="s">
        <v>80</v>
      </c>
      <c r="F20" s="13" t="s">
        <v>103</v>
      </c>
      <c r="G20" s="13" t="s">
        <v>1075</v>
      </c>
      <c r="H20" s="13" t="s">
        <v>22</v>
      </c>
      <c r="I20" s="93"/>
      <c r="J20" s="13" t="s">
        <v>89</v>
      </c>
      <c r="K20" s="355"/>
      <c r="L20" s="96"/>
      <c r="M20" s="96"/>
      <c r="N20" s="205" t="s">
        <v>3010</v>
      </c>
      <c r="O20" s="205" t="s">
        <v>3011</v>
      </c>
    </row>
    <row r="21" spans="1:15" ht="89.25">
      <c r="A21" s="13">
        <v>13</v>
      </c>
      <c r="B21" s="13" t="s">
        <v>81</v>
      </c>
      <c r="C21" s="13" t="s">
        <v>82</v>
      </c>
      <c r="D21" s="13">
        <v>1</v>
      </c>
      <c r="E21" s="356" t="s">
        <v>85</v>
      </c>
      <c r="F21" s="13" t="s">
        <v>65</v>
      </c>
      <c r="G21" s="13" t="s">
        <v>1084</v>
      </c>
      <c r="H21" s="13" t="s">
        <v>22</v>
      </c>
      <c r="I21" s="93"/>
      <c r="J21" s="13" t="s">
        <v>89</v>
      </c>
      <c r="K21" s="13"/>
      <c r="L21" s="96"/>
      <c r="M21" s="96"/>
      <c r="N21" s="136" t="s">
        <v>3038</v>
      </c>
      <c r="O21" s="136" t="s">
        <v>3039</v>
      </c>
    </row>
    <row r="22" spans="1:15" ht="89.25">
      <c r="A22" s="13">
        <v>14</v>
      </c>
      <c r="B22" s="13" t="s">
        <v>81</v>
      </c>
      <c r="C22" s="13" t="s">
        <v>82</v>
      </c>
      <c r="D22" s="13">
        <v>1</v>
      </c>
      <c r="E22" s="356" t="s">
        <v>86</v>
      </c>
      <c r="F22" s="13" t="s">
        <v>65</v>
      </c>
      <c r="G22" s="13" t="s">
        <v>1087</v>
      </c>
      <c r="H22" s="13" t="s">
        <v>22</v>
      </c>
      <c r="I22" s="93"/>
      <c r="J22" s="13" t="s">
        <v>89</v>
      </c>
      <c r="K22" s="13"/>
      <c r="L22" s="96"/>
      <c r="M22" s="96"/>
      <c r="N22" s="136" t="s">
        <v>3038</v>
      </c>
      <c r="O22" s="136" t="s">
        <v>3039</v>
      </c>
    </row>
    <row r="23" spans="1:15" ht="89.25">
      <c r="A23" s="13">
        <v>15</v>
      </c>
      <c r="B23" s="13" t="s">
        <v>81</v>
      </c>
      <c r="C23" s="13" t="s">
        <v>82</v>
      </c>
      <c r="D23" s="13">
        <v>1</v>
      </c>
      <c r="E23" s="356" t="s">
        <v>88</v>
      </c>
      <c r="F23" s="13" t="s">
        <v>65</v>
      </c>
      <c r="G23" s="13" t="s">
        <v>1093</v>
      </c>
      <c r="H23" s="13" t="s">
        <v>22</v>
      </c>
      <c r="I23" s="93"/>
      <c r="J23" s="13" t="s">
        <v>89</v>
      </c>
      <c r="K23" s="358"/>
      <c r="L23" s="96"/>
      <c r="M23" s="96"/>
      <c r="N23" s="136" t="s">
        <v>3038</v>
      </c>
      <c r="O23" s="136" t="s">
        <v>3039</v>
      </c>
    </row>
    <row r="24" spans="1:15" ht="89.25">
      <c r="A24" s="13">
        <v>16</v>
      </c>
      <c r="B24" s="13" t="s">
        <v>81</v>
      </c>
      <c r="C24" s="13" t="s">
        <v>82</v>
      </c>
      <c r="D24" s="13">
        <v>1</v>
      </c>
      <c r="E24" s="356" t="s">
        <v>90</v>
      </c>
      <c r="F24" s="13" t="s">
        <v>65</v>
      </c>
      <c r="G24" s="13" t="s">
        <v>1106</v>
      </c>
      <c r="H24" s="13" t="s">
        <v>22</v>
      </c>
      <c r="I24" s="93"/>
      <c r="J24" s="13" t="s">
        <v>89</v>
      </c>
      <c r="K24" s="13"/>
      <c r="L24" s="96"/>
      <c r="M24" s="96"/>
      <c r="N24" s="136" t="s">
        <v>3038</v>
      </c>
      <c r="O24" s="136" t="s">
        <v>3039</v>
      </c>
    </row>
    <row r="25" spans="1:15" ht="12.75">
      <c r="A25" s="13">
        <v>17</v>
      </c>
      <c r="B25" s="13" t="s">
        <v>81</v>
      </c>
      <c r="C25" s="13" t="s">
        <v>82</v>
      </c>
      <c r="D25" s="13">
        <v>1</v>
      </c>
      <c r="E25" s="356" t="s">
        <v>92</v>
      </c>
      <c r="F25" s="13" t="s">
        <v>31</v>
      </c>
      <c r="G25" s="13" t="s">
        <v>1114</v>
      </c>
      <c r="H25" s="13" t="s">
        <v>22</v>
      </c>
      <c r="I25" s="93"/>
      <c r="J25" s="13" t="s">
        <v>89</v>
      </c>
      <c r="K25" s="358"/>
      <c r="L25" s="96"/>
      <c r="M25" s="96"/>
      <c r="N25" s="356" t="s">
        <v>3010</v>
      </c>
      <c r="O25" s="356" t="s">
        <v>3011</v>
      </c>
    </row>
    <row r="26" spans="1:15" ht="12.75">
      <c r="A26" s="13">
        <v>18</v>
      </c>
      <c r="B26" s="13" t="s">
        <v>81</v>
      </c>
      <c r="C26" s="13" t="s">
        <v>82</v>
      </c>
      <c r="D26" s="13">
        <v>1</v>
      </c>
      <c r="E26" s="356" t="s">
        <v>94</v>
      </c>
      <c r="F26" s="13" t="s">
        <v>238</v>
      </c>
      <c r="G26" s="13" t="s">
        <v>1126</v>
      </c>
      <c r="H26" s="13" t="s">
        <v>22</v>
      </c>
      <c r="I26" s="93"/>
      <c r="J26" s="13" t="s">
        <v>89</v>
      </c>
      <c r="K26" s="13"/>
      <c r="L26" s="96"/>
      <c r="M26" s="96"/>
      <c r="N26" s="356" t="s">
        <v>3010</v>
      </c>
      <c r="O26" s="356" t="s">
        <v>3011</v>
      </c>
    </row>
    <row r="27" spans="1:15" ht="114.75">
      <c r="A27" s="13">
        <v>19</v>
      </c>
      <c r="B27" s="13" t="s">
        <v>79</v>
      </c>
      <c r="C27" s="13" t="s">
        <v>97</v>
      </c>
      <c r="D27" s="13">
        <v>1</v>
      </c>
      <c r="E27" s="356" t="s">
        <v>100</v>
      </c>
      <c r="F27" s="13" t="s">
        <v>65</v>
      </c>
      <c r="G27" s="13" t="s">
        <v>1138</v>
      </c>
      <c r="H27" s="13" t="s">
        <v>22</v>
      </c>
      <c r="I27" s="93">
        <v>45929.378877314812</v>
      </c>
      <c r="J27" s="13" t="s">
        <v>3023</v>
      </c>
      <c r="K27" s="355"/>
      <c r="L27" s="96"/>
      <c r="M27" s="96"/>
      <c r="N27" s="136" t="s">
        <v>3061</v>
      </c>
      <c r="O27" s="136" t="s">
        <v>3062</v>
      </c>
    </row>
    <row r="28" spans="1:15" ht="114.75">
      <c r="A28" s="13">
        <v>20</v>
      </c>
      <c r="B28" s="13" t="s">
        <v>79</v>
      </c>
      <c r="C28" s="13" t="s">
        <v>97</v>
      </c>
      <c r="D28" s="13">
        <v>1</v>
      </c>
      <c r="E28" s="356" t="s">
        <v>101</v>
      </c>
      <c r="F28" s="13" t="s">
        <v>65</v>
      </c>
      <c r="G28" s="13" t="s">
        <v>1147</v>
      </c>
      <c r="H28" s="13" t="s">
        <v>22</v>
      </c>
      <c r="I28" s="93">
        <v>45929.328784722224</v>
      </c>
      <c r="J28" s="13" t="s">
        <v>3023</v>
      </c>
      <c r="K28" s="355"/>
      <c r="L28" s="96"/>
      <c r="M28" s="96"/>
      <c r="N28" s="136" t="s">
        <v>3061</v>
      </c>
      <c r="O28" s="136" t="s">
        <v>3062</v>
      </c>
    </row>
    <row r="29" spans="1:15" ht="114.75">
      <c r="A29" s="13">
        <v>21</v>
      </c>
      <c r="B29" s="13" t="s">
        <v>79</v>
      </c>
      <c r="C29" s="13" t="s">
        <v>97</v>
      </c>
      <c r="D29" s="13">
        <v>1</v>
      </c>
      <c r="E29" s="356" t="s">
        <v>104</v>
      </c>
      <c r="F29" s="13" t="s">
        <v>65</v>
      </c>
      <c r="G29" s="13" t="s">
        <v>1156</v>
      </c>
      <c r="H29" s="13" t="s">
        <v>22</v>
      </c>
      <c r="I29" s="93"/>
      <c r="J29" s="13" t="s">
        <v>89</v>
      </c>
      <c r="K29" s="355"/>
      <c r="L29" s="96"/>
      <c r="M29" s="96"/>
      <c r="N29" s="136" t="s">
        <v>3061</v>
      </c>
      <c r="O29" s="136" t="s">
        <v>3062</v>
      </c>
    </row>
    <row r="30" spans="1:15" ht="51">
      <c r="A30" s="13">
        <v>22</v>
      </c>
      <c r="B30" s="13" t="s">
        <v>79</v>
      </c>
      <c r="C30" s="13" t="s">
        <v>97</v>
      </c>
      <c r="D30" s="13">
        <v>1</v>
      </c>
      <c r="E30" s="356" t="s">
        <v>107</v>
      </c>
      <c r="F30" s="13" t="s">
        <v>238</v>
      </c>
      <c r="G30" s="13" t="s">
        <v>1167</v>
      </c>
      <c r="H30" s="13" t="s">
        <v>22</v>
      </c>
      <c r="I30" s="93"/>
      <c r="J30" s="13" t="s">
        <v>89</v>
      </c>
      <c r="K30" s="358"/>
      <c r="L30" s="96"/>
      <c r="M30" s="96"/>
      <c r="N30" s="136" t="s">
        <v>3068</v>
      </c>
      <c r="O30" s="136" t="s">
        <v>3069</v>
      </c>
    </row>
    <row r="31" spans="1:15" ht="127.5">
      <c r="A31" s="13">
        <v>23</v>
      </c>
      <c r="B31" s="13" t="s">
        <v>79</v>
      </c>
      <c r="C31" s="13" t="s">
        <v>97</v>
      </c>
      <c r="D31" s="13">
        <v>1</v>
      </c>
      <c r="E31" s="356" t="s">
        <v>109</v>
      </c>
      <c r="F31" s="13" t="s">
        <v>103</v>
      </c>
      <c r="G31" s="13" t="s">
        <v>1175</v>
      </c>
      <c r="H31" s="13" t="s">
        <v>22</v>
      </c>
      <c r="I31" s="93"/>
      <c r="J31" s="13" t="s">
        <v>89</v>
      </c>
      <c r="K31" s="361"/>
      <c r="L31" s="96"/>
      <c r="M31" s="96"/>
      <c r="N31" s="136" t="s">
        <v>3071</v>
      </c>
      <c r="O31" s="136" t="s">
        <v>3072</v>
      </c>
    </row>
    <row r="32" spans="1:15" ht="13.5" customHeight="1">
      <c r="A32" s="13">
        <v>24</v>
      </c>
      <c r="B32" s="13" t="s">
        <v>79</v>
      </c>
      <c r="C32" s="13" t="s">
        <v>97</v>
      </c>
      <c r="D32" s="13">
        <v>1</v>
      </c>
      <c r="E32" s="356" t="s">
        <v>111</v>
      </c>
      <c r="F32" s="13" t="s">
        <v>31</v>
      </c>
      <c r="G32" s="13" t="s">
        <v>1183</v>
      </c>
      <c r="H32" s="13" t="s">
        <v>22</v>
      </c>
      <c r="I32" s="93"/>
      <c r="J32" s="13" t="s">
        <v>89</v>
      </c>
      <c r="K32" s="358"/>
      <c r="L32" s="96"/>
      <c r="M32" s="96"/>
      <c r="N32" s="136" t="s">
        <v>3073</v>
      </c>
      <c r="O32" s="136" t="s">
        <v>3074</v>
      </c>
    </row>
    <row r="33" spans="1:15" ht="89.25">
      <c r="A33" s="4">
        <v>26</v>
      </c>
      <c r="B33" s="13" t="s">
        <v>113</v>
      </c>
      <c r="C33" s="13" t="s">
        <v>114</v>
      </c>
      <c r="D33" s="13">
        <v>1</v>
      </c>
      <c r="E33" s="356" t="s">
        <v>119</v>
      </c>
      <c r="F33" s="13" t="s">
        <v>238</v>
      </c>
      <c r="G33" s="13" t="s">
        <v>1202</v>
      </c>
      <c r="H33" s="13" t="s">
        <v>22</v>
      </c>
      <c r="I33" s="93"/>
      <c r="J33" s="13" t="s">
        <v>89</v>
      </c>
      <c r="K33" s="358"/>
      <c r="L33" s="96"/>
      <c r="M33" s="96"/>
      <c r="N33" s="136" t="s">
        <v>3075</v>
      </c>
      <c r="O33" s="136" t="s">
        <v>3076</v>
      </c>
    </row>
    <row r="34" spans="1:15" ht="89.25">
      <c r="A34" s="4">
        <v>25</v>
      </c>
      <c r="B34" s="13" t="s">
        <v>113</v>
      </c>
      <c r="C34" s="13" t="s">
        <v>114</v>
      </c>
      <c r="D34" s="13">
        <v>1</v>
      </c>
      <c r="E34" s="356" t="s">
        <v>116</v>
      </c>
      <c r="F34" s="13" t="s">
        <v>65</v>
      </c>
      <c r="G34" s="13" t="s">
        <v>1193</v>
      </c>
      <c r="H34" s="13" t="s">
        <v>22</v>
      </c>
      <c r="I34" s="93"/>
      <c r="J34" s="13" t="s">
        <v>89</v>
      </c>
      <c r="K34" s="358"/>
      <c r="L34" s="96"/>
      <c r="M34" s="96"/>
      <c r="N34" s="136" t="s">
        <v>3075</v>
      </c>
      <c r="O34" s="136" t="s">
        <v>3076</v>
      </c>
    </row>
    <row r="35" spans="1:15" ht="89.25">
      <c r="A35" s="4">
        <v>27</v>
      </c>
      <c r="B35" s="13" t="s">
        <v>113</v>
      </c>
      <c r="C35" s="13" t="s">
        <v>114</v>
      </c>
      <c r="D35" s="13">
        <v>1</v>
      </c>
      <c r="E35" s="356" t="s">
        <v>121</v>
      </c>
      <c r="F35" s="13" t="s">
        <v>238</v>
      </c>
      <c r="G35" s="13" t="s">
        <v>1206</v>
      </c>
      <c r="H35" s="13" t="s">
        <v>22</v>
      </c>
      <c r="I35" s="93"/>
      <c r="J35" s="13" t="s">
        <v>89</v>
      </c>
      <c r="K35" s="358"/>
      <c r="L35" s="96"/>
      <c r="M35" s="96"/>
      <c r="N35" s="136" t="s">
        <v>3075</v>
      </c>
      <c r="O35" s="136" t="s">
        <v>3076</v>
      </c>
    </row>
    <row r="36" spans="1:15" ht="89.25">
      <c r="A36" s="4">
        <v>28</v>
      </c>
      <c r="B36" s="13" t="s">
        <v>113</v>
      </c>
      <c r="C36" s="13" t="s">
        <v>114</v>
      </c>
      <c r="D36" s="13">
        <v>1</v>
      </c>
      <c r="E36" s="356" t="s">
        <v>123</v>
      </c>
      <c r="F36" s="13" t="s">
        <v>103</v>
      </c>
      <c r="G36" s="13" t="s">
        <v>1212</v>
      </c>
      <c r="H36" s="13" t="s">
        <v>22</v>
      </c>
      <c r="I36" s="93"/>
      <c r="J36" s="13" t="s">
        <v>89</v>
      </c>
      <c r="K36" s="358"/>
      <c r="L36" s="96"/>
      <c r="M36" s="96"/>
      <c r="N36" s="136" t="s">
        <v>3075</v>
      </c>
      <c r="O36" s="136" t="s">
        <v>3076</v>
      </c>
    </row>
    <row r="37" spans="1:15" ht="12.75">
      <c r="A37" s="4">
        <v>29</v>
      </c>
      <c r="B37" s="13" t="s">
        <v>113</v>
      </c>
      <c r="C37" s="13" t="s">
        <v>114</v>
      </c>
      <c r="D37" s="13">
        <v>1</v>
      </c>
      <c r="E37" s="356" t="s">
        <v>125</v>
      </c>
      <c r="F37" s="13" t="s">
        <v>31</v>
      </c>
      <c r="G37" s="13" t="s">
        <v>1220</v>
      </c>
      <c r="H37" s="13" t="s">
        <v>22</v>
      </c>
      <c r="I37" s="93"/>
      <c r="J37" s="13" t="s">
        <v>89</v>
      </c>
      <c r="K37" s="358"/>
      <c r="L37" s="96"/>
      <c r="M37" s="96"/>
      <c r="N37" s="356" t="s">
        <v>3079</v>
      </c>
      <c r="O37" s="356" t="s">
        <v>3080</v>
      </c>
    </row>
    <row r="38" spans="1:15" ht="76.5">
      <c r="A38" s="4">
        <v>30</v>
      </c>
      <c r="B38" s="13" t="s">
        <v>113</v>
      </c>
      <c r="C38" s="13" t="s">
        <v>114</v>
      </c>
      <c r="D38" s="13">
        <v>1</v>
      </c>
      <c r="E38" s="356" t="s">
        <v>127</v>
      </c>
      <c r="F38" s="13" t="s">
        <v>155</v>
      </c>
      <c r="G38" s="13" t="s">
        <v>1229</v>
      </c>
      <c r="H38" s="13" t="s">
        <v>22</v>
      </c>
      <c r="I38" s="93"/>
      <c r="J38" s="13" t="s">
        <v>89</v>
      </c>
      <c r="K38" s="358"/>
      <c r="L38" s="96"/>
      <c r="M38" s="96"/>
      <c r="N38" s="362" t="s">
        <v>3081</v>
      </c>
      <c r="O38" s="362" t="s">
        <v>3082</v>
      </c>
    </row>
    <row r="39" spans="1:15" ht="51">
      <c r="A39" s="4">
        <v>31</v>
      </c>
      <c r="B39" s="13" t="s">
        <v>140</v>
      </c>
      <c r="C39" s="13" t="s">
        <v>141</v>
      </c>
      <c r="D39" s="13">
        <v>1</v>
      </c>
      <c r="E39" s="356" t="s">
        <v>146</v>
      </c>
      <c r="F39" s="13" t="s">
        <v>65</v>
      </c>
      <c r="G39" s="13" t="s">
        <v>1235</v>
      </c>
      <c r="H39" s="13" t="s">
        <v>22</v>
      </c>
      <c r="I39" s="93"/>
      <c r="J39" s="13" t="s">
        <v>89</v>
      </c>
      <c r="K39" s="358"/>
      <c r="L39" s="96"/>
      <c r="M39" s="96"/>
      <c r="N39" s="362" t="s">
        <v>3068</v>
      </c>
      <c r="O39" s="362" t="s">
        <v>3085</v>
      </c>
    </row>
    <row r="40" spans="1:15" ht="51">
      <c r="A40" s="4">
        <v>32</v>
      </c>
      <c r="B40" s="13" t="s">
        <v>140</v>
      </c>
      <c r="C40" s="13" t="s">
        <v>141</v>
      </c>
      <c r="D40" s="13">
        <v>1</v>
      </c>
      <c r="E40" s="356" t="s">
        <v>148</v>
      </c>
      <c r="F40" s="13" t="s">
        <v>65</v>
      </c>
      <c r="G40" s="13" t="s">
        <v>1240</v>
      </c>
      <c r="H40" s="13" t="s">
        <v>22</v>
      </c>
      <c r="I40" s="93"/>
      <c r="J40" s="13" t="s">
        <v>89</v>
      </c>
      <c r="K40" s="358"/>
      <c r="L40" s="96"/>
      <c r="M40" s="96"/>
      <c r="N40" s="362" t="s">
        <v>3068</v>
      </c>
      <c r="O40" s="362" t="s">
        <v>3085</v>
      </c>
    </row>
    <row r="41" spans="1:15" ht="51">
      <c r="A41" s="4">
        <v>33</v>
      </c>
      <c r="B41" s="13" t="s">
        <v>140</v>
      </c>
      <c r="C41" s="13" t="s">
        <v>141</v>
      </c>
      <c r="D41" s="13">
        <v>1</v>
      </c>
      <c r="E41" s="356" t="s">
        <v>153</v>
      </c>
      <c r="F41" s="13" t="s">
        <v>31</v>
      </c>
      <c r="G41" s="13" t="s">
        <v>1248</v>
      </c>
      <c r="H41" s="13" t="s">
        <v>22</v>
      </c>
      <c r="I41" s="93"/>
      <c r="J41" s="13" t="s">
        <v>89</v>
      </c>
      <c r="K41" s="358"/>
      <c r="L41" s="96"/>
      <c r="M41" s="96"/>
      <c r="N41" s="362" t="s">
        <v>3068</v>
      </c>
      <c r="O41" s="362" t="s">
        <v>3085</v>
      </c>
    </row>
    <row r="42" spans="1:15" ht="51">
      <c r="A42" s="4">
        <v>34</v>
      </c>
      <c r="B42" s="13" t="s">
        <v>140</v>
      </c>
      <c r="C42" s="13" t="s">
        <v>141</v>
      </c>
      <c r="D42" s="13">
        <v>1</v>
      </c>
      <c r="E42" s="356" t="s">
        <v>158</v>
      </c>
      <c r="F42" s="13" t="s">
        <v>238</v>
      </c>
      <c r="G42" s="13" t="s">
        <v>1257</v>
      </c>
      <c r="H42" s="13" t="s">
        <v>22</v>
      </c>
      <c r="I42" s="93"/>
      <c r="J42" s="13" t="s">
        <v>89</v>
      </c>
      <c r="K42" s="358"/>
      <c r="L42" s="96"/>
      <c r="M42" s="96"/>
      <c r="N42" s="362" t="s">
        <v>3068</v>
      </c>
      <c r="O42" s="362" t="s">
        <v>3085</v>
      </c>
    </row>
    <row r="43" spans="1:15" ht="51">
      <c r="A43" s="4">
        <v>35</v>
      </c>
      <c r="B43" s="13" t="s">
        <v>140</v>
      </c>
      <c r="C43" s="13" t="s">
        <v>141</v>
      </c>
      <c r="D43" s="13">
        <v>1</v>
      </c>
      <c r="E43" s="356" t="s">
        <v>157</v>
      </c>
      <c r="F43" s="13" t="s">
        <v>31</v>
      </c>
      <c r="G43" s="13" t="s">
        <v>1265</v>
      </c>
      <c r="H43" s="13" t="s">
        <v>22</v>
      </c>
      <c r="I43" s="93"/>
      <c r="J43" s="13" t="s">
        <v>89</v>
      </c>
      <c r="K43" s="358"/>
      <c r="L43" s="96"/>
      <c r="M43" s="96"/>
      <c r="N43" s="362" t="s">
        <v>3068</v>
      </c>
      <c r="O43" s="362" t="s">
        <v>3085</v>
      </c>
    </row>
    <row r="44" spans="1:15" ht="51">
      <c r="A44" s="4">
        <v>36</v>
      </c>
      <c r="B44" s="13" t="s">
        <v>140</v>
      </c>
      <c r="C44" s="13" t="s">
        <v>141</v>
      </c>
      <c r="D44" s="13">
        <v>1</v>
      </c>
      <c r="E44" s="356" t="s">
        <v>164</v>
      </c>
      <c r="F44" s="13" t="s">
        <v>103</v>
      </c>
      <c r="G44" s="13" t="s">
        <v>1272</v>
      </c>
      <c r="H44" s="13" t="s">
        <v>22</v>
      </c>
      <c r="I44" s="93"/>
      <c r="J44" s="13" t="s">
        <v>89</v>
      </c>
      <c r="K44" s="358"/>
      <c r="L44" s="96"/>
      <c r="M44" s="96"/>
      <c r="N44" s="362" t="s">
        <v>3068</v>
      </c>
      <c r="O44" s="362" t="s">
        <v>3085</v>
      </c>
    </row>
    <row r="45" spans="1:15" ht="14.25">
      <c r="A45" s="4">
        <v>37</v>
      </c>
      <c r="B45" s="13" t="s">
        <v>165</v>
      </c>
      <c r="C45" s="13" t="s">
        <v>172</v>
      </c>
      <c r="D45" s="13">
        <v>1</v>
      </c>
      <c r="E45" s="356" t="s">
        <v>175</v>
      </c>
      <c r="F45" s="13" t="s">
        <v>65</v>
      </c>
      <c r="G45" s="13" t="s">
        <v>1281</v>
      </c>
      <c r="H45" s="13" t="s">
        <v>22</v>
      </c>
      <c r="I45" s="93"/>
      <c r="J45" s="13" t="s">
        <v>89</v>
      </c>
      <c r="K45" s="363"/>
      <c r="L45" s="96"/>
      <c r="M45" s="96"/>
      <c r="N45" s="7" t="s">
        <v>3010</v>
      </c>
      <c r="O45" s="7" t="s">
        <v>3011</v>
      </c>
    </row>
    <row r="46" spans="1:15" ht="14.25">
      <c r="A46" s="4">
        <v>38</v>
      </c>
      <c r="B46" s="13" t="s">
        <v>165</v>
      </c>
      <c r="C46" s="13" t="s">
        <v>172</v>
      </c>
      <c r="D46" s="13">
        <v>1</v>
      </c>
      <c r="E46" s="356" t="s">
        <v>178</v>
      </c>
      <c r="F46" s="13" t="s">
        <v>65</v>
      </c>
      <c r="G46" s="13" t="s">
        <v>1287</v>
      </c>
      <c r="H46" s="13" t="s">
        <v>22</v>
      </c>
      <c r="I46" s="93"/>
      <c r="J46" s="13" t="s">
        <v>89</v>
      </c>
      <c r="K46" s="363"/>
      <c r="L46" s="96"/>
      <c r="M46" s="96"/>
      <c r="N46" s="7" t="s">
        <v>3010</v>
      </c>
      <c r="O46" s="7" t="s">
        <v>3011</v>
      </c>
    </row>
    <row r="47" spans="1:15" ht="14.25">
      <c r="A47" s="4">
        <v>39</v>
      </c>
      <c r="B47" s="13" t="s">
        <v>165</v>
      </c>
      <c r="C47" s="13" t="s">
        <v>172</v>
      </c>
      <c r="D47" s="13">
        <v>1</v>
      </c>
      <c r="E47" s="356" t="s">
        <v>180</v>
      </c>
      <c r="F47" s="13" t="s">
        <v>65</v>
      </c>
      <c r="G47" s="13" t="s">
        <v>1294</v>
      </c>
      <c r="H47" s="13" t="s">
        <v>22</v>
      </c>
      <c r="I47" s="93"/>
      <c r="J47" s="13" t="s">
        <v>89</v>
      </c>
      <c r="K47" s="363"/>
      <c r="L47" s="96"/>
      <c r="M47" s="96"/>
      <c r="N47" s="7" t="s">
        <v>3010</v>
      </c>
      <c r="O47" s="7" t="s">
        <v>3011</v>
      </c>
    </row>
    <row r="48" spans="1:15" ht="89.25">
      <c r="A48" s="4">
        <v>40</v>
      </c>
      <c r="B48" s="13" t="s">
        <v>165</v>
      </c>
      <c r="C48" s="13" t="s">
        <v>183</v>
      </c>
      <c r="D48" s="13">
        <v>1</v>
      </c>
      <c r="E48" s="356" t="s">
        <v>187</v>
      </c>
      <c r="F48" s="13" t="s">
        <v>65</v>
      </c>
      <c r="G48" s="13" t="s">
        <v>1301</v>
      </c>
      <c r="H48" s="13" t="s">
        <v>22</v>
      </c>
      <c r="I48" s="93">
        <v>45939.305833333332</v>
      </c>
      <c r="J48" s="13" t="s">
        <v>3023</v>
      </c>
      <c r="K48" s="364"/>
      <c r="L48" s="96"/>
      <c r="M48" s="96"/>
      <c r="N48" s="362" t="s">
        <v>3096</v>
      </c>
      <c r="O48" s="362" t="s">
        <v>3097</v>
      </c>
    </row>
    <row r="49" spans="1:15" ht="14.25">
      <c r="A49" s="4">
        <v>41</v>
      </c>
      <c r="B49" s="13" t="s">
        <v>165</v>
      </c>
      <c r="C49" s="13" t="s">
        <v>172</v>
      </c>
      <c r="D49" s="13">
        <v>1</v>
      </c>
      <c r="E49" s="356" t="s">
        <v>192</v>
      </c>
      <c r="F49" s="13" t="s">
        <v>103</v>
      </c>
      <c r="G49" s="13" t="s">
        <v>1312</v>
      </c>
      <c r="H49" s="13" t="s">
        <v>22</v>
      </c>
      <c r="I49" s="93"/>
      <c r="J49" s="13" t="s">
        <v>89</v>
      </c>
      <c r="K49" s="363"/>
      <c r="L49" s="96"/>
      <c r="M49" s="96"/>
      <c r="N49" s="7" t="s">
        <v>3010</v>
      </c>
      <c r="O49" s="7" t="s">
        <v>3011</v>
      </c>
    </row>
    <row r="50" spans="1:15" ht="14.25">
      <c r="A50" s="4">
        <v>42</v>
      </c>
      <c r="B50" s="13" t="s">
        <v>165</v>
      </c>
      <c r="C50" s="13" t="s">
        <v>29</v>
      </c>
      <c r="D50" s="13">
        <v>1</v>
      </c>
      <c r="E50" s="356" t="s">
        <v>195</v>
      </c>
      <c r="F50" s="13" t="s">
        <v>31</v>
      </c>
      <c r="G50" s="13" t="s">
        <v>1324</v>
      </c>
      <c r="H50" s="13" t="s">
        <v>22</v>
      </c>
      <c r="I50" s="93"/>
      <c r="J50" s="13" t="s">
        <v>89</v>
      </c>
      <c r="K50" s="363"/>
      <c r="L50" s="96"/>
      <c r="M50" s="96"/>
      <c r="N50" s="7" t="s">
        <v>3098</v>
      </c>
      <c r="O50" s="7" t="s">
        <v>3099</v>
      </c>
    </row>
    <row r="51" spans="1:15" ht="102">
      <c r="A51" s="4">
        <v>43</v>
      </c>
      <c r="B51" s="13" t="s">
        <v>176</v>
      </c>
      <c r="C51" s="13" t="s">
        <v>210</v>
      </c>
      <c r="D51" s="13">
        <v>1</v>
      </c>
      <c r="E51" s="356" t="s">
        <v>215</v>
      </c>
      <c r="F51" s="13" t="s">
        <v>65</v>
      </c>
      <c r="G51" s="13" t="s">
        <v>1331</v>
      </c>
      <c r="H51" s="13" t="s">
        <v>22</v>
      </c>
      <c r="I51" s="93">
        <v>45926.713773148149</v>
      </c>
      <c r="J51" s="13" t="s">
        <v>3023</v>
      </c>
      <c r="K51" s="13"/>
      <c r="L51" s="96"/>
      <c r="M51" s="96"/>
      <c r="N51" s="362" t="s">
        <v>3100</v>
      </c>
      <c r="O51" s="362" t="s">
        <v>3101</v>
      </c>
    </row>
    <row r="52" spans="1:15" ht="102">
      <c r="A52" s="4">
        <v>44</v>
      </c>
      <c r="B52" s="13" t="s">
        <v>176</v>
      </c>
      <c r="C52" s="13" t="s">
        <v>210</v>
      </c>
      <c r="D52" s="13">
        <v>1</v>
      </c>
      <c r="E52" s="356" t="s">
        <v>217</v>
      </c>
      <c r="F52" s="13" t="s">
        <v>65</v>
      </c>
      <c r="G52" s="13" t="s">
        <v>1339</v>
      </c>
      <c r="H52" s="13" t="s">
        <v>22</v>
      </c>
      <c r="I52" s="93">
        <v>45926.713402777779</v>
      </c>
      <c r="J52" s="13" t="s">
        <v>3023</v>
      </c>
      <c r="K52" s="13"/>
      <c r="L52" s="96"/>
      <c r="M52" s="96"/>
      <c r="N52" s="362" t="s">
        <v>3100</v>
      </c>
      <c r="O52" s="362" t="s">
        <v>3101</v>
      </c>
    </row>
    <row r="53" spans="1:15" ht="89.25">
      <c r="A53" s="4">
        <v>45</v>
      </c>
      <c r="B53" s="13" t="s">
        <v>176</v>
      </c>
      <c r="C53" s="13" t="s">
        <v>210</v>
      </c>
      <c r="D53" s="13">
        <v>1</v>
      </c>
      <c r="E53" s="356" t="s">
        <v>219</v>
      </c>
      <c r="F53" s="13" t="s">
        <v>65</v>
      </c>
      <c r="G53" s="13" t="s">
        <v>1343</v>
      </c>
      <c r="H53" s="13" t="s">
        <v>22</v>
      </c>
      <c r="I53" s="93">
        <v>45926.713750000003</v>
      </c>
      <c r="J53" s="13" t="s">
        <v>3023</v>
      </c>
      <c r="K53" s="13"/>
      <c r="L53" s="96"/>
      <c r="M53" s="96"/>
      <c r="N53" s="362" t="s">
        <v>3102</v>
      </c>
      <c r="O53" s="362" t="s">
        <v>3101</v>
      </c>
    </row>
    <row r="54" spans="1:15" ht="12.75">
      <c r="A54" s="4">
        <v>46</v>
      </c>
      <c r="B54" s="13" t="s">
        <v>176</v>
      </c>
      <c r="C54" s="13" t="s">
        <v>210</v>
      </c>
      <c r="D54" s="13">
        <v>1</v>
      </c>
      <c r="E54" s="356" t="s">
        <v>222</v>
      </c>
      <c r="F54" s="13" t="s">
        <v>238</v>
      </c>
      <c r="G54" s="13" t="s">
        <v>1348</v>
      </c>
      <c r="H54" s="13" t="s">
        <v>22</v>
      </c>
      <c r="I54" s="93">
        <v>45926.71366898148</v>
      </c>
      <c r="J54" s="13" t="s">
        <v>3023</v>
      </c>
      <c r="K54" s="13"/>
      <c r="L54" s="96"/>
      <c r="M54" s="96"/>
      <c r="N54" s="7" t="s">
        <v>3010</v>
      </c>
      <c r="O54" s="102" t="s">
        <v>3011</v>
      </c>
    </row>
    <row r="55" spans="1:15" ht="12.75">
      <c r="A55" s="4">
        <v>47</v>
      </c>
      <c r="B55" s="13" t="s">
        <v>176</v>
      </c>
      <c r="C55" s="13" t="s">
        <v>210</v>
      </c>
      <c r="D55" s="13">
        <v>1</v>
      </c>
      <c r="E55" s="356" t="s">
        <v>224</v>
      </c>
      <c r="F55" s="13" t="s">
        <v>103</v>
      </c>
      <c r="G55" s="13" t="s">
        <v>1353</v>
      </c>
      <c r="H55" s="13" t="s">
        <v>22</v>
      </c>
      <c r="I55" s="93">
        <v>45862.616759259261</v>
      </c>
      <c r="J55" s="13" t="s">
        <v>3023</v>
      </c>
      <c r="K55" s="13"/>
      <c r="L55" s="96"/>
      <c r="M55" s="96"/>
      <c r="N55" s="7" t="s">
        <v>3010</v>
      </c>
      <c r="O55" s="102" t="s">
        <v>3011</v>
      </c>
    </row>
    <row r="56" spans="1:15" ht="12.75">
      <c r="A56" s="4">
        <v>48</v>
      </c>
      <c r="B56" s="13" t="s">
        <v>176</v>
      </c>
      <c r="C56" s="13" t="s">
        <v>210</v>
      </c>
      <c r="D56" s="13">
        <v>1</v>
      </c>
      <c r="E56" s="356" t="s">
        <v>227</v>
      </c>
      <c r="F56" s="13" t="s">
        <v>374</v>
      </c>
      <c r="G56" s="13" t="s">
        <v>1361</v>
      </c>
      <c r="H56" s="13" t="s">
        <v>22</v>
      </c>
      <c r="I56" s="93">
        <v>45895.939571759256</v>
      </c>
      <c r="J56" s="13" t="s">
        <v>3023</v>
      </c>
      <c r="K56" s="13"/>
      <c r="L56" s="96"/>
      <c r="M56" s="96"/>
      <c r="N56" s="7" t="s">
        <v>3010</v>
      </c>
      <c r="O56" s="102" t="s">
        <v>3011</v>
      </c>
    </row>
    <row r="57" spans="1:15" ht="14.25">
      <c r="A57" s="4">
        <v>49</v>
      </c>
      <c r="B57" s="13" t="s">
        <v>196</v>
      </c>
      <c r="C57" s="13" t="s">
        <v>241</v>
      </c>
      <c r="D57" s="13">
        <v>1</v>
      </c>
      <c r="E57" s="356" t="s">
        <v>242</v>
      </c>
      <c r="F57" s="13" t="s">
        <v>238</v>
      </c>
      <c r="G57" s="13" t="s">
        <v>1366</v>
      </c>
      <c r="H57" s="13" t="s">
        <v>22</v>
      </c>
      <c r="I57" s="93"/>
      <c r="J57" s="13" t="s">
        <v>89</v>
      </c>
      <c r="K57" s="365"/>
      <c r="L57" s="96"/>
      <c r="M57" s="96"/>
      <c r="N57" s="7" t="s">
        <v>3010</v>
      </c>
      <c r="O57" s="102" t="s">
        <v>3011</v>
      </c>
    </row>
    <row r="58" spans="1:15" ht="14.25">
      <c r="A58" s="4">
        <v>50</v>
      </c>
      <c r="B58" s="13" t="s">
        <v>196</v>
      </c>
      <c r="C58" s="13" t="s">
        <v>241</v>
      </c>
      <c r="D58" s="13">
        <v>1</v>
      </c>
      <c r="E58" s="356" t="s">
        <v>247</v>
      </c>
      <c r="F58" s="13" t="s">
        <v>65</v>
      </c>
      <c r="G58" s="13" t="s">
        <v>1374</v>
      </c>
      <c r="H58" s="13" t="s">
        <v>22</v>
      </c>
      <c r="I58" s="93"/>
      <c r="J58" s="13" t="s">
        <v>89</v>
      </c>
      <c r="K58" s="365"/>
      <c r="L58" s="96"/>
      <c r="M58" s="105"/>
      <c r="N58" s="7" t="s">
        <v>3010</v>
      </c>
      <c r="O58" s="102" t="s">
        <v>3011</v>
      </c>
    </row>
    <row r="59" spans="1:15" ht="14.25">
      <c r="A59" s="4">
        <v>51</v>
      </c>
      <c r="B59" s="13" t="s">
        <v>196</v>
      </c>
      <c r="C59" s="13" t="s">
        <v>241</v>
      </c>
      <c r="D59" s="13">
        <v>1</v>
      </c>
      <c r="E59" s="356" t="s">
        <v>249</v>
      </c>
      <c r="F59" s="13" t="s">
        <v>31</v>
      </c>
      <c r="G59" s="13" t="s">
        <v>1383</v>
      </c>
      <c r="H59" s="13" t="s">
        <v>22</v>
      </c>
      <c r="I59" s="93"/>
      <c r="J59" s="13" t="s">
        <v>89</v>
      </c>
      <c r="K59" s="365"/>
      <c r="L59" s="96"/>
      <c r="M59" s="96"/>
      <c r="N59" s="7" t="s">
        <v>3010</v>
      </c>
      <c r="O59" s="102" t="s">
        <v>3011</v>
      </c>
    </row>
    <row r="60" spans="1:15" ht="14.25">
      <c r="A60" s="4">
        <v>52</v>
      </c>
      <c r="B60" s="13" t="s">
        <v>196</v>
      </c>
      <c r="C60" s="13" t="s">
        <v>241</v>
      </c>
      <c r="D60" s="13">
        <v>1</v>
      </c>
      <c r="E60" s="356" t="s">
        <v>250</v>
      </c>
      <c r="F60" s="13" t="s">
        <v>65</v>
      </c>
      <c r="G60" s="13" t="s">
        <v>1391</v>
      </c>
      <c r="H60" s="13" t="s">
        <v>22</v>
      </c>
      <c r="I60" s="93"/>
      <c r="J60" s="13" t="s">
        <v>89</v>
      </c>
      <c r="K60" s="365"/>
      <c r="L60" s="96"/>
      <c r="M60" s="96"/>
      <c r="N60" s="7" t="s">
        <v>3010</v>
      </c>
      <c r="O60" s="102" t="s">
        <v>3011</v>
      </c>
    </row>
    <row r="61" spans="1:15" ht="14.25">
      <c r="A61" s="4">
        <v>53</v>
      </c>
      <c r="B61" s="13" t="s">
        <v>196</v>
      </c>
      <c r="C61" s="13" t="s">
        <v>241</v>
      </c>
      <c r="D61" s="13">
        <v>1</v>
      </c>
      <c r="E61" s="356" t="s">
        <v>254</v>
      </c>
      <c r="F61" s="13" t="s">
        <v>103</v>
      </c>
      <c r="G61" s="13" t="s">
        <v>1399</v>
      </c>
      <c r="H61" s="13" t="s">
        <v>22</v>
      </c>
      <c r="I61" s="93"/>
      <c r="J61" s="13" t="s">
        <v>89</v>
      </c>
      <c r="K61" s="365"/>
      <c r="L61" s="96"/>
      <c r="M61" s="96"/>
      <c r="N61" s="7" t="s">
        <v>3010</v>
      </c>
      <c r="O61" s="102" t="s">
        <v>3011</v>
      </c>
    </row>
    <row r="62" spans="1:15" ht="14.25">
      <c r="A62" s="4">
        <v>54</v>
      </c>
      <c r="B62" s="13" t="s">
        <v>196</v>
      </c>
      <c r="C62" s="13" t="s">
        <v>241</v>
      </c>
      <c r="D62" s="13">
        <v>1</v>
      </c>
      <c r="E62" s="356" t="s">
        <v>255</v>
      </c>
      <c r="F62" s="13" t="s">
        <v>408</v>
      </c>
      <c r="G62" s="13" t="s">
        <v>1406</v>
      </c>
      <c r="H62" s="13" t="s">
        <v>22</v>
      </c>
      <c r="I62" s="93"/>
      <c r="J62" s="13" t="s">
        <v>89</v>
      </c>
      <c r="K62" s="365"/>
      <c r="L62" s="96"/>
      <c r="M62" s="96"/>
      <c r="N62" s="7" t="s">
        <v>3010</v>
      </c>
      <c r="O62" s="102" t="s">
        <v>3011</v>
      </c>
    </row>
    <row r="63" spans="1:15" ht="12.75">
      <c r="F63" s="106"/>
      <c r="G63" s="106"/>
      <c r="H63" s="106"/>
      <c r="I63" s="106"/>
      <c r="J63" s="106"/>
    </row>
    <row r="64" spans="1:15" ht="12.75">
      <c r="F64" s="366"/>
      <c r="G64" s="366"/>
      <c r="H64" s="367"/>
      <c r="I64" s="106"/>
      <c r="J64" s="106"/>
      <c r="K64" s="31" t="s">
        <v>2995</v>
      </c>
      <c r="L64" s="31" t="s">
        <v>3103</v>
      </c>
    </row>
    <row r="65" spans="1:12" ht="12.75">
      <c r="A65" s="31" t="s">
        <v>2998</v>
      </c>
      <c r="C65" s="313" t="s">
        <v>2996</v>
      </c>
      <c r="H65" s="368"/>
      <c r="I65" s="106"/>
      <c r="J65" s="106"/>
      <c r="K65" s="31" t="s">
        <v>3000</v>
      </c>
      <c r="L65" s="357" t="s">
        <v>3104</v>
      </c>
    </row>
    <row r="66" spans="1:12" ht="12.75">
      <c r="A66" s="31" t="s">
        <v>3041</v>
      </c>
      <c r="C66" s="31" t="s">
        <v>3105</v>
      </c>
      <c r="H66" s="367"/>
      <c r="I66" s="106"/>
      <c r="J66" s="106"/>
      <c r="K66" s="31" t="s">
        <v>3044</v>
      </c>
      <c r="L66" s="31" t="s">
        <v>3106</v>
      </c>
    </row>
    <row r="67" spans="1:12" ht="12.75">
      <c r="H67" s="367"/>
      <c r="I67" s="106"/>
      <c r="J67" s="106"/>
      <c r="K67" s="31" t="s">
        <v>3107</v>
      </c>
      <c r="L67" s="31" t="s">
        <v>3108</v>
      </c>
    </row>
    <row r="68" spans="1:12" ht="12.75">
      <c r="F68" s="106"/>
      <c r="G68" s="106"/>
      <c r="H68" s="106"/>
      <c r="I68" s="106"/>
      <c r="J68" s="106"/>
    </row>
    <row r="69" spans="1:12" ht="12.75">
      <c r="F69" s="106"/>
      <c r="G69" s="106"/>
      <c r="H69" s="106"/>
      <c r="I69" s="106"/>
      <c r="J69" s="106"/>
    </row>
    <row r="70" spans="1:12" ht="12.75">
      <c r="F70" s="106"/>
      <c r="G70" s="106"/>
      <c r="H70" s="106"/>
      <c r="I70" s="106"/>
      <c r="J70" s="106"/>
    </row>
    <row r="71" spans="1:12" ht="12.75">
      <c r="F71" s="106"/>
      <c r="G71" s="106"/>
      <c r="H71" s="106"/>
      <c r="I71" s="106"/>
      <c r="J71" s="106"/>
      <c r="L71" s="31" t="s">
        <v>3109</v>
      </c>
    </row>
    <row r="72" spans="1:12" ht="12.75">
      <c r="F72" s="106"/>
      <c r="G72" s="106"/>
      <c r="H72" s="106"/>
      <c r="I72" s="106"/>
      <c r="J72" s="106"/>
      <c r="L72" s="31" t="s">
        <v>3108</v>
      </c>
    </row>
    <row r="73" spans="1:12" ht="12.75">
      <c r="F73" s="106"/>
      <c r="G73" s="106"/>
      <c r="H73" s="106"/>
      <c r="I73" s="106"/>
      <c r="J73" s="106"/>
    </row>
    <row r="74" spans="1:12" ht="12.75">
      <c r="F74" s="106"/>
      <c r="G74" s="106"/>
      <c r="H74" s="106"/>
      <c r="I74" s="106"/>
      <c r="J74" s="106"/>
    </row>
    <row r="75" spans="1:12" ht="12.75">
      <c r="F75" s="106"/>
      <c r="G75" s="106"/>
      <c r="H75" s="106"/>
      <c r="I75" s="106"/>
      <c r="J75" s="106"/>
    </row>
    <row r="76" spans="1:12" ht="12.75">
      <c r="F76" s="106"/>
      <c r="G76" s="106"/>
      <c r="H76" s="106"/>
      <c r="I76" s="106"/>
      <c r="J76" s="106"/>
    </row>
    <row r="77" spans="1:12" ht="12.75">
      <c r="F77" s="106"/>
      <c r="G77" s="106"/>
      <c r="H77" s="106"/>
      <c r="I77" s="106"/>
      <c r="J77" s="106"/>
    </row>
    <row r="78" spans="1:12" ht="12.75">
      <c r="F78" s="106"/>
      <c r="G78" s="106"/>
      <c r="H78" s="106"/>
      <c r="I78" s="106"/>
      <c r="J78" s="106"/>
    </row>
    <row r="79" spans="1:12" ht="12.75">
      <c r="F79" s="106"/>
      <c r="G79" s="106"/>
      <c r="H79" s="106"/>
      <c r="I79" s="106"/>
      <c r="J79" s="106"/>
    </row>
    <row r="80" spans="1:12" ht="12.75">
      <c r="F80" s="106"/>
      <c r="G80" s="106"/>
      <c r="H80" s="106"/>
      <c r="I80" s="106"/>
      <c r="J80" s="106"/>
    </row>
    <row r="81" spans="6:10" ht="12.75">
      <c r="F81" s="106"/>
      <c r="G81" s="106"/>
      <c r="H81" s="106"/>
      <c r="I81" s="106"/>
      <c r="J81" s="106"/>
    </row>
    <row r="82" spans="6:10" ht="12.75">
      <c r="F82" s="106"/>
      <c r="G82" s="106"/>
      <c r="H82" s="106"/>
      <c r="I82" s="106"/>
      <c r="J82" s="106"/>
    </row>
    <row r="83" spans="6:10" ht="12.75">
      <c r="F83" s="106"/>
      <c r="G83" s="106"/>
      <c r="H83" s="106"/>
      <c r="I83" s="106"/>
      <c r="J83" s="106"/>
    </row>
  </sheetData>
  <mergeCells count="7">
    <mergeCell ref="B6:G6"/>
    <mergeCell ref="H6:J6"/>
    <mergeCell ref="A1:J1"/>
    <mergeCell ref="A2:J2"/>
    <mergeCell ref="A3:J3"/>
    <mergeCell ref="B5:G5"/>
    <mergeCell ref="H5:J5"/>
  </mergeCells>
  <dataValidations count="1">
    <dataValidation type="list" allowBlank="1" showErrorMessage="1" sqref="J9:J62" xr:uid="{00000000-0002-0000-1700-000000000000}">
      <formula1>"Active,Down,Dormant"</formula1>
    </dataValidation>
  </dataValidations>
  <hyperlinks>
    <hyperlink ref="L65" r:id="rId1" location="/monitor_overview_global_menu" xr:uid="{00000000-0004-0000-1700-000000000000}"/>
  </hyperlinks>
  <printOptions horizontalCentered="1" gridLines="1"/>
  <pageMargins left="0.7" right="0.7" top="0.75" bottom="0.75" header="0" footer="0"/>
  <pageSetup paperSize="9" fitToHeight="0" pageOrder="overThenDown" orientation="landscape" cellComments="atEnd"/>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M56"/>
  <sheetViews>
    <sheetView showGridLines="0" workbookViewId="0"/>
  </sheetViews>
  <sheetFormatPr defaultColWidth="12.5703125" defaultRowHeight="15.75" customHeight="1"/>
  <cols>
    <col min="1" max="1" width="6.140625" customWidth="1"/>
    <col min="2" max="2" width="11" customWidth="1"/>
    <col min="3" max="4" width="14.7109375" customWidth="1"/>
    <col min="5" max="5" width="64.42578125" customWidth="1"/>
    <col min="6" max="6" width="15" customWidth="1"/>
    <col min="7" max="7" width="15.42578125" customWidth="1"/>
    <col min="8" max="8" width="12.42578125" customWidth="1"/>
    <col min="9" max="9" width="19.42578125" customWidth="1"/>
    <col min="10" max="10" width="18.28515625" customWidth="1"/>
    <col min="11" max="11" width="19" customWidth="1"/>
    <col min="12" max="12" width="38.42578125" customWidth="1"/>
  </cols>
  <sheetData>
    <row r="1" spans="1:13" ht="23.25">
      <c r="A1" s="539" t="s">
        <v>2892</v>
      </c>
      <c r="B1" s="517"/>
      <c r="C1" s="517"/>
      <c r="D1" s="517"/>
      <c r="E1" s="517"/>
      <c r="F1" s="517"/>
      <c r="G1" s="517"/>
      <c r="H1" s="517"/>
      <c r="I1" s="517"/>
      <c r="J1" s="517"/>
      <c r="K1" s="517"/>
      <c r="L1" s="517"/>
    </row>
    <row r="2" spans="1:13">
      <c r="A2" s="540" t="s">
        <v>1464</v>
      </c>
      <c r="B2" s="517"/>
      <c r="C2" s="517"/>
      <c r="D2" s="517"/>
      <c r="E2" s="517"/>
      <c r="F2" s="517"/>
      <c r="G2" s="517"/>
      <c r="H2" s="517"/>
      <c r="I2" s="517"/>
      <c r="J2" s="517"/>
      <c r="K2" s="517"/>
      <c r="L2" s="517"/>
    </row>
    <row r="3" spans="1:13" ht="12.75">
      <c r="A3" s="541">
        <f ca="1">NOW()</f>
        <v>46308.848431481485</v>
      </c>
      <c r="B3" s="517"/>
      <c r="C3" s="517"/>
      <c r="D3" s="517"/>
      <c r="E3" s="517"/>
      <c r="F3" s="517"/>
      <c r="G3" s="517"/>
      <c r="H3" s="517"/>
      <c r="I3" s="517"/>
      <c r="J3" s="517"/>
      <c r="K3" s="517"/>
      <c r="L3" s="517"/>
    </row>
    <row r="4" spans="1:13" ht="12.75">
      <c r="L4" s="31"/>
    </row>
    <row r="5" spans="1:13" ht="12.75">
      <c r="A5" s="624"/>
      <c r="B5" s="543"/>
      <c r="C5" s="543"/>
      <c r="D5" s="543"/>
      <c r="E5" s="543"/>
      <c r="F5" s="543"/>
      <c r="G5" s="543"/>
      <c r="H5" s="544"/>
      <c r="I5" s="625" t="s">
        <v>2895</v>
      </c>
      <c r="J5" s="544"/>
      <c r="K5" s="329">
        <f>COUNTIF(I10:I42,"Down")</f>
        <v>0</v>
      </c>
      <c r="L5" s="31"/>
    </row>
    <row r="6" spans="1:13" ht="12.75">
      <c r="A6" s="622"/>
      <c r="B6" s="543"/>
      <c r="C6" s="543"/>
      <c r="D6" s="543"/>
      <c r="E6" s="543"/>
      <c r="F6" s="543"/>
      <c r="G6" s="543"/>
      <c r="H6" s="544"/>
      <c r="I6" s="623" t="s">
        <v>2899</v>
      </c>
      <c r="J6" s="544"/>
      <c r="K6" s="332">
        <f>COUNT(A10:A43)</f>
        <v>34</v>
      </c>
    </row>
    <row r="8" spans="1:13" ht="12.75">
      <c r="A8" s="127" t="s">
        <v>1466</v>
      </c>
      <c r="B8" s="127" t="s">
        <v>2</v>
      </c>
      <c r="C8" s="127" t="s">
        <v>1</v>
      </c>
      <c r="D8" s="127" t="s">
        <v>0</v>
      </c>
      <c r="E8" s="127" t="s">
        <v>2902</v>
      </c>
      <c r="F8" s="127" t="s">
        <v>14</v>
      </c>
      <c r="G8" s="127" t="s">
        <v>645</v>
      </c>
      <c r="H8" s="127" t="s">
        <v>7</v>
      </c>
      <c r="I8" s="127" t="s">
        <v>1473</v>
      </c>
      <c r="J8" s="127" t="s">
        <v>2904</v>
      </c>
      <c r="K8" s="127" t="s">
        <v>20</v>
      </c>
      <c r="L8" s="127" t="s">
        <v>2905</v>
      </c>
    </row>
    <row r="9" spans="1:13" ht="12.75">
      <c r="A9" s="542" t="s">
        <v>1551</v>
      </c>
      <c r="B9" s="543"/>
      <c r="C9" s="543"/>
      <c r="D9" s="543"/>
      <c r="E9" s="543"/>
      <c r="F9" s="543"/>
      <c r="G9" s="543"/>
      <c r="H9" s="543"/>
      <c r="I9" s="543"/>
      <c r="J9" s="543"/>
      <c r="K9" s="543"/>
      <c r="L9" s="544"/>
    </row>
    <row r="10" spans="1:13" ht="12.75">
      <c r="A10" s="23">
        <v>1</v>
      </c>
      <c r="B10" s="61" t="s">
        <v>67</v>
      </c>
      <c r="C10" s="61" t="s">
        <v>1720</v>
      </c>
      <c r="D10" s="61">
        <v>1</v>
      </c>
      <c r="E10" s="54" t="s">
        <v>269</v>
      </c>
      <c r="F10" s="16" t="s">
        <v>374</v>
      </c>
      <c r="G10" s="13" t="s">
        <v>1448</v>
      </c>
      <c r="H10" s="16" t="s">
        <v>261</v>
      </c>
      <c r="I10" s="13" t="s">
        <v>89</v>
      </c>
      <c r="J10" s="93"/>
      <c r="K10" s="333"/>
      <c r="L10" s="207"/>
      <c r="M10" s="31" t="b">
        <v>1</v>
      </c>
    </row>
    <row r="11" spans="1:13" ht="12.75">
      <c r="A11" s="23">
        <v>2</v>
      </c>
      <c r="B11" s="62" t="s">
        <v>67</v>
      </c>
      <c r="C11" s="62" t="s">
        <v>1720</v>
      </c>
      <c r="D11" s="61">
        <v>1</v>
      </c>
      <c r="E11" s="55" t="s">
        <v>273</v>
      </c>
      <c r="F11" s="16" t="s">
        <v>374</v>
      </c>
      <c r="G11" s="13" t="s">
        <v>1452</v>
      </c>
      <c r="H11" s="16" t="s">
        <v>261</v>
      </c>
      <c r="I11" s="13" t="s">
        <v>89</v>
      </c>
      <c r="J11" s="93"/>
      <c r="K11" s="23"/>
      <c r="L11" s="207"/>
      <c r="M11" s="31" t="b">
        <v>1</v>
      </c>
    </row>
    <row r="12" spans="1:13" ht="12.75">
      <c r="A12" s="335">
        <v>3</v>
      </c>
      <c r="B12" s="62" t="s">
        <v>67</v>
      </c>
      <c r="C12" s="62" t="s">
        <v>275</v>
      </c>
      <c r="D12" s="61">
        <v>1</v>
      </c>
      <c r="E12" s="55" t="s">
        <v>277</v>
      </c>
      <c r="F12" s="97" t="s">
        <v>155</v>
      </c>
      <c r="G12" s="97" t="s">
        <v>1454</v>
      </c>
      <c r="H12" s="16" t="s">
        <v>261</v>
      </c>
      <c r="I12" s="13" t="s">
        <v>89</v>
      </c>
      <c r="J12" s="93"/>
      <c r="K12" s="23"/>
      <c r="L12" s="207"/>
      <c r="M12" s="31" t="b">
        <v>1</v>
      </c>
    </row>
    <row r="13" spans="1:13" ht="12.75">
      <c r="A13" s="23">
        <v>4</v>
      </c>
      <c r="B13" s="62" t="s">
        <v>67</v>
      </c>
      <c r="C13" s="62" t="s">
        <v>278</v>
      </c>
      <c r="D13" s="61">
        <v>1</v>
      </c>
      <c r="E13" s="11" t="s">
        <v>281</v>
      </c>
      <c r="F13" s="97" t="s">
        <v>155</v>
      </c>
      <c r="G13" s="97" t="s">
        <v>1457</v>
      </c>
      <c r="H13" s="16" t="s">
        <v>261</v>
      </c>
      <c r="I13" s="13" t="s">
        <v>89</v>
      </c>
      <c r="J13" s="93"/>
      <c r="K13" s="23"/>
      <c r="L13" s="207"/>
      <c r="M13" s="31" t="b">
        <v>1</v>
      </c>
    </row>
    <row r="14" spans="1:13" ht="12.75">
      <c r="A14" s="23">
        <v>5</v>
      </c>
      <c r="B14" s="16" t="s">
        <v>67</v>
      </c>
      <c r="C14" s="16" t="s">
        <v>278</v>
      </c>
      <c r="D14" s="61">
        <v>1</v>
      </c>
      <c r="E14" s="11" t="s">
        <v>285</v>
      </c>
      <c r="F14" s="16" t="s">
        <v>374</v>
      </c>
      <c r="G14" s="16" t="s">
        <v>1463</v>
      </c>
      <c r="H14" s="16" t="s">
        <v>261</v>
      </c>
      <c r="I14" s="13" t="s">
        <v>89</v>
      </c>
      <c r="J14" s="93"/>
      <c r="K14" s="23"/>
      <c r="L14" s="207"/>
      <c r="M14" s="31" t="b">
        <v>1</v>
      </c>
    </row>
    <row r="15" spans="1:13" ht="12.75">
      <c r="A15" s="23">
        <v>6</v>
      </c>
      <c r="B15" s="16" t="s">
        <v>81</v>
      </c>
      <c r="C15" s="16" t="s">
        <v>286</v>
      </c>
      <c r="D15" s="61">
        <v>1</v>
      </c>
      <c r="E15" s="20" t="s">
        <v>289</v>
      </c>
      <c r="F15" s="97" t="s">
        <v>155</v>
      </c>
      <c r="G15" s="97" t="s">
        <v>1468</v>
      </c>
      <c r="H15" s="16" t="s">
        <v>261</v>
      </c>
      <c r="I15" s="13" t="s">
        <v>89</v>
      </c>
      <c r="J15" s="93"/>
      <c r="K15" s="23"/>
      <c r="L15" s="207"/>
      <c r="M15" s="31" t="b">
        <v>1</v>
      </c>
    </row>
    <row r="16" spans="1:13" ht="12.75">
      <c r="A16" s="23">
        <v>7</v>
      </c>
      <c r="B16" s="16" t="s">
        <v>81</v>
      </c>
      <c r="C16" s="16" t="s">
        <v>286</v>
      </c>
      <c r="D16" s="61">
        <v>1</v>
      </c>
      <c r="E16" s="20" t="s">
        <v>293</v>
      </c>
      <c r="F16" s="16" t="s">
        <v>374</v>
      </c>
      <c r="G16" s="16" t="s">
        <v>1485</v>
      </c>
      <c r="H16" s="16" t="s">
        <v>261</v>
      </c>
      <c r="I16" s="13" t="s">
        <v>89</v>
      </c>
      <c r="J16" s="93"/>
      <c r="K16" s="23"/>
      <c r="L16" s="207"/>
      <c r="M16" s="31" t="b">
        <v>1</v>
      </c>
    </row>
    <row r="17" spans="1:13" ht="12.75">
      <c r="A17" s="23">
        <v>8</v>
      </c>
      <c r="B17" s="16" t="s">
        <v>81</v>
      </c>
      <c r="C17" s="16" t="s">
        <v>294</v>
      </c>
      <c r="D17" s="61">
        <v>1</v>
      </c>
      <c r="E17" s="20" t="s">
        <v>297</v>
      </c>
      <c r="F17" s="97" t="s">
        <v>155</v>
      </c>
      <c r="G17" s="97" t="s">
        <v>1490</v>
      </c>
      <c r="H17" s="16" t="s">
        <v>261</v>
      </c>
      <c r="I17" s="13" t="s">
        <v>89</v>
      </c>
      <c r="J17" s="93"/>
      <c r="K17" s="23"/>
      <c r="L17" s="207"/>
      <c r="M17" s="31" t="b">
        <v>1</v>
      </c>
    </row>
    <row r="18" spans="1:13" ht="12.75">
      <c r="A18" s="23">
        <v>9</v>
      </c>
      <c r="B18" s="16" t="s">
        <v>140</v>
      </c>
      <c r="C18" s="16" t="s">
        <v>299</v>
      </c>
      <c r="D18" s="61">
        <v>1</v>
      </c>
      <c r="E18" s="20" t="s">
        <v>301</v>
      </c>
      <c r="F18" s="97" t="s">
        <v>155</v>
      </c>
      <c r="G18" s="97" t="s">
        <v>1496</v>
      </c>
      <c r="H18" s="16" t="s">
        <v>261</v>
      </c>
      <c r="I18" s="13" t="s">
        <v>89</v>
      </c>
      <c r="J18" s="93"/>
      <c r="K18" s="23"/>
      <c r="L18" s="18"/>
      <c r="M18" s="31" t="b">
        <v>1</v>
      </c>
    </row>
    <row r="19" spans="1:13" ht="12.75">
      <c r="A19" s="23">
        <v>10</v>
      </c>
      <c r="B19" s="16" t="s">
        <v>140</v>
      </c>
      <c r="C19" s="16" t="s">
        <v>299</v>
      </c>
      <c r="D19" s="61">
        <v>1</v>
      </c>
      <c r="E19" s="20" t="s">
        <v>304</v>
      </c>
      <c r="F19" s="16" t="s">
        <v>374</v>
      </c>
      <c r="G19" s="16" t="s">
        <v>1506</v>
      </c>
      <c r="H19" s="16" t="s">
        <v>261</v>
      </c>
      <c r="I19" s="13" t="s">
        <v>89</v>
      </c>
      <c r="J19" s="93"/>
      <c r="K19" s="23"/>
      <c r="L19" s="18"/>
      <c r="M19" s="31" t="b">
        <v>1</v>
      </c>
    </row>
    <row r="20" spans="1:13" ht="12.75">
      <c r="A20" s="23">
        <v>11</v>
      </c>
      <c r="B20" s="16" t="s">
        <v>268</v>
      </c>
      <c r="C20" s="16" t="s">
        <v>40</v>
      </c>
      <c r="D20" s="61">
        <v>2</v>
      </c>
      <c r="E20" s="20" t="s">
        <v>45</v>
      </c>
      <c r="F20" s="16" t="s">
        <v>351</v>
      </c>
      <c r="G20" s="16" t="s">
        <v>1510</v>
      </c>
      <c r="H20" s="16" t="s">
        <v>261</v>
      </c>
      <c r="I20" s="13" t="s">
        <v>89</v>
      </c>
      <c r="J20" s="93"/>
      <c r="K20" s="23"/>
      <c r="L20" s="102"/>
      <c r="M20" s="38" t="b">
        <v>0</v>
      </c>
    </row>
    <row r="21" spans="1:13" ht="12.75">
      <c r="A21" s="23">
        <v>12</v>
      </c>
      <c r="B21" s="16" t="s">
        <v>268</v>
      </c>
      <c r="C21" s="16" t="s">
        <v>29</v>
      </c>
      <c r="D21" s="61">
        <v>2</v>
      </c>
      <c r="E21" s="20" t="s">
        <v>30</v>
      </c>
      <c r="F21" s="16" t="s">
        <v>207</v>
      </c>
      <c r="G21" s="16" t="s">
        <v>1514</v>
      </c>
      <c r="H21" s="16" t="s">
        <v>261</v>
      </c>
      <c r="I21" s="13" t="s">
        <v>89</v>
      </c>
      <c r="J21" s="93"/>
      <c r="K21" s="23"/>
      <c r="L21" s="102"/>
      <c r="M21" s="31" t="b">
        <v>1</v>
      </c>
    </row>
    <row r="22" spans="1:13" ht="12.75">
      <c r="A22" s="335">
        <v>13</v>
      </c>
      <c r="B22" s="16" t="s">
        <v>268</v>
      </c>
      <c r="C22" s="16" t="s">
        <v>29</v>
      </c>
      <c r="D22" s="61">
        <v>2</v>
      </c>
      <c r="E22" s="20" t="s">
        <v>32</v>
      </c>
      <c r="F22" s="16" t="s">
        <v>207</v>
      </c>
      <c r="G22" s="16" t="s">
        <v>1522</v>
      </c>
      <c r="H22" s="16" t="s">
        <v>261</v>
      </c>
      <c r="I22" s="13" t="s">
        <v>89</v>
      </c>
      <c r="J22" s="93"/>
      <c r="K22" s="23"/>
      <c r="L22" s="102"/>
      <c r="M22" s="31" t="b">
        <v>1</v>
      </c>
    </row>
    <row r="23" spans="1:13" ht="12.75">
      <c r="A23" s="23">
        <v>14</v>
      </c>
      <c r="B23" s="16" t="s">
        <v>268</v>
      </c>
      <c r="C23" s="16" t="s">
        <v>18</v>
      </c>
      <c r="D23" s="61">
        <v>2</v>
      </c>
      <c r="E23" s="20" t="s">
        <v>19</v>
      </c>
      <c r="F23" s="16" t="s">
        <v>271</v>
      </c>
      <c r="G23" s="16" t="s">
        <v>1528</v>
      </c>
      <c r="H23" s="16" t="s">
        <v>261</v>
      </c>
      <c r="I23" s="13" t="s">
        <v>89</v>
      </c>
      <c r="J23" s="93"/>
      <c r="K23" s="23"/>
      <c r="L23" s="102"/>
      <c r="M23" s="31" t="b">
        <v>1</v>
      </c>
    </row>
    <row r="24" spans="1:13" ht="12.75">
      <c r="A24" s="23">
        <v>15</v>
      </c>
      <c r="B24" s="16" t="s">
        <v>268</v>
      </c>
      <c r="C24" s="16" t="s">
        <v>23</v>
      </c>
      <c r="D24" s="61">
        <v>2</v>
      </c>
      <c r="E24" s="20" t="s">
        <v>25</v>
      </c>
      <c r="F24" s="16" t="s">
        <v>207</v>
      </c>
      <c r="G24" s="16" t="s">
        <v>1535</v>
      </c>
      <c r="H24" s="16" t="s">
        <v>261</v>
      </c>
      <c r="I24" s="13" t="s">
        <v>89</v>
      </c>
      <c r="J24" s="93"/>
      <c r="K24" s="23"/>
      <c r="L24" s="102"/>
      <c r="M24" s="31" t="b">
        <v>1</v>
      </c>
    </row>
    <row r="25" spans="1:13" ht="12.75">
      <c r="A25" s="23">
        <v>16</v>
      </c>
      <c r="B25" s="16" t="s">
        <v>268</v>
      </c>
      <c r="C25" s="16" t="s">
        <v>23</v>
      </c>
      <c r="D25" s="61">
        <v>2</v>
      </c>
      <c r="E25" s="20" t="s">
        <v>27</v>
      </c>
      <c r="F25" s="97" t="s">
        <v>155</v>
      </c>
      <c r="G25" s="97" t="s">
        <v>1542</v>
      </c>
      <c r="H25" s="16" t="s">
        <v>261</v>
      </c>
      <c r="I25" s="13" t="s">
        <v>89</v>
      </c>
      <c r="J25" s="93"/>
      <c r="K25" s="23"/>
      <c r="L25" s="102"/>
      <c r="M25" s="31" t="b">
        <v>1</v>
      </c>
    </row>
    <row r="26" spans="1:13" ht="12.75">
      <c r="A26" s="23">
        <v>17</v>
      </c>
      <c r="B26" s="16" t="s">
        <v>268</v>
      </c>
      <c r="C26" s="16" t="s">
        <v>23</v>
      </c>
      <c r="D26" s="61">
        <v>2</v>
      </c>
      <c r="E26" s="20" t="s">
        <v>24</v>
      </c>
      <c r="F26" s="16" t="s">
        <v>374</v>
      </c>
      <c r="G26" s="16" t="s">
        <v>1550</v>
      </c>
      <c r="H26" s="16" t="s">
        <v>261</v>
      </c>
      <c r="I26" s="13" t="s">
        <v>89</v>
      </c>
      <c r="J26" s="93"/>
      <c r="K26" s="23"/>
      <c r="L26" s="102"/>
      <c r="M26" s="31" t="b">
        <v>1</v>
      </c>
    </row>
    <row r="27" spans="1:13" ht="12.75">
      <c r="A27" s="23">
        <v>18</v>
      </c>
      <c r="B27" s="16" t="s">
        <v>268</v>
      </c>
      <c r="C27" s="16" t="s">
        <v>23</v>
      </c>
      <c r="D27" s="61">
        <v>2</v>
      </c>
      <c r="E27" s="20" t="s">
        <v>28</v>
      </c>
      <c r="F27" s="16" t="s">
        <v>207</v>
      </c>
      <c r="G27" s="16" t="s">
        <v>1554</v>
      </c>
      <c r="H27" s="16" t="s">
        <v>261</v>
      </c>
      <c r="I27" s="13" t="s">
        <v>89</v>
      </c>
      <c r="J27" s="93"/>
      <c r="K27" s="23"/>
      <c r="L27" s="102"/>
      <c r="M27" s="31" t="b">
        <v>1</v>
      </c>
    </row>
    <row r="28" spans="1:13" ht="16.5" customHeight="1">
      <c r="A28" s="23">
        <v>19</v>
      </c>
      <c r="B28" s="16" t="s">
        <v>268</v>
      </c>
      <c r="C28" s="16" t="s">
        <v>40</v>
      </c>
      <c r="D28" s="61">
        <v>2</v>
      </c>
      <c r="E28" s="20" t="s">
        <v>52</v>
      </c>
      <c r="F28" s="97" t="s">
        <v>491</v>
      </c>
      <c r="G28" s="97" t="s">
        <v>1560</v>
      </c>
      <c r="H28" s="16" t="s">
        <v>261</v>
      </c>
      <c r="I28" s="13" t="s">
        <v>89</v>
      </c>
      <c r="J28" s="93"/>
      <c r="K28" s="23"/>
      <c r="L28" s="18"/>
      <c r="M28" s="31" t="b">
        <v>1</v>
      </c>
    </row>
    <row r="29" spans="1:13" ht="12.75">
      <c r="A29" s="23">
        <v>20</v>
      </c>
      <c r="B29" s="16" t="s">
        <v>268</v>
      </c>
      <c r="C29" s="16" t="s">
        <v>40</v>
      </c>
      <c r="D29" s="61">
        <v>2</v>
      </c>
      <c r="E29" s="20" t="s">
        <v>54</v>
      </c>
      <c r="F29" s="97" t="s">
        <v>65</v>
      </c>
      <c r="G29" s="97" t="s">
        <v>1579</v>
      </c>
      <c r="H29" s="16" t="s">
        <v>261</v>
      </c>
      <c r="I29" s="13" t="s">
        <v>89</v>
      </c>
      <c r="J29" s="93"/>
      <c r="K29" s="23"/>
      <c r="L29" s="18"/>
      <c r="M29" s="31" t="b">
        <v>1</v>
      </c>
    </row>
    <row r="30" spans="1:13" ht="12.75">
      <c r="A30" s="23">
        <v>21</v>
      </c>
      <c r="B30" s="16" t="s">
        <v>268</v>
      </c>
      <c r="C30" s="16" t="s">
        <v>40</v>
      </c>
      <c r="D30" s="61">
        <v>2</v>
      </c>
      <c r="E30" s="20" t="s">
        <v>55</v>
      </c>
      <c r="F30" s="16" t="s">
        <v>103</v>
      </c>
      <c r="G30" s="16" t="s">
        <v>1586</v>
      </c>
      <c r="H30" s="16" t="s">
        <v>261</v>
      </c>
      <c r="I30" s="13" t="s">
        <v>89</v>
      </c>
      <c r="J30" s="93"/>
      <c r="K30" s="23"/>
      <c r="L30" s="18"/>
      <c r="M30" s="31" t="b">
        <v>1</v>
      </c>
    </row>
    <row r="31" spans="1:13" ht="12.75">
      <c r="A31" s="23">
        <v>22</v>
      </c>
      <c r="B31" s="16" t="s">
        <v>268</v>
      </c>
      <c r="C31" s="16" t="s">
        <v>40</v>
      </c>
      <c r="D31" s="61">
        <v>2</v>
      </c>
      <c r="E31" s="70" t="s">
        <v>46</v>
      </c>
      <c r="F31" s="16" t="s">
        <v>493</v>
      </c>
      <c r="G31" s="16" t="s">
        <v>1591</v>
      </c>
      <c r="H31" s="16" t="s">
        <v>261</v>
      </c>
      <c r="I31" s="13" t="s">
        <v>89</v>
      </c>
      <c r="J31" s="93"/>
      <c r="K31" s="23"/>
      <c r="L31" s="18"/>
      <c r="M31" s="31" t="b">
        <v>1</v>
      </c>
    </row>
    <row r="32" spans="1:13" ht="12.75">
      <c r="A32" s="23">
        <v>23</v>
      </c>
      <c r="B32" s="16" t="s">
        <v>268</v>
      </c>
      <c r="C32" s="16" t="s">
        <v>40</v>
      </c>
      <c r="D32" s="61">
        <v>2</v>
      </c>
      <c r="E32" s="70" t="s">
        <v>47</v>
      </c>
      <c r="F32" s="16" t="s">
        <v>493</v>
      </c>
      <c r="G32" s="16" t="s">
        <v>1603</v>
      </c>
      <c r="H32" s="16" t="s">
        <v>261</v>
      </c>
      <c r="I32" s="13" t="s">
        <v>89</v>
      </c>
      <c r="J32" s="93"/>
      <c r="K32" s="23"/>
      <c r="L32" s="18"/>
      <c r="M32" s="31" t="b">
        <v>1</v>
      </c>
    </row>
    <row r="33" spans="1:13" ht="12.75">
      <c r="A33" s="23">
        <v>24</v>
      </c>
      <c r="B33" s="16" t="s">
        <v>268</v>
      </c>
      <c r="C33" s="16" t="s">
        <v>40</v>
      </c>
      <c r="D33" s="61">
        <v>2</v>
      </c>
      <c r="E33" s="70" t="s">
        <v>48</v>
      </c>
      <c r="F33" s="16" t="s">
        <v>493</v>
      </c>
      <c r="G33" s="16" t="s">
        <v>1606</v>
      </c>
      <c r="H33" s="16" t="s">
        <v>261</v>
      </c>
      <c r="I33" s="13" t="s">
        <v>89</v>
      </c>
      <c r="J33" s="93"/>
      <c r="K33" s="23"/>
      <c r="L33" s="18"/>
      <c r="M33" s="31" t="b">
        <v>1</v>
      </c>
    </row>
    <row r="34" spans="1:13" ht="12.75">
      <c r="A34" s="335">
        <v>25</v>
      </c>
      <c r="B34" s="16" t="s">
        <v>268</v>
      </c>
      <c r="C34" s="16" t="s">
        <v>40</v>
      </c>
      <c r="D34" s="61">
        <v>2</v>
      </c>
      <c r="E34" s="75" t="s">
        <v>463</v>
      </c>
      <c r="F34" s="97" t="s">
        <v>238</v>
      </c>
      <c r="G34" s="97" t="s">
        <v>1608</v>
      </c>
      <c r="H34" s="16" t="s">
        <v>261</v>
      </c>
      <c r="I34" s="13" t="s">
        <v>89</v>
      </c>
      <c r="J34" s="93"/>
      <c r="K34" s="23"/>
      <c r="L34" s="18"/>
      <c r="M34" s="38" t="b">
        <v>0</v>
      </c>
    </row>
    <row r="35" spans="1:13" ht="12.75">
      <c r="A35" s="23">
        <v>26</v>
      </c>
      <c r="B35" s="16" t="s">
        <v>268</v>
      </c>
      <c r="C35" s="371" t="s">
        <v>29</v>
      </c>
      <c r="D35" s="61">
        <v>2</v>
      </c>
      <c r="E35" s="70" t="s">
        <v>33</v>
      </c>
      <c r="F35" s="97" t="s">
        <v>155</v>
      </c>
      <c r="G35" s="97" t="s">
        <v>1610</v>
      </c>
      <c r="H35" s="16" t="s">
        <v>66</v>
      </c>
      <c r="I35" s="13" t="s">
        <v>89</v>
      </c>
      <c r="J35" s="93"/>
      <c r="K35" s="23"/>
      <c r="L35" s="18"/>
      <c r="M35" s="31" t="b">
        <v>1</v>
      </c>
    </row>
    <row r="36" spans="1:13" ht="12.75">
      <c r="A36" s="335">
        <v>27</v>
      </c>
      <c r="B36" s="16" t="s">
        <v>268</v>
      </c>
      <c r="C36" s="371" t="s">
        <v>29</v>
      </c>
      <c r="D36" s="61">
        <v>2</v>
      </c>
      <c r="E36" s="70" t="s">
        <v>429</v>
      </c>
      <c r="F36" s="97" t="s">
        <v>31</v>
      </c>
      <c r="G36" s="97" t="s">
        <v>1621</v>
      </c>
      <c r="H36" s="16" t="s">
        <v>66</v>
      </c>
      <c r="I36" s="13" t="s">
        <v>89</v>
      </c>
      <c r="J36" s="93"/>
      <c r="K36" s="23"/>
      <c r="L36" s="18"/>
      <c r="M36" s="31" t="b">
        <v>1</v>
      </c>
    </row>
    <row r="37" spans="1:13" ht="12.75">
      <c r="A37" s="23">
        <v>28</v>
      </c>
      <c r="B37" s="16" t="s">
        <v>176</v>
      </c>
      <c r="C37" s="16" t="s">
        <v>82</v>
      </c>
      <c r="D37" s="16">
        <v>1</v>
      </c>
      <c r="E37" s="20" t="s">
        <v>231</v>
      </c>
      <c r="F37" s="97" t="s">
        <v>155</v>
      </c>
      <c r="G37" s="97" t="s">
        <v>1624</v>
      </c>
      <c r="H37" s="16" t="s">
        <v>66</v>
      </c>
      <c r="I37" s="13" t="s">
        <v>89</v>
      </c>
      <c r="J37" s="93"/>
      <c r="K37" s="23"/>
      <c r="L37" s="18"/>
      <c r="M37" s="31" t="b">
        <v>1</v>
      </c>
    </row>
    <row r="38" spans="1:13" ht="12.75">
      <c r="A38" s="335">
        <v>29</v>
      </c>
      <c r="B38" s="16" t="s">
        <v>176</v>
      </c>
      <c r="C38" s="16" t="s">
        <v>210</v>
      </c>
      <c r="D38" s="16">
        <v>1</v>
      </c>
      <c r="E38" s="20" t="s">
        <v>3119</v>
      </c>
      <c r="F38" s="97" t="s">
        <v>238</v>
      </c>
      <c r="G38" s="97" t="s">
        <v>1631</v>
      </c>
      <c r="H38" s="16" t="s">
        <v>66</v>
      </c>
      <c r="I38" s="13" t="s">
        <v>89</v>
      </c>
      <c r="J38" s="93"/>
      <c r="K38" s="23"/>
      <c r="L38" s="18"/>
      <c r="M38" s="38" t="b">
        <v>0</v>
      </c>
    </row>
    <row r="39" spans="1:13" ht="12.75">
      <c r="A39" s="23">
        <v>30</v>
      </c>
      <c r="B39" s="16" t="s">
        <v>165</v>
      </c>
      <c r="C39" s="16" t="s">
        <v>183</v>
      </c>
      <c r="D39" s="16">
        <v>1</v>
      </c>
      <c r="E39" s="20" t="s">
        <v>206</v>
      </c>
      <c r="F39" s="97" t="s">
        <v>155</v>
      </c>
      <c r="G39" s="97" t="s">
        <v>1634</v>
      </c>
      <c r="H39" s="16" t="s">
        <v>66</v>
      </c>
      <c r="I39" s="13" t="s">
        <v>89</v>
      </c>
      <c r="J39" s="93"/>
      <c r="K39" s="23"/>
      <c r="L39" s="18"/>
      <c r="M39" s="31" t="b">
        <v>1</v>
      </c>
    </row>
    <row r="40" spans="1:13" ht="12.75">
      <c r="A40" s="335">
        <v>31</v>
      </c>
      <c r="B40" s="16" t="s">
        <v>198</v>
      </c>
      <c r="C40" s="16" t="s">
        <v>356</v>
      </c>
      <c r="D40" s="16">
        <v>2</v>
      </c>
      <c r="E40" s="20" t="s">
        <v>363</v>
      </c>
      <c r="F40" s="97" t="s">
        <v>155</v>
      </c>
      <c r="G40" s="97" t="s">
        <v>1642</v>
      </c>
      <c r="H40" s="16" t="s">
        <v>66</v>
      </c>
      <c r="I40" s="13" t="s">
        <v>89</v>
      </c>
      <c r="J40" s="93"/>
      <c r="K40" s="23"/>
      <c r="L40" s="102" t="s">
        <v>3121</v>
      </c>
      <c r="M40" s="38" t="b">
        <v>0</v>
      </c>
    </row>
    <row r="41" spans="1:13" ht="12.75">
      <c r="A41" s="335">
        <v>32</v>
      </c>
      <c r="B41" s="16" t="s">
        <v>196</v>
      </c>
      <c r="C41" s="16" t="s">
        <v>241</v>
      </c>
      <c r="D41" s="16">
        <v>1</v>
      </c>
      <c r="E41" s="20" t="s">
        <v>256</v>
      </c>
      <c r="F41" s="97" t="s">
        <v>238</v>
      </c>
      <c r="G41" s="97" t="s">
        <v>1648</v>
      </c>
      <c r="H41" s="16" t="s">
        <v>66</v>
      </c>
      <c r="I41" s="13" t="s">
        <v>89</v>
      </c>
      <c r="J41" s="93"/>
      <c r="K41" s="23"/>
      <c r="L41" s="18"/>
      <c r="M41" s="31" t="b">
        <v>1</v>
      </c>
    </row>
    <row r="42" spans="1:13" ht="12.75">
      <c r="A42" s="335">
        <v>33</v>
      </c>
      <c r="B42" s="16" t="s">
        <v>13</v>
      </c>
      <c r="C42" s="16" t="s">
        <v>15</v>
      </c>
      <c r="D42" s="16">
        <v>1</v>
      </c>
      <c r="E42" s="20" t="s">
        <v>64</v>
      </c>
      <c r="F42" s="97" t="s">
        <v>155</v>
      </c>
      <c r="G42" s="97" t="s">
        <v>1651</v>
      </c>
      <c r="H42" s="16" t="s">
        <v>66</v>
      </c>
      <c r="I42" s="13" t="s">
        <v>89</v>
      </c>
      <c r="J42" s="93"/>
      <c r="K42" s="23"/>
      <c r="L42" s="18"/>
      <c r="M42" s="38" t="b">
        <v>0</v>
      </c>
    </row>
    <row r="43" spans="1:13" ht="12.75">
      <c r="A43" s="335">
        <v>34</v>
      </c>
      <c r="B43" s="16" t="s">
        <v>140</v>
      </c>
      <c r="C43" s="16" t="s">
        <v>306</v>
      </c>
      <c r="D43" s="16">
        <v>1</v>
      </c>
      <c r="E43" s="20" t="s">
        <v>307</v>
      </c>
      <c r="F43" s="97" t="s">
        <v>155</v>
      </c>
      <c r="G43" s="97" t="s">
        <v>1655</v>
      </c>
      <c r="H43" s="16" t="s">
        <v>261</v>
      </c>
      <c r="I43" s="13" t="s">
        <v>89</v>
      </c>
      <c r="J43" s="93"/>
      <c r="K43" s="23"/>
      <c r="L43" s="18"/>
      <c r="M43" s="38" t="b">
        <v>0</v>
      </c>
    </row>
    <row r="44" spans="1:13" ht="12.75">
      <c r="A44" s="23">
        <v>35</v>
      </c>
      <c r="B44" s="16" t="s">
        <v>140</v>
      </c>
      <c r="C44" s="16" t="s">
        <v>141</v>
      </c>
      <c r="D44" s="16">
        <v>1</v>
      </c>
      <c r="E44" s="20" t="s">
        <v>168</v>
      </c>
      <c r="F44" s="97" t="s">
        <v>491</v>
      </c>
      <c r="G44" s="97" t="s">
        <v>1655</v>
      </c>
      <c r="H44" s="16" t="s">
        <v>66</v>
      </c>
      <c r="I44" s="13" t="s">
        <v>89</v>
      </c>
      <c r="J44" s="93"/>
      <c r="K44" s="23"/>
      <c r="L44" s="18"/>
      <c r="M44" s="31" t="b">
        <v>1</v>
      </c>
    </row>
    <row r="45" spans="1:13" ht="12.75">
      <c r="A45" s="23">
        <v>36</v>
      </c>
      <c r="B45" s="16" t="s">
        <v>113</v>
      </c>
      <c r="C45" s="16" t="s">
        <v>114</v>
      </c>
      <c r="D45" s="16">
        <v>1</v>
      </c>
      <c r="E45" s="20" t="s">
        <v>132</v>
      </c>
      <c r="F45" s="97" t="s">
        <v>491</v>
      </c>
      <c r="G45" s="97" t="s">
        <v>1663</v>
      </c>
      <c r="H45" s="16" t="s">
        <v>66</v>
      </c>
      <c r="I45" s="13" t="s">
        <v>89</v>
      </c>
      <c r="J45" s="93"/>
      <c r="K45" s="23"/>
      <c r="L45" s="18"/>
      <c r="M45" s="31" t="b">
        <v>1</v>
      </c>
    </row>
    <row r="46" spans="1:13" ht="12.75">
      <c r="A46" s="23">
        <v>37</v>
      </c>
      <c r="B46" s="16" t="s">
        <v>67</v>
      </c>
      <c r="C46" s="16" t="s">
        <v>258</v>
      </c>
      <c r="D46" s="16">
        <v>1</v>
      </c>
      <c r="E46" s="75" t="s">
        <v>260</v>
      </c>
      <c r="F46" s="97" t="s">
        <v>666</v>
      </c>
      <c r="G46" s="13" t="s">
        <v>1420</v>
      </c>
      <c r="H46" s="16" t="s">
        <v>261</v>
      </c>
      <c r="I46" s="13" t="s">
        <v>89</v>
      </c>
      <c r="J46" s="93"/>
      <c r="K46" s="23"/>
      <c r="L46" s="18"/>
      <c r="M46" s="38" t="b">
        <v>0</v>
      </c>
    </row>
    <row r="47" spans="1:13" ht="12.75">
      <c r="A47" s="23">
        <v>38</v>
      </c>
      <c r="B47" s="16" t="s">
        <v>67</v>
      </c>
      <c r="C47" s="16" t="s">
        <v>258</v>
      </c>
      <c r="D47" s="16">
        <v>1</v>
      </c>
      <c r="E47" s="75" t="s">
        <v>264</v>
      </c>
      <c r="F47" s="97" t="s">
        <v>374</v>
      </c>
      <c r="G47" s="13" t="s">
        <v>1446</v>
      </c>
      <c r="H47" s="16" t="s">
        <v>261</v>
      </c>
      <c r="I47" s="13" t="s">
        <v>89</v>
      </c>
      <c r="J47" s="93"/>
      <c r="K47" s="23"/>
      <c r="L47" s="18"/>
      <c r="M47" s="38" t="b">
        <v>0</v>
      </c>
    </row>
    <row r="50" spans="1:5" ht="12.75">
      <c r="C50" s="31" t="s">
        <v>3000</v>
      </c>
      <c r="D50" s="31"/>
      <c r="E50" s="357" t="s">
        <v>3124</v>
      </c>
    </row>
    <row r="51" spans="1:5" ht="12.75">
      <c r="C51" s="31" t="s">
        <v>3044</v>
      </c>
      <c r="D51" s="31"/>
      <c r="E51" s="31" t="s">
        <v>3126</v>
      </c>
    </row>
    <row r="52" spans="1:5" ht="12.75">
      <c r="C52" s="31" t="s">
        <v>3046</v>
      </c>
      <c r="D52" s="31"/>
      <c r="E52" s="31" t="s">
        <v>3127</v>
      </c>
    </row>
    <row r="55" spans="1:5" ht="25.5">
      <c r="A55" s="31" t="s">
        <v>2998</v>
      </c>
      <c r="C55" s="313" t="s">
        <v>3128</v>
      </c>
    </row>
    <row r="56" spans="1:5" ht="12.75">
      <c r="A56" s="31" t="s">
        <v>3041</v>
      </c>
    </row>
  </sheetData>
  <mergeCells count="8">
    <mergeCell ref="A6:H6"/>
    <mergeCell ref="I6:J6"/>
    <mergeCell ref="A9:L9"/>
    <mergeCell ref="A1:L1"/>
    <mergeCell ref="A2:L2"/>
    <mergeCell ref="A3:L3"/>
    <mergeCell ref="A5:H5"/>
    <mergeCell ref="I5:J5"/>
  </mergeCells>
  <dataValidations count="1">
    <dataValidation type="list" allowBlank="1" showErrorMessage="1" sqref="I10:I47" xr:uid="{00000000-0002-0000-1800-000000000000}">
      <formula1>"Active,Inactive,Ongoing,Assist,Terminated"</formula1>
    </dataValidation>
  </dataValidations>
  <hyperlinks>
    <hyperlink ref="E50" r:id="rId1" location="/monitor_overview_global_menu" xr:uid="{00000000-0004-0000-18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outlinePr summaryBelow="0" summaryRight="0"/>
    <pageSetUpPr fitToPage="1"/>
  </sheetPr>
  <dimension ref="A1:AF33"/>
  <sheetViews>
    <sheetView showGridLines="0" workbookViewId="0">
      <pane ySplit="1" topLeftCell="A2" activePane="bottomLeft" state="frozen"/>
      <selection pane="bottomLeft" activeCell="B3" sqref="B3"/>
    </sheetView>
  </sheetViews>
  <sheetFormatPr defaultColWidth="12.5703125" defaultRowHeight="15.75" customHeight="1"/>
  <cols>
    <col min="1" max="1" width="19.85546875" customWidth="1"/>
    <col min="2" max="2" width="21.42578125" customWidth="1"/>
    <col min="3" max="3" width="8.85546875" customWidth="1"/>
    <col min="4" max="4" width="47.7109375" customWidth="1"/>
    <col min="5" max="8" width="16.5703125" customWidth="1"/>
    <col min="9" max="9" width="17.5703125" customWidth="1"/>
    <col min="10" max="10" width="25.42578125" customWidth="1"/>
    <col min="11" max="11" width="14.140625" customWidth="1"/>
    <col min="12" max="12" width="18" customWidth="1"/>
    <col min="13" max="13" width="32.140625" customWidth="1"/>
    <col min="14" max="15" width="15.42578125" customWidth="1"/>
    <col min="16" max="16" width="20.5703125" customWidth="1"/>
    <col min="17" max="17" width="26.42578125" customWidth="1"/>
  </cols>
  <sheetData>
    <row r="1" spans="1:32">
      <c r="A1" s="2" t="s">
        <v>2</v>
      </c>
      <c r="B1" s="2" t="s">
        <v>1</v>
      </c>
      <c r="C1" s="2" t="s">
        <v>0</v>
      </c>
      <c r="D1" s="2" t="s">
        <v>3</v>
      </c>
      <c r="E1" s="2" t="s">
        <v>14</v>
      </c>
      <c r="F1" s="2" t="s">
        <v>640</v>
      </c>
      <c r="G1" s="2" t="s">
        <v>641</v>
      </c>
      <c r="H1" s="2" t="s">
        <v>642</v>
      </c>
      <c r="I1" s="2" t="s">
        <v>645</v>
      </c>
      <c r="J1" s="2" t="s">
        <v>7</v>
      </c>
      <c r="K1" s="2" t="s">
        <v>1747</v>
      </c>
      <c r="L1" s="2" t="s">
        <v>648</v>
      </c>
      <c r="M1" s="90" t="s">
        <v>650</v>
      </c>
      <c r="N1" s="91" t="s">
        <v>3120</v>
      </c>
      <c r="O1" s="91" t="s">
        <v>655</v>
      </c>
      <c r="P1" s="91" t="s">
        <v>656</v>
      </c>
      <c r="Q1" s="90" t="s">
        <v>20</v>
      </c>
    </row>
    <row r="2" spans="1:32">
      <c r="A2" s="372" t="s">
        <v>57</v>
      </c>
      <c r="B2" s="372" t="s">
        <v>191</v>
      </c>
      <c r="C2" s="372">
        <v>2</v>
      </c>
      <c r="D2" s="373" t="s">
        <v>26</v>
      </c>
      <c r="E2" s="372" t="s">
        <v>31</v>
      </c>
      <c r="F2" s="374">
        <v>45255</v>
      </c>
      <c r="G2" s="372">
        <v>9.4640299999999993</v>
      </c>
      <c r="H2" s="372">
        <v>125.57594</v>
      </c>
      <c r="I2" s="372" t="s">
        <v>667</v>
      </c>
      <c r="J2" s="372" t="s">
        <v>22</v>
      </c>
      <c r="K2" s="372" t="s">
        <v>199</v>
      </c>
      <c r="L2" s="375">
        <v>45671.384722222225</v>
      </c>
      <c r="M2" s="376" t="s">
        <v>3122</v>
      </c>
      <c r="N2" s="377"/>
      <c r="O2" s="378"/>
      <c r="P2" s="378"/>
      <c r="Q2" s="143"/>
      <c r="R2" s="379"/>
      <c r="S2" s="379"/>
      <c r="T2" s="379"/>
      <c r="U2" s="379"/>
      <c r="V2" s="379"/>
      <c r="W2" s="379"/>
      <c r="X2" s="379"/>
      <c r="Y2" s="379"/>
      <c r="Z2" s="379"/>
      <c r="AA2" s="379"/>
      <c r="AB2" s="379"/>
      <c r="AC2" s="379"/>
      <c r="AD2" s="379"/>
      <c r="AE2" s="379"/>
      <c r="AF2" s="379"/>
    </row>
    <row r="3" spans="1:32">
      <c r="A3" s="372" t="s">
        <v>117</v>
      </c>
      <c r="B3" s="372" t="s">
        <v>191</v>
      </c>
      <c r="C3" s="372">
        <v>2</v>
      </c>
      <c r="D3" s="373" t="s">
        <v>130</v>
      </c>
      <c r="E3" s="372" t="s">
        <v>31</v>
      </c>
      <c r="F3" s="374">
        <v>45257</v>
      </c>
      <c r="G3" s="372">
        <v>9.6088850000000008</v>
      </c>
      <c r="H3" s="372">
        <v>125.640559</v>
      </c>
      <c r="I3" s="372" t="s">
        <v>689</v>
      </c>
      <c r="J3" s="372" t="s">
        <v>22</v>
      </c>
      <c r="K3" s="372" t="s">
        <v>89</v>
      </c>
      <c r="L3" s="372"/>
      <c r="M3" s="380"/>
      <c r="N3" s="381"/>
      <c r="O3" s="381"/>
      <c r="P3" s="381"/>
      <c r="Q3" s="143"/>
      <c r="R3" s="379"/>
      <c r="S3" s="379"/>
      <c r="T3" s="379"/>
      <c r="U3" s="379"/>
      <c r="V3" s="379"/>
      <c r="W3" s="379"/>
      <c r="X3" s="379"/>
      <c r="Y3" s="379"/>
      <c r="Z3" s="379"/>
      <c r="AA3" s="379"/>
      <c r="AB3" s="379"/>
      <c r="AC3" s="379"/>
      <c r="AD3" s="379"/>
      <c r="AE3" s="379"/>
      <c r="AF3" s="379"/>
    </row>
    <row r="4" spans="1:32">
      <c r="A4" s="310" t="s">
        <v>216</v>
      </c>
      <c r="B4" s="310" t="s">
        <v>376</v>
      </c>
      <c r="C4" s="372">
        <v>2</v>
      </c>
      <c r="D4" s="382" t="s">
        <v>223</v>
      </c>
      <c r="E4" s="372" t="s">
        <v>31</v>
      </c>
      <c r="F4" s="374">
        <v>45244</v>
      </c>
      <c r="G4" s="372">
        <v>9.6584730000000008</v>
      </c>
      <c r="H4" s="372">
        <v>125.60086699999999</v>
      </c>
      <c r="I4" s="372" t="s">
        <v>779</v>
      </c>
      <c r="J4" s="372" t="s">
        <v>22</v>
      </c>
      <c r="K4" s="372" t="s">
        <v>89</v>
      </c>
      <c r="L4" s="372"/>
      <c r="M4" s="383"/>
      <c r="N4" s="384"/>
      <c r="O4" s="384"/>
      <c r="P4" s="384"/>
      <c r="Q4" s="143"/>
      <c r="R4" s="379"/>
      <c r="S4" s="379"/>
      <c r="T4" s="379"/>
      <c r="U4" s="379"/>
      <c r="V4" s="379"/>
      <c r="W4" s="379"/>
      <c r="X4" s="379"/>
      <c r="Y4" s="379"/>
      <c r="Z4" s="379"/>
      <c r="AA4" s="379"/>
      <c r="AB4" s="379"/>
      <c r="AC4" s="379"/>
      <c r="AD4" s="379"/>
      <c r="AE4" s="379"/>
      <c r="AF4" s="379"/>
    </row>
    <row r="5" spans="1:32">
      <c r="A5" s="310" t="s">
        <v>257</v>
      </c>
      <c r="B5" s="310" t="s">
        <v>405</v>
      </c>
      <c r="C5" s="372">
        <v>2</v>
      </c>
      <c r="D5" s="382" t="s">
        <v>266</v>
      </c>
      <c r="E5" s="372" t="s">
        <v>31</v>
      </c>
      <c r="F5" s="374">
        <v>45256</v>
      </c>
      <c r="G5" s="372">
        <v>9.6578742020000004</v>
      </c>
      <c r="H5" s="372">
        <v>125.52857299999999</v>
      </c>
      <c r="I5" s="372" t="s">
        <v>835</v>
      </c>
      <c r="J5" s="372" t="s">
        <v>22</v>
      </c>
      <c r="K5" s="372" t="s">
        <v>89</v>
      </c>
      <c r="L5" s="372"/>
      <c r="M5" s="385"/>
      <c r="N5" s="386"/>
      <c r="O5" s="386"/>
      <c r="P5" s="386"/>
      <c r="Q5" s="143"/>
      <c r="R5" s="379"/>
      <c r="S5" s="379"/>
      <c r="T5" s="379"/>
      <c r="U5" s="379"/>
      <c r="V5" s="379"/>
      <c r="W5" s="379"/>
      <c r="X5" s="379"/>
      <c r="Y5" s="379"/>
      <c r="Z5" s="379"/>
      <c r="AA5" s="379"/>
      <c r="AB5" s="379"/>
      <c r="AC5" s="379"/>
      <c r="AD5" s="379"/>
      <c r="AE5" s="379"/>
      <c r="AF5" s="379"/>
    </row>
    <row r="6" spans="1:32">
      <c r="A6" s="310" t="s">
        <v>291</v>
      </c>
      <c r="B6" s="310" t="s">
        <v>411</v>
      </c>
      <c r="C6" s="372">
        <v>2</v>
      </c>
      <c r="D6" s="382" t="s">
        <v>305</v>
      </c>
      <c r="E6" s="372" t="s">
        <v>31</v>
      </c>
      <c r="F6" s="374">
        <v>45259</v>
      </c>
      <c r="G6" s="372">
        <v>9.6971539999999994</v>
      </c>
      <c r="H6" s="372">
        <v>125.58359</v>
      </c>
      <c r="I6" s="372" t="s">
        <v>876</v>
      </c>
      <c r="J6" s="372" t="s">
        <v>22</v>
      </c>
      <c r="K6" s="372" t="s">
        <v>89</v>
      </c>
      <c r="L6" s="372"/>
      <c r="M6" s="387"/>
      <c r="N6" s="388"/>
      <c r="O6" s="388"/>
      <c r="P6" s="388"/>
      <c r="Q6" s="143"/>
      <c r="R6" s="379"/>
      <c r="S6" s="379"/>
      <c r="T6" s="379"/>
      <c r="U6" s="379"/>
      <c r="V6" s="379"/>
      <c r="W6" s="379"/>
      <c r="X6" s="379"/>
      <c r="Y6" s="379"/>
      <c r="Z6" s="379"/>
      <c r="AA6" s="379"/>
      <c r="AB6" s="379"/>
      <c r="AC6" s="379"/>
      <c r="AD6" s="379"/>
      <c r="AE6" s="379"/>
      <c r="AF6" s="379"/>
    </row>
    <row r="7" spans="1:32">
      <c r="A7" s="310" t="s">
        <v>325</v>
      </c>
      <c r="B7" s="310" t="s">
        <v>415</v>
      </c>
      <c r="C7" s="372">
        <v>2</v>
      </c>
      <c r="D7" s="382" t="s">
        <v>340</v>
      </c>
      <c r="E7" s="372" t="s">
        <v>31</v>
      </c>
      <c r="F7" s="374">
        <v>45258</v>
      </c>
      <c r="G7" s="372">
        <v>9.553910514</v>
      </c>
      <c r="H7" s="372">
        <v>125.569897</v>
      </c>
      <c r="I7" s="372" t="s">
        <v>920</v>
      </c>
      <c r="J7" s="372" t="s">
        <v>22</v>
      </c>
      <c r="K7" s="372" t="s">
        <v>89</v>
      </c>
      <c r="L7" s="372"/>
      <c r="M7" s="387"/>
      <c r="N7" s="388"/>
      <c r="O7" s="388"/>
      <c r="P7" s="388"/>
      <c r="Q7" s="143"/>
      <c r="R7" s="379"/>
      <c r="S7" s="379"/>
      <c r="T7" s="379"/>
      <c r="U7" s="379"/>
      <c r="V7" s="379"/>
      <c r="W7" s="379"/>
      <c r="X7" s="379"/>
      <c r="Y7" s="379"/>
      <c r="Z7" s="379"/>
      <c r="AA7" s="379"/>
      <c r="AB7" s="379"/>
      <c r="AC7" s="379"/>
      <c r="AD7" s="379"/>
      <c r="AE7" s="379"/>
      <c r="AF7" s="379"/>
    </row>
    <row r="8" spans="1:32">
      <c r="A8" s="310" t="s">
        <v>268</v>
      </c>
      <c r="B8" s="310" t="s">
        <v>40</v>
      </c>
      <c r="C8" s="372">
        <v>2</v>
      </c>
      <c r="D8" s="382" t="s">
        <v>59</v>
      </c>
      <c r="E8" s="372" t="s">
        <v>31</v>
      </c>
      <c r="F8" s="374">
        <v>45257</v>
      </c>
      <c r="G8" s="372">
        <v>9.7855176270000008</v>
      </c>
      <c r="H8" s="372">
        <v>125.487695</v>
      </c>
      <c r="I8" s="372" t="s">
        <v>948</v>
      </c>
      <c r="J8" s="372" t="s">
        <v>22</v>
      </c>
      <c r="K8" s="372" t="s">
        <v>89</v>
      </c>
      <c r="L8" s="372"/>
      <c r="M8" s="389"/>
      <c r="N8" s="390"/>
      <c r="O8" s="390"/>
      <c r="P8" s="390"/>
      <c r="Q8" s="143"/>
      <c r="R8" s="379"/>
      <c r="S8" s="379"/>
      <c r="T8" s="379"/>
      <c r="U8" s="379"/>
      <c r="V8" s="379"/>
      <c r="W8" s="379"/>
      <c r="X8" s="379"/>
      <c r="Y8" s="379"/>
      <c r="Z8" s="379"/>
      <c r="AA8" s="379"/>
      <c r="AB8" s="379"/>
      <c r="AC8" s="379"/>
      <c r="AD8" s="379"/>
      <c r="AE8" s="379"/>
      <c r="AF8" s="379"/>
    </row>
    <row r="9" spans="1:32">
      <c r="A9" s="310" t="s">
        <v>381</v>
      </c>
      <c r="B9" s="310" t="s">
        <v>140</v>
      </c>
      <c r="C9" s="372">
        <v>2</v>
      </c>
      <c r="D9" s="382" t="s">
        <v>391</v>
      </c>
      <c r="E9" s="372" t="s">
        <v>31</v>
      </c>
      <c r="F9" s="374">
        <v>45262</v>
      </c>
      <c r="G9" s="372">
        <v>9.6191619999999993</v>
      </c>
      <c r="H9" s="372">
        <v>125.40141800000001</v>
      </c>
      <c r="I9" s="372" t="s">
        <v>980</v>
      </c>
      <c r="J9" s="372" t="s">
        <v>22</v>
      </c>
      <c r="K9" s="372" t="s">
        <v>89</v>
      </c>
      <c r="L9" s="372"/>
      <c r="M9" s="391"/>
      <c r="N9" s="392"/>
      <c r="O9" s="392"/>
      <c r="P9" s="392"/>
      <c r="Q9" s="143"/>
      <c r="R9" s="379"/>
      <c r="S9" s="379"/>
      <c r="T9" s="379"/>
      <c r="U9" s="379"/>
      <c r="V9" s="379"/>
      <c r="W9" s="379"/>
      <c r="X9" s="379"/>
      <c r="Y9" s="379"/>
      <c r="Z9" s="379"/>
      <c r="AA9" s="379"/>
      <c r="AB9" s="379"/>
      <c r="AC9" s="379"/>
      <c r="AD9" s="379"/>
      <c r="AE9" s="379"/>
      <c r="AF9" s="379"/>
    </row>
    <row r="10" spans="1:32">
      <c r="A10" s="310" t="s">
        <v>13</v>
      </c>
      <c r="B10" s="310" t="s">
        <v>15</v>
      </c>
      <c r="C10" s="372">
        <v>1</v>
      </c>
      <c r="D10" s="382" t="s">
        <v>60</v>
      </c>
      <c r="E10" s="372" t="s">
        <v>31</v>
      </c>
      <c r="F10" s="374">
        <v>45215</v>
      </c>
      <c r="G10" s="372">
        <v>10.018596000000001</v>
      </c>
      <c r="H10" s="372">
        <v>126.07436</v>
      </c>
      <c r="I10" s="372" t="s">
        <v>1026</v>
      </c>
      <c r="J10" s="372" t="s">
        <v>22</v>
      </c>
      <c r="K10" s="372" t="s">
        <v>89</v>
      </c>
      <c r="L10" s="372"/>
      <c r="M10" s="391"/>
      <c r="N10" s="392"/>
      <c r="O10" s="392"/>
      <c r="P10" s="392"/>
      <c r="Q10" s="143"/>
      <c r="R10" s="379"/>
      <c r="S10" s="379"/>
      <c r="T10" s="379"/>
      <c r="U10" s="379"/>
      <c r="V10" s="379"/>
      <c r="W10" s="379"/>
      <c r="X10" s="379"/>
      <c r="Y10" s="379"/>
      <c r="Z10" s="379"/>
      <c r="AA10" s="379"/>
      <c r="AB10" s="379"/>
      <c r="AC10" s="379"/>
      <c r="AD10" s="379"/>
      <c r="AE10" s="379"/>
      <c r="AF10" s="379"/>
    </row>
    <row r="11" spans="1:32">
      <c r="A11" s="310" t="s">
        <v>81</v>
      </c>
      <c r="B11" s="310" t="s">
        <v>82</v>
      </c>
      <c r="C11" s="372">
        <v>1</v>
      </c>
      <c r="D11" s="382" t="s">
        <v>92</v>
      </c>
      <c r="E11" s="372" t="s">
        <v>31</v>
      </c>
      <c r="F11" s="374">
        <v>45237</v>
      </c>
      <c r="G11" s="372">
        <v>9.8711490000000008</v>
      </c>
      <c r="H11" s="372">
        <v>125.972757</v>
      </c>
      <c r="I11" s="372" t="s">
        <v>1114</v>
      </c>
      <c r="J11" s="372" t="s">
        <v>22</v>
      </c>
      <c r="K11" s="372" t="s">
        <v>89</v>
      </c>
      <c r="L11" s="393"/>
      <c r="M11" s="382"/>
      <c r="N11" s="392"/>
      <c r="O11" s="392"/>
      <c r="P11" s="392"/>
      <c r="Q11" s="143"/>
      <c r="R11" s="379"/>
      <c r="S11" s="379"/>
      <c r="T11" s="379"/>
      <c r="U11" s="379"/>
      <c r="V11" s="379"/>
      <c r="W11" s="379"/>
      <c r="X11" s="379"/>
      <c r="Y11" s="379"/>
      <c r="Z11" s="379"/>
      <c r="AA11" s="379"/>
      <c r="AB11" s="379"/>
      <c r="AC11" s="379"/>
      <c r="AD11" s="379"/>
      <c r="AE11" s="379"/>
      <c r="AF11" s="379"/>
    </row>
    <row r="12" spans="1:32">
      <c r="A12" s="310" t="s">
        <v>79</v>
      </c>
      <c r="B12" s="310" t="s">
        <v>97</v>
      </c>
      <c r="C12" s="372">
        <v>1</v>
      </c>
      <c r="D12" s="382" t="s">
        <v>111</v>
      </c>
      <c r="E12" s="372" t="s">
        <v>31</v>
      </c>
      <c r="F12" s="374">
        <v>45211</v>
      </c>
      <c r="G12" s="372">
        <v>9.781663</v>
      </c>
      <c r="H12" s="372">
        <v>126.156935</v>
      </c>
      <c r="I12" s="372" t="s">
        <v>1183</v>
      </c>
      <c r="J12" s="372" t="s">
        <v>22</v>
      </c>
      <c r="K12" s="372" t="s">
        <v>89</v>
      </c>
      <c r="L12" s="372"/>
      <c r="M12" s="391"/>
      <c r="N12" s="392"/>
      <c r="O12" s="392"/>
      <c r="P12" s="392"/>
      <c r="Q12" s="143"/>
      <c r="R12" s="379"/>
      <c r="S12" s="379"/>
      <c r="T12" s="379"/>
      <c r="U12" s="379"/>
      <c r="V12" s="379"/>
      <c r="W12" s="379"/>
      <c r="X12" s="379"/>
      <c r="Y12" s="379"/>
      <c r="Z12" s="379"/>
      <c r="AA12" s="379"/>
      <c r="AB12" s="379"/>
      <c r="AC12" s="379"/>
      <c r="AD12" s="379"/>
      <c r="AE12" s="379"/>
      <c r="AF12" s="379"/>
    </row>
    <row r="13" spans="1:32">
      <c r="A13" s="310" t="s">
        <v>113</v>
      </c>
      <c r="B13" s="310" t="s">
        <v>114</v>
      </c>
      <c r="C13" s="372">
        <v>1</v>
      </c>
      <c r="D13" s="382" t="s">
        <v>125</v>
      </c>
      <c r="E13" s="372" t="s">
        <v>31</v>
      </c>
      <c r="F13" s="374">
        <v>45212</v>
      </c>
      <c r="G13" s="372">
        <v>9.8639559999999999</v>
      </c>
      <c r="H13" s="372">
        <v>126.1003</v>
      </c>
      <c r="I13" s="372" t="s">
        <v>1220</v>
      </c>
      <c r="J13" s="372" t="s">
        <v>22</v>
      </c>
      <c r="K13" s="372" t="s">
        <v>89</v>
      </c>
      <c r="L13" s="372"/>
      <c r="M13" s="391"/>
      <c r="N13" s="392"/>
      <c r="O13" s="392"/>
      <c r="P13" s="392"/>
      <c r="Q13" s="143"/>
      <c r="R13" s="379"/>
      <c r="S13" s="379"/>
      <c r="T13" s="379"/>
      <c r="U13" s="379"/>
      <c r="V13" s="379"/>
      <c r="W13" s="379"/>
      <c r="X13" s="379"/>
      <c r="Y13" s="379"/>
      <c r="Z13" s="379"/>
      <c r="AA13" s="379"/>
      <c r="AB13" s="379"/>
      <c r="AC13" s="379"/>
      <c r="AD13" s="379"/>
      <c r="AE13" s="379"/>
      <c r="AF13" s="379"/>
    </row>
    <row r="14" spans="1:32">
      <c r="A14" s="310" t="s">
        <v>140</v>
      </c>
      <c r="B14" s="310" t="s">
        <v>141</v>
      </c>
      <c r="C14" s="372">
        <v>1</v>
      </c>
      <c r="D14" s="382" t="s">
        <v>153</v>
      </c>
      <c r="E14" s="372" t="s">
        <v>31</v>
      </c>
      <c r="F14" s="374">
        <v>45227</v>
      </c>
      <c r="G14" s="372">
        <v>9.9365480000000002</v>
      </c>
      <c r="H14" s="372">
        <v>126.08649800000001</v>
      </c>
      <c r="I14" s="372" t="s">
        <v>1248</v>
      </c>
      <c r="J14" s="372" t="s">
        <v>22</v>
      </c>
      <c r="K14" s="372" t="s">
        <v>89</v>
      </c>
      <c r="L14" s="372"/>
      <c r="M14" s="391"/>
      <c r="N14" s="392"/>
      <c r="O14" s="392"/>
      <c r="P14" s="392"/>
      <c r="Q14" s="143"/>
      <c r="R14" s="379"/>
      <c r="S14" s="379"/>
      <c r="T14" s="379"/>
      <c r="U14" s="379"/>
      <c r="V14" s="379"/>
      <c r="W14" s="379"/>
      <c r="X14" s="379"/>
      <c r="Y14" s="379"/>
      <c r="Z14" s="379"/>
      <c r="AA14" s="379"/>
      <c r="AB14" s="379"/>
      <c r="AC14" s="379"/>
      <c r="AD14" s="379"/>
      <c r="AE14" s="379"/>
      <c r="AF14" s="379"/>
    </row>
    <row r="15" spans="1:32">
      <c r="A15" s="310" t="s">
        <v>140</v>
      </c>
      <c r="B15" s="310" t="s">
        <v>141</v>
      </c>
      <c r="C15" s="372">
        <v>1</v>
      </c>
      <c r="D15" s="382" t="s">
        <v>157</v>
      </c>
      <c r="E15" s="372" t="s">
        <v>31</v>
      </c>
      <c r="F15" s="374">
        <v>45235</v>
      </c>
      <c r="G15" s="372">
        <v>9.9372220000000002</v>
      </c>
      <c r="H15" s="372">
        <v>126.08669399999999</v>
      </c>
      <c r="I15" s="372" t="s">
        <v>1265</v>
      </c>
      <c r="J15" s="372" t="s">
        <v>22</v>
      </c>
      <c r="K15" s="372" t="s">
        <v>89</v>
      </c>
      <c r="L15" s="372"/>
      <c r="M15" s="391"/>
      <c r="N15" s="392"/>
      <c r="O15" s="392"/>
      <c r="P15" s="392"/>
      <c r="Q15" s="143"/>
      <c r="R15" s="379"/>
      <c r="S15" s="379"/>
      <c r="T15" s="379"/>
      <c r="U15" s="379"/>
      <c r="V15" s="379"/>
      <c r="W15" s="379"/>
      <c r="X15" s="379"/>
      <c r="Y15" s="379"/>
      <c r="Z15" s="379"/>
      <c r="AA15" s="379"/>
      <c r="AB15" s="379"/>
      <c r="AC15" s="379"/>
      <c r="AD15" s="379"/>
      <c r="AE15" s="379"/>
      <c r="AF15" s="379"/>
    </row>
    <row r="16" spans="1:32">
      <c r="A16" s="310" t="s">
        <v>165</v>
      </c>
      <c r="B16" s="310" t="s">
        <v>29</v>
      </c>
      <c r="C16" s="372">
        <v>1</v>
      </c>
      <c r="D16" s="382" t="s">
        <v>195</v>
      </c>
      <c r="E16" s="372" t="s">
        <v>31</v>
      </c>
      <c r="F16" s="374">
        <v>45235</v>
      </c>
      <c r="G16" s="372">
        <v>9.9590069999999997</v>
      </c>
      <c r="H16" s="372">
        <v>126.00693</v>
      </c>
      <c r="I16" s="372" t="s">
        <v>1324</v>
      </c>
      <c r="J16" s="372" t="s">
        <v>22</v>
      </c>
      <c r="K16" s="372" t="s">
        <v>89</v>
      </c>
      <c r="L16" s="372"/>
      <c r="M16" s="391"/>
      <c r="N16" s="392"/>
      <c r="O16" s="392"/>
      <c r="P16" s="392"/>
      <c r="Q16" s="143"/>
      <c r="R16" s="379"/>
      <c r="S16" s="379"/>
      <c r="T16" s="379"/>
      <c r="U16" s="379"/>
      <c r="V16" s="379"/>
      <c r="W16" s="379"/>
      <c r="X16" s="379"/>
      <c r="Y16" s="379"/>
      <c r="Z16" s="379"/>
      <c r="AA16" s="379"/>
      <c r="AB16" s="379"/>
      <c r="AC16" s="379"/>
      <c r="AD16" s="379"/>
      <c r="AE16" s="379"/>
      <c r="AF16" s="379"/>
    </row>
    <row r="17" spans="1:32">
      <c r="A17" s="310" t="s">
        <v>196</v>
      </c>
      <c r="B17" s="310" t="s">
        <v>241</v>
      </c>
      <c r="C17" s="372">
        <v>1</v>
      </c>
      <c r="D17" s="382" t="s">
        <v>249</v>
      </c>
      <c r="E17" s="372" t="s">
        <v>31</v>
      </c>
      <c r="F17" s="374">
        <v>45241</v>
      </c>
      <c r="G17" s="372">
        <v>9.6182909999999993</v>
      </c>
      <c r="H17" s="372">
        <v>125.966008</v>
      </c>
      <c r="I17" s="372" t="s">
        <v>1383</v>
      </c>
      <c r="J17" s="372" t="s">
        <v>22</v>
      </c>
      <c r="K17" s="372" t="s">
        <v>89</v>
      </c>
      <c r="L17" s="372"/>
      <c r="M17" s="391"/>
      <c r="N17" s="392"/>
      <c r="O17" s="392"/>
      <c r="P17" s="392"/>
      <c r="Q17" s="143"/>
      <c r="R17" s="379"/>
      <c r="S17" s="379"/>
      <c r="T17" s="379"/>
      <c r="U17" s="379"/>
      <c r="V17" s="379"/>
      <c r="W17" s="379"/>
      <c r="X17" s="379"/>
      <c r="Y17" s="379"/>
      <c r="Z17" s="379"/>
      <c r="AA17" s="379"/>
      <c r="AB17" s="379"/>
      <c r="AC17" s="379"/>
      <c r="AD17" s="379"/>
      <c r="AE17" s="379"/>
      <c r="AF17" s="379"/>
    </row>
    <row r="18" spans="1:32">
      <c r="A18" s="310" t="s">
        <v>67</v>
      </c>
      <c r="B18" s="310" t="s">
        <v>258</v>
      </c>
      <c r="C18" s="372">
        <v>1</v>
      </c>
      <c r="D18" s="382" t="s">
        <v>259</v>
      </c>
      <c r="E18" s="372" t="s">
        <v>155</v>
      </c>
      <c r="F18" s="374">
        <v>45716</v>
      </c>
      <c r="G18" s="372"/>
      <c r="H18" s="372"/>
      <c r="I18" s="372"/>
      <c r="J18" s="372" t="s">
        <v>261</v>
      </c>
      <c r="K18" s="372" t="s">
        <v>89</v>
      </c>
      <c r="L18" s="372"/>
      <c r="M18" s="391"/>
      <c r="N18" s="394"/>
      <c r="O18" s="394"/>
      <c r="P18" s="395"/>
      <c r="Q18" s="143"/>
      <c r="R18" s="379"/>
      <c r="S18" s="379"/>
      <c r="T18" s="379"/>
      <c r="U18" s="379"/>
      <c r="V18" s="379"/>
      <c r="W18" s="379"/>
      <c r="X18" s="379"/>
      <c r="Y18" s="379"/>
      <c r="Z18" s="379"/>
      <c r="AA18" s="379"/>
      <c r="AB18" s="379"/>
      <c r="AC18" s="379"/>
      <c r="AD18" s="379"/>
      <c r="AE18" s="379"/>
      <c r="AF18" s="379"/>
    </row>
    <row r="19" spans="1:32">
      <c r="A19" s="310" t="s">
        <v>67</v>
      </c>
      <c r="B19" s="310" t="s">
        <v>278</v>
      </c>
      <c r="C19" s="372">
        <v>1</v>
      </c>
      <c r="D19" s="382" t="s">
        <v>281</v>
      </c>
      <c r="E19" s="372" t="s">
        <v>155</v>
      </c>
      <c r="F19" s="374">
        <v>45362</v>
      </c>
      <c r="G19" s="372">
        <v>9.7460000000000004</v>
      </c>
      <c r="H19" s="372">
        <v>126.03164599999999</v>
      </c>
      <c r="I19" s="372"/>
      <c r="J19" s="372" t="s">
        <v>261</v>
      </c>
      <c r="K19" s="372" t="s">
        <v>89</v>
      </c>
      <c r="L19" s="393"/>
      <c r="M19" s="382"/>
      <c r="N19" s="394"/>
      <c r="O19" s="396" t="s">
        <v>3129</v>
      </c>
      <c r="P19" s="397" t="s">
        <v>3130</v>
      </c>
      <c r="Q19" s="143"/>
      <c r="R19" s="379"/>
      <c r="S19" s="379"/>
      <c r="T19" s="379"/>
      <c r="U19" s="379"/>
      <c r="V19" s="379"/>
      <c r="W19" s="379"/>
      <c r="X19" s="379"/>
      <c r="Y19" s="379"/>
      <c r="Z19" s="379"/>
      <c r="AA19" s="379"/>
      <c r="AB19" s="379"/>
      <c r="AC19" s="379"/>
      <c r="AD19" s="379"/>
      <c r="AE19" s="379"/>
      <c r="AF19" s="379"/>
    </row>
    <row r="20" spans="1:32">
      <c r="A20" s="310" t="s">
        <v>81</v>
      </c>
      <c r="B20" s="310" t="s">
        <v>286</v>
      </c>
      <c r="C20" s="372">
        <v>1</v>
      </c>
      <c r="D20" s="382" t="s">
        <v>289</v>
      </c>
      <c r="E20" s="372" t="s">
        <v>155</v>
      </c>
      <c r="F20" s="374">
        <v>45357</v>
      </c>
      <c r="G20" s="372">
        <v>9.8737630000000003</v>
      </c>
      <c r="H20" s="372">
        <v>126.013057</v>
      </c>
      <c r="I20" s="372"/>
      <c r="J20" s="372" t="s">
        <v>261</v>
      </c>
      <c r="K20" s="372" t="s">
        <v>89</v>
      </c>
      <c r="L20" s="372"/>
      <c r="M20" s="391"/>
      <c r="N20" s="394"/>
      <c r="O20" s="396" t="s">
        <v>3131</v>
      </c>
      <c r="P20" s="397" t="s">
        <v>3132</v>
      </c>
      <c r="Q20" s="143"/>
      <c r="R20" s="379"/>
      <c r="S20" s="379"/>
      <c r="T20" s="379"/>
      <c r="U20" s="379"/>
      <c r="V20" s="379"/>
      <c r="W20" s="379"/>
      <c r="X20" s="379"/>
      <c r="Y20" s="379"/>
      <c r="Z20" s="379"/>
      <c r="AA20" s="379"/>
      <c r="AB20" s="379"/>
      <c r="AC20" s="379"/>
      <c r="AD20" s="379"/>
      <c r="AE20" s="379"/>
      <c r="AF20" s="379"/>
    </row>
    <row r="21" spans="1:32">
      <c r="A21" s="310" t="s">
        <v>268</v>
      </c>
      <c r="B21" s="310" t="s">
        <v>23</v>
      </c>
      <c r="C21" s="372">
        <v>2</v>
      </c>
      <c r="D21" s="382" t="s">
        <v>27</v>
      </c>
      <c r="E21" s="372" t="s">
        <v>155</v>
      </c>
      <c r="F21" s="374">
        <v>45399</v>
      </c>
      <c r="G21" s="372">
        <v>9.7801919999999996</v>
      </c>
      <c r="H21" s="372">
        <v>125.46521</v>
      </c>
      <c r="I21" s="372"/>
      <c r="J21" s="372" t="s">
        <v>261</v>
      </c>
      <c r="K21" s="372" t="s">
        <v>89</v>
      </c>
      <c r="L21" s="372"/>
      <c r="M21" s="391"/>
      <c r="N21" s="394"/>
      <c r="O21" s="396" t="s">
        <v>3133</v>
      </c>
      <c r="P21" s="397" t="s">
        <v>3134</v>
      </c>
      <c r="Q21" s="143"/>
      <c r="R21" s="379"/>
      <c r="S21" s="379"/>
      <c r="T21" s="379"/>
      <c r="U21" s="379"/>
      <c r="V21" s="379"/>
      <c r="W21" s="379"/>
      <c r="X21" s="379"/>
      <c r="Y21" s="379"/>
      <c r="Z21" s="379"/>
      <c r="AA21" s="379"/>
      <c r="AB21" s="379"/>
      <c r="AC21" s="379"/>
      <c r="AD21" s="379"/>
      <c r="AE21" s="379"/>
      <c r="AF21" s="379"/>
    </row>
    <row r="22" spans="1:32">
      <c r="A22" s="310" t="s">
        <v>268</v>
      </c>
      <c r="B22" s="310" t="s">
        <v>29</v>
      </c>
      <c r="C22" s="372">
        <v>2</v>
      </c>
      <c r="D22" s="382" t="s">
        <v>34</v>
      </c>
      <c r="E22" s="372" t="s">
        <v>31</v>
      </c>
      <c r="F22" s="374">
        <v>45485</v>
      </c>
      <c r="G22" s="372">
        <v>9.7921404279999997</v>
      </c>
      <c r="H22" s="372">
        <v>125.48480139999999</v>
      </c>
      <c r="I22" s="372"/>
      <c r="J22" s="372" t="s">
        <v>66</v>
      </c>
      <c r="K22" s="372" t="s">
        <v>89</v>
      </c>
      <c r="L22" s="372"/>
      <c r="M22" s="391"/>
      <c r="N22" s="392"/>
      <c r="O22" s="392"/>
      <c r="P22" s="397" t="s">
        <v>1622</v>
      </c>
      <c r="Q22" s="143"/>
      <c r="R22" s="379"/>
      <c r="S22" s="379"/>
      <c r="T22" s="379"/>
      <c r="U22" s="379"/>
      <c r="V22" s="379"/>
      <c r="W22" s="379"/>
      <c r="X22" s="379"/>
      <c r="Y22" s="379"/>
      <c r="Z22" s="379"/>
      <c r="AA22" s="379"/>
      <c r="AB22" s="379"/>
      <c r="AC22" s="379"/>
      <c r="AD22" s="379"/>
      <c r="AE22" s="379"/>
      <c r="AF22" s="379"/>
    </row>
    <row r="23" spans="1:32">
      <c r="A23" s="372" t="s">
        <v>176</v>
      </c>
      <c r="B23" s="372" t="s">
        <v>82</v>
      </c>
      <c r="C23" s="372">
        <v>1</v>
      </c>
      <c r="D23" s="398" t="s">
        <v>231</v>
      </c>
      <c r="E23" s="372" t="s">
        <v>155</v>
      </c>
      <c r="F23" s="374">
        <v>45405</v>
      </c>
      <c r="G23" s="372">
        <v>9.8642450000000004</v>
      </c>
      <c r="H23" s="372">
        <v>125.012529</v>
      </c>
      <c r="I23" s="372"/>
      <c r="J23" s="372" t="s">
        <v>66</v>
      </c>
      <c r="K23" s="372" t="s">
        <v>89</v>
      </c>
      <c r="L23" s="372"/>
      <c r="M23" s="399" t="s">
        <v>3135</v>
      </c>
      <c r="N23" s="394"/>
      <c r="O23" s="396" t="s">
        <v>1625</v>
      </c>
      <c r="P23" s="400" t="s">
        <v>1628</v>
      </c>
      <c r="Q23" s="143"/>
      <c r="R23" s="379"/>
      <c r="S23" s="379"/>
      <c r="T23" s="379"/>
      <c r="U23" s="379"/>
      <c r="V23" s="379"/>
      <c r="W23" s="379"/>
      <c r="X23" s="379"/>
      <c r="Y23" s="379"/>
      <c r="Z23" s="379"/>
      <c r="AA23" s="379"/>
      <c r="AB23" s="379"/>
      <c r="AC23" s="379"/>
      <c r="AD23" s="379"/>
      <c r="AE23" s="379"/>
      <c r="AF23" s="379"/>
    </row>
    <row r="24" spans="1:32">
      <c r="A24" s="310" t="s">
        <v>198</v>
      </c>
      <c r="B24" s="310" t="s">
        <v>356</v>
      </c>
      <c r="C24" s="372">
        <v>2</v>
      </c>
      <c r="D24" s="382" t="s">
        <v>363</v>
      </c>
      <c r="E24" s="372" t="s">
        <v>155</v>
      </c>
      <c r="F24" s="374">
        <v>45562</v>
      </c>
      <c r="G24" s="372">
        <v>9.5420627800000002</v>
      </c>
      <c r="H24" s="372">
        <v>125.5224181</v>
      </c>
      <c r="I24" s="372"/>
      <c r="J24" s="372" t="s">
        <v>66</v>
      </c>
      <c r="K24" s="372" t="s">
        <v>89</v>
      </c>
      <c r="L24" s="372"/>
      <c r="M24" s="391"/>
      <c r="N24" s="394"/>
      <c r="O24" s="396" t="s">
        <v>1643</v>
      </c>
      <c r="P24" s="397" t="s">
        <v>1644</v>
      </c>
      <c r="Q24" s="143"/>
      <c r="R24" s="379"/>
      <c r="S24" s="379"/>
      <c r="T24" s="379"/>
      <c r="U24" s="379"/>
      <c r="V24" s="379"/>
      <c r="W24" s="379"/>
      <c r="X24" s="379"/>
      <c r="Y24" s="379"/>
      <c r="Z24" s="379"/>
      <c r="AA24" s="379"/>
      <c r="AB24" s="379"/>
      <c r="AC24" s="379"/>
      <c r="AD24" s="379"/>
      <c r="AE24" s="379"/>
      <c r="AF24" s="379"/>
    </row>
    <row r="25" spans="1:32">
      <c r="A25" s="401" t="s">
        <v>140</v>
      </c>
      <c r="B25" s="310" t="s">
        <v>306</v>
      </c>
      <c r="C25" s="372">
        <v>1</v>
      </c>
      <c r="D25" s="382" t="s">
        <v>307</v>
      </c>
      <c r="E25" s="372" t="s">
        <v>155</v>
      </c>
      <c r="F25" s="374">
        <v>45625</v>
      </c>
      <c r="G25" s="372">
        <v>9.9540810000000004</v>
      </c>
      <c r="H25" s="372">
        <v>126.0676</v>
      </c>
      <c r="I25" s="372"/>
      <c r="J25" s="372" t="s">
        <v>261</v>
      </c>
      <c r="K25" s="372" t="s">
        <v>89</v>
      </c>
      <c r="L25" s="372"/>
      <c r="M25" s="399" t="s">
        <v>3135</v>
      </c>
      <c r="N25" s="394"/>
      <c r="O25" s="396" t="s">
        <v>1656</v>
      </c>
      <c r="P25" s="397" t="s">
        <v>1657</v>
      </c>
      <c r="Q25" s="143"/>
      <c r="R25" s="379"/>
      <c r="S25" s="379"/>
      <c r="T25" s="379"/>
      <c r="U25" s="379"/>
      <c r="V25" s="379"/>
      <c r="W25" s="379"/>
      <c r="X25" s="379"/>
      <c r="Y25" s="379"/>
      <c r="Z25" s="379"/>
      <c r="AA25" s="379"/>
      <c r="AB25" s="379"/>
      <c r="AC25" s="379"/>
      <c r="AD25" s="379"/>
      <c r="AE25" s="379"/>
      <c r="AF25" s="379"/>
    </row>
    <row r="26" spans="1:32">
      <c r="A26" s="310" t="s">
        <v>79</v>
      </c>
      <c r="B26" s="310" t="s">
        <v>258</v>
      </c>
      <c r="C26" s="372">
        <v>1</v>
      </c>
      <c r="D26" s="382" t="s">
        <v>528</v>
      </c>
      <c r="E26" s="372" t="s">
        <v>155</v>
      </c>
      <c r="F26" s="374">
        <v>45580</v>
      </c>
      <c r="G26" s="372">
        <v>9.8409222599999993</v>
      </c>
      <c r="H26" s="372">
        <v>126.13875</v>
      </c>
      <c r="I26" s="372"/>
      <c r="J26" s="372" t="s">
        <v>513</v>
      </c>
      <c r="K26" s="372" t="s">
        <v>89</v>
      </c>
      <c r="L26" s="372"/>
      <c r="M26" s="391"/>
      <c r="N26" s="404"/>
      <c r="O26" s="405" t="s">
        <v>1428</v>
      </c>
      <c r="P26" s="405" t="s">
        <v>386</v>
      </c>
      <c r="Q26" s="143"/>
      <c r="R26" s="379"/>
      <c r="S26" s="379"/>
      <c r="T26" s="379"/>
      <c r="U26" s="379"/>
      <c r="V26" s="379"/>
      <c r="W26" s="379"/>
      <c r="X26" s="379"/>
      <c r="Y26" s="379"/>
      <c r="Z26" s="379"/>
      <c r="AA26" s="379"/>
      <c r="AB26" s="379"/>
      <c r="AC26" s="379"/>
      <c r="AD26" s="379"/>
      <c r="AE26" s="379"/>
      <c r="AF26" s="379"/>
    </row>
    <row r="27" spans="1:32">
      <c r="A27" s="310" t="s">
        <v>79</v>
      </c>
      <c r="B27" s="310" t="s">
        <v>1723</v>
      </c>
      <c r="C27" s="372">
        <v>1</v>
      </c>
      <c r="D27" s="382" t="s">
        <v>83</v>
      </c>
      <c r="E27" s="372" t="s">
        <v>155</v>
      </c>
      <c r="F27" s="374">
        <v>45583</v>
      </c>
      <c r="G27" s="372">
        <v>9.7960316699999996</v>
      </c>
      <c r="H27" s="372">
        <v>126.2087296</v>
      </c>
      <c r="I27" s="372"/>
      <c r="J27" s="372" t="s">
        <v>513</v>
      </c>
      <c r="K27" s="372" t="s">
        <v>89</v>
      </c>
      <c r="L27" s="372"/>
      <c r="M27" s="399" t="s">
        <v>3135</v>
      </c>
      <c r="N27" s="404"/>
      <c r="O27" s="405" t="s">
        <v>1428</v>
      </c>
      <c r="P27" s="405" t="s">
        <v>386</v>
      </c>
      <c r="Q27" s="143"/>
      <c r="R27" s="379"/>
      <c r="S27" s="379"/>
      <c r="T27" s="379"/>
      <c r="U27" s="379"/>
      <c r="V27" s="379"/>
      <c r="W27" s="379"/>
      <c r="X27" s="379"/>
      <c r="Y27" s="379"/>
      <c r="Z27" s="379"/>
      <c r="AA27" s="379"/>
      <c r="AB27" s="379"/>
      <c r="AC27" s="379"/>
      <c r="AD27" s="379"/>
      <c r="AE27" s="379"/>
      <c r="AF27" s="379"/>
    </row>
    <row r="28" spans="1:32">
      <c r="A28" s="310" t="s">
        <v>13</v>
      </c>
      <c r="B28" s="310" t="s">
        <v>1788</v>
      </c>
      <c r="C28" s="372">
        <v>1</v>
      </c>
      <c r="D28" s="382" t="s">
        <v>542</v>
      </c>
      <c r="E28" s="372" t="s">
        <v>155</v>
      </c>
      <c r="F28" s="374">
        <v>45566</v>
      </c>
      <c r="G28" s="372">
        <v>9.9666666999999993</v>
      </c>
      <c r="H28" s="372">
        <v>126.0738131</v>
      </c>
      <c r="I28" s="372"/>
      <c r="J28" s="372" t="s">
        <v>513</v>
      </c>
      <c r="K28" s="372" t="s">
        <v>89</v>
      </c>
      <c r="L28" s="372"/>
      <c r="M28" s="391"/>
      <c r="N28" s="404"/>
      <c r="O28" s="405" t="s">
        <v>1428</v>
      </c>
      <c r="P28" s="405" t="s">
        <v>386</v>
      </c>
      <c r="Q28" s="143"/>
      <c r="R28" s="379"/>
      <c r="S28" s="379"/>
      <c r="T28" s="379"/>
      <c r="U28" s="379"/>
      <c r="V28" s="379"/>
      <c r="W28" s="379"/>
      <c r="X28" s="379"/>
      <c r="Y28" s="379"/>
      <c r="Z28" s="379"/>
      <c r="AA28" s="379"/>
      <c r="AB28" s="379"/>
      <c r="AC28" s="379"/>
      <c r="AD28" s="379"/>
      <c r="AE28" s="379"/>
      <c r="AF28" s="379"/>
    </row>
    <row r="29" spans="1:32">
      <c r="A29" s="310" t="s">
        <v>67</v>
      </c>
      <c r="B29" s="310" t="s">
        <v>1804</v>
      </c>
      <c r="C29" s="372">
        <v>1</v>
      </c>
      <c r="D29" s="382" t="s">
        <v>547</v>
      </c>
      <c r="E29" s="372" t="s">
        <v>155</v>
      </c>
      <c r="F29" s="374">
        <v>45561</v>
      </c>
      <c r="G29" s="372">
        <v>9.6897739900000008</v>
      </c>
      <c r="H29" s="372">
        <v>126.00788369999999</v>
      </c>
      <c r="I29" s="372"/>
      <c r="J29" s="372" t="s">
        <v>513</v>
      </c>
      <c r="K29" s="372" t="s">
        <v>89</v>
      </c>
      <c r="L29" s="372"/>
      <c r="M29" s="391"/>
      <c r="N29" s="404"/>
      <c r="O29" s="405" t="s">
        <v>1428</v>
      </c>
      <c r="P29" s="405" t="s">
        <v>386</v>
      </c>
      <c r="Q29" s="143"/>
      <c r="R29" s="379"/>
      <c r="S29" s="379"/>
      <c r="T29" s="379"/>
      <c r="U29" s="379"/>
      <c r="V29" s="379"/>
      <c r="W29" s="379"/>
      <c r="X29" s="379"/>
      <c r="Y29" s="379"/>
      <c r="Z29" s="379"/>
      <c r="AA29" s="379"/>
      <c r="AB29" s="379"/>
      <c r="AC29" s="379"/>
      <c r="AD29" s="379"/>
      <c r="AE29" s="379"/>
      <c r="AF29" s="379"/>
    </row>
    <row r="30" spans="1:32">
      <c r="A30" s="406" t="s">
        <v>140</v>
      </c>
      <c r="B30" s="310" t="s">
        <v>2051</v>
      </c>
      <c r="C30" s="372">
        <v>1</v>
      </c>
      <c r="D30" s="382" t="s">
        <v>594</v>
      </c>
      <c r="E30" s="372" t="s">
        <v>155</v>
      </c>
      <c r="F30" s="374">
        <v>45565</v>
      </c>
      <c r="G30" s="372">
        <v>9.9282031600000007</v>
      </c>
      <c r="H30" s="372">
        <v>126.0549845</v>
      </c>
      <c r="I30" s="372"/>
      <c r="J30" s="372" t="s">
        <v>513</v>
      </c>
      <c r="K30" s="372" t="s">
        <v>89</v>
      </c>
      <c r="L30" s="372"/>
      <c r="M30" s="391"/>
      <c r="N30" s="404"/>
      <c r="O30" s="405" t="s">
        <v>1428</v>
      </c>
      <c r="P30" s="405" t="s">
        <v>386</v>
      </c>
      <c r="Q30" s="143"/>
      <c r="R30" s="379"/>
      <c r="S30" s="379"/>
      <c r="T30" s="379"/>
      <c r="U30" s="379"/>
      <c r="V30" s="379"/>
      <c r="W30" s="379"/>
      <c r="X30" s="379"/>
      <c r="Y30" s="379"/>
      <c r="Z30" s="379"/>
      <c r="AA30" s="379"/>
      <c r="AB30" s="379"/>
      <c r="AC30" s="379"/>
      <c r="AD30" s="379"/>
      <c r="AE30" s="379"/>
      <c r="AF30" s="379"/>
    </row>
    <row r="31" spans="1:32">
      <c r="A31" s="310" t="s">
        <v>176</v>
      </c>
      <c r="B31" s="310" t="s">
        <v>210</v>
      </c>
      <c r="C31" s="372">
        <v>1</v>
      </c>
      <c r="D31" s="382" t="s">
        <v>179</v>
      </c>
      <c r="E31" s="372" t="s">
        <v>31</v>
      </c>
      <c r="F31" s="374">
        <v>45569</v>
      </c>
      <c r="G31" s="372">
        <v>10.020357000000001</v>
      </c>
      <c r="H31" s="372">
        <v>126.036468</v>
      </c>
      <c r="I31" s="372"/>
      <c r="J31" s="372" t="s">
        <v>513</v>
      </c>
      <c r="K31" s="372" t="s">
        <v>89</v>
      </c>
      <c r="L31" s="372"/>
      <c r="M31" s="391"/>
      <c r="N31" s="404"/>
      <c r="O31" s="405" t="s">
        <v>1428</v>
      </c>
      <c r="P31" s="405" t="s">
        <v>386</v>
      </c>
      <c r="Q31" s="143"/>
      <c r="R31" s="379"/>
      <c r="S31" s="379"/>
      <c r="T31" s="379"/>
      <c r="U31" s="379"/>
      <c r="V31" s="379"/>
      <c r="W31" s="379"/>
      <c r="X31" s="379"/>
      <c r="Y31" s="379"/>
      <c r="Z31" s="379"/>
      <c r="AA31" s="379"/>
      <c r="AB31" s="379"/>
      <c r="AC31" s="379"/>
      <c r="AD31" s="379"/>
      <c r="AE31" s="379"/>
      <c r="AF31" s="379"/>
    </row>
    <row r="32" spans="1:32">
      <c r="A32" s="310" t="s">
        <v>113</v>
      </c>
      <c r="B32" s="310" t="s">
        <v>286</v>
      </c>
      <c r="C32" s="372">
        <v>1</v>
      </c>
      <c r="D32" s="382" t="s">
        <v>287</v>
      </c>
      <c r="E32" s="372" t="s">
        <v>155</v>
      </c>
      <c r="F32" s="372"/>
      <c r="G32" s="372">
        <v>9.8312919999999995</v>
      </c>
      <c r="H32" s="372">
        <v>126.093654</v>
      </c>
      <c r="I32" s="372"/>
      <c r="J32" s="372" t="s">
        <v>635</v>
      </c>
      <c r="K32" s="372" t="s">
        <v>89</v>
      </c>
      <c r="L32" s="372"/>
      <c r="M32" s="391"/>
      <c r="N32" s="392"/>
      <c r="O32" s="392"/>
      <c r="P32" s="408" t="s">
        <v>2254</v>
      </c>
      <c r="Q32" s="143"/>
      <c r="R32" s="379"/>
      <c r="S32" s="379"/>
      <c r="T32" s="379"/>
      <c r="U32" s="379"/>
      <c r="V32" s="379"/>
      <c r="W32" s="379"/>
      <c r="X32" s="379"/>
      <c r="Y32" s="379"/>
      <c r="Z32" s="379"/>
      <c r="AA32" s="379"/>
      <c r="AB32" s="379"/>
      <c r="AC32" s="379"/>
      <c r="AD32" s="379"/>
      <c r="AE32" s="379"/>
      <c r="AF32" s="379"/>
    </row>
    <row r="33" spans="1:32">
      <c r="A33" s="310" t="s">
        <v>229</v>
      </c>
      <c r="B33" s="310" t="s">
        <v>191</v>
      </c>
      <c r="C33" s="372">
        <v>2</v>
      </c>
      <c r="D33" s="382" t="s">
        <v>651</v>
      </c>
      <c r="E33" s="372" t="s">
        <v>31</v>
      </c>
      <c r="F33" s="374">
        <v>45398</v>
      </c>
      <c r="G33" s="372">
        <v>9.7772014499999997</v>
      </c>
      <c r="H33" s="372">
        <v>125.42133010000001</v>
      </c>
      <c r="I33" s="372" t="s">
        <v>2265</v>
      </c>
      <c r="J33" s="372" t="s">
        <v>649</v>
      </c>
      <c r="K33" s="372" t="s">
        <v>89</v>
      </c>
      <c r="L33" s="372"/>
      <c r="M33" s="391"/>
      <c r="N33" s="392"/>
      <c r="O33" s="392"/>
      <c r="P33" s="392"/>
      <c r="Q33" s="143"/>
      <c r="R33" s="379"/>
      <c r="S33" s="379"/>
      <c r="T33" s="379"/>
      <c r="U33" s="379"/>
      <c r="V33" s="379"/>
      <c r="W33" s="379"/>
      <c r="X33" s="379"/>
      <c r="Y33" s="379"/>
      <c r="Z33" s="379"/>
      <c r="AA33" s="379"/>
      <c r="AB33" s="379"/>
      <c r="AC33" s="379"/>
      <c r="AD33" s="379"/>
      <c r="AE33" s="379"/>
      <c r="AF33" s="379"/>
    </row>
  </sheetData>
  <dataValidations count="1">
    <dataValidation type="list" allowBlank="1" showErrorMessage="1" sqref="K2:K33" xr:uid="{00000000-0002-0000-1900-000000000000}">
      <formula1>"Active,Inactive,Ongoing,Assist"</formula1>
    </dataValidation>
  </dataValidations>
  <hyperlinks>
    <hyperlink ref="O19" r:id="rId1" xr:uid="{00000000-0004-0000-1900-000000000000}"/>
    <hyperlink ref="P19" r:id="rId2" xr:uid="{00000000-0004-0000-1900-000001000000}"/>
    <hyperlink ref="O20" r:id="rId3" xr:uid="{00000000-0004-0000-1900-000002000000}"/>
    <hyperlink ref="P20" r:id="rId4" xr:uid="{00000000-0004-0000-1900-000003000000}"/>
    <hyperlink ref="O21" r:id="rId5" xr:uid="{00000000-0004-0000-1900-000004000000}"/>
    <hyperlink ref="P21" r:id="rId6" xr:uid="{00000000-0004-0000-1900-000005000000}"/>
    <hyperlink ref="P22" r:id="rId7" xr:uid="{00000000-0004-0000-1900-000006000000}"/>
    <hyperlink ref="O23" r:id="rId8" xr:uid="{00000000-0004-0000-1900-000007000000}"/>
    <hyperlink ref="P23" r:id="rId9" xr:uid="{00000000-0004-0000-1900-000008000000}"/>
    <hyperlink ref="O24" r:id="rId10" xr:uid="{00000000-0004-0000-1900-000009000000}"/>
    <hyperlink ref="P24" r:id="rId11" xr:uid="{00000000-0004-0000-1900-00000A000000}"/>
    <hyperlink ref="O25" r:id="rId12" xr:uid="{00000000-0004-0000-1900-00000B000000}"/>
    <hyperlink ref="P25" r:id="rId13" xr:uid="{00000000-0004-0000-1900-00000C000000}"/>
    <hyperlink ref="O26" r:id="rId14" xr:uid="{00000000-0004-0000-1900-00000D000000}"/>
    <hyperlink ref="P26" r:id="rId15" xr:uid="{00000000-0004-0000-1900-00000E000000}"/>
    <hyperlink ref="O27" r:id="rId16" xr:uid="{00000000-0004-0000-1900-00000F000000}"/>
    <hyperlink ref="P27" r:id="rId17" xr:uid="{00000000-0004-0000-1900-000010000000}"/>
    <hyperlink ref="O28" r:id="rId18" xr:uid="{00000000-0004-0000-1900-000011000000}"/>
    <hyperlink ref="P28" r:id="rId19" xr:uid="{00000000-0004-0000-1900-000012000000}"/>
    <hyperlink ref="O29" r:id="rId20" xr:uid="{00000000-0004-0000-1900-000013000000}"/>
    <hyperlink ref="P29" r:id="rId21" xr:uid="{00000000-0004-0000-1900-000014000000}"/>
    <hyperlink ref="O30" r:id="rId22" xr:uid="{00000000-0004-0000-1900-000015000000}"/>
    <hyperlink ref="P30" r:id="rId23" xr:uid="{00000000-0004-0000-1900-000016000000}"/>
    <hyperlink ref="O31" r:id="rId24" xr:uid="{00000000-0004-0000-1900-000017000000}"/>
    <hyperlink ref="P31" r:id="rId25" xr:uid="{00000000-0004-0000-1900-000018000000}"/>
    <hyperlink ref="P32" r:id="rId26" xr:uid="{00000000-0004-0000-1900-000019000000}"/>
  </hyperlinks>
  <printOptions horizontalCentered="1" gridLines="1"/>
  <pageMargins left="0.25" right="0.25" top="0.75" bottom="0.75" header="0" footer="0"/>
  <pageSetup paperSize="9" fitToHeight="0" pageOrder="overThenDown" orientation="landscape" cellComments="atEnd"/>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J257"/>
  <sheetViews>
    <sheetView workbookViewId="0"/>
  </sheetViews>
  <sheetFormatPr defaultColWidth="12.5703125" defaultRowHeight="15.75" customHeight="1"/>
  <cols>
    <col min="1" max="1" width="16.7109375" customWidth="1"/>
    <col min="2" max="2" width="14.85546875" customWidth="1"/>
    <col min="3" max="3" width="6.7109375" customWidth="1"/>
    <col min="4" max="4" width="53.5703125" customWidth="1"/>
    <col min="5" max="5" width="11.85546875" customWidth="1"/>
    <col min="6" max="6" width="16.42578125" customWidth="1"/>
    <col min="7" max="7" width="21.7109375" customWidth="1"/>
    <col min="8" max="8" width="12.140625" customWidth="1"/>
    <col min="9" max="9" width="9.7109375" customWidth="1"/>
    <col min="10" max="10" width="12.7109375" customWidth="1"/>
  </cols>
  <sheetData>
    <row r="1" spans="1:10">
      <c r="A1" s="2" t="s">
        <v>2</v>
      </c>
      <c r="B1" s="2" t="s">
        <v>1</v>
      </c>
      <c r="C1" s="2" t="s">
        <v>0</v>
      </c>
      <c r="D1" s="2" t="s">
        <v>3</v>
      </c>
      <c r="E1" s="2" t="s">
        <v>14</v>
      </c>
      <c r="F1" s="2" t="s">
        <v>645</v>
      </c>
      <c r="G1" s="2" t="s">
        <v>7</v>
      </c>
      <c r="H1" s="2" t="s">
        <v>1747</v>
      </c>
      <c r="I1" s="90" t="s">
        <v>650</v>
      </c>
      <c r="J1" s="90" t="s">
        <v>20</v>
      </c>
    </row>
    <row r="2" spans="1:10">
      <c r="A2" s="13" t="s">
        <v>57</v>
      </c>
      <c r="B2" s="13" t="s">
        <v>191</v>
      </c>
      <c r="C2" s="13">
        <v>2</v>
      </c>
      <c r="D2" s="50" t="s">
        <v>26</v>
      </c>
      <c r="E2" s="13" t="s">
        <v>31</v>
      </c>
      <c r="F2" s="13" t="s">
        <v>667</v>
      </c>
      <c r="G2" s="13" t="s">
        <v>22</v>
      </c>
      <c r="H2" s="13" t="s">
        <v>89</v>
      </c>
      <c r="I2" s="338"/>
      <c r="J2" s="96"/>
    </row>
    <row r="3" spans="1:10">
      <c r="A3" s="13" t="s">
        <v>57</v>
      </c>
      <c r="B3" s="13" t="s">
        <v>212</v>
      </c>
      <c r="C3" s="13">
        <v>2</v>
      </c>
      <c r="D3" s="50" t="s">
        <v>61</v>
      </c>
      <c r="E3" s="13" t="s">
        <v>65</v>
      </c>
      <c r="F3" s="13" t="s">
        <v>670</v>
      </c>
      <c r="G3" s="13" t="s">
        <v>22</v>
      </c>
      <c r="H3" s="13" t="s">
        <v>89</v>
      </c>
      <c r="I3" s="338"/>
      <c r="J3" s="96"/>
    </row>
    <row r="4" spans="1:10">
      <c r="A4" s="13" t="s">
        <v>57</v>
      </c>
      <c r="B4" s="13" t="s">
        <v>212</v>
      </c>
      <c r="C4" s="13">
        <v>2</v>
      </c>
      <c r="D4" s="50" t="s">
        <v>87</v>
      </c>
      <c r="E4" s="13" t="s">
        <v>65</v>
      </c>
      <c r="F4" s="13" t="s">
        <v>672</v>
      </c>
      <c r="G4" s="13" t="s">
        <v>22</v>
      </c>
      <c r="H4" s="13" t="s">
        <v>89</v>
      </c>
      <c r="I4" s="338"/>
      <c r="J4" s="96"/>
    </row>
    <row r="5" spans="1:10">
      <c r="A5" s="13" t="s">
        <v>57</v>
      </c>
      <c r="B5" s="13" t="s">
        <v>212</v>
      </c>
      <c r="C5" s="13">
        <v>2</v>
      </c>
      <c r="D5" s="50" t="s">
        <v>91</v>
      </c>
      <c r="E5" s="13" t="s">
        <v>65</v>
      </c>
      <c r="F5" s="13" t="s">
        <v>674</v>
      </c>
      <c r="G5" s="13" t="s">
        <v>22</v>
      </c>
      <c r="H5" s="13" t="s">
        <v>89</v>
      </c>
      <c r="I5" s="338"/>
      <c r="J5" s="96"/>
    </row>
    <row r="6" spans="1:10">
      <c r="A6" s="13" t="s">
        <v>57</v>
      </c>
      <c r="B6" s="13" t="s">
        <v>212</v>
      </c>
      <c r="C6" s="13">
        <v>2</v>
      </c>
      <c r="D6" s="50" t="s">
        <v>96</v>
      </c>
      <c r="E6" s="13" t="s">
        <v>99</v>
      </c>
      <c r="F6" s="13" t="s">
        <v>676</v>
      </c>
      <c r="G6" s="13" t="s">
        <v>22</v>
      </c>
      <c r="H6" s="13" t="s">
        <v>89</v>
      </c>
      <c r="I6" s="338"/>
      <c r="J6" s="96"/>
    </row>
    <row r="7" spans="1:10">
      <c r="A7" s="13" t="s">
        <v>57</v>
      </c>
      <c r="B7" s="13" t="s">
        <v>212</v>
      </c>
      <c r="C7" s="13">
        <v>2</v>
      </c>
      <c r="D7" s="50" t="s">
        <v>102</v>
      </c>
      <c r="E7" s="13" t="s">
        <v>103</v>
      </c>
      <c r="F7" s="13" t="s">
        <v>679</v>
      </c>
      <c r="G7" s="13" t="s">
        <v>22</v>
      </c>
      <c r="H7" s="13" t="s">
        <v>89</v>
      </c>
      <c r="I7" s="338"/>
      <c r="J7" s="96"/>
    </row>
    <row r="8" spans="1:10">
      <c r="A8" s="13" t="s">
        <v>117</v>
      </c>
      <c r="B8" s="13" t="s">
        <v>191</v>
      </c>
      <c r="C8" s="13">
        <v>2</v>
      </c>
      <c r="D8" s="50" t="s">
        <v>105</v>
      </c>
      <c r="E8" s="13" t="s">
        <v>65</v>
      </c>
      <c r="F8" s="13" t="s">
        <v>681</v>
      </c>
      <c r="G8" s="13" t="s">
        <v>22</v>
      </c>
      <c r="H8" s="13" t="s">
        <v>89</v>
      </c>
      <c r="I8" s="340"/>
      <c r="J8" s="96"/>
    </row>
    <row r="9" spans="1:10">
      <c r="A9" s="13" t="s">
        <v>117</v>
      </c>
      <c r="B9" s="13" t="s">
        <v>191</v>
      </c>
      <c r="C9" s="13">
        <v>2</v>
      </c>
      <c r="D9" s="50" t="s">
        <v>120</v>
      </c>
      <c r="E9" s="13" t="s">
        <v>65</v>
      </c>
      <c r="F9" s="13" t="s">
        <v>683</v>
      </c>
      <c r="G9" s="13" t="s">
        <v>22</v>
      </c>
      <c r="H9" s="13" t="s">
        <v>89</v>
      </c>
      <c r="I9" s="340"/>
      <c r="J9" s="96"/>
    </row>
    <row r="10" spans="1:10">
      <c r="A10" s="13" t="s">
        <v>117</v>
      </c>
      <c r="B10" s="13" t="s">
        <v>191</v>
      </c>
      <c r="C10" s="13">
        <v>2</v>
      </c>
      <c r="D10" s="50" t="s">
        <v>124</v>
      </c>
      <c r="E10" s="13" t="s">
        <v>65</v>
      </c>
      <c r="F10" s="13" t="s">
        <v>685</v>
      </c>
      <c r="G10" s="13" t="s">
        <v>22</v>
      </c>
      <c r="H10" s="13" t="s">
        <v>89</v>
      </c>
      <c r="I10" s="341"/>
      <c r="J10" s="96"/>
    </row>
    <row r="11" spans="1:10">
      <c r="A11" s="13" t="s">
        <v>117</v>
      </c>
      <c r="B11" s="13" t="s">
        <v>191</v>
      </c>
      <c r="C11" s="13">
        <v>2</v>
      </c>
      <c r="D11" s="50" t="s">
        <v>126</v>
      </c>
      <c r="E11" s="13" t="s">
        <v>128</v>
      </c>
      <c r="F11" s="13" t="s">
        <v>687</v>
      </c>
      <c r="G11" s="13" t="s">
        <v>22</v>
      </c>
      <c r="H11" s="13" t="s">
        <v>89</v>
      </c>
      <c r="I11" s="341"/>
      <c r="J11" s="96"/>
    </row>
    <row r="12" spans="1:10">
      <c r="A12" s="13" t="s">
        <v>117</v>
      </c>
      <c r="B12" s="13" t="s">
        <v>191</v>
      </c>
      <c r="C12" s="13">
        <v>2</v>
      </c>
      <c r="D12" s="50" t="s">
        <v>130</v>
      </c>
      <c r="E12" s="13" t="s">
        <v>31</v>
      </c>
      <c r="F12" s="13" t="s">
        <v>689</v>
      </c>
      <c r="G12" s="13" t="s">
        <v>22</v>
      </c>
      <c r="H12" s="13" t="s">
        <v>89</v>
      </c>
      <c r="I12" s="340"/>
      <c r="J12" s="96"/>
    </row>
    <row r="13" spans="1:10">
      <c r="A13" s="13" t="s">
        <v>117</v>
      </c>
      <c r="B13" s="13" t="s">
        <v>191</v>
      </c>
      <c r="C13" s="13">
        <v>2</v>
      </c>
      <c r="D13" s="50" t="s">
        <v>131</v>
      </c>
      <c r="E13" s="13" t="s">
        <v>103</v>
      </c>
      <c r="F13" s="13" t="s">
        <v>693</v>
      </c>
      <c r="G13" s="13" t="s">
        <v>22</v>
      </c>
      <c r="H13" s="13" t="s">
        <v>89</v>
      </c>
      <c r="I13" s="340"/>
      <c r="J13" s="96"/>
    </row>
    <row r="14" spans="1:10">
      <c r="A14" s="13" t="s">
        <v>136</v>
      </c>
      <c r="B14" s="13" t="s">
        <v>251</v>
      </c>
      <c r="C14" s="13">
        <v>2</v>
      </c>
      <c r="D14" s="50" t="s">
        <v>133</v>
      </c>
      <c r="E14" s="13" t="s">
        <v>65</v>
      </c>
      <c r="F14" s="13" t="s">
        <v>695</v>
      </c>
      <c r="G14" s="13" t="s">
        <v>22</v>
      </c>
      <c r="H14" s="13" t="s">
        <v>89</v>
      </c>
      <c r="I14" s="101"/>
      <c r="J14" s="96"/>
    </row>
    <row r="15" spans="1:10">
      <c r="A15" s="13" t="s">
        <v>136</v>
      </c>
      <c r="B15" s="13" t="s">
        <v>251</v>
      </c>
      <c r="C15" s="13">
        <v>2</v>
      </c>
      <c r="D15" s="50" t="s">
        <v>138</v>
      </c>
      <c r="E15" s="13" t="s">
        <v>65</v>
      </c>
      <c r="F15" s="13" t="s">
        <v>697</v>
      </c>
      <c r="G15" s="13" t="s">
        <v>22</v>
      </c>
      <c r="H15" s="13" t="s">
        <v>89</v>
      </c>
      <c r="I15" s="101"/>
      <c r="J15" s="96"/>
    </row>
    <row r="16" spans="1:10">
      <c r="A16" s="13" t="s">
        <v>136</v>
      </c>
      <c r="B16" s="13" t="s">
        <v>251</v>
      </c>
      <c r="C16" s="13">
        <v>2</v>
      </c>
      <c r="D16" s="50" t="s">
        <v>145</v>
      </c>
      <c r="E16" s="13" t="s">
        <v>65</v>
      </c>
      <c r="F16" s="13" t="s">
        <v>699</v>
      </c>
      <c r="G16" s="13" t="s">
        <v>22</v>
      </c>
      <c r="H16" s="13" t="s">
        <v>89</v>
      </c>
      <c r="I16" s="101"/>
      <c r="J16" s="96"/>
    </row>
    <row r="17" spans="1:10">
      <c r="A17" s="13" t="s">
        <v>136</v>
      </c>
      <c r="B17" s="13" t="s">
        <v>251</v>
      </c>
      <c r="C17" s="13">
        <v>2</v>
      </c>
      <c r="D17" s="50" t="s">
        <v>147</v>
      </c>
      <c r="E17" s="13" t="s">
        <v>103</v>
      </c>
      <c r="F17" s="13" t="s">
        <v>702</v>
      </c>
      <c r="G17" s="13" t="s">
        <v>22</v>
      </c>
      <c r="H17" s="13" t="s">
        <v>89</v>
      </c>
      <c r="I17" s="101"/>
      <c r="J17" s="96"/>
    </row>
    <row r="18" spans="1:10">
      <c r="A18" s="13" t="s">
        <v>136</v>
      </c>
      <c r="B18" s="13" t="s">
        <v>251</v>
      </c>
      <c r="C18" s="13">
        <v>2</v>
      </c>
      <c r="D18" s="50" t="s">
        <v>150</v>
      </c>
      <c r="E18" s="13" t="s">
        <v>151</v>
      </c>
      <c r="F18" s="13" t="s">
        <v>704</v>
      </c>
      <c r="G18" s="13" t="s">
        <v>22</v>
      </c>
      <c r="H18" s="13" t="s">
        <v>89</v>
      </c>
      <c r="I18" s="101"/>
      <c r="J18" s="96"/>
    </row>
    <row r="19" spans="1:10">
      <c r="A19" s="13" t="s">
        <v>136</v>
      </c>
      <c r="B19" s="13" t="s">
        <v>283</v>
      </c>
      <c r="C19" s="13">
        <v>2</v>
      </c>
      <c r="D19" s="50" t="s">
        <v>154</v>
      </c>
      <c r="E19" s="13" t="s">
        <v>155</v>
      </c>
      <c r="F19" s="13" t="s">
        <v>706</v>
      </c>
      <c r="G19" s="13" t="s">
        <v>22</v>
      </c>
      <c r="H19" s="13" t="s">
        <v>89</v>
      </c>
      <c r="I19" s="101"/>
      <c r="J19" s="96"/>
    </row>
    <row r="20" spans="1:10">
      <c r="A20" s="4" t="s">
        <v>167</v>
      </c>
      <c r="B20" s="4" t="s">
        <v>290</v>
      </c>
      <c r="C20" s="13">
        <v>2</v>
      </c>
      <c r="D20" s="7" t="s">
        <v>159</v>
      </c>
      <c r="E20" s="13" t="s">
        <v>65</v>
      </c>
      <c r="F20" s="13" t="s">
        <v>710</v>
      </c>
      <c r="G20" s="13" t="s">
        <v>22</v>
      </c>
      <c r="H20" s="13" t="s">
        <v>89</v>
      </c>
      <c r="I20" s="344"/>
      <c r="J20" s="96"/>
    </row>
    <row r="21" spans="1:10">
      <c r="A21" s="4" t="s">
        <v>167</v>
      </c>
      <c r="B21" s="4" t="s">
        <v>290</v>
      </c>
      <c r="C21" s="13">
        <v>2</v>
      </c>
      <c r="D21" s="7" t="s">
        <v>169</v>
      </c>
      <c r="E21" s="13" t="s">
        <v>65</v>
      </c>
      <c r="F21" s="13" t="s">
        <v>713</v>
      </c>
      <c r="G21" s="13" t="s">
        <v>22</v>
      </c>
      <c r="H21" s="13" t="s">
        <v>89</v>
      </c>
      <c r="I21" s="344"/>
      <c r="J21" s="96"/>
    </row>
    <row r="22" spans="1:10">
      <c r="A22" s="4" t="s">
        <v>167</v>
      </c>
      <c r="B22" s="4" t="s">
        <v>290</v>
      </c>
      <c r="C22" s="13">
        <v>2</v>
      </c>
      <c r="D22" s="7" t="s">
        <v>174</v>
      </c>
      <c r="E22" s="13" t="s">
        <v>65</v>
      </c>
      <c r="F22" s="13" t="s">
        <v>715</v>
      </c>
      <c r="G22" s="13" t="s">
        <v>22</v>
      </c>
      <c r="H22" s="13" t="s">
        <v>89</v>
      </c>
      <c r="I22" s="344"/>
      <c r="J22" s="96"/>
    </row>
    <row r="23" spans="1:10">
      <c r="A23" s="4" t="s">
        <v>167</v>
      </c>
      <c r="B23" s="4" t="s">
        <v>290</v>
      </c>
      <c r="C23" s="13">
        <v>2</v>
      </c>
      <c r="D23" s="7" t="s">
        <v>177</v>
      </c>
      <c r="E23" s="13" t="s">
        <v>103</v>
      </c>
      <c r="F23" s="13" t="s">
        <v>717</v>
      </c>
      <c r="G23" s="13" t="s">
        <v>22</v>
      </c>
      <c r="H23" s="13" t="s">
        <v>89</v>
      </c>
      <c r="I23" s="344"/>
      <c r="J23" s="96"/>
    </row>
    <row r="24" spans="1:10">
      <c r="A24" s="4" t="s">
        <v>167</v>
      </c>
      <c r="B24" s="4" t="s">
        <v>140</v>
      </c>
      <c r="C24" s="13">
        <v>2</v>
      </c>
      <c r="D24" s="7" t="s">
        <v>181</v>
      </c>
      <c r="E24" s="13" t="s">
        <v>65</v>
      </c>
      <c r="F24" s="13" t="s">
        <v>719</v>
      </c>
      <c r="G24" s="13" t="s">
        <v>22</v>
      </c>
      <c r="H24" s="13" t="s">
        <v>89</v>
      </c>
      <c r="I24" s="344"/>
      <c r="J24" s="96"/>
    </row>
    <row r="25" spans="1:10">
      <c r="A25" s="4" t="s">
        <v>167</v>
      </c>
      <c r="B25" s="4" t="s">
        <v>290</v>
      </c>
      <c r="C25" s="13">
        <v>2</v>
      </c>
      <c r="D25" s="7" t="s">
        <v>184</v>
      </c>
      <c r="E25" s="13" t="s">
        <v>155</v>
      </c>
      <c r="F25" s="13" t="s">
        <v>721</v>
      </c>
      <c r="G25" s="13" t="s">
        <v>22</v>
      </c>
      <c r="H25" s="13" t="s">
        <v>89</v>
      </c>
      <c r="I25" s="344"/>
      <c r="J25" s="96"/>
    </row>
    <row r="26" spans="1:10">
      <c r="A26" s="4" t="s">
        <v>198</v>
      </c>
      <c r="B26" s="4" t="s">
        <v>327</v>
      </c>
      <c r="C26" s="13">
        <v>2</v>
      </c>
      <c r="D26" s="7" t="s">
        <v>188</v>
      </c>
      <c r="E26" s="13" t="s">
        <v>65</v>
      </c>
      <c r="F26" s="13" t="s">
        <v>724</v>
      </c>
      <c r="G26" s="13" t="s">
        <v>22</v>
      </c>
      <c r="H26" s="13" t="s">
        <v>89</v>
      </c>
      <c r="I26" s="344"/>
      <c r="J26" s="96"/>
    </row>
    <row r="27" spans="1:10">
      <c r="A27" s="4" t="s">
        <v>198</v>
      </c>
      <c r="B27" s="4" t="s">
        <v>327</v>
      </c>
      <c r="C27" s="13">
        <v>2</v>
      </c>
      <c r="D27" s="7" t="s">
        <v>201</v>
      </c>
      <c r="E27" s="13" t="s">
        <v>65</v>
      </c>
      <c r="F27" s="13" t="s">
        <v>729</v>
      </c>
      <c r="G27" s="13" t="s">
        <v>22</v>
      </c>
      <c r="H27" s="13" t="s">
        <v>89</v>
      </c>
      <c r="I27" s="344"/>
      <c r="J27" s="96"/>
    </row>
    <row r="28" spans="1:10">
      <c r="A28" s="4" t="s">
        <v>198</v>
      </c>
      <c r="B28" s="4" t="s">
        <v>327</v>
      </c>
      <c r="C28" s="13">
        <v>2</v>
      </c>
      <c r="D28" s="7" t="s">
        <v>203</v>
      </c>
      <c r="E28" s="13" t="s">
        <v>65</v>
      </c>
      <c r="F28" s="13" t="s">
        <v>731</v>
      </c>
      <c r="G28" s="13" t="s">
        <v>22</v>
      </c>
      <c r="H28" s="13" t="s">
        <v>89</v>
      </c>
      <c r="I28" s="344"/>
      <c r="J28" s="96"/>
    </row>
    <row r="29" spans="1:10">
      <c r="A29" s="4" t="s">
        <v>198</v>
      </c>
      <c r="B29" s="4" t="s">
        <v>345</v>
      </c>
      <c r="C29" s="13">
        <v>2</v>
      </c>
      <c r="D29" s="7" t="s">
        <v>205</v>
      </c>
      <c r="E29" s="13" t="s">
        <v>207</v>
      </c>
      <c r="F29" s="13" t="s">
        <v>735</v>
      </c>
      <c r="G29" s="13" t="s">
        <v>22</v>
      </c>
      <c r="H29" s="13" t="s">
        <v>89</v>
      </c>
      <c r="I29" s="344"/>
      <c r="J29" s="96"/>
    </row>
    <row r="30" spans="1:10">
      <c r="A30" s="4" t="s">
        <v>198</v>
      </c>
      <c r="B30" s="4" t="s">
        <v>327</v>
      </c>
      <c r="C30" s="13">
        <v>2</v>
      </c>
      <c r="D30" s="7" t="s">
        <v>208</v>
      </c>
      <c r="E30" s="13" t="s">
        <v>103</v>
      </c>
      <c r="F30" s="13" t="s">
        <v>740</v>
      </c>
      <c r="G30" s="13" t="s">
        <v>22</v>
      </c>
      <c r="H30" s="13" t="s">
        <v>89</v>
      </c>
      <c r="I30" s="344"/>
      <c r="J30" s="96"/>
    </row>
    <row r="31" spans="1:10">
      <c r="A31" s="4" t="s">
        <v>198</v>
      </c>
      <c r="B31" s="4" t="s">
        <v>327</v>
      </c>
      <c r="C31" s="13">
        <v>2</v>
      </c>
      <c r="D31" s="7" t="s">
        <v>209</v>
      </c>
      <c r="E31" s="13" t="s">
        <v>155</v>
      </c>
      <c r="F31" s="13" t="s">
        <v>746</v>
      </c>
      <c r="G31" s="13" t="s">
        <v>22</v>
      </c>
      <c r="H31" s="13" t="s">
        <v>89</v>
      </c>
      <c r="I31" s="344"/>
      <c r="J31" s="96"/>
    </row>
    <row r="32" spans="1:10">
      <c r="A32" s="4" t="s">
        <v>216</v>
      </c>
      <c r="B32" s="4" t="s">
        <v>376</v>
      </c>
      <c r="C32" s="13">
        <v>2</v>
      </c>
      <c r="D32" s="7" t="s">
        <v>213</v>
      </c>
      <c r="E32" s="13" t="s">
        <v>65</v>
      </c>
      <c r="F32" s="13" t="s">
        <v>752</v>
      </c>
      <c r="G32" s="13" t="s">
        <v>22</v>
      </c>
      <c r="H32" s="13" t="s">
        <v>89</v>
      </c>
      <c r="I32" s="409"/>
      <c r="J32" s="96"/>
    </row>
    <row r="33" spans="1:10">
      <c r="A33" s="4" t="s">
        <v>216</v>
      </c>
      <c r="B33" s="4" t="s">
        <v>376</v>
      </c>
      <c r="C33" s="13">
        <v>2</v>
      </c>
      <c r="D33" s="7" t="s">
        <v>218</v>
      </c>
      <c r="E33" s="13" t="s">
        <v>65</v>
      </c>
      <c r="F33" s="13" t="s">
        <v>761</v>
      </c>
      <c r="G33" s="13" t="s">
        <v>22</v>
      </c>
      <c r="H33" s="13" t="s">
        <v>89</v>
      </c>
      <c r="I33" s="409"/>
      <c r="J33" s="96"/>
    </row>
    <row r="34" spans="1:10">
      <c r="A34" s="4" t="s">
        <v>216</v>
      </c>
      <c r="B34" s="4" t="s">
        <v>376</v>
      </c>
      <c r="C34" s="13">
        <v>2</v>
      </c>
      <c r="D34" s="7" t="s">
        <v>220</v>
      </c>
      <c r="E34" s="13" t="s">
        <v>65</v>
      </c>
      <c r="F34" s="13" t="s">
        <v>767</v>
      </c>
      <c r="G34" s="13" t="s">
        <v>22</v>
      </c>
      <c r="H34" s="13" t="s">
        <v>89</v>
      </c>
      <c r="I34" s="409"/>
      <c r="J34" s="96"/>
    </row>
    <row r="35" spans="1:10">
      <c r="A35" s="4" t="s">
        <v>216</v>
      </c>
      <c r="B35" s="4" t="s">
        <v>356</v>
      </c>
      <c r="C35" s="13">
        <v>2</v>
      </c>
      <c r="D35" s="7" t="s">
        <v>221</v>
      </c>
      <c r="E35" s="13" t="s">
        <v>155</v>
      </c>
      <c r="F35" s="13" t="s">
        <v>773</v>
      </c>
      <c r="G35" s="13" t="s">
        <v>22</v>
      </c>
      <c r="H35" s="13" t="s">
        <v>89</v>
      </c>
      <c r="I35" s="409"/>
      <c r="J35" s="96"/>
    </row>
    <row r="36" spans="1:10">
      <c r="A36" s="4" t="s">
        <v>216</v>
      </c>
      <c r="B36" s="4" t="s">
        <v>376</v>
      </c>
      <c r="C36" s="13">
        <v>2</v>
      </c>
      <c r="D36" s="7" t="s">
        <v>223</v>
      </c>
      <c r="E36" s="13" t="s">
        <v>31</v>
      </c>
      <c r="F36" s="13" t="s">
        <v>779</v>
      </c>
      <c r="G36" s="13" t="s">
        <v>22</v>
      </c>
      <c r="H36" s="13" t="s">
        <v>89</v>
      </c>
      <c r="I36" s="409"/>
      <c r="J36" s="96"/>
    </row>
    <row r="37" spans="1:10">
      <c r="A37" s="4" t="s">
        <v>216</v>
      </c>
      <c r="B37" s="4" t="s">
        <v>376</v>
      </c>
      <c r="C37" s="13">
        <v>2</v>
      </c>
      <c r="D37" s="7" t="s">
        <v>225</v>
      </c>
      <c r="E37" s="13" t="s">
        <v>103</v>
      </c>
      <c r="F37" s="13" t="s">
        <v>786</v>
      </c>
      <c r="G37" s="13" t="s">
        <v>22</v>
      </c>
      <c r="H37" s="13" t="s">
        <v>89</v>
      </c>
      <c r="I37" s="409"/>
      <c r="J37" s="96"/>
    </row>
    <row r="38" spans="1:10">
      <c r="A38" s="4" t="s">
        <v>397</v>
      </c>
      <c r="B38" s="4" t="s">
        <v>191</v>
      </c>
      <c r="C38" s="13">
        <v>2</v>
      </c>
      <c r="D38" s="7" t="s">
        <v>226</v>
      </c>
      <c r="E38" s="13" t="s">
        <v>65</v>
      </c>
      <c r="F38" s="13" t="s">
        <v>791</v>
      </c>
      <c r="G38" s="13" t="s">
        <v>22</v>
      </c>
      <c r="H38" s="13" t="s">
        <v>89</v>
      </c>
      <c r="I38" s="344"/>
      <c r="J38" s="96"/>
    </row>
    <row r="39" spans="1:10">
      <c r="A39" s="4" t="s">
        <v>397</v>
      </c>
      <c r="B39" s="4" t="s">
        <v>191</v>
      </c>
      <c r="C39" s="13">
        <v>2</v>
      </c>
      <c r="D39" s="7" t="s">
        <v>233</v>
      </c>
      <c r="E39" s="13" t="s">
        <v>65</v>
      </c>
      <c r="F39" s="13" t="s">
        <v>796</v>
      </c>
      <c r="G39" s="13" t="s">
        <v>22</v>
      </c>
      <c r="H39" s="13" t="s">
        <v>89</v>
      </c>
      <c r="I39" s="344"/>
      <c r="J39" s="96"/>
    </row>
    <row r="40" spans="1:10">
      <c r="A40" s="4" t="s">
        <v>397</v>
      </c>
      <c r="B40" s="4" t="s">
        <v>191</v>
      </c>
      <c r="C40" s="13">
        <v>2</v>
      </c>
      <c r="D40" s="7" t="s">
        <v>236</v>
      </c>
      <c r="E40" s="13" t="s">
        <v>238</v>
      </c>
      <c r="F40" s="13" t="s">
        <v>802</v>
      </c>
      <c r="G40" s="13" t="s">
        <v>22</v>
      </c>
      <c r="H40" s="13" t="s">
        <v>89</v>
      </c>
      <c r="I40" s="344"/>
      <c r="J40" s="96"/>
    </row>
    <row r="41" spans="1:10">
      <c r="A41" s="4" t="s">
        <v>397</v>
      </c>
      <c r="B41" s="4" t="s">
        <v>191</v>
      </c>
      <c r="C41" s="13">
        <v>2</v>
      </c>
      <c r="D41" s="7" t="s">
        <v>243</v>
      </c>
      <c r="E41" s="13" t="s">
        <v>238</v>
      </c>
      <c r="F41" s="13" t="s">
        <v>806</v>
      </c>
      <c r="G41" s="13" t="s">
        <v>22</v>
      </c>
      <c r="H41" s="13" t="s">
        <v>89</v>
      </c>
      <c r="I41" s="344"/>
      <c r="J41" s="96"/>
    </row>
    <row r="42" spans="1:10">
      <c r="A42" s="4" t="s">
        <v>397</v>
      </c>
      <c r="B42" s="4" t="s">
        <v>191</v>
      </c>
      <c r="C42" s="13">
        <v>2</v>
      </c>
      <c r="D42" s="7" t="s">
        <v>246</v>
      </c>
      <c r="E42" s="13" t="s">
        <v>103</v>
      </c>
      <c r="F42" s="13" t="s">
        <v>810</v>
      </c>
      <c r="G42" s="13" t="s">
        <v>22</v>
      </c>
      <c r="H42" s="13" t="s">
        <v>89</v>
      </c>
      <c r="I42" s="344"/>
      <c r="J42" s="96"/>
    </row>
    <row r="43" spans="1:10">
      <c r="A43" s="4" t="s">
        <v>397</v>
      </c>
      <c r="B43" s="4" t="s">
        <v>403</v>
      </c>
      <c r="C43" s="13">
        <v>2</v>
      </c>
      <c r="D43" s="7" t="s">
        <v>248</v>
      </c>
      <c r="E43" s="13" t="s">
        <v>207</v>
      </c>
      <c r="F43" s="13" t="s">
        <v>816</v>
      </c>
      <c r="G43" s="13" t="s">
        <v>22</v>
      </c>
      <c r="H43" s="13" t="s">
        <v>89</v>
      </c>
      <c r="I43" s="344"/>
      <c r="J43" s="96"/>
    </row>
    <row r="44" spans="1:10">
      <c r="A44" s="4" t="s">
        <v>257</v>
      </c>
      <c r="B44" s="4" t="s">
        <v>405</v>
      </c>
      <c r="C44" s="13">
        <v>2</v>
      </c>
      <c r="D44" s="7" t="s">
        <v>252</v>
      </c>
      <c r="E44" s="13" t="s">
        <v>65</v>
      </c>
      <c r="F44" s="13" t="s">
        <v>821</v>
      </c>
      <c r="G44" s="13" t="s">
        <v>22</v>
      </c>
      <c r="H44" s="13" t="s">
        <v>89</v>
      </c>
      <c r="I44" s="345"/>
      <c r="J44" s="96"/>
    </row>
    <row r="45" spans="1:10">
      <c r="A45" s="4" t="s">
        <v>257</v>
      </c>
      <c r="B45" s="4" t="s">
        <v>405</v>
      </c>
      <c r="C45" s="13">
        <v>2</v>
      </c>
      <c r="D45" s="7" t="s">
        <v>262</v>
      </c>
      <c r="E45" s="13" t="s">
        <v>65</v>
      </c>
      <c r="F45" s="13" t="s">
        <v>828</v>
      </c>
      <c r="G45" s="13" t="s">
        <v>22</v>
      </c>
      <c r="H45" s="13" t="s">
        <v>89</v>
      </c>
      <c r="I45" s="345"/>
      <c r="J45" s="96"/>
    </row>
    <row r="46" spans="1:10">
      <c r="A46" s="4" t="s">
        <v>257</v>
      </c>
      <c r="B46" s="4" t="s">
        <v>405</v>
      </c>
      <c r="C46" s="13">
        <v>2</v>
      </c>
      <c r="D46" s="7" t="s">
        <v>266</v>
      </c>
      <c r="E46" s="13" t="s">
        <v>31</v>
      </c>
      <c r="F46" s="13" t="s">
        <v>835</v>
      </c>
      <c r="G46" s="13" t="s">
        <v>22</v>
      </c>
      <c r="H46" s="13" t="s">
        <v>89</v>
      </c>
      <c r="I46" s="346"/>
      <c r="J46" s="96"/>
    </row>
    <row r="47" spans="1:10">
      <c r="A47" s="4" t="s">
        <v>257</v>
      </c>
      <c r="B47" s="4" t="s">
        <v>405</v>
      </c>
      <c r="C47" s="13">
        <v>2</v>
      </c>
      <c r="D47" s="7" t="s">
        <v>270</v>
      </c>
      <c r="E47" s="13" t="s">
        <v>271</v>
      </c>
      <c r="F47" s="13" t="s">
        <v>841</v>
      </c>
      <c r="G47" s="13" t="s">
        <v>22</v>
      </c>
      <c r="H47" s="13" t="s">
        <v>89</v>
      </c>
      <c r="I47" s="346"/>
      <c r="J47" s="96"/>
    </row>
    <row r="48" spans="1:10">
      <c r="A48" s="4" t="s">
        <v>257</v>
      </c>
      <c r="B48" s="4" t="s">
        <v>405</v>
      </c>
      <c r="C48" s="13">
        <v>2</v>
      </c>
      <c r="D48" s="7" t="s">
        <v>272</v>
      </c>
      <c r="E48" s="13" t="s">
        <v>103</v>
      </c>
      <c r="F48" s="13" t="s">
        <v>847</v>
      </c>
      <c r="G48" s="13" t="s">
        <v>22</v>
      </c>
      <c r="H48" s="13" t="s">
        <v>89</v>
      </c>
      <c r="I48" s="346"/>
      <c r="J48" s="96"/>
    </row>
    <row r="49" spans="1:10">
      <c r="A49" s="4" t="s">
        <v>257</v>
      </c>
      <c r="B49" s="4" t="s">
        <v>405</v>
      </c>
      <c r="C49" s="13">
        <v>2</v>
      </c>
      <c r="D49" s="7" t="s">
        <v>274</v>
      </c>
      <c r="E49" s="13" t="s">
        <v>155</v>
      </c>
      <c r="F49" s="13" t="s">
        <v>853</v>
      </c>
      <c r="G49" s="13" t="s">
        <v>22</v>
      </c>
      <c r="H49" s="13" t="s">
        <v>89</v>
      </c>
      <c r="I49" s="346"/>
      <c r="J49" s="96"/>
    </row>
    <row r="50" spans="1:10">
      <c r="A50" s="4" t="s">
        <v>291</v>
      </c>
      <c r="B50" s="4" t="s">
        <v>411</v>
      </c>
      <c r="C50" s="13">
        <v>2</v>
      </c>
      <c r="D50" s="7" t="s">
        <v>280</v>
      </c>
      <c r="E50" s="13" t="s">
        <v>65</v>
      </c>
      <c r="F50" s="13" t="s">
        <v>862</v>
      </c>
      <c r="G50" s="13" t="s">
        <v>22</v>
      </c>
      <c r="H50" s="13" t="s">
        <v>89</v>
      </c>
      <c r="I50" s="347"/>
      <c r="J50" s="96"/>
    </row>
    <row r="51" spans="1:10">
      <c r="A51" s="4" t="s">
        <v>291</v>
      </c>
      <c r="B51" s="4" t="s">
        <v>411</v>
      </c>
      <c r="C51" s="13">
        <v>2</v>
      </c>
      <c r="D51" s="7" t="s">
        <v>298</v>
      </c>
      <c r="E51" s="13" t="s">
        <v>65</v>
      </c>
      <c r="F51" s="13" t="s">
        <v>867</v>
      </c>
      <c r="G51" s="13" t="s">
        <v>22</v>
      </c>
      <c r="H51" s="13" t="s">
        <v>89</v>
      </c>
      <c r="I51" s="347"/>
      <c r="J51" s="96"/>
    </row>
    <row r="52" spans="1:10">
      <c r="A52" s="4" t="s">
        <v>291</v>
      </c>
      <c r="B52" s="4" t="s">
        <v>411</v>
      </c>
      <c r="C52" s="13">
        <v>2</v>
      </c>
      <c r="D52" s="7" t="s">
        <v>302</v>
      </c>
      <c r="E52" s="13" t="s">
        <v>65</v>
      </c>
      <c r="F52" s="13" t="s">
        <v>871</v>
      </c>
      <c r="G52" s="13" t="s">
        <v>22</v>
      </c>
      <c r="H52" s="13" t="s">
        <v>89</v>
      </c>
      <c r="I52" s="347"/>
      <c r="J52" s="96"/>
    </row>
    <row r="53" spans="1:10">
      <c r="A53" s="4" t="s">
        <v>291</v>
      </c>
      <c r="B53" s="4" t="s">
        <v>411</v>
      </c>
      <c r="C53" s="13">
        <v>2</v>
      </c>
      <c r="D53" s="7" t="s">
        <v>305</v>
      </c>
      <c r="E53" s="13" t="s">
        <v>31</v>
      </c>
      <c r="F53" s="13" t="s">
        <v>876</v>
      </c>
      <c r="G53" s="13" t="s">
        <v>22</v>
      </c>
      <c r="H53" s="13" t="s">
        <v>89</v>
      </c>
      <c r="I53" s="347"/>
      <c r="J53" s="96"/>
    </row>
    <row r="54" spans="1:10">
      <c r="A54" s="4" t="s">
        <v>291</v>
      </c>
      <c r="B54" s="4" t="s">
        <v>411</v>
      </c>
      <c r="C54" s="13">
        <v>2</v>
      </c>
      <c r="D54" s="7" t="s">
        <v>312</v>
      </c>
      <c r="E54" s="13" t="s">
        <v>103</v>
      </c>
      <c r="F54" s="13" t="s">
        <v>883</v>
      </c>
      <c r="G54" s="13" t="s">
        <v>22</v>
      </c>
      <c r="H54" s="13" t="s">
        <v>89</v>
      </c>
      <c r="I54" s="347"/>
      <c r="J54" s="96"/>
    </row>
    <row r="55" spans="1:10">
      <c r="A55" s="4" t="s">
        <v>291</v>
      </c>
      <c r="B55" s="4" t="s">
        <v>411</v>
      </c>
      <c r="C55" s="13">
        <v>2</v>
      </c>
      <c r="D55" s="7" t="s">
        <v>315</v>
      </c>
      <c r="E55" s="13" t="s">
        <v>155</v>
      </c>
      <c r="F55" s="13" t="s">
        <v>890</v>
      </c>
      <c r="G55" s="13" t="s">
        <v>22</v>
      </c>
      <c r="H55" s="13" t="s">
        <v>89</v>
      </c>
      <c r="I55" s="347"/>
      <c r="J55" s="96"/>
    </row>
    <row r="56" spans="1:10">
      <c r="A56" s="4" t="s">
        <v>325</v>
      </c>
      <c r="B56" s="4" t="s">
        <v>415</v>
      </c>
      <c r="C56" s="13">
        <v>2</v>
      </c>
      <c r="D56" s="7" t="s">
        <v>319</v>
      </c>
      <c r="E56" s="13" t="s">
        <v>65</v>
      </c>
      <c r="F56" s="13" t="s">
        <v>897</v>
      </c>
      <c r="G56" s="13" t="s">
        <v>22</v>
      </c>
      <c r="H56" s="13" t="s">
        <v>89</v>
      </c>
      <c r="I56" s="347"/>
      <c r="J56" s="96"/>
    </row>
    <row r="57" spans="1:10">
      <c r="A57" s="4" t="s">
        <v>325</v>
      </c>
      <c r="B57" s="4" t="s">
        <v>191</v>
      </c>
      <c r="C57" s="13">
        <v>2</v>
      </c>
      <c r="D57" s="7" t="s">
        <v>332</v>
      </c>
      <c r="E57" s="13" t="s">
        <v>207</v>
      </c>
      <c r="F57" s="13" t="s">
        <v>906</v>
      </c>
      <c r="G57" s="13" t="s">
        <v>22</v>
      </c>
      <c r="H57" s="13" t="s">
        <v>89</v>
      </c>
      <c r="I57" s="347"/>
      <c r="J57" s="96"/>
    </row>
    <row r="58" spans="1:10">
      <c r="A58" s="4" t="s">
        <v>325</v>
      </c>
      <c r="B58" s="4" t="s">
        <v>415</v>
      </c>
      <c r="C58" s="13">
        <v>2</v>
      </c>
      <c r="D58" s="7" t="s">
        <v>328</v>
      </c>
      <c r="E58" s="13" t="s">
        <v>65</v>
      </c>
      <c r="F58" s="13" t="s">
        <v>913</v>
      </c>
      <c r="G58" s="13" t="s">
        <v>22</v>
      </c>
      <c r="H58" s="13" t="s">
        <v>89</v>
      </c>
      <c r="I58" s="347"/>
      <c r="J58" s="96"/>
    </row>
    <row r="59" spans="1:10">
      <c r="A59" s="4" t="s">
        <v>325</v>
      </c>
      <c r="B59" s="4" t="s">
        <v>415</v>
      </c>
      <c r="C59" s="13">
        <v>2</v>
      </c>
      <c r="D59" s="7" t="s">
        <v>336</v>
      </c>
      <c r="E59" s="13" t="s">
        <v>155</v>
      </c>
      <c r="F59" s="13" t="s">
        <v>916</v>
      </c>
      <c r="G59" s="13" t="s">
        <v>22</v>
      </c>
      <c r="H59" s="13" t="s">
        <v>89</v>
      </c>
      <c r="I59" s="347"/>
      <c r="J59" s="96"/>
    </row>
    <row r="60" spans="1:10">
      <c r="A60" s="4" t="s">
        <v>325</v>
      </c>
      <c r="B60" s="4" t="s">
        <v>415</v>
      </c>
      <c r="C60" s="13">
        <v>2</v>
      </c>
      <c r="D60" s="7" t="s">
        <v>340</v>
      </c>
      <c r="E60" s="13" t="s">
        <v>31</v>
      </c>
      <c r="F60" s="13" t="s">
        <v>920</v>
      </c>
      <c r="G60" s="13" t="s">
        <v>22</v>
      </c>
      <c r="H60" s="13" t="s">
        <v>89</v>
      </c>
      <c r="I60" s="347"/>
      <c r="J60" s="96"/>
    </row>
    <row r="61" spans="1:10">
      <c r="A61" s="4" t="s">
        <v>325</v>
      </c>
      <c r="B61" s="4" t="s">
        <v>415</v>
      </c>
      <c r="C61" s="13">
        <v>2</v>
      </c>
      <c r="D61" s="7" t="s">
        <v>344</v>
      </c>
      <c r="E61" s="13" t="s">
        <v>103</v>
      </c>
      <c r="F61" s="13" t="s">
        <v>929</v>
      </c>
      <c r="G61" s="13" t="s">
        <v>22</v>
      </c>
      <c r="H61" s="13" t="s">
        <v>89</v>
      </c>
      <c r="I61" s="347"/>
      <c r="J61" s="96"/>
    </row>
    <row r="62" spans="1:10">
      <c r="A62" s="4" t="s">
        <v>268</v>
      </c>
      <c r="B62" s="4" t="s">
        <v>40</v>
      </c>
      <c r="C62" s="13">
        <v>2</v>
      </c>
      <c r="D62" s="7" t="s">
        <v>42</v>
      </c>
      <c r="E62" s="13" t="s">
        <v>351</v>
      </c>
      <c r="F62" s="13" t="s">
        <v>936</v>
      </c>
      <c r="G62" s="13" t="s">
        <v>22</v>
      </c>
      <c r="H62" s="13" t="s">
        <v>89</v>
      </c>
      <c r="I62" s="18"/>
      <c r="J62" s="96"/>
    </row>
    <row r="63" spans="1:10">
      <c r="A63" s="4" t="s">
        <v>268</v>
      </c>
      <c r="B63" s="4" t="s">
        <v>40</v>
      </c>
      <c r="C63" s="13">
        <v>2</v>
      </c>
      <c r="D63" s="7" t="s">
        <v>43</v>
      </c>
      <c r="E63" s="13" t="s">
        <v>351</v>
      </c>
      <c r="F63" s="13" t="s">
        <v>940</v>
      </c>
      <c r="G63" s="13" t="s">
        <v>22</v>
      </c>
      <c r="H63" s="13" t="s">
        <v>89</v>
      </c>
      <c r="I63" s="18"/>
      <c r="J63" s="96"/>
    </row>
    <row r="64" spans="1:10">
      <c r="A64" s="4" t="s">
        <v>268</v>
      </c>
      <c r="B64" s="4" t="s">
        <v>40</v>
      </c>
      <c r="C64" s="13">
        <v>2</v>
      </c>
      <c r="D64" s="7" t="s">
        <v>56</v>
      </c>
      <c r="E64" s="13" t="s">
        <v>155</v>
      </c>
      <c r="F64" s="13" t="s">
        <v>943</v>
      </c>
      <c r="G64" s="13" t="s">
        <v>22</v>
      </c>
      <c r="H64" s="13" t="s">
        <v>89</v>
      </c>
      <c r="I64" s="18"/>
      <c r="J64" s="96"/>
    </row>
    <row r="65" spans="1:10">
      <c r="A65" s="4" t="s">
        <v>268</v>
      </c>
      <c r="B65" s="4" t="s">
        <v>40</v>
      </c>
      <c r="C65" s="13">
        <v>2</v>
      </c>
      <c r="D65" s="7" t="s">
        <v>59</v>
      </c>
      <c r="E65" s="13" t="s">
        <v>31</v>
      </c>
      <c r="F65" s="13" t="s">
        <v>948</v>
      </c>
      <c r="G65" s="13" t="s">
        <v>22</v>
      </c>
      <c r="H65" s="13" t="s">
        <v>89</v>
      </c>
      <c r="I65" s="18"/>
      <c r="J65" s="96"/>
    </row>
    <row r="66" spans="1:10">
      <c r="A66" s="4" t="s">
        <v>268</v>
      </c>
      <c r="B66" s="4" t="s">
        <v>40</v>
      </c>
      <c r="C66" s="13">
        <v>2</v>
      </c>
      <c r="D66" s="7" t="s">
        <v>51</v>
      </c>
      <c r="E66" s="13" t="s">
        <v>374</v>
      </c>
      <c r="F66" s="13" t="s">
        <v>952</v>
      </c>
      <c r="G66" s="13" t="s">
        <v>22</v>
      </c>
      <c r="H66" s="13" t="s">
        <v>89</v>
      </c>
      <c r="I66" s="18"/>
      <c r="J66" s="96"/>
    </row>
    <row r="67" spans="1:10">
      <c r="A67" s="4" t="s">
        <v>268</v>
      </c>
      <c r="B67" s="4" t="s">
        <v>40</v>
      </c>
      <c r="C67" s="13">
        <v>2</v>
      </c>
      <c r="D67" s="7" t="s">
        <v>41</v>
      </c>
      <c r="E67" s="13" t="s">
        <v>271</v>
      </c>
      <c r="F67" s="13" t="s">
        <v>957</v>
      </c>
      <c r="G67" s="13" t="s">
        <v>22</v>
      </c>
      <c r="H67" s="13" t="s">
        <v>199</v>
      </c>
      <c r="I67" s="412"/>
      <c r="J67" s="96"/>
    </row>
    <row r="68" spans="1:10">
      <c r="A68" s="4" t="s">
        <v>381</v>
      </c>
      <c r="B68" s="4" t="s">
        <v>140</v>
      </c>
      <c r="C68" s="13">
        <v>2</v>
      </c>
      <c r="D68" s="7" t="s">
        <v>378</v>
      </c>
      <c r="E68" s="13" t="s">
        <v>65</v>
      </c>
      <c r="F68" s="13" t="s">
        <v>962</v>
      </c>
      <c r="G68" s="13" t="s">
        <v>22</v>
      </c>
      <c r="H68" s="13" t="s">
        <v>89</v>
      </c>
      <c r="I68" s="115"/>
      <c r="J68" s="96"/>
    </row>
    <row r="69" spans="1:10">
      <c r="A69" s="4" t="s">
        <v>381</v>
      </c>
      <c r="B69" s="4" t="s">
        <v>140</v>
      </c>
      <c r="C69" s="13">
        <v>2</v>
      </c>
      <c r="D69" s="7" t="s">
        <v>383</v>
      </c>
      <c r="E69" s="13" t="s">
        <v>65</v>
      </c>
      <c r="F69" s="13" t="s">
        <v>966</v>
      </c>
      <c r="G69" s="13" t="s">
        <v>22</v>
      </c>
      <c r="H69" s="13" t="s">
        <v>89</v>
      </c>
      <c r="I69" s="115"/>
      <c r="J69" s="96"/>
    </row>
    <row r="70" spans="1:10">
      <c r="A70" s="4" t="s">
        <v>381</v>
      </c>
      <c r="B70" s="4" t="s">
        <v>140</v>
      </c>
      <c r="C70" s="13">
        <v>2</v>
      </c>
      <c r="D70" s="7" t="s">
        <v>385</v>
      </c>
      <c r="E70" s="13" t="s">
        <v>65</v>
      </c>
      <c r="F70" s="13" t="s">
        <v>969</v>
      </c>
      <c r="G70" s="13" t="s">
        <v>22</v>
      </c>
      <c r="H70" s="13" t="s">
        <v>89</v>
      </c>
      <c r="I70" s="115"/>
      <c r="J70" s="96"/>
    </row>
    <row r="71" spans="1:10">
      <c r="A71" s="4" t="s">
        <v>381</v>
      </c>
      <c r="B71" s="4" t="s">
        <v>140</v>
      </c>
      <c r="C71" s="13">
        <v>2</v>
      </c>
      <c r="D71" s="7" t="s">
        <v>387</v>
      </c>
      <c r="E71" s="13" t="s">
        <v>155</v>
      </c>
      <c r="F71" s="13" t="s">
        <v>973</v>
      </c>
      <c r="G71" s="13" t="s">
        <v>22</v>
      </c>
      <c r="H71" s="13" t="s">
        <v>89</v>
      </c>
      <c r="I71" s="115"/>
      <c r="J71" s="96"/>
    </row>
    <row r="72" spans="1:10">
      <c r="A72" s="4" t="s">
        <v>381</v>
      </c>
      <c r="B72" s="4" t="s">
        <v>140</v>
      </c>
      <c r="C72" s="13">
        <v>2</v>
      </c>
      <c r="D72" s="7" t="s">
        <v>390</v>
      </c>
      <c r="E72" s="13" t="s">
        <v>103</v>
      </c>
      <c r="F72" s="13" t="s">
        <v>976</v>
      </c>
      <c r="G72" s="13" t="s">
        <v>22</v>
      </c>
      <c r="H72" s="13" t="s">
        <v>89</v>
      </c>
      <c r="I72" s="115"/>
      <c r="J72" s="96"/>
    </row>
    <row r="73" spans="1:10">
      <c r="A73" s="4" t="s">
        <v>381</v>
      </c>
      <c r="B73" s="4" t="s">
        <v>140</v>
      </c>
      <c r="C73" s="13">
        <v>2</v>
      </c>
      <c r="D73" s="7" t="s">
        <v>391</v>
      </c>
      <c r="E73" s="13" t="s">
        <v>31</v>
      </c>
      <c r="F73" s="13" t="s">
        <v>980</v>
      </c>
      <c r="G73" s="13" t="s">
        <v>22</v>
      </c>
      <c r="H73" s="13" t="s">
        <v>89</v>
      </c>
      <c r="I73" s="115"/>
      <c r="J73" s="96"/>
    </row>
    <row r="74" spans="1:10">
      <c r="A74" s="4" t="s">
        <v>13</v>
      </c>
      <c r="B74" s="4" t="s">
        <v>15</v>
      </c>
      <c r="C74" s="13">
        <v>1</v>
      </c>
      <c r="D74" s="7" t="s">
        <v>21</v>
      </c>
      <c r="E74" s="13" t="s">
        <v>65</v>
      </c>
      <c r="F74" s="13" t="s">
        <v>987</v>
      </c>
      <c r="G74" s="13" t="s">
        <v>22</v>
      </c>
      <c r="H74" s="13" t="s">
        <v>89</v>
      </c>
      <c r="I74" s="115"/>
      <c r="J74" s="96"/>
    </row>
    <row r="75" spans="1:10">
      <c r="A75" s="4" t="s">
        <v>13</v>
      </c>
      <c r="B75" s="4" t="s">
        <v>15</v>
      </c>
      <c r="C75" s="13">
        <v>1</v>
      </c>
      <c r="D75" s="7" t="s">
        <v>44</v>
      </c>
      <c r="E75" s="13" t="s">
        <v>65</v>
      </c>
      <c r="F75" s="13" t="s">
        <v>995</v>
      </c>
      <c r="G75" s="13" t="s">
        <v>22</v>
      </c>
      <c r="H75" s="13" t="s">
        <v>89</v>
      </c>
      <c r="I75" s="115"/>
      <c r="J75" s="96"/>
    </row>
    <row r="76" spans="1:10">
      <c r="A76" s="4" t="s">
        <v>13</v>
      </c>
      <c r="B76" s="4" t="s">
        <v>15</v>
      </c>
      <c r="C76" s="13">
        <v>1</v>
      </c>
      <c r="D76" s="7" t="s">
        <v>49</v>
      </c>
      <c r="E76" s="13" t="s">
        <v>65</v>
      </c>
      <c r="F76" s="13" t="s">
        <v>1004</v>
      </c>
      <c r="G76" s="13" t="s">
        <v>22</v>
      </c>
      <c r="H76" s="13" t="s">
        <v>89</v>
      </c>
      <c r="I76" s="115"/>
      <c r="J76" s="96"/>
    </row>
    <row r="77" spans="1:10">
      <c r="A77" s="4" t="s">
        <v>13</v>
      </c>
      <c r="B77" s="4" t="s">
        <v>15</v>
      </c>
      <c r="C77" s="13">
        <v>1</v>
      </c>
      <c r="D77" s="7" t="s">
        <v>53</v>
      </c>
      <c r="E77" s="13" t="s">
        <v>238</v>
      </c>
      <c r="F77" s="13" t="s">
        <v>1013</v>
      </c>
      <c r="G77" s="13" t="s">
        <v>22</v>
      </c>
      <c r="H77" s="13" t="s">
        <v>89</v>
      </c>
      <c r="I77" s="115"/>
      <c r="J77" s="96"/>
    </row>
    <row r="78" spans="1:10">
      <c r="A78" s="4" t="s">
        <v>13</v>
      </c>
      <c r="B78" s="4" t="s">
        <v>15</v>
      </c>
      <c r="C78" s="13">
        <v>1</v>
      </c>
      <c r="D78" s="7" t="s">
        <v>58</v>
      </c>
      <c r="E78" s="13" t="s">
        <v>103</v>
      </c>
      <c r="F78" s="13" t="s">
        <v>1021</v>
      </c>
      <c r="G78" s="13" t="s">
        <v>22</v>
      </c>
      <c r="H78" s="13" t="s">
        <v>89</v>
      </c>
      <c r="I78" s="115"/>
      <c r="J78" s="96"/>
    </row>
    <row r="79" spans="1:10">
      <c r="A79" s="4" t="s">
        <v>13</v>
      </c>
      <c r="B79" s="4" t="s">
        <v>15</v>
      </c>
      <c r="C79" s="13">
        <v>1</v>
      </c>
      <c r="D79" s="7" t="s">
        <v>60</v>
      </c>
      <c r="E79" s="13" t="s">
        <v>31</v>
      </c>
      <c r="F79" s="13" t="s">
        <v>1026</v>
      </c>
      <c r="G79" s="13" t="s">
        <v>22</v>
      </c>
      <c r="H79" s="13" t="s">
        <v>89</v>
      </c>
      <c r="I79" s="115"/>
      <c r="J79" s="96"/>
    </row>
    <row r="80" spans="1:10">
      <c r="A80" s="4" t="s">
        <v>67</v>
      </c>
      <c r="B80" s="4" t="s">
        <v>68</v>
      </c>
      <c r="C80" s="13">
        <v>1</v>
      </c>
      <c r="D80" s="7" t="s">
        <v>70</v>
      </c>
      <c r="E80" s="13" t="s">
        <v>65</v>
      </c>
      <c r="F80" s="13" t="s">
        <v>1037</v>
      </c>
      <c r="G80" s="13" t="s">
        <v>22</v>
      </c>
      <c r="H80" s="13" t="s">
        <v>89</v>
      </c>
      <c r="I80" s="115"/>
      <c r="J80" s="96"/>
    </row>
    <row r="81" spans="1:10">
      <c r="A81" s="4" t="s">
        <v>67</v>
      </c>
      <c r="B81" s="4" t="s">
        <v>68</v>
      </c>
      <c r="C81" s="13">
        <v>1</v>
      </c>
      <c r="D81" s="7" t="s">
        <v>73</v>
      </c>
      <c r="E81" s="13" t="s">
        <v>65</v>
      </c>
      <c r="F81" s="13" t="s">
        <v>1043</v>
      </c>
      <c r="G81" s="13" t="s">
        <v>22</v>
      </c>
      <c r="H81" s="13" t="s">
        <v>89</v>
      </c>
      <c r="I81" s="115"/>
      <c r="J81" s="96"/>
    </row>
    <row r="82" spans="1:10">
      <c r="A82" s="4" t="s">
        <v>67</v>
      </c>
      <c r="B82" s="4" t="s">
        <v>68</v>
      </c>
      <c r="C82" s="13">
        <v>1</v>
      </c>
      <c r="D82" s="7" t="s">
        <v>74</v>
      </c>
      <c r="E82" s="13" t="s">
        <v>238</v>
      </c>
      <c r="F82" s="13" t="s">
        <v>1053</v>
      </c>
      <c r="G82" s="13" t="s">
        <v>22</v>
      </c>
      <c r="H82" s="13" t="s">
        <v>89</v>
      </c>
      <c r="I82" s="115"/>
      <c r="J82" s="96"/>
    </row>
    <row r="83" spans="1:10">
      <c r="A83" s="4" t="s">
        <v>67</v>
      </c>
      <c r="B83" s="4" t="s">
        <v>76</v>
      </c>
      <c r="C83" s="13">
        <v>1</v>
      </c>
      <c r="D83" s="7" t="s">
        <v>77</v>
      </c>
      <c r="E83" s="13" t="s">
        <v>99</v>
      </c>
      <c r="F83" s="13" t="s">
        <v>1059</v>
      </c>
      <c r="G83" s="13" t="s">
        <v>22</v>
      </c>
      <c r="H83" s="13" t="s">
        <v>89</v>
      </c>
      <c r="I83" s="115"/>
      <c r="J83" s="96"/>
    </row>
    <row r="84" spans="1:10">
      <c r="A84" s="4" t="s">
        <v>67</v>
      </c>
      <c r="B84" s="4" t="s">
        <v>76</v>
      </c>
      <c r="C84" s="13">
        <v>1</v>
      </c>
      <c r="D84" s="7" t="s">
        <v>78</v>
      </c>
      <c r="E84" s="13" t="s">
        <v>408</v>
      </c>
      <c r="F84" s="13" t="s">
        <v>1066</v>
      </c>
      <c r="G84" s="13" t="s">
        <v>22</v>
      </c>
      <c r="H84" s="13" t="s">
        <v>89</v>
      </c>
      <c r="I84" s="115"/>
      <c r="J84" s="96"/>
    </row>
    <row r="85" spans="1:10">
      <c r="A85" s="4" t="s">
        <v>67</v>
      </c>
      <c r="B85" s="4" t="s">
        <v>68</v>
      </c>
      <c r="C85" s="13">
        <v>1</v>
      </c>
      <c r="D85" s="7" t="s">
        <v>80</v>
      </c>
      <c r="E85" s="13" t="s">
        <v>103</v>
      </c>
      <c r="F85" s="13" t="s">
        <v>1075</v>
      </c>
      <c r="G85" s="13" t="s">
        <v>22</v>
      </c>
      <c r="H85" s="13" t="s">
        <v>89</v>
      </c>
      <c r="I85" s="115"/>
      <c r="J85" s="96"/>
    </row>
    <row r="86" spans="1:10">
      <c r="A86" s="4" t="s">
        <v>81</v>
      </c>
      <c r="B86" s="4" t="s">
        <v>82</v>
      </c>
      <c r="C86" s="13">
        <v>1</v>
      </c>
      <c r="D86" s="7" t="s">
        <v>85</v>
      </c>
      <c r="E86" s="13" t="s">
        <v>65</v>
      </c>
      <c r="F86" s="13" t="s">
        <v>1084</v>
      </c>
      <c r="G86" s="13" t="s">
        <v>22</v>
      </c>
      <c r="H86" s="13" t="s">
        <v>89</v>
      </c>
      <c r="I86" s="115"/>
      <c r="J86" s="96"/>
    </row>
    <row r="87" spans="1:10">
      <c r="A87" s="4" t="s">
        <v>81</v>
      </c>
      <c r="B87" s="4" t="s">
        <v>82</v>
      </c>
      <c r="C87" s="13">
        <v>1</v>
      </c>
      <c r="D87" s="7" t="s">
        <v>86</v>
      </c>
      <c r="E87" s="13" t="s">
        <v>65</v>
      </c>
      <c r="F87" s="13" t="s">
        <v>1087</v>
      </c>
      <c r="G87" s="13" t="s">
        <v>22</v>
      </c>
      <c r="H87" s="13" t="s">
        <v>89</v>
      </c>
      <c r="I87" s="115"/>
      <c r="J87" s="96"/>
    </row>
    <row r="88" spans="1:10">
      <c r="A88" s="4" t="s">
        <v>81</v>
      </c>
      <c r="B88" s="4" t="s">
        <v>82</v>
      </c>
      <c r="C88" s="13">
        <v>1</v>
      </c>
      <c r="D88" s="7" t="s">
        <v>88</v>
      </c>
      <c r="E88" s="13" t="s">
        <v>65</v>
      </c>
      <c r="F88" s="13" t="s">
        <v>1093</v>
      </c>
      <c r="G88" s="13" t="s">
        <v>22</v>
      </c>
      <c r="H88" s="13" t="s">
        <v>89</v>
      </c>
      <c r="I88" s="115"/>
      <c r="J88" s="96"/>
    </row>
    <row r="89" spans="1:10">
      <c r="A89" s="4" t="s">
        <v>81</v>
      </c>
      <c r="B89" s="4" t="s">
        <v>82</v>
      </c>
      <c r="C89" s="13">
        <v>1</v>
      </c>
      <c r="D89" s="7" t="s">
        <v>90</v>
      </c>
      <c r="E89" s="13" t="s">
        <v>65</v>
      </c>
      <c r="F89" s="13" t="s">
        <v>1106</v>
      </c>
      <c r="G89" s="13" t="s">
        <v>22</v>
      </c>
      <c r="H89" s="13" t="s">
        <v>89</v>
      </c>
      <c r="I89" s="115"/>
      <c r="J89" s="96"/>
    </row>
    <row r="90" spans="1:10">
      <c r="A90" s="4" t="s">
        <v>81</v>
      </c>
      <c r="B90" s="4" t="s">
        <v>82</v>
      </c>
      <c r="C90" s="13">
        <v>1</v>
      </c>
      <c r="D90" s="7" t="s">
        <v>92</v>
      </c>
      <c r="E90" s="13" t="s">
        <v>31</v>
      </c>
      <c r="F90" s="13" t="s">
        <v>1114</v>
      </c>
      <c r="G90" s="13" t="s">
        <v>22</v>
      </c>
      <c r="H90" s="13" t="s">
        <v>89</v>
      </c>
      <c r="I90" s="115"/>
      <c r="J90" s="96"/>
    </row>
    <row r="91" spans="1:10">
      <c r="A91" s="4" t="s">
        <v>81</v>
      </c>
      <c r="B91" s="4" t="s">
        <v>82</v>
      </c>
      <c r="C91" s="13">
        <v>1</v>
      </c>
      <c r="D91" s="7" t="s">
        <v>94</v>
      </c>
      <c r="E91" s="13" t="s">
        <v>238</v>
      </c>
      <c r="F91" s="13" t="s">
        <v>1126</v>
      </c>
      <c r="G91" s="13" t="s">
        <v>22</v>
      </c>
      <c r="H91" s="13" t="s">
        <v>89</v>
      </c>
      <c r="I91" s="115"/>
      <c r="J91" s="96"/>
    </row>
    <row r="92" spans="1:10">
      <c r="A92" s="4" t="s">
        <v>79</v>
      </c>
      <c r="B92" s="4" t="s">
        <v>97</v>
      </c>
      <c r="C92" s="13">
        <v>1</v>
      </c>
      <c r="D92" s="7" t="s">
        <v>100</v>
      </c>
      <c r="E92" s="13" t="s">
        <v>65</v>
      </c>
      <c r="F92" s="13" t="s">
        <v>1138</v>
      </c>
      <c r="G92" s="13" t="s">
        <v>22</v>
      </c>
      <c r="H92" s="13" t="s">
        <v>89</v>
      </c>
      <c r="I92" s="115"/>
      <c r="J92" s="96"/>
    </row>
    <row r="93" spans="1:10">
      <c r="A93" s="4" t="s">
        <v>79</v>
      </c>
      <c r="B93" s="4" t="s">
        <v>97</v>
      </c>
      <c r="C93" s="13">
        <v>1</v>
      </c>
      <c r="D93" s="7" t="s">
        <v>101</v>
      </c>
      <c r="E93" s="13" t="s">
        <v>65</v>
      </c>
      <c r="F93" s="13" t="s">
        <v>1147</v>
      </c>
      <c r="G93" s="13" t="s">
        <v>22</v>
      </c>
      <c r="H93" s="13" t="s">
        <v>89</v>
      </c>
      <c r="I93" s="115"/>
      <c r="J93" s="96"/>
    </row>
    <row r="94" spans="1:10">
      <c r="A94" s="4" t="s">
        <v>79</v>
      </c>
      <c r="B94" s="4" t="s">
        <v>97</v>
      </c>
      <c r="C94" s="13">
        <v>1</v>
      </c>
      <c r="D94" s="7" t="s">
        <v>104</v>
      </c>
      <c r="E94" s="13" t="s">
        <v>65</v>
      </c>
      <c r="F94" s="13" t="s">
        <v>1156</v>
      </c>
      <c r="G94" s="13" t="s">
        <v>22</v>
      </c>
      <c r="H94" s="13" t="s">
        <v>89</v>
      </c>
      <c r="I94" s="115"/>
      <c r="J94" s="96"/>
    </row>
    <row r="95" spans="1:10">
      <c r="A95" s="4" t="s">
        <v>79</v>
      </c>
      <c r="B95" s="4" t="s">
        <v>97</v>
      </c>
      <c r="C95" s="13">
        <v>1</v>
      </c>
      <c r="D95" s="7" t="s">
        <v>107</v>
      </c>
      <c r="E95" s="13" t="s">
        <v>238</v>
      </c>
      <c r="F95" s="13" t="s">
        <v>1167</v>
      </c>
      <c r="G95" s="13" t="s">
        <v>22</v>
      </c>
      <c r="H95" s="13" t="s">
        <v>89</v>
      </c>
      <c r="I95" s="115"/>
      <c r="J95" s="96"/>
    </row>
    <row r="96" spans="1:10">
      <c r="A96" s="4" t="s">
        <v>79</v>
      </c>
      <c r="B96" s="4" t="s">
        <v>97</v>
      </c>
      <c r="C96" s="13">
        <v>1</v>
      </c>
      <c r="D96" s="7" t="s">
        <v>109</v>
      </c>
      <c r="E96" s="13" t="s">
        <v>103</v>
      </c>
      <c r="F96" s="13" t="s">
        <v>1175</v>
      </c>
      <c r="G96" s="13" t="s">
        <v>22</v>
      </c>
      <c r="H96" s="13" t="s">
        <v>89</v>
      </c>
      <c r="I96" s="115"/>
      <c r="J96" s="96"/>
    </row>
    <row r="97" spans="1:10">
      <c r="A97" s="4" t="s">
        <v>79</v>
      </c>
      <c r="B97" s="4" t="s">
        <v>97</v>
      </c>
      <c r="C97" s="13">
        <v>1</v>
      </c>
      <c r="D97" s="7" t="s">
        <v>111</v>
      </c>
      <c r="E97" s="13" t="s">
        <v>31</v>
      </c>
      <c r="F97" s="13" t="s">
        <v>1183</v>
      </c>
      <c r="G97" s="13" t="s">
        <v>22</v>
      </c>
      <c r="H97" s="13" t="s">
        <v>89</v>
      </c>
      <c r="I97" s="115"/>
      <c r="J97" s="96"/>
    </row>
    <row r="98" spans="1:10">
      <c r="A98" s="4" t="s">
        <v>113</v>
      </c>
      <c r="B98" s="4" t="s">
        <v>114</v>
      </c>
      <c r="C98" s="13">
        <v>1</v>
      </c>
      <c r="D98" s="7" t="s">
        <v>116</v>
      </c>
      <c r="E98" s="13" t="s">
        <v>65</v>
      </c>
      <c r="F98" s="13" t="s">
        <v>1193</v>
      </c>
      <c r="G98" s="13" t="s">
        <v>22</v>
      </c>
      <c r="H98" s="13" t="s">
        <v>89</v>
      </c>
      <c r="I98" s="115"/>
      <c r="J98" s="96"/>
    </row>
    <row r="99" spans="1:10">
      <c r="A99" s="4" t="s">
        <v>113</v>
      </c>
      <c r="B99" s="4" t="s">
        <v>114</v>
      </c>
      <c r="C99" s="13">
        <v>1</v>
      </c>
      <c r="D99" s="7" t="s">
        <v>119</v>
      </c>
      <c r="E99" s="13" t="s">
        <v>238</v>
      </c>
      <c r="F99" s="13" t="s">
        <v>1202</v>
      </c>
      <c r="G99" s="13" t="s">
        <v>22</v>
      </c>
      <c r="H99" s="13" t="s">
        <v>89</v>
      </c>
      <c r="I99" s="115"/>
      <c r="J99" s="96"/>
    </row>
    <row r="100" spans="1:10">
      <c r="A100" s="4" t="s">
        <v>113</v>
      </c>
      <c r="B100" s="4" t="s">
        <v>114</v>
      </c>
      <c r="C100" s="13">
        <v>1</v>
      </c>
      <c r="D100" s="7" t="s">
        <v>121</v>
      </c>
      <c r="E100" s="13" t="s">
        <v>238</v>
      </c>
      <c r="F100" s="13" t="s">
        <v>1206</v>
      </c>
      <c r="G100" s="13" t="s">
        <v>22</v>
      </c>
      <c r="H100" s="13" t="s">
        <v>89</v>
      </c>
      <c r="I100" s="115"/>
      <c r="J100" s="96"/>
    </row>
    <row r="101" spans="1:10">
      <c r="A101" s="4" t="s">
        <v>113</v>
      </c>
      <c r="B101" s="4" t="s">
        <v>114</v>
      </c>
      <c r="C101" s="13">
        <v>1</v>
      </c>
      <c r="D101" s="7" t="s">
        <v>123</v>
      </c>
      <c r="E101" s="13" t="s">
        <v>103</v>
      </c>
      <c r="F101" s="13" t="s">
        <v>1212</v>
      </c>
      <c r="G101" s="13" t="s">
        <v>22</v>
      </c>
      <c r="H101" s="13" t="s">
        <v>89</v>
      </c>
      <c r="I101" s="115"/>
      <c r="J101" s="96"/>
    </row>
    <row r="102" spans="1:10">
      <c r="A102" s="4" t="s">
        <v>113</v>
      </c>
      <c r="B102" s="4" t="s">
        <v>114</v>
      </c>
      <c r="C102" s="13">
        <v>1</v>
      </c>
      <c r="D102" s="7" t="s">
        <v>125</v>
      </c>
      <c r="E102" s="13" t="s">
        <v>31</v>
      </c>
      <c r="F102" s="13" t="s">
        <v>1220</v>
      </c>
      <c r="G102" s="13" t="s">
        <v>22</v>
      </c>
      <c r="H102" s="13" t="s">
        <v>89</v>
      </c>
      <c r="I102" s="115"/>
      <c r="J102" s="96"/>
    </row>
    <row r="103" spans="1:10">
      <c r="A103" s="4" t="s">
        <v>113</v>
      </c>
      <c r="B103" s="4" t="s">
        <v>114</v>
      </c>
      <c r="C103" s="13">
        <v>1</v>
      </c>
      <c r="D103" s="7" t="s">
        <v>127</v>
      </c>
      <c r="E103" s="13" t="s">
        <v>155</v>
      </c>
      <c r="F103" s="13" t="s">
        <v>1229</v>
      </c>
      <c r="G103" s="13" t="s">
        <v>22</v>
      </c>
      <c r="H103" s="13" t="s">
        <v>89</v>
      </c>
      <c r="I103" s="115"/>
      <c r="J103" s="96"/>
    </row>
    <row r="104" spans="1:10">
      <c r="A104" s="4" t="s">
        <v>140</v>
      </c>
      <c r="B104" s="4" t="s">
        <v>141</v>
      </c>
      <c r="C104" s="13">
        <v>1</v>
      </c>
      <c r="D104" s="7" t="s">
        <v>146</v>
      </c>
      <c r="E104" s="13" t="s">
        <v>65</v>
      </c>
      <c r="F104" s="13" t="s">
        <v>1235</v>
      </c>
      <c r="G104" s="13" t="s">
        <v>22</v>
      </c>
      <c r="H104" s="13" t="s">
        <v>89</v>
      </c>
      <c r="I104" s="115"/>
      <c r="J104" s="96"/>
    </row>
    <row r="105" spans="1:10">
      <c r="A105" s="4" t="s">
        <v>140</v>
      </c>
      <c r="B105" s="4" t="s">
        <v>141</v>
      </c>
      <c r="C105" s="13">
        <v>1</v>
      </c>
      <c r="D105" s="7" t="s">
        <v>148</v>
      </c>
      <c r="E105" s="13" t="s">
        <v>65</v>
      </c>
      <c r="F105" s="13" t="s">
        <v>1240</v>
      </c>
      <c r="G105" s="13" t="s">
        <v>22</v>
      </c>
      <c r="H105" s="13" t="s">
        <v>89</v>
      </c>
      <c r="I105" s="115"/>
      <c r="J105" s="96"/>
    </row>
    <row r="106" spans="1:10">
      <c r="A106" s="4" t="s">
        <v>140</v>
      </c>
      <c r="B106" s="4" t="s">
        <v>141</v>
      </c>
      <c r="C106" s="13">
        <v>1</v>
      </c>
      <c r="D106" s="7" t="s">
        <v>153</v>
      </c>
      <c r="E106" s="13" t="s">
        <v>31</v>
      </c>
      <c r="F106" s="13" t="s">
        <v>1248</v>
      </c>
      <c r="G106" s="13" t="s">
        <v>22</v>
      </c>
      <c r="H106" s="13" t="s">
        <v>89</v>
      </c>
      <c r="I106" s="115"/>
      <c r="J106" s="96"/>
    </row>
    <row r="107" spans="1:10">
      <c r="A107" s="4" t="s">
        <v>140</v>
      </c>
      <c r="B107" s="4" t="s">
        <v>141</v>
      </c>
      <c r="C107" s="13">
        <v>1</v>
      </c>
      <c r="D107" s="7" t="s">
        <v>158</v>
      </c>
      <c r="E107" s="13" t="s">
        <v>238</v>
      </c>
      <c r="F107" s="13" t="s">
        <v>1257</v>
      </c>
      <c r="G107" s="13" t="s">
        <v>22</v>
      </c>
      <c r="H107" s="13" t="s">
        <v>89</v>
      </c>
      <c r="I107" s="115"/>
      <c r="J107" s="96"/>
    </row>
    <row r="108" spans="1:10">
      <c r="A108" s="4" t="s">
        <v>140</v>
      </c>
      <c r="B108" s="4" t="s">
        <v>141</v>
      </c>
      <c r="C108" s="13">
        <v>1</v>
      </c>
      <c r="D108" s="7" t="s">
        <v>157</v>
      </c>
      <c r="E108" s="13" t="s">
        <v>31</v>
      </c>
      <c r="F108" s="13" t="s">
        <v>1265</v>
      </c>
      <c r="G108" s="13" t="s">
        <v>22</v>
      </c>
      <c r="H108" s="13" t="s">
        <v>89</v>
      </c>
      <c r="I108" s="115"/>
      <c r="J108" s="96"/>
    </row>
    <row r="109" spans="1:10">
      <c r="A109" s="4" t="s">
        <v>140</v>
      </c>
      <c r="B109" s="4" t="s">
        <v>141</v>
      </c>
      <c r="C109" s="13">
        <v>1</v>
      </c>
      <c r="D109" s="7" t="s">
        <v>164</v>
      </c>
      <c r="E109" s="13" t="s">
        <v>103</v>
      </c>
      <c r="F109" s="13" t="s">
        <v>1272</v>
      </c>
      <c r="G109" s="13" t="s">
        <v>22</v>
      </c>
      <c r="H109" s="13" t="s">
        <v>89</v>
      </c>
      <c r="I109" s="115"/>
      <c r="J109" s="96"/>
    </row>
    <row r="110" spans="1:10">
      <c r="A110" s="4" t="s">
        <v>165</v>
      </c>
      <c r="B110" s="4" t="s">
        <v>172</v>
      </c>
      <c r="C110" s="13">
        <v>1</v>
      </c>
      <c r="D110" s="7" t="s">
        <v>175</v>
      </c>
      <c r="E110" s="13" t="s">
        <v>65</v>
      </c>
      <c r="F110" s="13" t="s">
        <v>1281</v>
      </c>
      <c r="G110" s="13" t="s">
        <v>22</v>
      </c>
      <c r="H110" s="13" t="s">
        <v>89</v>
      </c>
      <c r="I110" s="115"/>
      <c r="J110" s="96"/>
    </row>
    <row r="111" spans="1:10">
      <c r="A111" s="4" t="s">
        <v>165</v>
      </c>
      <c r="B111" s="4" t="s">
        <v>172</v>
      </c>
      <c r="C111" s="13">
        <v>1</v>
      </c>
      <c r="D111" s="7" t="s">
        <v>178</v>
      </c>
      <c r="E111" s="13" t="s">
        <v>65</v>
      </c>
      <c r="F111" s="13" t="s">
        <v>1287</v>
      </c>
      <c r="G111" s="13" t="s">
        <v>22</v>
      </c>
      <c r="H111" s="13" t="s">
        <v>89</v>
      </c>
      <c r="I111" s="115"/>
      <c r="J111" s="96"/>
    </row>
    <row r="112" spans="1:10">
      <c r="A112" s="4" t="s">
        <v>165</v>
      </c>
      <c r="B112" s="4" t="s">
        <v>172</v>
      </c>
      <c r="C112" s="13">
        <v>1</v>
      </c>
      <c r="D112" s="7" t="s">
        <v>180</v>
      </c>
      <c r="E112" s="13" t="s">
        <v>65</v>
      </c>
      <c r="F112" s="13" t="s">
        <v>1294</v>
      </c>
      <c r="G112" s="13" t="s">
        <v>22</v>
      </c>
      <c r="H112" s="13" t="s">
        <v>89</v>
      </c>
      <c r="I112" s="115"/>
      <c r="J112" s="96"/>
    </row>
    <row r="113" spans="1:10">
      <c r="A113" s="4" t="s">
        <v>165</v>
      </c>
      <c r="B113" s="4" t="s">
        <v>183</v>
      </c>
      <c r="C113" s="13">
        <v>1</v>
      </c>
      <c r="D113" s="7" t="s">
        <v>187</v>
      </c>
      <c r="E113" s="13" t="s">
        <v>65</v>
      </c>
      <c r="F113" s="13" t="s">
        <v>1301</v>
      </c>
      <c r="G113" s="13" t="s">
        <v>22</v>
      </c>
      <c r="H113" s="13" t="s">
        <v>89</v>
      </c>
      <c r="I113" s="115"/>
      <c r="J113" s="96"/>
    </row>
    <row r="114" spans="1:10">
      <c r="A114" s="4" t="s">
        <v>165</v>
      </c>
      <c r="B114" s="4" t="s">
        <v>172</v>
      </c>
      <c r="C114" s="13">
        <v>1</v>
      </c>
      <c r="D114" s="7" t="s">
        <v>192</v>
      </c>
      <c r="E114" s="13" t="s">
        <v>103</v>
      </c>
      <c r="F114" s="13" t="s">
        <v>1312</v>
      </c>
      <c r="G114" s="13" t="s">
        <v>22</v>
      </c>
      <c r="H114" s="13" t="s">
        <v>89</v>
      </c>
      <c r="I114" s="115"/>
      <c r="J114" s="96"/>
    </row>
    <row r="115" spans="1:10">
      <c r="A115" s="4" t="s">
        <v>165</v>
      </c>
      <c r="B115" s="4" t="s">
        <v>29</v>
      </c>
      <c r="C115" s="13">
        <v>1</v>
      </c>
      <c r="D115" s="7" t="s">
        <v>195</v>
      </c>
      <c r="E115" s="13" t="s">
        <v>31</v>
      </c>
      <c r="F115" s="13" t="s">
        <v>1324</v>
      </c>
      <c r="G115" s="13" t="s">
        <v>22</v>
      </c>
      <c r="H115" s="13" t="s">
        <v>89</v>
      </c>
      <c r="I115" s="115"/>
      <c r="J115" s="96"/>
    </row>
    <row r="116" spans="1:10">
      <c r="A116" s="4" t="s">
        <v>176</v>
      </c>
      <c r="B116" s="4" t="s">
        <v>210</v>
      </c>
      <c r="C116" s="13">
        <v>1</v>
      </c>
      <c r="D116" s="7" t="s">
        <v>215</v>
      </c>
      <c r="E116" s="13" t="s">
        <v>65</v>
      </c>
      <c r="F116" s="13" t="s">
        <v>1331</v>
      </c>
      <c r="G116" s="13" t="s">
        <v>22</v>
      </c>
      <c r="H116" s="13" t="s">
        <v>89</v>
      </c>
      <c r="I116" s="115"/>
      <c r="J116" s="96"/>
    </row>
    <row r="117" spans="1:10">
      <c r="A117" s="4" t="s">
        <v>176</v>
      </c>
      <c r="B117" s="4" t="s">
        <v>210</v>
      </c>
      <c r="C117" s="13">
        <v>1</v>
      </c>
      <c r="D117" s="7" t="s">
        <v>217</v>
      </c>
      <c r="E117" s="13" t="s">
        <v>65</v>
      </c>
      <c r="F117" s="13" t="s">
        <v>1339</v>
      </c>
      <c r="G117" s="13" t="s">
        <v>22</v>
      </c>
      <c r="H117" s="13" t="s">
        <v>89</v>
      </c>
      <c r="I117" s="115"/>
      <c r="J117" s="96"/>
    </row>
    <row r="118" spans="1:10">
      <c r="A118" s="4" t="s">
        <v>176</v>
      </c>
      <c r="B118" s="4" t="s">
        <v>210</v>
      </c>
      <c r="C118" s="13">
        <v>1</v>
      </c>
      <c r="D118" s="7" t="s">
        <v>219</v>
      </c>
      <c r="E118" s="13" t="s">
        <v>65</v>
      </c>
      <c r="F118" s="13" t="s">
        <v>1343</v>
      </c>
      <c r="G118" s="13" t="s">
        <v>22</v>
      </c>
      <c r="H118" s="13" t="s">
        <v>89</v>
      </c>
      <c r="I118" s="115"/>
      <c r="J118" s="96"/>
    </row>
    <row r="119" spans="1:10">
      <c r="A119" s="4" t="s">
        <v>176</v>
      </c>
      <c r="B119" s="4" t="s">
        <v>210</v>
      </c>
      <c r="C119" s="13">
        <v>1</v>
      </c>
      <c r="D119" s="7" t="s">
        <v>222</v>
      </c>
      <c r="E119" s="13" t="s">
        <v>238</v>
      </c>
      <c r="F119" s="13" t="s">
        <v>1348</v>
      </c>
      <c r="G119" s="13" t="s">
        <v>22</v>
      </c>
      <c r="H119" s="13" t="s">
        <v>89</v>
      </c>
      <c r="I119" s="115"/>
      <c r="J119" s="96"/>
    </row>
    <row r="120" spans="1:10">
      <c r="A120" s="4" t="s">
        <v>176</v>
      </c>
      <c r="B120" s="4" t="s">
        <v>210</v>
      </c>
      <c r="C120" s="13">
        <v>1</v>
      </c>
      <c r="D120" s="7" t="s">
        <v>224</v>
      </c>
      <c r="E120" s="13" t="s">
        <v>103</v>
      </c>
      <c r="F120" s="13" t="s">
        <v>1353</v>
      </c>
      <c r="G120" s="13" t="s">
        <v>22</v>
      </c>
      <c r="H120" s="13" t="s">
        <v>89</v>
      </c>
      <c r="I120" s="115"/>
      <c r="J120" s="96"/>
    </row>
    <row r="121" spans="1:10">
      <c r="A121" s="4" t="s">
        <v>176</v>
      </c>
      <c r="B121" s="4" t="s">
        <v>210</v>
      </c>
      <c r="C121" s="13">
        <v>1</v>
      </c>
      <c r="D121" s="7" t="s">
        <v>227</v>
      </c>
      <c r="E121" s="13" t="s">
        <v>374</v>
      </c>
      <c r="F121" s="13" t="s">
        <v>1361</v>
      </c>
      <c r="G121" s="13" t="s">
        <v>22</v>
      </c>
      <c r="H121" s="13" t="s">
        <v>89</v>
      </c>
      <c r="I121" s="115"/>
      <c r="J121" s="96"/>
    </row>
    <row r="122" spans="1:10">
      <c r="A122" s="4" t="s">
        <v>196</v>
      </c>
      <c r="B122" s="4" t="s">
        <v>241</v>
      </c>
      <c r="C122" s="13">
        <v>1</v>
      </c>
      <c r="D122" s="7" t="s">
        <v>242</v>
      </c>
      <c r="E122" s="13" t="s">
        <v>238</v>
      </c>
      <c r="F122" s="13" t="s">
        <v>1366</v>
      </c>
      <c r="G122" s="13" t="s">
        <v>22</v>
      </c>
      <c r="H122" s="13" t="s">
        <v>89</v>
      </c>
      <c r="I122" s="115"/>
      <c r="J122" s="96"/>
    </row>
    <row r="123" spans="1:10">
      <c r="A123" s="4" t="s">
        <v>196</v>
      </c>
      <c r="B123" s="4" t="s">
        <v>241</v>
      </c>
      <c r="C123" s="13">
        <v>1</v>
      </c>
      <c r="D123" s="7" t="s">
        <v>247</v>
      </c>
      <c r="E123" s="13" t="s">
        <v>65</v>
      </c>
      <c r="F123" s="13" t="s">
        <v>1374</v>
      </c>
      <c r="G123" s="13" t="s">
        <v>22</v>
      </c>
      <c r="H123" s="13" t="s">
        <v>89</v>
      </c>
      <c r="I123" s="115"/>
      <c r="J123" s="96"/>
    </row>
    <row r="124" spans="1:10">
      <c r="A124" s="4" t="s">
        <v>196</v>
      </c>
      <c r="B124" s="4" t="s">
        <v>241</v>
      </c>
      <c r="C124" s="13">
        <v>1</v>
      </c>
      <c r="D124" s="7" t="s">
        <v>249</v>
      </c>
      <c r="E124" s="13" t="s">
        <v>31</v>
      </c>
      <c r="F124" s="13" t="s">
        <v>1383</v>
      </c>
      <c r="G124" s="13" t="s">
        <v>22</v>
      </c>
      <c r="H124" s="13" t="s">
        <v>89</v>
      </c>
      <c r="I124" s="115"/>
      <c r="J124" s="96"/>
    </row>
    <row r="125" spans="1:10">
      <c r="A125" s="4" t="s">
        <v>196</v>
      </c>
      <c r="B125" s="4" t="s">
        <v>241</v>
      </c>
      <c r="C125" s="13">
        <v>1</v>
      </c>
      <c r="D125" s="7" t="s">
        <v>250</v>
      </c>
      <c r="E125" s="13" t="s">
        <v>65</v>
      </c>
      <c r="F125" s="13" t="s">
        <v>1391</v>
      </c>
      <c r="G125" s="13" t="s">
        <v>22</v>
      </c>
      <c r="H125" s="13" t="s">
        <v>89</v>
      </c>
      <c r="I125" s="115"/>
      <c r="J125" s="96"/>
    </row>
    <row r="126" spans="1:10">
      <c r="A126" s="4" t="s">
        <v>196</v>
      </c>
      <c r="B126" s="4" t="s">
        <v>241</v>
      </c>
      <c r="C126" s="13">
        <v>1</v>
      </c>
      <c r="D126" s="7" t="s">
        <v>254</v>
      </c>
      <c r="E126" s="13" t="s">
        <v>103</v>
      </c>
      <c r="F126" s="13" t="s">
        <v>1399</v>
      </c>
      <c r="G126" s="13" t="s">
        <v>22</v>
      </c>
      <c r="H126" s="13" t="s">
        <v>89</v>
      </c>
      <c r="I126" s="115"/>
      <c r="J126" s="96"/>
    </row>
    <row r="127" spans="1:10">
      <c r="A127" s="4" t="s">
        <v>196</v>
      </c>
      <c r="B127" s="4" t="s">
        <v>241</v>
      </c>
      <c r="C127" s="13">
        <v>1</v>
      </c>
      <c r="D127" s="7" t="s">
        <v>255</v>
      </c>
      <c r="E127" s="13" t="s">
        <v>408</v>
      </c>
      <c r="F127" s="13" t="s">
        <v>1406</v>
      </c>
      <c r="G127" s="13" t="s">
        <v>22</v>
      </c>
      <c r="H127" s="13" t="s">
        <v>89</v>
      </c>
      <c r="I127" s="115"/>
      <c r="J127" s="96"/>
    </row>
    <row r="128" spans="1:10">
      <c r="A128" s="4" t="s">
        <v>67</v>
      </c>
      <c r="B128" s="4" t="s">
        <v>1720</v>
      </c>
      <c r="C128" s="13">
        <v>1</v>
      </c>
      <c r="D128" s="7" t="s">
        <v>269</v>
      </c>
      <c r="E128" s="13" t="s">
        <v>374</v>
      </c>
      <c r="F128" s="13"/>
      <c r="G128" s="13" t="s">
        <v>261</v>
      </c>
      <c r="H128" s="13" t="s">
        <v>89</v>
      </c>
      <c r="I128" s="115"/>
      <c r="J128" s="96"/>
    </row>
    <row r="129" spans="1:10">
      <c r="A129" s="4" t="s">
        <v>67</v>
      </c>
      <c r="B129" s="4" t="s">
        <v>1720</v>
      </c>
      <c r="C129" s="13">
        <v>1</v>
      </c>
      <c r="D129" s="7" t="s">
        <v>273</v>
      </c>
      <c r="E129" s="13" t="s">
        <v>374</v>
      </c>
      <c r="F129" s="13"/>
      <c r="G129" s="13" t="s">
        <v>261</v>
      </c>
      <c r="H129" s="13" t="s">
        <v>89</v>
      </c>
      <c r="I129" s="115"/>
      <c r="J129" s="96"/>
    </row>
    <row r="130" spans="1:10">
      <c r="A130" s="4" t="s">
        <v>67</v>
      </c>
      <c r="B130" s="4" t="s">
        <v>275</v>
      </c>
      <c r="C130" s="13">
        <v>1</v>
      </c>
      <c r="D130" s="7" t="s">
        <v>277</v>
      </c>
      <c r="E130" s="13" t="s">
        <v>155</v>
      </c>
      <c r="F130" s="13"/>
      <c r="G130" s="13" t="s">
        <v>261</v>
      </c>
      <c r="H130" s="13" t="s">
        <v>89</v>
      </c>
      <c r="I130" s="115"/>
      <c r="J130" s="96"/>
    </row>
    <row r="131" spans="1:10">
      <c r="A131" s="4" t="s">
        <v>67</v>
      </c>
      <c r="B131" s="4" t="s">
        <v>278</v>
      </c>
      <c r="C131" s="13">
        <v>1</v>
      </c>
      <c r="D131" s="7" t="s">
        <v>281</v>
      </c>
      <c r="E131" s="13" t="s">
        <v>155</v>
      </c>
      <c r="F131" s="13"/>
      <c r="G131" s="13" t="s">
        <v>261</v>
      </c>
      <c r="H131" s="13" t="s">
        <v>89</v>
      </c>
      <c r="I131" s="115"/>
      <c r="J131" s="96"/>
    </row>
    <row r="132" spans="1:10">
      <c r="A132" s="4" t="s">
        <v>67</v>
      </c>
      <c r="B132" s="4" t="s">
        <v>278</v>
      </c>
      <c r="C132" s="13">
        <v>1</v>
      </c>
      <c r="D132" s="7" t="s">
        <v>285</v>
      </c>
      <c r="E132" s="13" t="s">
        <v>374</v>
      </c>
      <c r="F132" s="13"/>
      <c r="G132" s="13" t="s">
        <v>261</v>
      </c>
      <c r="H132" s="13" t="s">
        <v>89</v>
      </c>
      <c r="I132" s="115"/>
      <c r="J132" s="96"/>
    </row>
    <row r="133" spans="1:10">
      <c r="A133" s="4" t="s">
        <v>81</v>
      </c>
      <c r="B133" s="4" t="s">
        <v>286</v>
      </c>
      <c r="C133" s="13">
        <v>1</v>
      </c>
      <c r="D133" s="7" t="s">
        <v>289</v>
      </c>
      <c r="E133" s="13" t="s">
        <v>155</v>
      </c>
      <c r="F133" s="13"/>
      <c r="G133" s="13" t="s">
        <v>261</v>
      </c>
      <c r="H133" s="13" t="s">
        <v>89</v>
      </c>
      <c r="I133" s="115"/>
      <c r="J133" s="96"/>
    </row>
    <row r="134" spans="1:10">
      <c r="A134" s="4" t="s">
        <v>81</v>
      </c>
      <c r="B134" s="4" t="s">
        <v>286</v>
      </c>
      <c r="C134" s="13">
        <v>1</v>
      </c>
      <c r="D134" s="7" t="s">
        <v>293</v>
      </c>
      <c r="E134" s="13" t="s">
        <v>374</v>
      </c>
      <c r="F134" s="13"/>
      <c r="G134" s="13" t="s">
        <v>261</v>
      </c>
      <c r="H134" s="13" t="s">
        <v>89</v>
      </c>
      <c r="I134" s="115"/>
      <c r="J134" s="96"/>
    </row>
    <row r="135" spans="1:10">
      <c r="A135" s="4" t="s">
        <v>81</v>
      </c>
      <c r="B135" s="4" t="s">
        <v>294</v>
      </c>
      <c r="C135" s="13">
        <v>1</v>
      </c>
      <c r="D135" s="7" t="s">
        <v>297</v>
      </c>
      <c r="E135" s="13" t="s">
        <v>155</v>
      </c>
      <c r="F135" s="13"/>
      <c r="G135" s="13" t="s">
        <v>261</v>
      </c>
      <c r="H135" s="13" t="s">
        <v>89</v>
      </c>
      <c r="I135" s="115"/>
      <c r="J135" s="96"/>
    </row>
    <row r="136" spans="1:10">
      <c r="A136" s="4" t="s">
        <v>140</v>
      </c>
      <c r="B136" s="4" t="s">
        <v>299</v>
      </c>
      <c r="C136" s="13">
        <v>1</v>
      </c>
      <c r="D136" s="7" t="s">
        <v>480</v>
      </c>
      <c r="E136" s="13" t="s">
        <v>155</v>
      </c>
      <c r="F136" s="13"/>
      <c r="G136" s="13" t="s">
        <v>261</v>
      </c>
      <c r="H136" s="13" t="s">
        <v>89</v>
      </c>
      <c r="I136" s="115"/>
      <c r="J136" s="96"/>
    </row>
    <row r="137" spans="1:10">
      <c r="A137" s="4" t="s">
        <v>140</v>
      </c>
      <c r="B137" s="4" t="s">
        <v>299</v>
      </c>
      <c r="C137" s="13">
        <v>1</v>
      </c>
      <c r="D137" s="7" t="s">
        <v>482</v>
      </c>
      <c r="E137" s="13" t="s">
        <v>374</v>
      </c>
      <c r="F137" s="13"/>
      <c r="G137" s="13" t="s">
        <v>261</v>
      </c>
      <c r="H137" s="13" t="s">
        <v>89</v>
      </c>
      <c r="I137" s="115"/>
      <c r="J137" s="96"/>
    </row>
    <row r="138" spans="1:10">
      <c r="A138" s="4" t="s">
        <v>268</v>
      </c>
      <c r="B138" s="4" t="s">
        <v>40</v>
      </c>
      <c r="C138" s="13">
        <v>2</v>
      </c>
      <c r="D138" s="7" t="s">
        <v>45</v>
      </c>
      <c r="E138" s="13" t="s">
        <v>351</v>
      </c>
      <c r="F138" s="13"/>
      <c r="G138" s="13" t="s">
        <v>261</v>
      </c>
      <c r="H138" s="13" t="s">
        <v>89</v>
      </c>
      <c r="I138" s="115"/>
      <c r="J138" s="96"/>
    </row>
    <row r="139" spans="1:10">
      <c r="A139" s="4" t="s">
        <v>268</v>
      </c>
      <c r="B139" s="4" t="s">
        <v>29</v>
      </c>
      <c r="C139" s="13">
        <v>2</v>
      </c>
      <c r="D139" s="7" t="s">
        <v>30</v>
      </c>
      <c r="E139" s="13" t="s">
        <v>207</v>
      </c>
      <c r="F139" s="13"/>
      <c r="G139" s="13" t="s">
        <v>261</v>
      </c>
      <c r="H139" s="13" t="s">
        <v>89</v>
      </c>
      <c r="I139" s="115"/>
      <c r="J139" s="96"/>
    </row>
    <row r="140" spans="1:10">
      <c r="A140" s="4" t="s">
        <v>268</v>
      </c>
      <c r="B140" s="4" t="s">
        <v>29</v>
      </c>
      <c r="C140" s="13">
        <v>2</v>
      </c>
      <c r="D140" s="7" t="s">
        <v>32</v>
      </c>
      <c r="E140" s="13" t="s">
        <v>207</v>
      </c>
      <c r="F140" s="13"/>
      <c r="G140" s="13" t="s">
        <v>261</v>
      </c>
      <c r="H140" s="13" t="s">
        <v>89</v>
      </c>
      <c r="I140" s="115"/>
      <c r="J140" s="96"/>
    </row>
    <row r="141" spans="1:10">
      <c r="A141" s="4" t="s">
        <v>268</v>
      </c>
      <c r="B141" s="4" t="s">
        <v>18</v>
      </c>
      <c r="C141" s="13">
        <v>2</v>
      </c>
      <c r="D141" s="7" t="s">
        <v>19</v>
      </c>
      <c r="E141" s="13" t="s">
        <v>271</v>
      </c>
      <c r="F141" s="13"/>
      <c r="G141" s="13" t="s">
        <v>261</v>
      </c>
      <c r="H141" s="13" t="s">
        <v>89</v>
      </c>
      <c r="I141" s="115"/>
      <c r="J141" s="96"/>
    </row>
    <row r="142" spans="1:10">
      <c r="A142" s="4" t="s">
        <v>268</v>
      </c>
      <c r="B142" s="4" t="s">
        <v>23</v>
      </c>
      <c r="C142" s="13">
        <v>2</v>
      </c>
      <c r="D142" s="7" t="s">
        <v>25</v>
      </c>
      <c r="E142" s="13" t="s">
        <v>207</v>
      </c>
      <c r="F142" s="13"/>
      <c r="G142" s="13" t="s">
        <v>261</v>
      </c>
      <c r="H142" s="13" t="s">
        <v>89</v>
      </c>
      <c r="I142" s="115"/>
      <c r="J142" s="96"/>
    </row>
    <row r="143" spans="1:10">
      <c r="A143" s="4" t="s">
        <v>268</v>
      </c>
      <c r="B143" s="4" t="s">
        <v>23</v>
      </c>
      <c r="C143" s="13">
        <v>2</v>
      </c>
      <c r="D143" s="7" t="s">
        <v>27</v>
      </c>
      <c r="E143" s="13" t="s">
        <v>155</v>
      </c>
      <c r="F143" s="13"/>
      <c r="G143" s="13" t="s">
        <v>261</v>
      </c>
      <c r="H143" s="13" t="s">
        <v>89</v>
      </c>
      <c r="I143" s="115"/>
      <c r="J143" s="96"/>
    </row>
    <row r="144" spans="1:10">
      <c r="A144" s="4" t="s">
        <v>268</v>
      </c>
      <c r="B144" s="4" t="s">
        <v>23</v>
      </c>
      <c r="C144" s="13">
        <v>2</v>
      </c>
      <c r="D144" s="7" t="s">
        <v>24</v>
      </c>
      <c r="E144" s="13" t="s">
        <v>374</v>
      </c>
      <c r="F144" s="13"/>
      <c r="G144" s="13" t="s">
        <v>261</v>
      </c>
      <c r="H144" s="13" t="s">
        <v>89</v>
      </c>
      <c r="I144" s="115"/>
      <c r="J144" s="96"/>
    </row>
    <row r="145" spans="1:10">
      <c r="A145" s="4" t="s">
        <v>268</v>
      </c>
      <c r="B145" s="4" t="s">
        <v>23</v>
      </c>
      <c r="C145" s="13">
        <v>2</v>
      </c>
      <c r="D145" s="7" t="s">
        <v>28</v>
      </c>
      <c r="E145" s="13" t="s">
        <v>207</v>
      </c>
      <c r="F145" s="13"/>
      <c r="G145" s="13" t="s">
        <v>261</v>
      </c>
      <c r="H145" s="13" t="s">
        <v>89</v>
      </c>
      <c r="I145" s="115"/>
      <c r="J145" s="96"/>
    </row>
    <row r="146" spans="1:10">
      <c r="A146" s="4" t="s">
        <v>268</v>
      </c>
      <c r="B146" s="4" t="s">
        <v>40</v>
      </c>
      <c r="C146" s="13">
        <v>2</v>
      </c>
      <c r="D146" s="7" t="s">
        <v>52</v>
      </c>
      <c r="E146" s="13" t="s">
        <v>491</v>
      </c>
      <c r="F146" s="13"/>
      <c r="G146" s="13" t="s">
        <v>261</v>
      </c>
      <c r="H146" s="13" t="s">
        <v>89</v>
      </c>
      <c r="I146" s="115"/>
      <c r="J146" s="96"/>
    </row>
    <row r="147" spans="1:10">
      <c r="A147" s="4" t="s">
        <v>268</v>
      </c>
      <c r="B147" s="4" t="s">
        <v>40</v>
      </c>
      <c r="C147" s="13">
        <v>2</v>
      </c>
      <c r="D147" s="7" t="s">
        <v>54</v>
      </c>
      <c r="E147" s="13" t="s">
        <v>65</v>
      </c>
      <c r="F147" s="13"/>
      <c r="G147" s="13" t="s">
        <v>261</v>
      </c>
      <c r="H147" s="13" t="s">
        <v>89</v>
      </c>
      <c r="I147" s="115"/>
      <c r="J147" s="96"/>
    </row>
    <row r="148" spans="1:10">
      <c r="A148" s="4" t="s">
        <v>268</v>
      </c>
      <c r="B148" s="4" t="s">
        <v>40</v>
      </c>
      <c r="C148" s="13">
        <v>2</v>
      </c>
      <c r="D148" s="7" t="s">
        <v>55</v>
      </c>
      <c r="E148" s="13" t="s">
        <v>103</v>
      </c>
      <c r="F148" s="13"/>
      <c r="G148" s="13" t="s">
        <v>261</v>
      </c>
      <c r="H148" s="13" t="s">
        <v>89</v>
      </c>
      <c r="I148" s="115"/>
      <c r="J148" s="96"/>
    </row>
    <row r="149" spans="1:10">
      <c r="A149" s="4" t="s">
        <v>268</v>
      </c>
      <c r="B149" s="4" t="s">
        <v>40</v>
      </c>
      <c r="C149" s="13">
        <v>2</v>
      </c>
      <c r="D149" s="7" t="s">
        <v>46</v>
      </c>
      <c r="E149" s="13" t="s">
        <v>493</v>
      </c>
      <c r="F149" s="13"/>
      <c r="G149" s="13" t="s">
        <v>261</v>
      </c>
      <c r="H149" s="13" t="s">
        <v>89</v>
      </c>
      <c r="I149" s="115"/>
      <c r="J149" s="96" t="s">
        <v>3161</v>
      </c>
    </row>
    <row r="150" spans="1:10">
      <c r="A150" s="4" t="s">
        <v>268</v>
      </c>
      <c r="B150" s="4" t="s">
        <v>40</v>
      </c>
      <c r="C150" s="13">
        <v>2</v>
      </c>
      <c r="D150" s="7" t="s">
        <v>47</v>
      </c>
      <c r="E150" s="13" t="s">
        <v>493</v>
      </c>
      <c r="F150" s="13"/>
      <c r="G150" s="13" t="s">
        <v>261</v>
      </c>
      <c r="H150" s="13" t="s">
        <v>89</v>
      </c>
      <c r="I150" s="115"/>
      <c r="J150" s="96" t="s">
        <v>3161</v>
      </c>
    </row>
    <row r="151" spans="1:10">
      <c r="A151" s="4" t="s">
        <v>268</v>
      </c>
      <c r="B151" s="4" t="s">
        <v>40</v>
      </c>
      <c r="C151" s="13">
        <v>2</v>
      </c>
      <c r="D151" s="7" t="s">
        <v>48</v>
      </c>
      <c r="E151" s="13" t="s">
        <v>493</v>
      </c>
      <c r="F151" s="13"/>
      <c r="G151" s="13" t="s">
        <v>261</v>
      </c>
      <c r="H151" s="13" t="s">
        <v>89</v>
      </c>
      <c r="I151" s="115"/>
      <c r="J151" s="96" t="s">
        <v>3161</v>
      </c>
    </row>
    <row r="152" spans="1:10">
      <c r="A152" s="4" t="s">
        <v>268</v>
      </c>
      <c r="B152" s="4" t="s">
        <v>40</v>
      </c>
      <c r="C152" s="13">
        <v>2</v>
      </c>
      <c r="D152" s="7" t="s">
        <v>50</v>
      </c>
      <c r="E152" s="13" t="s">
        <v>238</v>
      </c>
      <c r="F152" s="13"/>
      <c r="G152" s="13" t="s">
        <v>261</v>
      </c>
      <c r="H152" s="13" t="s">
        <v>89</v>
      </c>
      <c r="I152" s="115"/>
      <c r="J152" s="96" t="s">
        <v>3161</v>
      </c>
    </row>
    <row r="153" spans="1:10">
      <c r="A153" s="4" t="s">
        <v>268</v>
      </c>
      <c r="B153" s="4" t="s">
        <v>29</v>
      </c>
      <c r="C153" s="13">
        <v>2</v>
      </c>
      <c r="D153" s="7" t="s">
        <v>33</v>
      </c>
      <c r="E153" s="13" t="s">
        <v>155</v>
      </c>
      <c r="F153" s="13"/>
      <c r="G153" s="13" t="s">
        <v>66</v>
      </c>
      <c r="H153" s="13" t="s">
        <v>89</v>
      </c>
      <c r="I153" s="115"/>
      <c r="J153" s="96"/>
    </row>
    <row r="154" spans="1:10">
      <c r="A154" s="4" t="s">
        <v>268</v>
      </c>
      <c r="B154" s="4" t="s">
        <v>29</v>
      </c>
      <c r="C154" s="13">
        <v>2</v>
      </c>
      <c r="D154" s="7" t="s">
        <v>34</v>
      </c>
      <c r="E154" s="13" t="s">
        <v>31</v>
      </c>
      <c r="F154" s="13"/>
      <c r="G154" s="13" t="s">
        <v>66</v>
      </c>
      <c r="H154" s="13" t="s">
        <v>89</v>
      </c>
      <c r="I154" s="115"/>
      <c r="J154" s="96"/>
    </row>
    <row r="155" spans="1:10">
      <c r="A155" s="4" t="s">
        <v>176</v>
      </c>
      <c r="B155" s="4" t="s">
        <v>82</v>
      </c>
      <c r="C155" s="13">
        <v>1</v>
      </c>
      <c r="D155" s="7" t="s">
        <v>231</v>
      </c>
      <c r="E155" s="13" t="s">
        <v>155</v>
      </c>
      <c r="F155" s="13"/>
      <c r="G155" s="13" t="s">
        <v>66</v>
      </c>
      <c r="H155" s="13" t="s">
        <v>89</v>
      </c>
      <c r="I155" s="115"/>
      <c r="J155" s="96"/>
    </row>
    <row r="156" spans="1:10">
      <c r="A156" s="4" t="s">
        <v>165</v>
      </c>
      <c r="B156" s="4" t="s">
        <v>183</v>
      </c>
      <c r="C156" s="13">
        <v>1</v>
      </c>
      <c r="D156" s="7" t="s">
        <v>206</v>
      </c>
      <c r="E156" s="13" t="s">
        <v>155</v>
      </c>
      <c r="F156" s="13"/>
      <c r="G156" s="13" t="s">
        <v>66</v>
      </c>
      <c r="H156" s="13" t="s">
        <v>89</v>
      </c>
      <c r="I156" s="115"/>
      <c r="J156" s="96"/>
    </row>
    <row r="157" spans="1:10">
      <c r="A157" s="4" t="s">
        <v>198</v>
      </c>
      <c r="B157" s="4" t="s">
        <v>356</v>
      </c>
      <c r="C157" s="13">
        <v>2</v>
      </c>
      <c r="D157" s="7" t="s">
        <v>363</v>
      </c>
      <c r="E157" s="13" t="s">
        <v>155</v>
      </c>
      <c r="F157" s="13"/>
      <c r="G157" s="13" t="s">
        <v>66</v>
      </c>
      <c r="H157" s="13" t="s">
        <v>89</v>
      </c>
      <c r="I157" s="115"/>
      <c r="J157" s="96"/>
    </row>
    <row r="158" spans="1:10">
      <c r="A158" s="4" t="s">
        <v>196</v>
      </c>
      <c r="B158" s="4" t="s">
        <v>241</v>
      </c>
      <c r="C158" s="13">
        <v>1</v>
      </c>
      <c r="D158" s="7" t="s">
        <v>256</v>
      </c>
      <c r="E158" s="13" t="s">
        <v>238</v>
      </c>
      <c r="F158" s="13"/>
      <c r="G158" s="13" t="s">
        <v>66</v>
      </c>
      <c r="H158" s="13" t="s">
        <v>89</v>
      </c>
      <c r="I158" s="115"/>
      <c r="J158" s="96"/>
    </row>
    <row r="159" spans="1:10">
      <c r="A159" s="4" t="s">
        <v>13</v>
      </c>
      <c r="B159" s="4" t="s">
        <v>15</v>
      </c>
      <c r="C159" s="13">
        <v>1</v>
      </c>
      <c r="D159" s="7" t="s">
        <v>64</v>
      </c>
      <c r="E159" s="13" t="s">
        <v>155</v>
      </c>
      <c r="F159" s="13"/>
      <c r="G159" s="13" t="s">
        <v>66</v>
      </c>
      <c r="H159" s="13" t="s">
        <v>89</v>
      </c>
      <c r="I159" s="115"/>
      <c r="J159" s="96"/>
    </row>
    <row r="160" spans="1:10">
      <c r="A160" s="4" t="s">
        <v>140</v>
      </c>
      <c r="B160" s="4" t="s">
        <v>306</v>
      </c>
      <c r="C160" s="13">
        <v>1</v>
      </c>
      <c r="D160" s="7" t="s">
        <v>307</v>
      </c>
      <c r="E160" s="13" t="s">
        <v>155</v>
      </c>
      <c r="F160" s="13"/>
      <c r="G160" s="13" t="s">
        <v>66</v>
      </c>
      <c r="H160" s="13" t="s">
        <v>89</v>
      </c>
      <c r="I160" s="115"/>
      <c r="J160" s="96"/>
    </row>
    <row r="161" spans="1:10">
      <c r="A161" s="4" t="s">
        <v>140</v>
      </c>
      <c r="B161" s="4" t="s">
        <v>141</v>
      </c>
      <c r="C161" s="13">
        <v>1</v>
      </c>
      <c r="D161" s="7" t="s">
        <v>168</v>
      </c>
      <c r="E161" s="13" t="s">
        <v>491</v>
      </c>
      <c r="F161" s="13"/>
      <c r="G161" s="13" t="s">
        <v>66</v>
      </c>
      <c r="H161" s="13" t="s">
        <v>89</v>
      </c>
      <c r="I161" s="115"/>
      <c r="J161" s="96"/>
    </row>
    <row r="162" spans="1:10">
      <c r="A162" s="4" t="s">
        <v>113</v>
      </c>
      <c r="B162" s="4" t="s">
        <v>114</v>
      </c>
      <c r="C162" s="13">
        <v>1</v>
      </c>
      <c r="D162" s="7" t="s">
        <v>132</v>
      </c>
      <c r="E162" s="13" t="s">
        <v>491</v>
      </c>
      <c r="F162" s="13"/>
      <c r="G162" s="13" t="s">
        <v>66</v>
      </c>
      <c r="H162" s="13" t="s">
        <v>89</v>
      </c>
      <c r="I162" s="115"/>
      <c r="J162" s="96"/>
    </row>
    <row r="163" spans="1:10">
      <c r="A163" s="4" t="s">
        <v>79</v>
      </c>
      <c r="B163" s="4" t="s">
        <v>1665</v>
      </c>
      <c r="C163" s="13">
        <v>1</v>
      </c>
      <c r="D163" s="7" t="s">
        <v>510</v>
      </c>
      <c r="E163" s="13" t="s">
        <v>128</v>
      </c>
      <c r="F163" s="13"/>
      <c r="G163" s="13" t="s">
        <v>513</v>
      </c>
      <c r="H163" s="13" t="s">
        <v>89</v>
      </c>
      <c r="I163" s="115"/>
      <c r="J163" s="96"/>
    </row>
    <row r="164" spans="1:10">
      <c r="A164" s="4" t="s">
        <v>79</v>
      </c>
      <c r="B164" s="4" t="s">
        <v>1665</v>
      </c>
      <c r="C164" s="13">
        <v>1</v>
      </c>
      <c r="D164" s="7" t="s">
        <v>517</v>
      </c>
      <c r="E164" s="13" t="s">
        <v>128</v>
      </c>
      <c r="F164" s="13"/>
      <c r="G164" s="13" t="s">
        <v>513</v>
      </c>
      <c r="H164" s="13" t="s">
        <v>89</v>
      </c>
      <c r="I164" s="115"/>
      <c r="J164" s="96"/>
    </row>
    <row r="165" spans="1:10">
      <c r="A165" s="4" t="s">
        <v>79</v>
      </c>
      <c r="B165" s="4" t="s">
        <v>1665</v>
      </c>
      <c r="C165" s="13">
        <v>1</v>
      </c>
      <c r="D165" s="7" t="s">
        <v>518</v>
      </c>
      <c r="E165" s="13" t="s">
        <v>128</v>
      </c>
      <c r="F165" s="13"/>
      <c r="G165" s="13" t="s">
        <v>513</v>
      </c>
      <c r="H165" s="13" t="s">
        <v>89</v>
      </c>
      <c r="I165" s="115"/>
      <c r="J165" s="96"/>
    </row>
    <row r="166" spans="1:10">
      <c r="A166" s="4" t="s">
        <v>79</v>
      </c>
      <c r="B166" s="4" t="s">
        <v>15</v>
      </c>
      <c r="C166" s="13">
        <v>1</v>
      </c>
      <c r="D166" s="7" t="s">
        <v>3117</v>
      </c>
      <c r="E166" s="13" t="s">
        <v>207</v>
      </c>
      <c r="F166" s="13"/>
      <c r="G166" s="13" t="s">
        <v>513</v>
      </c>
      <c r="H166" s="13" t="s">
        <v>89</v>
      </c>
      <c r="I166" s="115"/>
      <c r="J166" s="96"/>
    </row>
    <row r="167" spans="1:10">
      <c r="A167" s="4" t="s">
        <v>79</v>
      </c>
      <c r="B167" s="4" t="s">
        <v>15</v>
      </c>
      <c r="C167" s="13">
        <v>1</v>
      </c>
      <c r="D167" s="7" t="s">
        <v>3118</v>
      </c>
      <c r="E167" s="13" t="s">
        <v>207</v>
      </c>
      <c r="F167" s="13"/>
      <c r="G167" s="13" t="s">
        <v>513</v>
      </c>
      <c r="H167" s="13" t="s">
        <v>89</v>
      </c>
      <c r="I167" s="115"/>
      <c r="J167" s="96"/>
    </row>
    <row r="168" spans="1:10">
      <c r="A168" s="4" t="s">
        <v>79</v>
      </c>
      <c r="B168" s="4" t="s">
        <v>15</v>
      </c>
      <c r="C168" s="13">
        <v>1</v>
      </c>
      <c r="D168" s="7" t="s">
        <v>522</v>
      </c>
      <c r="E168" s="13" t="s">
        <v>374</v>
      </c>
      <c r="F168" s="13"/>
      <c r="G168" s="13" t="s">
        <v>513</v>
      </c>
      <c r="H168" s="13" t="s">
        <v>89</v>
      </c>
      <c r="I168" s="115"/>
      <c r="J168" s="96"/>
    </row>
    <row r="169" spans="1:10">
      <c r="A169" s="4" t="s">
        <v>79</v>
      </c>
      <c r="B169" s="4" t="s">
        <v>15</v>
      </c>
      <c r="C169" s="13">
        <v>1</v>
      </c>
      <c r="D169" s="7" t="s">
        <v>524</v>
      </c>
      <c r="E169" s="13" t="s">
        <v>238</v>
      </c>
      <c r="F169" s="13"/>
      <c r="G169" s="13" t="s">
        <v>513</v>
      </c>
      <c r="H169" s="13" t="s">
        <v>89</v>
      </c>
      <c r="I169" s="115"/>
      <c r="J169" s="96"/>
    </row>
    <row r="170" spans="1:10">
      <c r="A170" s="4" t="s">
        <v>79</v>
      </c>
      <c r="B170" s="4" t="s">
        <v>258</v>
      </c>
      <c r="C170" s="13">
        <v>1</v>
      </c>
      <c r="D170" s="7" t="s">
        <v>526</v>
      </c>
      <c r="E170" s="13" t="s">
        <v>238</v>
      </c>
      <c r="F170" s="13"/>
      <c r="G170" s="13" t="s">
        <v>513</v>
      </c>
      <c r="H170" s="13" t="s">
        <v>89</v>
      </c>
      <c r="I170" s="115"/>
      <c r="J170" s="96"/>
    </row>
    <row r="171" spans="1:10">
      <c r="A171" s="4" t="s">
        <v>79</v>
      </c>
      <c r="B171" s="4" t="s">
        <v>258</v>
      </c>
      <c r="C171" s="13">
        <v>1</v>
      </c>
      <c r="D171" s="7" t="s">
        <v>528</v>
      </c>
      <c r="E171" s="13" t="s">
        <v>155</v>
      </c>
      <c r="F171" s="13"/>
      <c r="G171" s="13" t="s">
        <v>513</v>
      </c>
      <c r="H171" s="13" t="s">
        <v>89</v>
      </c>
      <c r="I171" s="115"/>
      <c r="J171" s="96"/>
    </row>
    <row r="172" spans="1:10">
      <c r="A172" s="4" t="s">
        <v>79</v>
      </c>
      <c r="B172" s="4" t="s">
        <v>258</v>
      </c>
      <c r="C172" s="13">
        <v>1</v>
      </c>
      <c r="D172" s="7" t="s">
        <v>530</v>
      </c>
      <c r="E172" s="13" t="s">
        <v>374</v>
      </c>
      <c r="F172" s="13"/>
      <c r="G172" s="13" t="s">
        <v>513</v>
      </c>
      <c r="H172" s="13" t="s">
        <v>89</v>
      </c>
      <c r="I172" s="115"/>
      <c r="J172" s="96"/>
    </row>
    <row r="173" spans="1:10">
      <c r="A173" s="4" t="s">
        <v>79</v>
      </c>
      <c r="B173" s="4" t="s">
        <v>1723</v>
      </c>
      <c r="C173" s="13">
        <v>1</v>
      </c>
      <c r="D173" s="7" t="s">
        <v>531</v>
      </c>
      <c r="E173" s="13" t="s">
        <v>207</v>
      </c>
      <c r="F173" s="13"/>
      <c r="G173" s="13" t="s">
        <v>513</v>
      </c>
      <c r="H173" s="13" t="s">
        <v>89</v>
      </c>
      <c r="I173" s="115"/>
      <c r="J173" s="96"/>
    </row>
    <row r="174" spans="1:10">
      <c r="A174" s="4" t="s">
        <v>79</v>
      </c>
      <c r="B174" s="4" t="s">
        <v>1723</v>
      </c>
      <c r="C174" s="13">
        <v>1</v>
      </c>
      <c r="D174" s="7" t="s">
        <v>533</v>
      </c>
      <c r="E174" s="13" t="s">
        <v>207</v>
      </c>
      <c r="F174" s="13"/>
      <c r="G174" s="13" t="s">
        <v>513</v>
      </c>
      <c r="H174" s="13" t="s">
        <v>89</v>
      </c>
      <c r="I174" s="115"/>
      <c r="J174" s="96"/>
    </row>
    <row r="175" spans="1:10">
      <c r="A175" s="4" t="s">
        <v>79</v>
      </c>
      <c r="B175" s="4" t="s">
        <v>1723</v>
      </c>
      <c r="C175" s="13">
        <v>1</v>
      </c>
      <c r="D175" s="7" t="s">
        <v>534</v>
      </c>
      <c r="E175" s="13" t="s">
        <v>374</v>
      </c>
      <c r="F175" s="13"/>
      <c r="G175" s="13" t="s">
        <v>513</v>
      </c>
      <c r="H175" s="13" t="s">
        <v>89</v>
      </c>
      <c r="I175" s="115"/>
      <c r="J175" s="96"/>
    </row>
    <row r="176" spans="1:10">
      <c r="A176" s="4" t="s">
        <v>79</v>
      </c>
      <c r="B176" s="4" t="s">
        <v>1723</v>
      </c>
      <c r="C176" s="13">
        <v>1</v>
      </c>
      <c r="D176" s="7" t="s">
        <v>83</v>
      </c>
      <c r="E176" s="13" t="s">
        <v>155</v>
      </c>
      <c r="F176" s="13"/>
      <c r="G176" s="13" t="s">
        <v>513</v>
      </c>
      <c r="H176" s="13" t="s">
        <v>89</v>
      </c>
      <c r="I176" s="115"/>
      <c r="J176" s="96"/>
    </row>
    <row r="177" spans="1:10">
      <c r="A177" s="4" t="s">
        <v>13</v>
      </c>
      <c r="B177" s="4" t="s">
        <v>15</v>
      </c>
      <c r="C177" s="13">
        <v>1</v>
      </c>
      <c r="D177" s="7" t="s">
        <v>537</v>
      </c>
      <c r="E177" s="13" t="s">
        <v>207</v>
      </c>
      <c r="F177" s="13"/>
      <c r="G177" s="13" t="s">
        <v>513</v>
      </c>
      <c r="H177" s="13" t="s">
        <v>89</v>
      </c>
      <c r="I177" s="115"/>
      <c r="J177" s="96"/>
    </row>
    <row r="178" spans="1:10">
      <c r="A178" s="4" t="s">
        <v>13</v>
      </c>
      <c r="B178" s="4" t="s">
        <v>15</v>
      </c>
      <c r="C178" s="13">
        <v>1</v>
      </c>
      <c r="D178" s="7" t="s">
        <v>539</v>
      </c>
      <c r="E178" s="13" t="s">
        <v>207</v>
      </c>
      <c r="F178" s="13"/>
      <c r="G178" s="13" t="s">
        <v>513</v>
      </c>
      <c r="H178" s="13" t="s">
        <v>89</v>
      </c>
      <c r="I178" s="115"/>
      <c r="J178" s="96"/>
    </row>
    <row r="179" spans="1:10">
      <c r="A179" s="4" t="s">
        <v>13</v>
      </c>
      <c r="B179" s="4" t="s">
        <v>15</v>
      </c>
      <c r="C179" s="13">
        <v>1</v>
      </c>
      <c r="D179" s="7" t="s">
        <v>540</v>
      </c>
      <c r="E179" s="13" t="s">
        <v>374</v>
      </c>
      <c r="F179" s="13"/>
      <c r="G179" s="13" t="s">
        <v>513</v>
      </c>
      <c r="H179" s="13" t="s">
        <v>89</v>
      </c>
      <c r="I179" s="115"/>
      <c r="J179" s="96"/>
    </row>
    <row r="180" spans="1:10">
      <c r="A180" s="4" t="s">
        <v>13</v>
      </c>
      <c r="B180" s="4" t="s">
        <v>1788</v>
      </c>
      <c r="C180" s="13">
        <v>1</v>
      </c>
      <c r="D180" s="7" t="s">
        <v>542</v>
      </c>
      <c r="E180" s="13" t="s">
        <v>155</v>
      </c>
      <c r="F180" s="13"/>
      <c r="G180" s="13" t="s">
        <v>513</v>
      </c>
      <c r="H180" s="13" t="s">
        <v>89</v>
      </c>
      <c r="I180" s="115"/>
      <c r="J180" s="96"/>
    </row>
    <row r="181" spans="1:10">
      <c r="A181" s="4" t="s">
        <v>13</v>
      </c>
      <c r="B181" s="4" t="s">
        <v>1788</v>
      </c>
      <c r="C181" s="13">
        <v>1</v>
      </c>
      <c r="D181" s="7" t="s">
        <v>544</v>
      </c>
      <c r="E181" s="13" t="s">
        <v>374</v>
      </c>
      <c r="F181" s="13"/>
      <c r="G181" s="13" t="s">
        <v>513</v>
      </c>
      <c r="H181" s="13" t="s">
        <v>89</v>
      </c>
      <c r="I181" s="115"/>
      <c r="J181" s="96"/>
    </row>
    <row r="182" spans="1:10">
      <c r="A182" s="4" t="s">
        <v>67</v>
      </c>
      <c r="B182" s="4" t="s">
        <v>1804</v>
      </c>
      <c r="C182" s="13">
        <v>1</v>
      </c>
      <c r="D182" s="7" t="s">
        <v>547</v>
      </c>
      <c r="E182" s="13" t="s">
        <v>155</v>
      </c>
      <c r="F182" s="13"/>
      <c r="G182" s="13" t="s">
        <v>513</v>
      </c>
      <c r="H182" s="13" t="s">
        <v>89</v>
      </c>
      <c r="I182" s="115"/>
      <c r="J182" s="96"/>
    </row>
    <row r="183" spans="1:10">
      <c r="A183" s="4" t="s">
        <v>67</v>
      </c>
      <c r="B183" s="4" t="s">
        <v>1804</v>
      </c>
      <c r="C183" s="13">
        <v>1</v>
      </c>
      <c r="D183" s="7" t="s">
        <v>548</v>
      </c>
      <c r="E183" s="13" t="s">
        <v>155</v>
      </c>
      <c r="F183" s="13"/>
      <c r="G183" s="13" t="s">
        <v>513</v>
      </c>
      <c r="H183" s="13" t="s">
        <v>89</v>
      </c>
      <c r="I183" s="115"/>
      <c r="J183" s="96"/>
    </row>
    <row r="184" spans="1:10">
      <c r="A184" s="4" t="s">
        <v>67</v>
      </c>
      <c r="B184" s="4" t="s">
        <v>1804</v>
      </c>
      <c r="C184" s="13">
        <v>1</v>
      </c>
      <c r="D184" s="7" t="s">
        <v>549</v>
      </c>
      <c r="E184" s="13" t="s">
        <v>207</v>
      </c>
      <c r="F184" s="13"/>
      <c r="G184" s="13" t="s">
        <v>513</v>
      </c>
      <c r="H184" s="13" t="s">
        <v>89</v>
      </c>
      <c r="I184" s="115"/>
      <c r="J184" s="96"/>
    </row>
    <row r="185" spans="1:10">
      <c r="A185" s="4" t="s">
        <v>67</v>
      </c>
      <c r="B185" s="4" t="s">
        <v>1804</v>
      </c>
      <c r="C185" s="13">
        <v>1</v>
      </c>
      <c r="D185" s="7" t="s">
        <v>549</v>
      </c>
      <c r="E185" s="13" t="s">
        <v>207</v>
      </c>
      <c r="F185" s="13"/>
      <c r="G185" s="13" t="s">
        <v>513</v>
      </c>
      <c r="H185" s="13" t="s">
        <v>89</v>
      </c>
      <c r="I185" s="115"/>
      <c r="J185" s="96"/>
    </row>
    <row r="186" spans="1:10">
      <c r="A186" s="4" t="s">
        <v>67</v>
      </c>
      <c r="B186" s="4" t="s">
        <v>1804</v>
      </c>
      <c r="C186" s="13">
        <v>1</v>
      </c>
      <c r="D186" s="7" t="s">
        <v>551</v>
      </c>
      <c r="E186" s="13" t="s">
        <v>374</v>
      </c>
      <c r="F186" s="13"/>
      <c r="G186" s="13" t="s">
        <v>513</v>
      </c>
      <c r="H186" s="13" t="s">
        <v>89</v>
      </c>
      <c r="I186" s="115"/>
      <c r="J186" s="96"/>
    </row>
    <row r="187" spans="1:10">
      <c r="A187" s="4" t="s">
        <v>81</v>
      </c>
      <c r="B187" s="4" t="s">
        <v>1869</v>
      </c>
      <c r="C187" s="13">
        <v>1</v>
      </c>
      <c r="D187" s="7" t="s">
        <v>554</v>
      </c>
      <c r="E187" s="13" t="s">
        <v>155</v>
      </c>
      <c r="F187" s="13"/>
      <c r="G187" s="13" t="s">
        <v>513</v>
      </c>
      <c r="H187" s="13" t="s">
        <v>89</v>
      </c>
      <c r="I187" s="115"/>
      <c r="J187" s="96"/>
    </row>
    <row r="188" spans="1:10">
      <c r="A188" s="4" t="s">
        <v>81</v>
      </c>
      <c r="B188" s="4" t="s">
        <v>1869</v>
      </c>
      <c r="C188" s="13">
        <v>1</v>
      </c>
      <c r="D188" s="7" t="s">
        <v>556</v>
      </c>
      <c r="E188" s="13" t="s">
        <v>374</v>
      </c>
      <c r="F188" s="13"/>
      <c r="G188" s="13" t="s">
        <v>513</v>
      </c>
      <c r="H188" s="13" t="s">
        <v>89</v>
      </c>
      <c r="I188" s="115"/>
      <c r="J188" s="96"/>
    </row>
    <row r="189" spans="1:10">
      <c r="A189" s="4" t="s">
        <v>81</v>
      </c>
      <c r="B189" s="4" t="s">
        <v>1889</v>
      </c>
      <c r="C189" s="13">
        <v>1</v>
      </c>
      <c r="D189" s="7" t="s">
        <v>558</v>
      </c>
      <c r="E189" s="13" t="s">
        <v>155</v>
      </c>
      <c r="F189" s="13"/>
      <c r="G189" s="13" t="s">
        <v>513</v>
      </c>
      <c r="H189" s="13" t="s">
        <v>89</v>
      </c>
      <c r="I189" s="115"/>
      <c r="J189" s="96"/>
    </row>
    <row r="190" spans="1:10">
      <c r="A190" s="4" t="s">
        <v>81</v>
      </c>
      <c r="B190" s="4" t="s">
        <v>1889</v>
      </c>
      <c r="C190" s="13">
        <v>1</v>
      </c>
      <c r="D190" s="7" t="s">
        <v>559</v>
      </c>
      <c r="E190" s="13" t="s">
        <v>374</v>
      </c>
      <c r="F190" s="13"/>
      <c r="G190" s="13" t="s">
        <v>513</v>
      </c>
      <c r="H190" s="13" t="s">
        <v>89</v>
      </c>
      <c r="I190" s="115"/>
      <c r="J190" s="96"/>
    </row>
    <row r="191" spans="1:10">
      <c r="A191" s="4" t="s">
        <v>81</v>
      </c>
      <c r="B191" s="4" t="s">
        <v>283</v>
      </c>
      <c r="C191" s="13">
        <v>1</v>
      </c>
      <c r="D191" s="7" t="s">
        <v>137</v>
      </c>
      <c r="E191" s="13" t="s">
        <v>155</v>
      </c>
      <c r="F191" s="13"/>
      <c r="G191" s="13" t="s">
        <v>513</v>
      </c>
      <c r="H191" s="13" t="s">
        <v>89</v>
      </c>
      <c r="I191" s="115"/>
      <c r="J191" s="96"/>
    </row>
    <row r="192" spans="1:10">
      <c r="A192" s="4" t="s">
        <v>81</v>
      </c>
      <c r="B192" s="4" t="s">
        <v>283</v>
      </c>
      <c r="C192" s="13">
        <v>1</v>
      </c>
      <c r="D192" s="7" t="s">
        <v>560</v>
      </c>
      <c r="E192" s="13" t="s">
        <v>374</v>
      </c>
      <c r="F192" s="13"/>
      <c r="G192" s="13" t="s">
        <v>513</v>
      </c>
      <c r="H192" s="13" t="s">
        <v>89</v>
      </c>
      <c r="I192" s="115"/>
      <c r="J192" s="96"/>
    </row>
    <row r="193" spans="1:10">
      <c r="A193" s="4" t="s">
        <v>81</v>
      </c>
      <c r="B193" s="4" t="s">
        <v>1934</v>
      </c>
      <c r="C193" s="13">
        <v>1</v>
      </c>
      <c r="D193" s="7" t="s">
        <v>562</v>
      </c>
      <c r="E193" s="13" t="s">
        <v>207</v>
      </c>
      <c r="F193" s="13"/>
      <c r="G193" s="13" t="s">
        <v>513</v>
      </c>
      <c r="H193" s="13" t="s">
        <v>89</v>
      </c>
      <c r="I193" s="115"/>
      <c r="J193" s="96"/>
    </row>
    <row r="194" spans="1:10">
      <c r="A194" s="4" t="s">
        <v>81</v>
      </c>
      <c r="B194" s="4" t="s">
        <v>1934</v>
      </c>
      <c r="C194" s="13">
        <v>1</v>
      </c>
      <c r="D194" s="7" t="s">
        <v>564</v>
      </c>
      <c r="E194" s="13" t="s">
        <v>207</v>
      </c>
      <c r="F194" s="13"/>
      <c r="G194" s="13" t="s">
        <v>513</v>
      </c>
      <c r="H194" s="13" t="s">
        <v>89</v>
      </c>
      <c r="I194" s="115"/>
      <c r="J194" s="96"/>
    </row>
    <row r="195" spans="1:10">
      <c r="A195" s="4" t="s">
        <v>81</v>
      </c>
      <c r="B195" s="4" t="s">
        <v>1934</v>
      </c>
      <c r="C195" s="13">
        <v>1</v>
      </c>
      <c r="D195" s="7" t="s">
        <v>149</v>
      </c>
      <c r="E195" s="13" t="s">
        <v>374</v>
      </c>
      <c r="F195" s="13"/>
      <c r="G195" s="13" t="s">
        <v>513</v>
      </c>
      <c r="H195" s="13" t="s">
        <v>89</v>
      </c>
      <c r="I195" s="115"/>
      <c r="J195" s="96"/>
    </row>
    <row r="196" spans="1:10">
      <c r="A196" s="4" t="s">
        <v>113</v>
      </c>
      <c r="B196" s="4" t="s">
        <v>1959</v>
      </c>
      <c r="C196" s="13">
        <v>1</v>
      </c>
      <c r="D196" s="7" t="s">
        <v>565</v>
      </c>
      <c r="E196" s="13" t="s">
        <v>155</v>
      </c>
      <c r="F196" s="13"/>
      <c r="G196" s="13" t="s">
        <v>513</v>
      </c>
      <c r="H196" s="13" t="s">
        <v>89</v>
      </c>
      <c r="I196" s="115"/>
      <c r="J196" s="96"/>
    </row>
    <row r="197" spans="1:10">
      <c r="A197" s="4" t="s">
        <v>113</v>
      </c>
      <c r="B197" s="4" t="s">
        <v>1959</v>
      </c>
      <c r="C197" s="13">
        <v>1</v>
      </c>
      <c r="D197" s="7" t="s">
        <v>568</v>
      </c>
      <c r="E197" s="13" t="s">
        <v>207</v>
      </c>
      <c r="F197" s="13"/>
      <c r="G197" s="13" t="s">
        <v>513</v>
      </c>
      <c r="H197" s="13" t="s">
        <v>89</v>
      </c>
      <c r="I197" s="115"/>
      <c r="J197" s="96"/>
    </row>
    <row r="198" spans="1:10">
      <c r="A198" s="4" t="s">
        <v>113</v>
      </c>
      <c r="B198" s="4" t="s">
        <v>1959</v>
      </c>
      <c r="C198" s="13">
        <v>1</v>
      </c>
      <c r="D198" s="7" t="s">
        <v>156</v>
      </c>
      <c r="E198" s="13" t="s">
        <v>374</v>
      </c>
      <c r="F198" s="13"/>
      <c r="G198" s="13" t="s">
        <v>513</v>
      </c>
      <c r="H198" s="13" t="s">
        <v>89</v>
      </c>
      <c r="I198" s="115"/>
      <c r="J198" s="96"/>
    </row>
    <row r="199" spans="1:10">
      <c r="A199" s="4" t="s">
        <v>113</v>
      </c>
      <c r="B199" s="4" t="s">
        <v>2000</v>
      </c>
      <c r="C199" s="13">
        <v>1</v>
      </c>
      <c r="D199" s="7" t="s">
        <v>161</v>
      </c>
      <c r="E199" s="13" t="s">
        <v>553</v>
      </c>
      <c r="F199" s="13"/>
      <c r="G199" s="13" t="s">
        <v>513</v>
      </c>
      <c r="H199" s="13" t="s">
        <v>89</v>
      </c>
      <c r="I199" s="115"/>
      <c r="J199" s="96"/>
    </row>
    <row r="200" spans="1:10">
      <c r="A200" s="4" t="s">
        <v>113</v>
      </c>
      <c r="B200" s="4" t="s">
        <v>2000</v>
      </c>
      <c r="C200" s="13">
        <v>1</v>
      </c>
      <c r="D200" s="7" t="s">
        <v>572</v>
      </c>
      <c r="E200" s="13" t="s">
        <v>207</v>
      </c>
      <c r="F200" s="13"/>
      <c r="G200" s="13" t="s">
        <v>513</v>
      </c>
      <c r="H200" s="13" t="s">
        <v>89</v>
      </c>
      <c r="I200" s="115"/>
      <c r="J200" s="96"/>
    </row>
    <row r="201" spans="1:10">
      <c r="A201" s="4" t="s">
        <v>113</v>
      </c>
      <c r="B201" s="4" t="s">
        <v>2000</v>
      </c>
      <c r="C201" s="13">
        <v>1</v>
      </c>
      <c r="D201" s="7" t="s">
        <v>574</v>
      </c>
      <c r="E201" s="13" t="s">
        <v>374</v>
      </c>
      <c r="F201" s="13"/>
      <c r="G201" s="13" t="s">
        <v>513</v>
      </c>
      <c r="H201" s="13" t="s">
        <v>89</v>
      </c>
      <c r="I201" s="115"/>
      <c r="J201" s="96"/>
    </row>
    <row r="202" spans="1:10">
      <c r="A202" s="4" t="s">
        <v>165</v>
      </c>
      <c r="B202" s="4" t="s">
        <v>1981</v>
      </c>
      <c r="C202" s="13">
        <v>1</v>
      </c>
      <c r="D202" s="7" t="s">
        <v>166</v>
      </c>
      <c r="E202" s="13" t="s">
        <v>155</v>
      </c>
      <c r="F202" s="13"/>
      <c r="G202" s="13" t="s">
        <v>513</v>
      </c>
      <c r="H202" s="13" t="s">
        <v>89</v>
      </c>
      <c r="I202" s="115"/>
      <c r="J202" s="96"/>
    </row>
    <row r="203" spans="1:10">
      <c r="A203" s="4" t="s">
        <v>165</v>
      </c>
      <c r="B203" s="4" t="s">
        <v>1981</v>
      </c>
      <c r="C203" s="13">
        <v>1</v>
      </c>
      <c r="D203" s="7" t="s">
        <v>577</v>
      </c>
      <c r="E203" s="13" t="s">
        <v>374</v>
      </c>
      <c r="F203" s="13"/>
      <c r="G203" s="13" t="s">
        <v>513</v>
      </c>
      <c r="H203" s="13" t="s">
        <v>89</v>
      </c>
      <c r="I203" s="115"/>
      <c r="J203" s="96"/>
    </row>
    <row r="204" spans="1:10">
      <c r="A204" s="4" t="s">
        <v>165</v>
      </c>
      <c r="B204" s="4" t="s">
        <v>1981</v>
      </c>
      <c r="C204" s="13">
        <v>1</v>
      </c>
      <c r="D204" s="7" t="s">
        <v>170</v>
      </c>
      <c r="E204" s="13" t="s">
        <v>491</v>
      </c>
      <c r="F204" s="13"/>
      <c r="G204" s="13" t="s">
        <v>513</v>
      </c>
      <c r="H204" s="13" t="s">
        <v>89</v>
      </c>
      <c r="I204" s="115"/>
      <c r="J204" s="96"/>
    </row>
    <row r="205" spans="1:10">
      <c r="A205" s="4" t="s">
        <v>165</v>
      </c>
      <c r="B205" s="4" t="s">
        <v>183</v>
      </c>
      <c r="C205" s="13">
        <v>1</v>
      </c>
      <c r="D205" s="7" t="s">
        <v>580</v>
      </c>
      <c r="E205" s="13" t="s">
        <v>207</v>
      </c>
      <c r="F205" s="13"/>
      <c r="G205" s="13" t="s">
        <v>513</v>
      </c>
      <c r="H205" s="13" t="s">
        <v>89</v>
      </c>
      <c r="I205" s="115"/>
      <c r="J205" s="96"/>
    </row>
    <row r="206" spans="1:10">
      <c r="A206" s="4" t="s">
        <v>165</v>
      </c>
      <c r="B206" s="4" t="s">
        <v>183</v>
      </c>
      <c r="C206" s="13">
        <v>1</v>
      </c>
      <c r="D206" s="7" t="s">
        <v>582</v>
      </c>
      <c r="E206" s="13" t="s">
        <v>207</v>
      </c>
      <c r="F206" s="13"/>
      <c r="G206" s="13" t="s">
        <v>513</v>
      </c>
      <c r="H206" s="13" t="s">
        <v>89</v>
      </c>
      <c r="I206" s="115"/>
      <c r="J206" s="96"/>
    </row>
    <row r="207" spans="1:10">
      <c r="A207" s="4" t="s">
        <v>165</v>
      </c>
      <c r="B207" s="4" t="s">
        <v>183</v>
      </c>
      <c r="C207" s="13">
        <v>1</v>
      </c>
      <c r="D207" s="7" t="s">
        <v>584</v>
      </c>
      <c r="E207" s="13" t="s">
        <v>207</v>
      </c>
      <c r="F207" s="13"/>
      <c r="G207" s="13" t="s">
        <v>513</v>
      </c>
      <c r="H207" s="13" t="s">
        <v>89</v>
      </c>
      <c r="I207" s="115"/>
      <c r="J207" s="96"/>
    </row>
    <row r="208" spans="1:10">
      <c r="A208" s="4" t="s">
        <v>140</v>
      </c>
      <c r="B208" s="4" t="s">
        <v>2049</v>
      </c>
      <c r="C208" s="13">
        <v>1</v>
      </c>
      <c r="D208" s="7" t="s">
        <v>585</v>
      </c>
      <c r="E208" s="13" t="s">
        <v>207</v>
      </c>
      <c r="F208" s="13"/>
      <c r="G208" s="13" t="s">
        <v>513</v>
      </c>
      <c r="H208" s="13" t="s">
        <v>199</v>
      </c>
      <c r="I208" s="115"/>
      <c r="J208" s="96"/>
    </row>
    <row r="209" spans="1:10">
      <c r="A209" s="4" t="s">
        <v>140</v>
      </c>
      <c r="B209" s="4" t="s">
        <v>2049</v>
      </c>
      <c r="C209" s="13">
        <v>1</v>
      </c>
      <c r="D209" s="7" t="s">
        <v>587</v>
      </c>
      <c r="E209" s="13" t="s">
        <v>207</v>
      </c>
      <c r="F209" s="13"/>
      <c r="G209" s="13" t="s">
        <v>513</v>
      </c>
      <c r="H209" s="13" t="s">
        <v>199</v>
      </c>
      <c r="I209" s="115"/>
      <c r="J209" s="96"/>
    </row>
    <row r="210" spans="1:10">
      <c r="A210" s="4" t="s">
        <v>140</v>
      </c>
      <c r="B210" s="4" t="s">
        <v>2049</v>
      </c>
      <c r="C210" s="13">
        <v>1</v>
      </c>
      <c r="D210" s="7" t="s">
        <v>588</v>
      </c>
      <c r="E210" s="13" t="s">
        <v>155</v>
      </c>
      <c r="F210" s="13"/>
      <c r="G210" s="13" t="s">
        <v>513</v>
      </c>
      <c r="H210" s="13" t="s">
        <v>199</v>
      </c>
      <c r="I210" s="115"/>
      <c r="J210" s="96"/>
    </row>
    <row r="211" spans="1:10">
      <c r="A211" s="4" t="s">
        <v>140</v>
      </c>
      <c r="B211" s="4" t="s">
        <v>2051</v>
      </c>
      <c r="C211" s="13">
        <v>1</v>
      </c>
      <c r="D211" s="7" t="s">
        <v>590</v>
      </c>
      <c r="E211" s="13" t="s">
        <v>207</v>
      </c>
      <c r="F211" s="13"/>
      <c r="G211" s="13" t="s">
        <v>513</v>
      </c>
      <c r="H211" s="13" t="s">
        <v>89</v>
      </c>
      <c r="I211" s="115"/>
      <c r="J211" s="96"/>
    </row>
    <row r="212" spans="1:10">
      <c r="A212" s="4" t="s">
        <v>140</v>
      </c>
      <c r="B212" s="4" t="s">
        <v>2051</v>
      </c>
      <c r="C212" s="13">
        <v>1</v>
      </c>
      <c r="D212" s="7" t="s">
        <v>592</v>
      </c>
      <c r="E212" s="13" t="s">
        <v>374</v>
      </c>
      <c r="F212" s="13"/>
      <c r="G212" s="13" t="s">
        <v>513</v>
      </c>
      <c r="H212" s="13" t="s">
        <v>89</v>
      </c>
      <c r="I212" s="115"/>
      <c r="J212" s="96"/>
    </row>
    <row r="213" spans="1:10">
      <c r="A213" s="4" t="s">
        <v>140</v>
      </c>
      <c r="B213" s="4" t="s">
        <v>2051</v>
      </c>
      <c r="C213" s="13">
        <v>1</v>
      </c>
      <c r="D213" s="7" t="s">
        <v>594</v>
      </c>
      <c r="E213" s="13" t="s">
        <v>155</v>
      </c>
      <c r="F213" s="13"/>
      <c r="G213" s="13" t="s">
        <v>513</v>
      </c>
      <c r="H213" s="13" t="s">
        <v>89</v>
      </c>
      <c r="I213" s="115"/>
      <c r="J213" s="96"/>
    </row>
    <row r="214" spans="1:10">
      <c r="A214" s="4" t="s">
        <v>176</v>
      </c>
      <c r="B214" s="4" t="s">
        <v>210</v>
      </c>
      <c r="C214" s="13">
        <v>1</v>
      </c>
      <c r="D214" s="7" t="s">
        <v>179</v>
      </c>
      <c r="E214" s="13" t="s">
        <v>31</v>
      </c>
      <c r="F214" s="13"/>
      <c r="G214" s="13" t="s">
        <v>513</v>
      </c>
      <c r="H214" s="13" t="s">
        <v>89</v>
      </c>
      <c r="I214" s="115"/>
      <c r="J214" s="96"/>
    </row>
    <row r="215" spans="1:10">
      <c r="A215" s="4" t="s">
        <v>176</v>
      </c>
      <c r="B215" s="4" t="s">
        <v>210</v>
      </c>
      <c r="C215" s="13">
        <v>1</v>
      </c>
      <c r="D215" s="7" t="s">
        <v>189</v>
      </c>
      <c r="E215" s="13" t="s">
        <v>598</v>
      </c>
      <c r="F215" s="13"/>
      <c r="G215" s="13" t="s">
        <v>513</v>
      </c>
      <c r="H215" s="13" t="s">
        <v>89</v>
      </c>
      <c r="I215" s="115"/>
      <c r="J215" s="96"/>
    </row>
    <row r="216" spans="1:10">
      <c r="A216" s="4" t="s">
        <v>176</v>
      </c>
      <c r="B216" s="4" t="s">
        <v>210</v>
      </c>
      <c r="C216" s="13">
        <v>1</v>
      </c>
      <c r="D216" s="7" t="s">
        <v>193</v>
      </c>
      <c r="E216" s="13" t="s">
        <v>491</v>
      </c>
      <c r="F216" s="13"/>
      <c r="G216" s="13" t="s">
        <v>513</v>
      </c>
      <c r="H216" s="13" t="s">
        <v>89</v>
      </c>
      <c r="I216" s="115"/>
      <c r="J216" s="96"/>
    </row>
    <row r="217" spans="1:10">
      <c r="A217" s="4" t="s">
        <v>196</v>
      </c>
      <c r="B217" s="4" t="s">
        <v>241</v>
      </c>
      <c r="C217" s="13">
        <v>1</v>
      </c>
      <c r="D217" s="7" t="s">
        <v>197</v>
      </c>
      <c r="E217" s="13" t="s">
        <v>374</v>
      </c>
      <c r="F217" s="13"/>
      <c r="G217" s="13" t="s">
        <v>513</v>
      </c>
      <c r="H217" s="13" t="s">
        <v>89</v>
      </c>
      <c r="I217" s="115"/>
      <c r="J217" s="96"/>
    </row>
    <row r="218" spans="1:10">
      <c r="A218" s="4" t="s">
        <v>196</v>
      </c>
      <c r="B218" s="4" t="s">
        <v>241</v>
      </c>
      <c r="C218" s="13">
        <v>1</v>
      </c>
      <c r="D218" s="7" t="s">
        <v>599</v>
      </c>
      <c r="E218" s="13" t="s">
        <v>553</v>
      </c>
      <c r="F218" s="13"/>
      <c r="G218" s="13" t="s">
        <v>513</v>
      </c>
      <c r="H218" s="13" t="s">
        <v>89</v>
      </c>
      <c r="I218" s="115"/>
      <c r="J218" s="96"/>
    </row>
    <row r="219" spans="1:10">
      <c r="A219" s="4" t="s">
        <v>196</v>
      </c>
      <c r="B219" s="4" t="s">
        <v>241</v>
      </c>
      <c r="C219" s="13">
        <v>1</v>
      </c>
      <c r="D219" s="7" t="s">
        <v>601</v>
      </c>
      <c r="E219" s="13" t="s">
        <v>553</v>
      </c>
      <c r="F219" s="13"/>
      <c r="G219" s="13" t="s">
        <v>513</v>
      </c>
      <c r="H219" s="13" t="s">
        <v>89</v>
      </c>
      <c r="I219" s="115"/>
      <c r="J219" s="96"/>
    </row>
    <row r="220" spans="1:10">
      <c r="A220" s="4" t="s">
        <v>196</v>
      </c>
      <c r="B220" s="4" t="s">
        <v>2061</v>
      </c>
      <c r="C220" s="13">
        <v>1</v>
      </c>
      <c r="D220" s="7" t="s">
        <v>602</v>
      </c>
      <c r="E220" s="13" t="s">
        <v>207</v>
      </c>
      <c r="F220" s="13"/>
      <c r="G220" s="13" t="s">
        <v>513</v>
      </c>
      <c r="H220" s="13" t="s">
        <v>89</v>
      </c>
      <c r="I220" s="115"/>
      <c r="J220" s="96"/>
    </row>
    <row r="221" spans="1:10">
      <c r="A221" s="4" t="s">
        <v>196</v>
      </c>
      <c r="B221" s="4" t="s">
        <v>2061</v>
      </c>
      <c r="C221" s="13">
        <v>1</v>
      </c>
      <c r="D221" s="7" t="s">
        <v>604</v>
      </c>
      <c r="E221" s="13" t="s">
        <v>207</v>
      </c>
      <c r="F221" s="13"/>
      <c r="G221" s="13" t="s">
        <v>513</v>
      </c>
      <c r="H221" s="13" t="s">
        <v>89</v>
      </c>
      <c r="I221" s="115"/>
      <c r="J221" s="96"/>
    </row>
    <row r="222" spans="1:10">
      <c r="A222" s="4" t="s">
        <v>196</v>
      </c>
      <c r="B222" s="4" t="s">
        <v>2061</v>
      </c>
      <c r="C222" s="13">
        <v>1</v>
      </c>
      <c r="D222" s="7" t="s">
        <v>202</v>
      </c>
      <c r="E222" s="13" t="s">
        <v>374</v>
      </c>
      <c r="F222" s="13"/>
      <c r="G222" s="13" t="s">
        <v>513</v>
      </c>
      <c r="H222" s="13" t="s">
        <v>89</v>
      </c>
      <c r="I222" s="115"/>
      <c r="J222" s="96"/>
    </row>
    <row r="223" spans="1:10">
      <c r="A223" s="4" t="s">
        <v>196</v>
      </c>
      <c r="B223" s="4" t="s">
        <v>1629</v>
      </c>
      <c r="C223" s="13">
        <v>1</v>
      </c>
      <c r="D223" s="7" t="s">
        <v>605</v>
      </c>
      <c r="E223" s="13" t="s">
        <v>155</v>
      </c>
      <c r="F223" s="13"/>
      <c r="G223" s="13" t="s">
        <v>513</v>
      </c>
      <c r="H223" s="13" t="s">
        <v>89</v>
      </c>
      <c r="I223" s="115"/>
      <c r="J223" s="96"/>
    </row>
    <row r="224" spans="1:10">
      <c r="A224" s="4" t="s">
        <v>196</v>
      </c>
      <c r="B224" s="4" t="s">
        <v>1629</v>
      </c>
      <c r="C224" s="13">
        <v>1</v>
      </c>
      <c r="D224" s="7" t="s">
        <v>608</v>
      </c>
      <c r="E224" s="13" t="s">
        <v>374</v>
      </c>
      <c r="F224" s="13"/>
      <c r="G224" s="13" t="s">
        <v>513</v>
      </c>
      <c r="H224" s="13" t="s">
        <v>89</v>
      </c>
      <c r="I224" s="115"/>
      <c r="J224" s="96"/>
    </row>
    <row r="225" spans="1:10">
      <c r="A225" s="4" t="s">
        <v>196</v>
      </c>
      <c r="B225" s="4" t="s">
        <v>1629</v>
      </c>
      <c r="C225" s="13">
        <v>1</v>
      </c>
      <c r="D225" s="7" t="s">
        <v>607</v>
      </c>
      <c r="E225" s="13" t="s">
        <v>155</v>
      </c>
      <c r="F225" s="13"/>
      <c r="G225" s="13" t="s">
        <v>513</v>
      </c>
      <c r="H225" s="13" t="s">
        <v>89</v>
      </c>
      <c r="I225" s="115"/>
      <c r="J225" s="96"/>
    </row>
    <row r="226" spans="1:10">
      <c r="A226" s="4" t="s">
        <v>196</v>
      </c>
      <c r="B226" s="4" t="s">
        <v>1638</v>
      </c>
      <c r="C226" s="13">
        <v>1</v>
      </c>
      <c r="D226" s="7" t="s">
        <v>610</v>
      </c>
      <c r="E226" s="13" t="s">
        <v>128</v>
      </c>
      <c r="F226" s="13"/>
      <c r="G226" s="13" t="s">
        <v>513</v>
      </c>
      <c r="H226" s="13" t="s">
        <v>89</v>
      </c>
      <c r="I226" s="115"/>
      <c r="J226" s="96"/>
    </row>
    <row r="227" spans="1:10">
      <c r="A227" s="4" t="s">
        <v>196</v>
      </c>
      <c r="B227" s="4" t="s">
        <v>1638</v>
      </c>
      <c r="C227" s="13">
        <v>1</v>
      </c>
      <c r="D227" s="7" t="s">
        <v>612</v>
      </c>
      <c r="E227" s="13" t="s">
        <v>128</v>
      </c>
      <c r="F227" s="13"/>
      <c r="G227" s="13" t="s">
        <v>513</v>
      </c>
      <c r="H227" s="13" t="s">
        <v>89</v>
      </c>
      <c r="I227" s="115"/>
      <c r="J227" s="96"/>
    </row>
    <row r="228" spans="1:10">
      <c r="A228" s="4" t="s">
        <v>268</v>
      </c>
      <c r="B228" s="4" t="s">
        <v>35</v>
      </c>
      <c r="C228" s="13">
        <v>2</v>
      </c>
      <c r="D228" s="7" t="s">
        <v>37</v>
      </c>
      <c r="E228" s="13" t="s">
        <v>151</v>
      </c>
      <c r="F228" s="13"/>
      <c r="G228" s="13" t="s">
        <v>513</v>
      </c>
      <c r="H228" s="13" t="s">
        <v>89</v>
      </c>
      <c r="I228" s="115"/>
      <c r="J228" s="96"/>
    </row>
    <row r="229" spans="1:10">
      <c r="A229" s="4" t="s">
        <v>268</v>
      </c>
      <c r="B229" s="4" t="s">
        <v>35</v>
      </c>
      <c r="C229" s="13">
        <v>2</v>
      </c>
      <c r="D229" s="7" t="s">
        <v>38</v>
      </c>
      <c r="E229" s="13" t="s">
        <v>151</v>
      </c>
      <c r="F229" s="13"/>
      <c r="G229" s="13" t="s">
        <v>513</v>
      </c>
      <c r="H229" s="13" t="s">
        <v>89</v>
      </c>
      <c r="I229" s="115"/>
      <c r="J229" s="96"/>
    </row>
    <row r="230" spans="1:10">
      <c r="A230" s="4" t="s">
        <v>268</v>
      </c>
      <c r="B230" s="4" t="s">
        <v>35</v>
      </c>
      <c r="C230" s="13">
        <v>2</v>
      </c>
      <c r="D230" s="7" t="s">
        <v>39</v>
      </c>
      <c r="E230" s="13" t="s">
        <v>151</v>
      </c>
      <c r="F230" s="13"/>
      <c r="G230" s="13" t="s">
        <v>513</v>
      </c>
      <c r="H230" s="13" t="s">
        <v>89</v>
      </c>
      <c r="I230" s="115"/>
      <c r="J230" s="96"/>
    </row>
    <row r="231" spans="1:10">
      <c r="A231" s="4" t="s">
        <v>268</v>
      </c>
      <c r="B231" s="4" t="s">
        <v>35</v>
      </c>
      <c r="C231" s="13">
        <v>2</v>
      </c>
      <c r="D231" s="7" t="s">
        <v>36</v>
      </c>
      <c r="E231" s="13" t="s">
        <v>103</v>
      </c>
      <c r="F231" s="13"/>
      <c r="G231" s="13" t="s">
        <v>513</v>
      </c>
      <c r="H231" s="13" t="s">
        <v>89</v>
      </c>
      <c r="I231" s="115"/>
      <c r="J231" s="96"/>
    </row>
    <row r="232" spans="1:10">
      <c r="A232" s="4" t="s">
        <v>81</v>
      </c>
      <c r="B232" s="4" t="s">
        <v>2230</v>
      </c>
      <c r="C232" s="13">
        <v>1</v>
      </c>
      <c r="D232" s="7" t="s">
        <v>620</v>
      </c>
      <c r="E232" s="13" t="s">
        <v>622</v>
      </c>
      <c r="F232" s="13" t="s">
        <v>2233</v>
      </c>
      <c r="G232" s="13" t="s">
        <v>623</v>
      </c>
      <c r="H232" s="13" t="s">
        <v>89</v>
      </c>
      <c r="I232" s="115"/>
      <c r="J232" s="96"/>
    </row>
    <row r="233" spans="1:10">
      <c r="A233" s="4" t="s">
        <v>81</v>
      </c>
      <c r="B233" s="4" t="s">
        <v>2230</v>
      </c>
      <c r="C233" s="13">
        <v>1</v>
      </c>
      <c r="D233" s="7" t="s">
        <v>624</v>
      </c>
      <c r="E233" s="13" t="s">
        <v>622</v>
      </c>
      <c r="F233" s="13" t="s">
        <v>2233</v>
      </c>
      <c r="G233" s="13" t="s">
        <v>623</v>
      </c>
      <c r="H233" s="13" t="s">
        <v>89</v>
      </c>
      <c r="I233" s="115"/>
      <c r="J233" s="96"/>
    </row>
    <row r="234" spans="1:10">
      <c r="A234" s="4" t="s">
        <v>81</v>
      </c>
      <c r="B234" s="4" t="s">
        <v>2230</v>
      </c>
      <c r="C234" s="13">
        <v>1</v>
      </c>
      <c r="D234" s="7" t="s">
        <v>625</v>
      </c>
      <c r="E234" s="13" t="s">
        <v>622</v>
      </c>
      <c r="F234" s="13" t="s">
        <v>2233</v>
      </c>
      <c r="G234" s="13" t="s">
        <v>623</v>
      </c>
      <c r="H234" s="13" t="s">
        <v>89</v>
      </c>
      <c r="I234" s="115"/>
      <c r="J234" s="96"/>
    </row>
    <row r="235" spans="1:10">
      <c r="A235" s="4" t="s">
        <v>198</v>
      </c>
      <c r="B235" s="4" t="s">
        <v>345</v>
      </c>
      <c r="C235" s="13">
        <v>2</v>
      </c>
      <c r="D235" s="7" t="s">
        <v>626</v>
      </c>
      <c r="E235" s="13" t="s">
        <v>622</v>
      </c>
      <c r="F235" s="13" t="s">
        <v>2235</v>
      </c>
      <c r="G235" s="13" t="s">
        <v>623</v>
      </c>
      <c r="H235" s="13" t="s">
        <v>89</v>
      </c>
      <c r="I235" s="115"/>
      <c r="J235" s="96"/>
    </row>
    <row r="236" spans="1:10">
      <c r="A236" s="4" t="s">
        <v>198</v>
      </c>
      <c r="B236" s="4" t="s">
        <v>345</v>
      </c>
      <c r="C236" s="13">
        <v>2</v>
      </c>
      <c r="D236" s="7" t="s">
        <v>628</v>
      </c>
      <c r="E236" s="13" t="s">
        <v>622</v>
      </c>
      <c r="F236" s="13" t="s">
        <v>2235</v>
      </c>
      <c r="G236" s="13" t="s">
        <v>623</v>
      </c>
      <c r="H236" s="13" t="s">
        <v>89</v>
      </c>
      <c r="I236" s="115"/>
      <c r="J236" s="96"/>
    </row>
    <row r="237" spans="1:10">
      <c r="A237" s="4" t="s">
        <v>198</v>
      </c>
      <c r="B237" s="4" t="s">
        <v>345</v>
      </c>
      <c r="C237" s="13">
        <v>2</v>
      </c>
      <c r="D237" s="7" t="s">
        <v>629</v>
      </c>
      <c r="E237" s="13" t="s">
        <v>622</v>
      </c>
      <c r="F237" s="13" t="s">
        <v>2235</v>
      </c>
      <c r="G237" s="13" t="s">
        <v>623</v>
      </c>
      <c r="H237" s="13" t="s">
        <v>89</v>
      </c>
      <c r="I237" s="115"/>
      <c r="J237" s="96"/>
    </row>
    <row r="238" spans="1:10">
      <c r="A238" s="4" t="s">
        <v>381</v>
      </c>
      <c r="B238" s="4" t="s">
        <v>2082</v>
      </c>
      <c r="C238" s="13">
        <v>2</v>
      </c>
      <c r="D238" s="7" t="s">
        <v>630</v>
      </c>
      <c r="E238" s="13" t="s">
        <v>622</v>
      </c>
      <c r="F238" s="13" t="s">
        <v>2236</v>
      </c>
      <c r="G238" s="13" t="s">
        <v>623</v>
      </c>
      <c r="H238" s="13" t="s">
        <v>89</v>
      </c>
      <c r="I238" s="115"/>
      <c r="J238" s="96"/>
    </row>
    <row r="239" spans="1:10">
      <c r="A239" s="4" t="s">
        <v>381</v>
      </c>
      <c r="B239" s="4" t="s">
        <v>2082</v>
      </c>
      <c r="C239" s="13">
        <v>2</v>
      </c>
      <c r="D239" s="7" t="s">
        <v>632</v>
      </c>
      <c r="E239" s="13" t="s">
        <v>622</v>
      </c>
      <c r="F239" s="13" t="s">
        <v>2236</v>
      </c>
      <c r="G239" s="13" t="s">
        <v>623</v>
      </c>
      <c r="H239" s="13" t="s">
        <v>89</v>
      </c>
      <c r="I239" s="115"/>
      <c r="J239" s="96"/>
    </row>
    <row r="240" spans="1:10">
      <c r="A240" s="4" t="s">
        <v>381</v>
      </c>
      <c r="B240" s="4" t="s">
        <v>2082</v>
      </c>
      <c r="C240" s="13">
        <v>2</v>
      </c>
      <c r="D240" s="7" t="s">
        <v>633</v>
      </c>
      <c r="E240" s="13" t="s">
        <v>622</v>
      </c>
      <c r="F240" s="13" t="s">
        <v>2236</v>
      </c>
      <c r="G240" s="13" t="s">
        <v>623</v>
      </c>
      <c r="H240" s="13" t="s">
        <v>89</v>
      </c>
      <c r="I240" s="115"/>
      <c r="J240" s="96"/>
    </row>
    <row r="241" spans="1:10">
      <c r="A241" s="4" t="s">
        <v>268</v>
      </c>
      <c r="B241" s="4" t="s">
        <v>40</v>
      </c>
      <c r="C241" s="13">
        <v>2</v>
      </c>
      <c r="D241" s="7" t="s">
        <v>634</v>
      </c>
      <c r="E241" s="13" t="s">
        <v>493</v>
      </c>
      <c r="F241" s="13"/>
      <c r="G241" s="13" t="s">
        <v>635</v>
      </c>
      <c r="H241" s="13" t="s">
        <v>89</v>
      </c>
      <c r="I241" s="115"/>
      <c r="J241" s="96"/>
    </row>
    <row r="242" spans="1:10">
      <c r="A242" s="4" t="s">
        <v>176</v>
      </c>
      <c r="B242" s="4" t="s">
        <v>210</v>
      </c>
      <c r="C242" s="13">
        <v>1</v>
      </c>
      <c r="D242" s="7" t="s">
        <v>211</v>
      </c>
      <c r="E242" s="13" t="s">
        <v>65</v>
      </c>
      <c r="F242" s="13"/>
      <c r="G242" s="13" t="s">
        <v>635</v>
      </c>
      <c r="H242" s="13" t="s">
        <v>89</v>
      </c>
      <c r="I242" s="115"/>
      <c r="J242" s="96"/>
    </row>
    <row r="243" spans="1:10">
      <c r="A243" s="4" t="s">
        <v>140</v>
      </c>
      <c r="B243" s="4" t="s">
        <v>81</v>
      </c>
      <c r="C243" s="13">
        <v>1</v>
      </c>
      <c r="D243" s="7" t="s">
        <v>637</v>
      </c>
      <c r="E243" s="13" t="s">
        <v>65</v>
      </c>
      <c r="F243" s="13"/>
      <c r="G243" s="13" t="s">
        <v>635</v>
      </c>
      <c r="H243" s="13" t="s">
        <v>89</v>
      </c>
      <c r="I243" s="115"/>
      <c r="J243" s="96"/>
    </row>
    <row r="244" spans="1:10">
      <c r="A244" s="4" t="s">
        <v>196</v>
      </c>
      <c r="B244" s="4" t="s">
        <v>241</v>
      </c>
      <c r="C244" s="13">
        <v>1</v>
      </c>
      <c r="D244" s="7" t="s">
        <v>638</v>
      </c>
      <c r="E244" s="13" t="s">
        <v>65</v>
      </c>
      <c r="F244" s="13"/>
      <c r="G244" s="13" t="s">
        <v>635</v>
      </c>
      <c r="H244" s="13" t="s">
        <v>89</v>
      </c>
      <c r="I244" s="115"/>
      <c r="J244" s="96"/>
    </row>
    <row r="245" spans="1:10">
      <c r="A245" s="4" t="s">
        <v>67</v>
      </c>
      <c r="B245" s="4" t="s">
        <v>347</v>
      </c>
      <c r="C245" s="13">
        <v>1</v>
      </c>
      <c r="D245" s="7" t="s">
        <v>69</v>
      </c>
      <c r="E245" s="13" t="s">
        <v>65</v>
      </c>
      <c r="F245" s="13"/>
      <c r="G245" s="13" t="s">
        <v>635</v>
      </c>
      <c r="H245" s="13" t="s">
        <v>89</v>
      </c>
      <c r="I245" s="115"/>
      <c r="J245" s="96"/>
    </row>
    <row r="246" spans="1:10">
      <c r="A246" s="4" t="s">
        <v>81</v>
      </c>
      <c r="B246" s="4" t="s">
        <v>2247</v>
      </c>
      <c r="C246" s="13">
        <v>1</v>
      </c>
      <c r="D246" s="7" t="s">
        <v>639</v>
      </c>
      <c r="E246" s="13" t="s">
        <v>65</v>
      </c>
      <c r="F246" s="13"/>
      <c r="G246" s="13" t="s">
        <v>635</v>
      </c>
      <c r="H246" s="13" t="s">
        <v>89</v>
      </c>
      <c r="I246" s="115"/>
      <c r="J246" s="96"/>
    </row>
    <row r="247" spans="1:10">
      <c r="A247" s="4" t="s">
        <v>113</v>
      </c>
      <c r="B247" s="4" t="s">
        <v>286</v>
      </c>
      <c r="C247" s="13">
        <v>1</v>
      </c>
      <c r="D247" s="7" t="s">
        <v>287</v>
      </c>
      <c r="E247" s="13" t="s">
        <v>155</v>
      </c>
      <c r="F247" s="13"/>
      <c r="G247" s="13" t="s">
        <v>635</v>
      </c>
      <c r="H247" s="13" t="s">
        <v>89</v>
      </c>
      <c r="I247" s="115"/>
      <c r="J247" s="96"/>
    </row>
    <row r="248" spans="1:10">
      <c r="A248" s="4" t="s">
        <v>79</v>
      </c>
      <c r="B248" s="4" t="s">
        <v>1665</v>
      </c>
      <c r="C248" s="13">
        <v>1</v>
      </c>
      <c r="D248" s="7" t="s">
        <v>643</v>
      </c>
      <c r="E248" s="13" t="s">
        <v>155</v>
      </c>
      <c r="F248" s="13"/>
      <c r="G248" s="13" t="s">
        <v>635</v>
      </c>
      <c r="H248" s="13" t="s">
        <v>89</v>
      </c>
      <c r="I248" s="115"/>
      <c r="J248" s="96"/>
    </row>
    <row r="249" spans="1:10">
      <c r="A249" s="4" t="s">
        <v>165</v>
      </c>
      <c r="B249" s="4" t="s">
        <v>29</v>
      </c>
      <c r="C249" s="13">
        <v>1</v>
      </c>
      <c r="D249" s="7" t="s">
        <v>3184</v>
      </c>
      <c r="E249" s="13" t="s">
        <v>155</v>
      </c>
      <c r="F249" s="13"/>
      <c r="G249" s="13" t="s">
        <v>635</v>
      </c>
      <c r="H249" s="13" t="s">
        <v>89</v>
      </c>
      <c r="I249" s="115"/>
      <c r="J249" s="96"/>
    </row>
    <row r="250" spans="1:10">
      <c r="A250" s="4" t="s">
        <v>229</v>
      </c>
      <c r="B250" s="4" t="s">
        <v>191</v>
      </c>
      <c r="C250" s="13">
        <v>2</v>
      </c>
      <c r="D250" s="7" t="s">
        <v>646</v>
      </c>
      <c r="E250" s="13" t="s">
        <v>31</v>
      </c>
      <c r="F250" s="13" t="s">
        <v>2265</v>
      </c>
      <c r="G250" s="13" t="s">
        <v>649</v>
      </c>
      <c r="H250" s="13" t="s">
        <v>89</v>
      </c>
      <c r="I250" s="115"/>
      <c r="J250" s="96"/>
    </row>
    <row r="251" spans="1:10">
      <c r="A251" s="4" t="s">
        <v>229</v>
      </c>
      <c r="B251" s="4" t="s">
        <v>191</v>
      </c>
      <c r="C251" s="13">
        <v>2</v>
      </c>
      <c r="D251" s="7" t="s">
        <v>651</v>
      </c>
      <c r="E251" s="13" t="s">
        <v>31</v>
      </c>
      <c r="F251" s="13" t="s">
        <v>2265</v>
      </c>
      <c r="G251" s="13" t="s">
        <v>649</v>
      </c>
      <c r="H251" s="13" t="s">
        <v>89</v>
      </c>
      <c r="I251" s="115"/>
      <c r="J251" s="96"/>
    </row>
    <row r="252" spans="1:10">
      <c r="A252" s="4" t="s">
        <v>196</v>
      </c>
      <c r="B252" s="4" t="s">
        <v>2266</v>
      </c>
      <c r="C252" s="13">
        <v>1</v>
      </c>
      <c r="D252" s="7" t="s">
        <v>653</v>
      </c>
      <c r="E252" s="13" t="s">
        <v>155</v>
      </c>
      <c r="F252" s="13" t="s">
        <v>2267</v>
      </c>
      <c r="G252" s="13" t="s">
        <v>649</v>
      </c>
      <c r="H252" s="13" t="s">
        <v>89</v>
      </c>
      <c r="I252" s="115"/>
      <c r="J252" s="96"/>
    </row>
    <row r="253" spans="1:10">
      <c r="A253" s="4" t="s">
        <v>196</v>
      </c>
      <c r="B253" s="4" t="s">
        <v>2266</v>
      </c>
      <c r="C253" s="13">
        <v>1</v>
      </c>
      <c r="D253" s="7" t="s">
        <v>658</v>
      </c>
      <c r="E253" s="13" t="s">
        <v>155</v>
      </c>
      <c r="F253" s="13" t="s">
        <v>2267</v>
      </c>
      <c r="G253" s="13" t="s">
        <v>649</v>
      </c>
      <c r="H253" s="13" t="s">
        <v>89</v>
      </c>
      <c r="I253" s="115"/>
      <c r="J253" s="96"/>
    </row>
    <row r="254" spans="1:10">
      <c r="A254" s="4" t="s">
        <v>291</v>
      </c>
      <c r="B254" s="4" t="s">
        <v>2268</v>
      </c>
      <c r="C254" s="13">
        <v>2</v>
      </c>
      <c r="D254" s="7" t="s">
        <v>659</v>
      </c>
      <c r="E254" s="13" t="s">
        <v>155</v>
      </c>
      <c r="F254" s="13" t="s">
        <v>2269</v>
      </c>
      <c r="G254" s="13" t="s">
        <v>649</v>
      </c>
      <c r="H254" s="13" t="s">
        <v>89</v>
      </c>
      <c r="I254" s="115"/>
      <c r="J254" s="96"/>
    </row>
    <row r="255" spans="1:10">
      <c r="A255" s="4" t="s">
        <v>291</v>
      </c>
      <c r="B255" s="4" t="s">
        <v>2268</v>
      </c>
      <c r="C255" s="13">
        <v>2</v>
      </c>
      <c r="D255" s="7" t="s">
        <v>661</v>
      </c>
      <c r="E255" s="13" t="s">
        <v>155</v>
      </c>
      <c r="F255" s="13" t="s">
        <v>2269</v>
      </c>
      <c r="G255" s="13" t="s">
        <v>649</v>
      </c>
      <c r="H255" s="13" t="s">
        <v>89</v>
      </c>
      <c r="I255" s="115"/>
      <c r="J255" s="96"/>
    </row>
    <row r="256" spans="1:10">
      <c r="A256" s="4" t="s">
        <v>67</v>
      </c>
      <c r="B256" s="4" t="s">
        <v>76</v>
      </c>
      <c r="C256" s="13">
        <v>1</v>
      </c>
      <c r="D256" s="7" t="s">
        <v>662</v>
      </c>
      <c r="E256" s="13" t="s">
        <v>408</v>
      </c>
      <c r="F256" s="13"/>
      <c r="G256" s="13" t="s">
        <v>663</v>
      </c>
      <c r="H256" s="13" t="s">
        <v>3189</v>
      </c>
      <c r="I256" s="115"/>
      <c r="J256" s="96"/>
    </row>
    <row r="257" spans="1:10">
      <c r="A257" s="4" t="s">
        <v>268</v>
      </c>
      <c r="B257" s="4" t="s">
        <v>35</v>
      </c>
      <c r="C257" s="13">
        <v>2</v>
      </c>
      <c r="D257" s="7" t="s">
        <v>664</v>
      </c>
      <c r="E257" s="13" t="s">
        <v>408</v>
      </c>
      <c r="F257" s="13"/>
      <c r="G257" s="13" t="s">
        <v>663</v>
      </c>
      <c r="H257" s="13" t="s">
        <v>3189</v>
      </c>
      <c r="I257" s="115"/>
      <c r="J257" s="96"/>
    </row>
  </sheetData>
  <dataValidations count="1">
    <dataValidation type="list" allowBlank="1" showErrorMessage="1" sqref="H2:H257" xr:uid="{00000000-0002-0000-1A00-000000000000}">
      <formula1>"Active,Inactive,Ongoing"</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M27"/>
  <sheetViews>
    <sheetView showGridLines="0" workbookViewId="0">
      <pane ySplit="9" topLeftCell="A10" activePane="bottomLeft" state="frozen"/>
      <selection pane="bottomLeft" activeCell="B11" sqref="B11"/>
    </sheetView>
  </sheetViews>
  <sheetFormatPr defaultColWidth="12.5703125" defaultRowHeight="15.75" customHeight="1"/>
  <cols>
    <col min="1" max="1" width="6.140625" customWidth="1"/>
    <col min="2" max="2" width="11" customWidth="1"/>
    <col min="3" max="3" width="14.7109375" customWidth="1"/>
    <col min="4" max="4" width="9.42578125" customWidth="1"/>
    <col min="5" max="5" width="44" customWidth="1"/>
    <col min="6" max="6" width="15.85546875" hidden="1" customWidth="1"/>
    <col min="7" max="7" width="18.7109375" customWidth="1"/>
    <col min="8" max="8" width="15.85546875" customWidth="1"/>
    <col min="9" max="9" width="19.42578125" customWidth="1"/>
    <col min="10" max="10" width="18.85546875" customWidth="1"/>
    <col min="11" max="11" width="62.85546875" customWidth="1"/>
    <col min="12" max="12" width="38.42578125" customWidth="1"/>
  </cols>
  <sheetData>
    <row r="1" spans="1:13" ht="15.75" customHeight="1">
      <c r="A1" s="539" t="s">
        <v>2892</v>
      </c>
      <c r="B1" s="517"/>
      <c r="C1" s="517"/>
      <c r="D1" s="517"/>
      <c r="E1" s="517"/>
      <c r="F1" s="517"/>
      <c r="G1" s="517"/>
      <c r="H1" s="517"/>
      <c r="I1" s="517"/>
      <c r="J1" s="517"/>
      <c r="K1" s="517"/>
      <c r="L1" s="517"/>
    </row>
    <row r="2" spans="1:13" ht="15.75" customHeight="1">
      <c r="A2" s="540" t="s">
        <v>1464</v>
      </c>
      <c r="B2" s="517"/>
      <c r="C2" s="517"/>
      <c r="D2" s="517"/>
      <c r="E2" s="517"/>
      <c r="F2" s="517"/>
      <c r="G2" s="517"/>
      <c r="H2" s="517"/>
      <c r="I2" s="517"/>
      <c r="J2" s="517"/>
      <c r="K2" s="517"/>
      <c r="L2" s="517"/>
    </row>
    <row r="3" spans="1:13" ht="12.75">
      <c r="A3" s="541">
        <f ca="1">NOW()</f>
        <v>46308.848431481485</v>
      </c>
      <c r="B3" s="517"/>
      <c r="C3" s="517"/>
      <c r="D3" s="517"/>
      <c r="E3" s="517"/>
      <c r="F3" s="517"/>
      <c r="G3" s="517"/>
      <c r="H3" s="517"/>
      <c r="I3" s="517"/>
      <c r="J3" s="517"/>
      <c r="K3" s="517"/>
      <c r="L3" s="517"/>
    </row>
    <row r="4" spans="1:13" ht="12.75">
      <c r="L4" s="31"/>
    </row>
    <row r="5" spans="1:13" ht="12.75">
      <c r="A5" s="624"/>
      <c r="B5" s="543"/>
      <c r="C5" s="543"/>
      <c r="D5" s="543"/>
      <c r="E5" s="543"/>
      <c r="F5" s="543"/>
      <c r="G5" s="543"/>
      <c r="H5" s="544"/>
      <c r="I5" s="625" t="s">
        <v>2895</v>
      </c>
      <c r="J5" s="544"/>
      <c r="K5" s="329">
        <f>COUNTIF(I10:I20,"Down")</f>
        <v>0</v>
      </c>
      <c r="L5" s="31"/>
    </row>
    <row r="6" spans="1:13" ht="12.75">
      <c r="A6" s="622"/>
      <c r="B6" s="543"/>
      <c r="C6" s="543"/>
      <c r="D6" s="543"/>
      <c r="E6" s="543"/>
      <c r="F6" s="543"/>
      <c r="G6" s="543"/>
      <c r="H6" s="544"/>
      <c r="I6" s="623" t="s">
        <v>3150</v>
      </c>
      <c r="J6" s="544"/>
      <c r="K6" s="332">
        <f>COUNTIF(I10:I20,"Active")</f>
        <v>11</v>
      </c>
    </row>
    <row r="8" spans="1:13" ht="12.75">
      <c r="A8" s="127" t="s">
        <v>1466</v>
      </c>
      <c r="B8" s="127" t="s">
        <v>2</v>
      </c>
      <c r="C8" s="127" t="s">
        <v>1</v>
      </c>
      <c r="D8" s="127" t="s">
        <v>0</v>
      </c>
      <c r="E8" s="127" t="s">
        <v>2902</v>
      </c>
      <c r="F8" s="127" t="s">
        <v>14</v>
      </c>
      <c r="G8" s="127" t="s">
        <v>645</v>
      </c>
      <c r="H8" s="127" t="s">
        <v>7</v>
      </c>
      <c r="I8" s="127" t="s">
        <v>1473</v>
      </c>
      <c r="J8" s="127" t="s">
        <v>2904</v>
      </c>
      <c r="K8" s="127" t="s">
        <v>20</v>
      </c>
      <c r="L8" s="127" t="s">
        <v>2905</v>
      </c>
    </row>
    <row r="9" spans="1:13" ht="12.75">
      <c r="A9" s="542" t="s">
        <v>1551</v>
      </c>
      <c r="B9" s="543"/>
      <c r="C9" s="543"/>
      <c r="D9" s="543"/>
      <c r="E9" s="543"/>
      <c r="F9" s="543"/>
      <c r="G9" s="543"/>
      <c r="H9" s="543"/>
      <c r="I9" s="543"/>
      <c r="J9" s="543"/>
      <c r="K9" s="543"/>
      <c r="L9" s="544"/>
    </row>
    <row r="10" spans="1:13" ht="12.75">
      <c r="A10" s="23">
        <v>1</v>
      </c>
      <c r="B10" s="61" t="s">
        <v>67</v>
      </c>
      <c r="C10" s="61" t="s">
        <v>308</v>
      </c>
      <c r="D10" s="61">
        <v>1</v>
      </c>
      <c r="E10" s="61" t="s">
        <v>310</v>
      </c>
      <c r="F10" s="97" t="s">
        <v>666</v>
      </c>
      <c r="G10" s="97" t="s">
        <v>2272</v>
      </c>
      <c r="H10" s="23" t="s">
        <v>311</v>
      </c>
      <c r="I10" s="23" t="s">
        <v>89</v>
      </c>
      <c r="J10" s="93"/>
      <c r="K10" s="23"/>
      <c r="L10" s="61"/>
      <c r="M10" s="31" t="b">
        <v>1</v>
      </c>
    </row>
    <row r="11" spans="1:13" ht="12.75">
      <c r="A11" s="23">
        <v>2</v>
      </c>
      <c r="B11" s="61" t="s">
        <v>67</v>
      </c>
      <c r="C11" s="61" t="s">
        <v>308</v>
      </c>
      <c r="D11" s="61">
        <v>1</v>
      </c>
      <c r="E11" s="62" t="s">
        <v>314</v>
      </c>
      <c r="F11" s="97" t="s">
        <v>666</v>
      </c>
      <c r="G11" s="97" t="s">
        <v>2276</v>
      </c>
      <c r="H11" s="23" t="s">
        <v>311</v>
      </c>
      <c r="I11" s="23" t="s">
        <v>89</v>
      </c>
      <c r="J11" s="93"/>
      <c r="K11" s="23"/>
      <c r="L11" s="61"/>
      <c r="M11" s="31" t="b">
        <v>1</v>
      </c>
    </row>
    <row r="12" spans="1:13" ht="12.75">
      <c r="A12" s="23">
        <v>3</v>
      </c>
      <c r="B12" s="61" t="s">
        <v>67</v>
      </c>
      <c r="C12" s="61" t="s">
        <v>308</v>
      </c>
      <c r="D12" s="61">
        <v>1</v>
      </c>
      <c r="E12" s="62" t="s">
        <v>317</v>
      </c>
      <c r="F12" s="97" t="s">
        <v>374</v>
      </c>
      <c r="G12" s="97" t="s">
        <v>2278</v>
      </c>
      <c r="H12" s="23" t="s">
        <v>311</v>
      </c>
      <c r="I12" s="23" t="s">
        <v>89</v>
      </c>
      <c r="J12" s="93"/>
      <c r="K12" s="23"/>
      <c r="L12" s="61"/>
      <c r="M12" s="31" t="b">
        <v>1</v>
      </c>
    </row>
    <row r="13" spans="1:13" ht="12.75">
      <c r="A13" s="23">
        <v>4</v>
      </c>
      <c r="B13" s="61" t="s">
        <v>81</v>
      </c>
      <c r="C13" s="62" t="s">
        <v>320</v>
      </c>
      <c r="D13" s="61">
        <v>1</v>
      </c>
      <c r="E13" s="62" t="s">
        <v>323</v>
      </c>
      <c r="F13" s="97" t="s">
        <v>3152</v>
      </c>
      <c r="G13" s="97" t="s">
        <v>2281</v>
      </c>
      <c r="H13" s="23" t="s">
        <v>311</v>
      </c>
      <c r="I13" s="23" t="s">
        <v>89</v>
      </c>
      <c r="J13" s="93"/>
      <c r="K13" s="23"/>
      <c r="L13" s="61"/>
      <c r="M13" s="31" t="b">
        <v>1</v>
      </c>
    </row>
    <row r="14" spans="1:13" ht="12.75">
      <c r="A14" s="23">
        <v>5</v>
      </c>
      <c r="B14" s="61" t="s">
        <v>81</v>
      </c>
      <c r="C14" s="62" t="s">
        <v>320</v>
      </c>
      <c r="D14" s="61">
        <v>1</v>
      </c>
      <c r="E14" s="23" t="s">
        <v>324</v>
      </c>
      <c r="F14" s="97" t="s">
        <v>3152</v>
      </c>
      <c r="G14" s="97" t="s">
        <v>2284</v>
      </c>
      <c r="H14" s="23" t="s">
        <v>311</v>
      </c>
      <c r="I14" s="23" t="s">
        <v>89</v>
      </c>
      <c r="J14" s="93"/>
      <c r="K14" s="23"/>
      <c r="L14" s="61"/>
      <c r="M14" s="31" t="b">
        <v>1</v>
      </c>
    </row>
    <row r="15" spans="1:13" ht="12.75">
      <c r="A15" s="23">
        <v>6</v>
      </c>
      <c r="B15" s="61" t="s">
        <v>81</v>
      </c>
      <c r="C15" s="62" t="s">
        <v>320</v>
      </c>
      <c r="D15" s="61">
        <v>1</v>
      </c>
      <c r="E15" s="23" t="s">
        <v>326</v>
      </c>
      <c r="F15" s="97" t="s">
        <v>3152</v>
      </c>
      <c r="G15" s="97" t="s">
        <v>2287</v>
      </c>
      <c r="H15" s="23" t="s">
        <v>311</v>
      </c>
      <c r="I15" s="23" t="s">
        <v>89</v>
      </c>
      <c r="J15" s="93"/>
      <c r="K15" s="23"/>
      <c r="L15" s="61"/>
      <c r="M15" s="31" t="b">
        <v>1</v>
      </c>
    </row>
    <row r="16" spans="1:13" ht="12.75">
      <c r="A16" s="23">
        <v>7</v>
      </c>
      <c r="B16" s="61" t="s">
        <v>81</v>
      </c>
      <c r="C16" s="62" t="s">
        <v>320</v>
      </c>
      <c r="D16" s="61">
        <v>1</v>
      </c>
      <c r="E16" s="23" t="s">
        <v>329</v>
      </c>
      <c r="F16" s="97" t="s">
        <v>3152</v>
      </c>
      <c r="G16" s="97" t="s">
        <v>2289</v>
      </c>
      <c r="H16" s="23" t="s">
        <v>311</v>
      </c>
      <c r="I16" s="23" t="s">
        <v>89</v>
      </c>
      <c r="J16" s="93"/>
      <c r="K16" s="23"/>
      <c r="L16" s="61"/>
      <c r="M16" s="31" t="b">
        <v>1</v>
      </c>
    </row>
    <row r="17" spans="1:13" ht="12.75">
      <c r="A17" s="23">
        <v>8</v>
      </c>
      <c r="B17" s="61" t="s">
        <v>67</v>
      </c>
      <c r="C17" s="23" t="s">
        <v>331</v>
      </c>
      <c r="D17" s="61">
        <v>1</v>
      </c>
      <c r="E17" s="23" t="s">
        <v>335</v>
      </c>
      <c r="F17" s="97" t="s">
        <v>666</v>
      </c>
      <c r="G17" s="97" t="s">
        <v>2291</v>
      </c>
      <c r="H17" s="23" t="s">
        <v>311</v>
      </c>
      <c r="I17" s="23" t="s">
        <v>89</v>
      </c>
      <c r="J17" s="93"/>
      <c r="K17" s="23"/>
      <c r="L17" s="61"/>
      <c r="M17" s="31" t="b">
        <v>1</v>
      </c>
    </row>
    <row r="18" spans="1:13" ht="12.75">
      <c r="A18" s="23">
        <v>9</v>
      </c>
      <c r="B18" s="61" t="s">
        <v>67</v>
      </c>
      <c r="C18" s="23" t="s">
        <v>331</v>
      </c>
      <c r="D18" s="61">
        <v>1</v>
      </c>
      <c r="E18" s="23" t="s">
        <v>337</v>
      </c>
      <c r="F18" s="97" t="s">
        <v>666</v>
      </c>
      <c r="G18" s="97" t="s">
        <v>2294</v>
      </c>
      <c r="H18" s="23" t="s">
        <v>311</v>
      </c>
      <c r="I18" s="23" t="s">
        <v>89</v>
      </c>
      <c r="J18" s="93"/>
      <c r="K18" s="23"/>
      <c r="L18" s="112"/>
      <c r="M18" s="31" t="b">
        <v>1</v>
      </c>
    </row>
    <row r="19" spans="1:13" ht="12.75">
      <c r="A19" s="23">
        <v>10</v>
      </c>
      <c r="B19" s="61" t="s">
        <v>67</v>
      </c>
      <c r="C19" s="23" t="s">
        <v>331</v>
      </c>
      <c r="D19" s="61">
        <v>1</v>
      </c>
      <c r="E19" s="23" t="s">
        <v>341</v>
      </c>
      <c r="F19" s="97" t="s">
        <v>374</v>
      </c>
      <c r="G19" s="97" t="s">
        <v>2296</v>
      </c>
      <c r="H19" s="23" t="s">
        <v>311</v>
      </c>
      <c r="I19" s="23" t="s">
        <v>89</v>
      </c>
      <c r="J19" s="93"/>
      <c r="K19" s="23"/>
      <c r="L19" s="112"/>
      <c r="M19" s="31" t="b">
        <v>1</v>
      </c>
    </row>
    <row r="20" spans="1:13" ht="12.75">
      <c r="A20" s="23">
        <v>11</v>
      </c>
      <c r="B20" s="61" t="s">
        <v>67</v>
      </c>
      <c r="C20" s="23" t="s">
        <v>331</v>
      </c>
      <c r="D20" s="61">
        <v>1</v>
      </c>
      <c r="E20" s="23" t="s">
        <v>343</v>
      </c>
      <c r="F20" s="97" t="s">
        <v>374</v>
      </c>
      <c r="G20" s="97" t="s">
        <v>2298</v>
      </c>
      <c r="H20" s="23" t="s">
        <v>311</v>
      </c>
      <c r="I20" s="23" t="s">
        <v>89</v>
      </c>
      <c r="J20" s="172"/>
      <c r="K20" s="23"/>
      <c r="L20" s="23"/>
      <c r="M20" s="31" t="b">
        <v>1</v>
      </c>
    </row>
    <row r="21" spans="1:13" ht="12.75">
      <c r="A21" s="23">
        <v>12</v>
      </c>
      <c r="B21" s="61" t="s">
        <v>67</v>
      </c>
      <c r="C21" s="23" t="s">
        <v>354</v>
      </c>
      <c r="D21" s="61">
        <v>1</v>
      </c>
      <c r="E21" s="23" t="s">
        <v>355</v>
      </c>
      <c r="F21" s="97" t="s">
        <v>374</v>
      </c>
      <c r="G21" s="97"/>
      <c r="H21" s="23" t="s">
        <v>311</v>
      </c>
      <c r="I21" s="23" t="s">
        <v>89</v>
      </c>
      <c r="J21" s="172"/>
      <c r="K21" s="23"/>
      <c r="L21" s="23"/>
      <c r="M21" s="31" t="b">
        <v>0</v>
      </c>
    </row>
    <row r="22" spans="1:13" ht="12.75">
      <c r="A22" s="23">
        <v>13</v>
      </c>
      <c r="B22" s="61" t="s">
        <v>67</v>
      </c>
      <c r="C22" s="23" t="s">
        <v>354</v>
      </c>
      <c r="D22" s="61">
        <v>1</v>
      </c>
      <c r="E22" s="23" t="s">
        <v>3153</v>
      </c>
      <c r="F22" s="97" t="s">
        <v>374</v>
      </c>
      <c r="G22" s="97"/>
      <c r="H22" s="23" t="s">
        <v>311</v>
      </c>
      <c r="I22" s="23" t="s">
        <v>89</v>
      </c>
      <c r="J22" s="172"/>
      <c r="K22" s="23"/>
      <c r="L22" s="23"/>
      <c r="M22" s="31" t="b">
        <v>0</v>
      </c>
    </row>
    <row r="25" spans="1:13" ht="12.75">
      <c r="I25" s="31" t="s">
        <v>3000</v>
      </c>
      <c r="J25" s="357" t="s">
        <v>3124</v>
      </c>
    </row>
    <row r="26" spans="1:13" ht="12.75">
      <c r="A26" s="31" t="s">
        <v>2998</v>
      </c>
      <c r="C26" s="313" t="s">
        <v>3154</v>
      </c>
      <c r="I26" s="31" t="s">
        <v>3044</v>
      </c>
      <c r="J26" s="31" t="s">
        <v>3126</v>
      </c>
    </row>
    <row r="27" spans="1:13" ht="12.75">
      <c r="A27" s="31" t="s">
        <v>3041</v>
      </c>
      <c r="C27" s="31" t="s">
        <v>3105</v>
      </c>
      <c r="I27" s="31" t="s">
        <v>3046</v>
      </c>
      <c r="J27" s="31" t="s">
        <v>3127</v>
      </c>
    </row>
  </sheetData>
  <mergeCells count="8">
    <mergeCell ref="A6:H6"/>
    <mergeCell ref="I6:J6"/>
    <mergeCell ref="A9:L9"/>
    <mergeCell ref="A1:L1"/>
    <mergeCell ref="A2:L2"/>
    <mergeCell ref="A3:L3"/>
    <mergeCell ref="A5:H5"/>
    <mergeCell ref="I5:J5"/>
  </mergeCells>
  <dataValidations count="1">
    <dataValidation type="list" allowBlank="1" showErrorMessage="1" sqref="I10:I22" xr:uid="{00000000-0002-0000-1B00-000000000000}">
      <formula1>"Active,Dormant,Down,To Implement,Installed,Change Out"</formula1>
    </dataValidation>
  </dataValidations>
  <hyperlinks>
    <hyperlink ref="J25" r:id="rId1" location="/monitor_overview_global_menu" xr:uid="{00000000-0004-0000-1B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L22"/>
  <sheetViews>
    <sheetView showGridLines="0" workbookViewId="0">
      <pane ySplit="9" topLeftCell="A10" activePane="bottomLeft" state="frozen"/>
      <selection pane="bottomLeft" activeCell="B11" sqref="B11"/>
    </sheetView>
  </sheetViews>
  <sheetFormatPr defaultColWidth="12.5703125" defaultRowHeight="15.75" customHeight="1"/>
  <cols>
    <col min="1" max="1" width="6.140625" customWidth="1"/>
    <col min="2" max="2" width="11" customWidth="1"/>
    <col min="3" max="3" width="14.7109375" customWidth="1"/>
    <col min="4" max="4" width="9.42578125" customWidth="1"/>
    <col min="5" max="5" width="44" customWidth="1"/>
    <col min="6" max="6" width="15.85546875" customWidth="1"/>
    <col min="7" max="7" width="18.7109375" customWidth="1"/>
    <col min="8" max="8" width="21.28515625" customWidth="1"/>
    <col min="9" max="9" width="19.42578125" customWidth="1"/>
    <col min="10" max="10" width="18.85546875" customWidth="1"/>
    <col min="11" max="11" width="62.85546875" customWidth="1"/>
    <col min="12" max="12" width="38.42578125" customWidth="1"/>
  </cols>
  <sheetData>
    <row r="1" spans="1:12" ht="15.75" customHeight="1">
      <c r="A1" s="539" t="s">
        <v>2892</v>
      </c>
      <c r="B1" s="517"/>
      <c r="C1" s="517"/>
      <c r="D1" s="517"/>
      <c r="E1" s="517"/>
      <c r="F1" s="517"/>
      <c r="G1" s="517"/>
      <c r="H1" s="517"/>
      <c r="I1" s="517"/>
      <c r="J1" s="517"/>
      <c r="K1" s="517"/>
      <c r="L1" s="517"/>
    </row>
    <row r="2" spans="1:12" ht="15.75" customHeight="1">
      <c r="A2" s="540" t="s">
        <v>1464</v>
      </c>
      <c r="B2" s="517"/>
      <c r="C2" s="517"/>
      <c r="D2" s="517"/>
      <c r="E2" s="517"/>
      <c r="F2" s="517"/>
      <c r="G2" s="517"/>
      <c r="H2" s="517"/>
      <c r="I2" s="517"/>
      <c r="J2" s="517"/>
      <c r="K2" s="517"/>
      <c r="L2" s="517"/>
    </row>
    <row r="3" spans="1:12" ht="12.75">
      <c r="A3" s="541">
        <f ca="1">NOW()</f>
        <v>46308.848431481485</v>
      </c>
      <c r="B3" s="517"/>
      <c r="C3" s="517"/>
      <c r="D3" s="517"/>
      <c r="E3" s="517"/>
      <c r="F3" s="517"/>
      <c r="G3" s="517"/>
      <c r="H3" s="517"/>
      <c r="I3" s="517"/>
      <c r="J3" s="517"/>
      <c r="K3" s="517"/>
      <c r="L3" s="517"/>
    </row>
    <row r="4" spans="1:12" ht="12.75">
      <c r="L4" s="31"/>
    </row>
    <row r="5" spans="1:12" ht="12.75">
      <c r="A5" s="624"/>
      <c r="B5" s="543"/>
      <c r="C5" s="543"/>
      <c r="D5" s="543"/>
      <c r="E5" s="543"/>
      <c r="F5" s="543"/>
      <c r="G5" s="543"/>
      <c r="H5" s="544"/>
      <c r="I5" s="625" t="s">
        <v>2895</v>
      </c>
      <c r="J5" s="544"/>
      <c r="K5" s="329">
        <f>COUNTIF(I10:I13,"Down")</f>
        <v>0</v>
      </c>
      <c r="L5" s="31"/>
    </row>
    <row r="6" spans="1:12" ht="12.75">
      <c r="A6" s="622"/>
      <c r="B6" s="543"/>
      <c r="C6" s="543"/>
      <c r="D6" s="543"/>
      <c r="E6" s="543"/>
      <c r="F6" s="543"/>
      <c r="G6" s="543"/>
      <c r="H6" s="544"/>
      <c r="I6" s="623" t="s">
        <v>3150</v>
      </c>
      <c r="J6" s="544"/>
      <c r="K6" s="332">
        <f>COUNTIF(I10:I13,"Active")</f>
        <v>4</v>
      </c>
    </row>
    <row r="8" spans="1:12" ht="12.75">
      <c r="A8" s="127" t="s">
        <v>1466</v>
      </c>
      <c r="B8" s="127" t="s">
        <v>2</v>
      </c>
      <c r="C8" s="127" t="s">
        <v>1</v>
      </c>
      <c r="D8" s="127" t="s">
        <v>0</v>
      </c>
      <c r="E8" s="127" t="s">
        <v>2902</v>
      </c>
      <c r="F8" s="127" t="s">
        <v>14</v>
      </c>
      <c r="G8" s="127" t="s">
        <v>645</v>
      </c>
      <c r="H8" s="127" t="s">
        <v>7</v>
      </c>
      <c r="I8" s="127" t="s">
        <v>1473</v>
      </c>
      <c r="J8" s="127" t="s">
        <v>2904</v>
      </c>
      <c r="K8" s="127" t="s">
        <v>20</v>
      </c>
      <c r="L8" s="127" t="s">
        <v>2905</v>
      </c>
    </row>
    <row r="9" spans="1:12" ht="12.75">
      <c r="A9" s="542" t="s">
        <v>1551</v>
      </c>
      <c r="B9" s="543"/>
      <c r="C9" s="543"/>
      <c r="D9" s="543"/>
      <c r="E9" s="543"/>
      <c r="F9" s="543"/>
      <c r="G9" s="543"/>
      <c r="H9" s="543"/>
      <c r="I9" s="543"/>
      <c r="J9" s="543"/>
      <c r="K9" s="543"/>
      <c r="L9" s="544"/>
    </row>
    <row r="10" spans="1:12" ht="12.75">
      <c r="A10" s="23">
        <v>1</v>
      </c>
      <c r="B10" s="61" t="s">
        <v>381</v>
      </c>
      <c r="C10" s="61" t="s">
        <v>3159</v>
      </c>
      <c r="D10" s="61">
        <v>2</v>
      </c>
      <c r="E10" s="61" t="s">
        <v>467</v>
      </c>
      <c r="F10" s="97" t="s">
        <v>553</v>
      </c>
      <c r="G10" s="97" t="s">
        <v>2091</v>
      </c>
      <c r="H10" s="23" t="s">
        <v>350</v>
      </c>
      <c r="I10" s="23" t="s">
        <v>89</v>
      </c>
      <c r="J10" s="93"/>
      <c r="K10" s="23"/>
      <c r="L10" s="61"/>
    </row>
    <row r="11" spans="1:12" ht="12.75">
      <c r="A11" s="23">
        <v>2</v>
      </c>
      <c r="B11" s="61" t="s">
        <v>381</v>
      </c>
      <c r="C11" s="61" t="s">
        <v>3159</v>
      </c>
      <c r="D11" s="61">
        <v>2</v>
      </c>
      <c r="E11" s="61" t="s">
        <v>469</v>
      </c>
      <c r="F11" s="97" t="s">
        <v>374</v>
      </c>
      <c r="G11" s="97"/>
      <c r="H11" s="23" t="s">
        <v>350</v>
      </c>
      <c r="I11" s="23" t="s">
        <v>89</v>
      </c>
      <c r="J11" s="93"/>
      <c r="K11" s="23"/>
      <c r="L11" s="61"/>
    </row>
    <row r="12" spans="1:12" ht="12.75">
      <c r="A12" s="23">
        <v>3</v>
      </c>
      <c r="B12" s="61" t="s">
        <v>67</v>
      </c>
      <c r="C12" s="61" t="s">
        <v>347</v>
      </c>
      <c r="D12" s="61">
        <v>1</v>
      </c>
      <c r="E12" s="62" t="s">
        <v>349</v>
      </c>
      <c r="F12" s="97" t="s">
        <v>207</v>
      </c>
      <c r="G12" s="97"/>
      <c r="H12" s="23" t="s">
        <v>350</v>
      </c>
      <c r="I12" s="23" t="s">
        <v>89</v>
      </c>
      <c r="J12" s="93"/>
      <c r="K12" s="23"/>
      <c r="L12" s="61"/>
    </row>
    <row r="13" spans="1:12" ht="12.75">
      <c r="A13" s="23">
        <v>4</v>
      </c>
      <c r="B13" s="61" t="s">
        <v>67</v>
      </c>
      <c r="C13" s="61" t="s">
        <v>347</v>
      </c>
      <c r="D13" s="61">
        <v>1</v>
      </c>
      <c r="E13" s="62" t="s">
        <v>353</v>
      </c>
      <c r="F13" s="97" t="s">
        <v>374</v>
      </c>
      <c r="G13" s="97"/>
      <c r="H13" s="23" t="s">
        <v>350</v>
      </c>
      <c r="I13" s="23" t="s">
        <v>89</v>
      </c>
      <c r="J13" s="93"/>
      <c r="K13" s="23"/>
      <c r="L13" s="61"/>
    </row>
    <row r="14" spans="1:12" ht="12.75">
      <c r="A14" s="23">
        <v>5</v>
      </c>
      <c r="B14" s="61" t="s">
        <v>67</v>
      </c>
      <c r="C14" s="61" t="s">
        <v>471</v>
      </c>
      <c r="D14" s="61">
        <v>2</v>
      </c>
      <c r="E14" s="62" t="s">
        <v>472</v>
      </c>
      <c r="F14" s="97" t="s">
        <v>374</v>
      </c>
      <c r="G14" s="97"/>
      <c r="H14" s="23" t="s">
        <v>350</v>
      </c>
      <c r="I14" s="23" t="s">
        <v>89</v>
      </c>
      <c r="J14" s="93"/>
      <c r="K14" s="23"/>
      <c r="L14" s="61"/>
    </row>
    <row r="15" spans="1:12" ht="12.75">
      <c r="A15" s="23">
        <v>6</v>
      </c>
      <c r="B15" s="61" t="s">
        <v>67</v>
      </c>
      <c r="C15" s="61" t="s">
        <v>471</v>
      </c>
      <c r="D15" s="61">
        <v>2</v>
      </c>
      <c r="E15" s="62" t="s">
        <v>474</v>
      </c>
      <c r="F15" s="97" t="s">
        <v>666</v>
      </c>
      <c r="G15" s="97"/>
      <c r="H15" s="23" t="s">
        <v>350</v>
      </c>
      <c r="I15" s="23" t="s">
        <v>89</v>
      </c>
      <c r="J15" s="93"/>
      <c r="K15" s="23"/>
      <c r="L15" s="61"/>
    </row>
    <row r="16" spans="1:12" ht="25.5">
      <c r="A16" s="23">
        <v>7</v>
      </c>
      <c r="B16" s="61" t="s">
        <v>268</v>
      </c>
      <c r="C16" s="61" t="s">
        <v>4</v>
      </c>
      <c r="D16" s="61">
        <v>2</v>
      </c>
      <c r="E16" s="62" t="s">
        <v>11</v>
      </c>
      <c r="F16" s="97" t="s">
        <v>374</v>
      </c>
      <c r="G16" s="97"/>
      <c r="H16" s="23" t="s">
        <v>350</v>
      </c>
      <c r="I16" s="23" t="s">
        <v>89</v>
      </c>
      <c r="J16" s="93"/>
      <c r="K16" s="23"/>
      <c r="L16" s="61"/>
    </row>
    <row r="17" spans="1:12" ht="25.5">
      <c r="A17" s="23">
        <v>8</v>
      </c>
      <c r="B17" s="61" t="s">
        <v>268</v>
      </c>
      <c r="C17" s="61" t="s">
        <v>4</v>
      </c>
      <c r="D17" s="61">
        <v>2</v>
      </c>
      <c r="E17" s="62" t="s">
        <v>17</v>
      </c>
      <c r="F17" s="97" t="s">
        <v>207</v>
      </c>
      <c r="G17" s="97"/>
      <c r="H17" s="23" t="s">
        <v>350</v>
      </c>
      <c r="I17" s="23" t="s">
        <v>89</v>
      </c>
      <c r="J17" s="93"/>
      <c r="K17" s="23"/>
      <c r="L17" s="61"/>
    </row>
    <row r="18" spans="1:12" ht="12.75">
      <c r="A18" s="45"/>
      <c r="B18" s="413"/>
      <c r="C18" s="413"/>
      <c r="D18" s="413"/>
      <c r="E18" s="414"/>
      <c r="F18" s="415"/>
      <c r="G18" s="415"/>
      <c r="H18" s="45"/>
      <c r="J18" s="416"/>
      <c r="K18" s="45"/>
      <c r="L18" s="413"/>
    </row>
    <row r="20" spans="1:12" ht="12.75">
      <c r="I20" s="31" t="s">
        <v>3000</v>
      </c>
      <c r="J20" s="357" t="s">
        <v>3124</v>
      </c>
    </row>
    <row r="21" spans="1:12" ht="12.75">
      <c r="I21" s="31" t="s">
        <v>3044</v>
      </c>
      <c r="J21" s="31" t="s">
        <v>3126</v>
      </c>
    </row>
    <row r="22" spans="1:12" ht="12.75">
      <c r="I22" s="31" t="s">
        <v>3046</v>
      </c>
      <c r="J22" s="31" t="s">
        <v>3127</v>
      </c>
    </row>
  </sheetData>
  <mergeCells count="8">
    <mergeCell ref="A6:H6"/>
    <mergeCell ref="I6:J6"/>
    <mergeCell ref="A9:L9"/>
    <mergeCell ref="A1:L1"/>
    <mergeCell ref="A2:L2"/>
    <mergeCell ref="A3:L3"/>
    <mergeCell ref="A5:H5"/>
    <mergeCell ref="I5:J5"/>
  </mergeCells>
  <dataValidations count="1">
    <dataValidation type="list" allowBlank="1" showErrorMessage="1" sqref="I10:I17" xr:uid="{00000000-0002-0000-1C00-000000000000}">
      <formula1>"Active,Dormant,Down,To Implement,Installed,Change Out"</formula1>
    </dataValidation>
  </dataValidations>
  <hyperlinks>
    <hyperlink ref="J20" r:id="rId1" location="/monitor_overview_global_menu" xr:uid="{00000000-0004-0000-1C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N90"/>
  <sheetViews>
    <sheetView showGridLines="0" workbookViewId="0">
      <pane ySplit="9" topLeftCell="A10" activePane="bottomLeft" state="frozen"/>
      <selection pane="bottomLeft" activeCell="B11" sqref="B11"/>
    </sheetView>
  </sheetViews>
  <sheetFormatPr defaultColWidth="12.5703125" defaultRowHeight="15.75" customHeight="1"/>
  <cols>
    <col min="1" max="1" width="6.140625" customWidth="1"/>
    <col min="2" max="2" width="11" customWidth="1"/>
    <col min="3" max="3" width="14.7109375" customWidth="1"/>
    <col min="4" max="4" width="9.42578125" customWidth="1"/>
    <col min="5" max="5" width="44" customWidth="1"/>
    <col min="6" max="6" width="15.85546875" customWidth="1"/>
    <col min="7" max="7" width="19.5703125" customWidth="1"/>
    <col min="8" max="8" width="15.85546875" customWidth="1"/>
    <col min="9" max="9" width="19.42578125" customWidth="1"/>
    <col min="10" max="10" width="18.85546875" customWidth="1"/>
    <col min="11" max="11" width="62.85546875" customWidth="1"/>
    <col min="12" max="13" width="38.42578125" customWidth="1"/>
  </cols>
  <sheetData>
    <row r="1" spans="1:14" ht="15.75" customHeight="1">
      <c r="A1" s="539" t="s">
        <v>3173</v>
      </c>
      <c r="B1" s="517"/>
      <c r="C1" s="517"/>
      <c r="D1" s="517"/>
      <c r="E1" s="517"/>
      <c r="F1" s="517"/>
      <c r="G1" s="517"/>
      <c r="H1" s="517"/>
      <c r="I1" s="517"/>
      <c r="J1" s="517"/>
      <c r="K1" s="517"/>
      <c r="L1" s="517"/>
      <c r="M1" s="125"/>
    </row>
    <row r="2" spans="1:14" ht="15.75" customHeight="1">
      <c r="A2" s="540" t="s">
        <v>1464</v>
      </c>
      <c r="B2" s="517"/>
      <c r="C2" s="517"/>
      <c r="D2" s="517"/>
      <c r="E2" s="517"/>
      <c r="F2" s="517"/>
      <c r="G2" s="517"/>
      <c r="H2" s="517"/>
      <c r="I2" s="517"/>
      <c r="J2" s="517"/>
      <c r="K2" s="517"/>
      <c r="L2" s="517"/>
      <c r="M2" s="126"/>
    </row>
    <row r="3" spans="1:14" ht="12.75">
      <c r="A3" s="541">
        <f ca="1">NOW()</f>
        <v>46308.848431481485</v>
      </c>
      <c r="B3" s="517"/>
      <c r="C3" s="517"/>
      <c r="D3" s="517"/>
      <c r="E3" s="517"/>
      <c r="F3" s="517"/>
      <c r="G3" s="517"/>
      <c r="H3" s="517"/>
      <c r="I3" s="517"/>
      <c r="J3" s="517"/>
      <c r="K3" s="517"/>
      <c r="L3" s="517"/>
      <c r="M3" s="417"/>
    </row>
    <row r="4" spans="1:14" ht="12.75">
      <c r="L4" s="31"/>
      <c r="M4" s="31"/>
    </row>
    <row r="5" spans="1:14" ht="12.75">
      <c r="A5" s="624"/>
      <c r="B5" s="543"/>
      <c r="C5" s="543"/>
      <c r="D5" s="543"/>
      <c r="E5" s="543"/>
      <c r="F5" s="543"/>
      <c r="G5" s="543"/>
      <c r="H5" s="544"/>
      <c r="I5" s="625" t="s">
        <v>2895</v>
      </c>
      <c r="J5" s="544"/>
      <c r="K5" s="329">
        <f>COUNTIF(I10:I77,"Down")</f>
        <v>10</v>
      </c>
      <c r="L5" s="31"/>
      <c r="M5" s="31"/>
    </row>
    <row r="6" spans="1:14" ht="12.75">
      <c r="A6" s="622"/>
      <c r="B6" s="543"/>
      <c r="C6" s="543"/>
      <c r="D6" s="543"/>
      <c r="E6" s="543"/>
      <c r="F6" s="543"/>
      <c r="G6" s="543"/>
      <c r="H6" s="544"/>
      <c r="I6" s="623" t="s">
        <v>3150</v>
      </c>
      <c r="J6" s="544"/>
      <c r="K6" s="332">
        <f>COUNTIF(I10:I77,"Active")</f>
        <v>58</v>
      </c>
    </row>
    <row r="8" spans="1:14" ht="12.75">
      <c r="A8" s="127" t="s">
        <v>1466</v>
      </c>
      <c r="B8" s="127" t="s">
        <v>2</v>
      </c>
      <c r="C8" s="127" t="s">
        <v>1</v>
      </c>
      <c r="D8" s="127" t="s">
        <v>0</v>
      </c>
      <c r="E8" s="127" t="s">
        <v>2902</v>
      </c>
      <c r="F8" s="127" t="s">
        <v>14</v>
      </c>
      <c r="G8" s="127" t="s">
        <v>645</v>
      </c>
      <c r="H8" s="127" t="s">
        <v>7</v>
      </c>
      <c r="I8" s="127" t="s">
        <v>1473</v>
      </c>
      <c r="J8" s="127" t="s">
        <v>2904</v>
      </c>
      <c r="K8" s="127" t="s">
        <v>20</v>
      </c>
      <c r="L8" s="127" t="s">
        <v>2905</v>
      </c>
      <c r="M8" s="418" t="s">
        <v>3177</v>
      </c>
    </row>
    <row r="9" spans="1:14" ht="12.75">
      <c r="A9" s="542" t="s">
        <v>1551</v>
      </c>
      <c r="B9" s="543"/>
      <c r="C9" s="543"/>
      <c r="D9" s="543"/>
      <c r="E9" s="543"/>
      <c r="F9" s="543"/>
      <c r="G9" s="543"/>
      <c r="H9" s="543"/>
      <c r="I9" s="543"/>
      <c r="J9" s="543"/>
      <c r="K9" s="543"/>
      <c r="L9" s="543"/>
      <c r="M9" s="544"/>
    </row>
    <row r="10" spans="1:14" ht="25.5">
      <c r="A10" s="23">
        <v>1</v>
      </c>
      <c r="B10" s="61" t="s">
        <v>79</v>
      </c>
      <c r="C10" s="61" t="s">
        <v>1665</v>
      </c>
      <c r="D10" s="61">
        <v>1</v>
      </c>
      <c r="E10" s="61" t="s">
        <v>510</v>
      </c>
      <c r="F10" s="97" t="s">
        <v>128</v>
      </c>
      <c r="G10" s="97" t="s">
        <v>1667</v>
      </c>
      <c r="H10" s="23" t="s">
        <v>513</v>
      </c>
      <c r="I10" s="23" t="s">
        <v>89</v>
      </c>
      <c r="J10" s="93"/>
      <c r="K10" s="23" t="s">
        <v>3178</v>
      </c>
      <c r="L10" s="538" t="s">
        <v>3179</v>
      </c>
      <c r="M10" s="538" t="s">
        <v>3181</v>
      </c>
      <c r="N10" s="31" t="b">
        <v>1</v>
      </c>
    </row>
    <row r="11" spans="1:14" ht="25.5">
      <c r="A11" s="23">
        <v>2</v>
      </c>
      <c r="B11" s="62" t="s">
        <v>79</v>
      </c>
      <c r="C11" s="62" t="s">
        <v>1665</v>
      </c>
      <c r="D11" s="61">
        <v>1</v>
      </c>
      <c r="E11" s="62" t="s">
        <v>517</v>
      </c>
      <c r="F11" s="97" t="s">
        <v>128</v>
      </c>
      <c r="G11" s="97" t="s">
        <v>1677</v>
      </c>
      <c r="H11" s="23" t="s">
        <v>513</v>
      </c>
      <c r="I11" s="23" t="s">
        <v>89</v>
      </c>
      <c r="J11" s="93"/>
      <c r="K11" s="23" t="s">
        <v>3178</v>
      </c>
      <c r="L11" s="511"/>
      <c r="M11" s="511"/>
      <c r="N11" s="31" t="b">
        <v>1</v>
      </c>
    </row>
    <row r="12" spans="1:14" ht="25.5">
      <c r="A12" s="23">
        <v>3</v>
      </c>
      <c r="B12" s="62" t="s">
        <v>79</v>
      </c>
      <c r="C12" s="62" t="s">
        <v>1665</v>
      </c>
      <c r="D12" s="61">
        <v>1</v>
      </c>
      <c r="E12" s="62" t="s">
        <v>518</v>
      </c>
      <c r="F12" s="97" t="s">
        <v>128</v>
      </c>
      <c r="G12" s="97" t="s">
        <v>1679</v>
      </c>
      <c r="H12" s="23" t="s">
        <v>513</v>
      </c>
      <c r="I12" s="23" t="s">
        <v>89</v>
      </c>
      <c r="J12" s="169"/>
      <c r="K12" s="23" t="s">
        <v>3178</v>
      </c>
      <c r="L12" s="512"/>
      <c r="M12" s="512"/>
      <c r="N12" s="31" t="b">
        <v>1</v>
      </c>
    </row>
    <row r="13" spans="1:14" ht="25.5">
      <c r="A13" s="23">
        <v>4</v>
      </c>
      <c r="B13" s="62" t="s">
        <v>79</v>
      </c>
      <c r="C13" s="62" t="s">
        <v>15</v>
      </c>
      <c r="D13" s="61">
        <v>1</v>
      </c>
      <c r="E13" s="62" t="s">
        <v>519</v>
      </c>
      <c r="F13" s="23" t="s">
        <v>207</v>
      </c>
      <c r="G13" s="23" t="s">
        <v>1684</v>
      </c>
      <c r="H13" s="23" t="s">
        <v>513</v>
      </c>
      <c r="I13" s="23" t="s">
        <v>89</v>
      </c>
      <c r="J13" s="169"/>
      <c r="K13" s="23" t="s">
        <v>3178</v>
      </c>
      <c r="L13" s="538" t="s">
        <v>3187</v>
      </c>
      <c r="M13" s="538" t="s">
        <v>520</v>
      </c>
      <c r="N13" s="31" t="b">
        <v>1</v>
      </c>
    </row>
    <row r="14" spans="1:14" ht="12.75">
      <c r="A14" s="23">
        <v>5</v>
      </c>
      <c r="B14" s="23" t="s">
        <v>79</v>
      </c>
      <c r="C14" s="23" t="s">
        <v>15</v>
      </c>
      <c r="D14" s="61">
        <v>1</v>
      </c>
      <c r="E14" s="23" t="s">
        <v>521</v>
      </c>
      <c r="F14" s="23" t="s">
        <v>207</v>
      </c>
      <c r="G14" s="23" t="s">
        <v>1692</v>
      </c>
      <c r="H14" s="23" t="s">
        <v>513</v>
      </c>
      <c r="I14" s="23" t="s">
        <v>89</v>
      </c>
      <c r="J14" s="93"/>
      <c r="K14" s="23" t="s">
        <v>3178</v>
      </c>
      <c r="L14" s="512"/>
      <c r="M14" s="512"/>
      <c r="N14" s="31" t="b">
        <v>1</v>
      </c>
    </row>
    <row r="15" spans="1:14" ht="25.5">
      <c r="A15" s="23">
        <v>6</v>
      </c>
      <c r="B15" s="23" t="s">
        <v>79</v>
      </c>
      <c r="C15" s="23" t="s">
        <v>15</v>
      </c>
      <c r="D15" s="61">
        <v>1</v>
      </c>
      <c r="E15" s="23" t="s">
        <v>522</v>
      </c>
      <c r="F15" s="23" t="s">
        <v>374</v>
      </c>
      <c r="G15" s="23" t="s">
        <v>1694</v>
      </c>
      <c r="H15" s="23" t="s">
        <v>513</v>
      </c>
      <c r="I15" s="23" t="s">
        <v>89</v>
      </c>
      <c r="J15" s="93"/>
      <c r="K15" s="23" t="s">
        <v>3178</v>
      </c>
      <c r="L15" s="61" t="s">
        <v>3193</v>
      </c>
      <c r="M15" s="61"/>
      <c r="N15" s="31" t="b">
        <v>1</v>
      </c>
    </row>
    <row r="16" spans="1:14" ht="12.75">
      <c r="A16" s="23">
        <v>7</v>
      </c>
      <c r="B16" s="23" t="s">
        <v>79</v>
      </c>
      <c r="C16" s="23" t="s">
        <v>15</v>
      </c>
      <c r="D16" s="61">
        <v>1</v>
      </c>
      <c r="E16" s="23" t="s">
        <v>524</v>
      </c>
      <c r="F16" s="97" t="s">
        <v>238</v>
      </c>
      <c r="G16" s="97" t="s">
        <v>1701</v>
      </c>
      <c r="H16" s="23" t="s">
        <v>513</v>
      </c>
      <c r="I16" s="23" t="s">
        <v>89</v>
      </c>
      <c r="J16" s="169"/>
      <c r="K16" s="23" t="s">
        <v>3178</v>
      </c>
      <c r="L16" s="61" t="s">
        <v>3194</v>
      </c>
      <c r="M16" s="61" t="s">
        <v>1702</v>
      </c>
      <c r="N16" s="31" t="b">
        <v>1</v>
      </c>
    </row>
    <row r="17" spans="1:14" ht="12.75">
      <c r="A17" s="23">
        <v>8</v>
      </c>
      <c r="B17" s="23" t="s">
        <v>79</v>
      </c>
      <c r="C17" s="23" t="s">
        <v>258</v>
      </c>
      <c r="D17" s="61">
        <v>1</v>
      </c>
      <c r="E17" s="23" t="s">
        <v>526</v>
      </c>
      <c r="F17" s="97" t="s">
        <v>238</v>
      </c>
      <c r="G17" s="97" t="s">
        <v>1705</v>
      </c>
      <c r="H17" s="23" t="s">
        <v>513</v>
      </c>
      <c r="I17" s="23" t="s">
        <v>89</v>
      </c>
      <c r="J17" s="93"/>
      <c r="K17" s="23" t="s">
        <v>3178</v>
      </c>
      <c r="L17" s="61" t="s">
        <v>3194</v>
      </c>
      <c r="M17" s="61" t="s">
        <v>1702</v>
      </c>
      <c r="N17" s="31" t="b">
        <v>1</v>
      </c>
    </row>
    <row r="18" spans="1:14" ht="12.75">
      <c r="A18" s="23">
        <v>9</v>
      </c>
      <c r="B18" s="23" t="s">
        <v>79</v>
      </c>
      <c r="C18" s="23" t="s">
        <v>258</v>
      </c>
      <c r="D18" s="61">
        <v>1</v>
      </c>
      <c r="E18" s="23" t="s">
        <v>528</v>
      </c>
      <c r="F18" s="97" t="s">
        <v>155</v>
      </c>
      <c r="G18" s="97" t="s">
        <v>1711</v>
      </c>
      <c r="H18" s="23" t="s">
        <v>513</v>
      </c>
      <c r="I18" s="23" t="s">
        <v>89</v>
      </c>
      <c r="J18" s="169"/>
      <c r="K18" s="23" t="s">
        <v>3178</v>
      </c>
      <c r="L18" s="23" t="s">
        <v>3197</v>
      </c>
      <c r="M18" s="23" t="s">
        <v>1713</v>
      </c>
      <c r="N18" s="31" t="b">
        <v>1</v>
      </c>
    </row>
    <row r="19" spans="1:14" ht="12.75">
      <c r="A19" s="23">
        <v>10</v>
      </c>
      <c r="B19" s="23" t="s">
        <v>79</v>
      </c>
      <c r="C19" s="23" t="s">
        <v>258</v>
      </c>
      <c r="D19" s="61">
        <v>1</v>
      </c>
      <c r="E19" s="23" t="s">
        <v>530</v>
      </c>
      <c r="F19" s="23" t="s">
        <v>374</v>
      </c>
      <c r="G19" s="23" t="s">
        <v>1717</v>
      </c>
      <c r="H19" s="23" t="s">
        <v>513</v>
      </c>
      <c r="I19" s="23" t="s">
        <v>89</v>
      </c>
      <c r="J19" s="93"/>
      <c r="K19" s="23" t="s">
        <v>3178</v>
      </c>
      <c r="L19" s="23" t="s">
        <v>3198</v>
      </c>
      <c r="M19" s="112"/>
      <c r="N19" s="31" t="b">
        <v>1</v>
      </c>
    </row>
    <row r="20" spans="1:14" ht="12.75">
      <c r="A20" s="23">
        <v>11</v>
      </c>
      <c r="B20" s="23" t="s">
        <v>79</v>
      </c>
      <c r="C20" s="23" t="s">
        <v>1723</v>
      </c>
      <c r="D20" s="61">
        <v>1</v>
      </c>
      <c r="E20" s="23" t="s">
        <v>531</v>
      </c>
      <c r="F20" s="23" t="s">
        <v>207</v>
      </c>
      <c r="G20" s="23" t="s">
        <v>1727</v>
      </c>
      <c r="H20" s="23" t="s">
        <v>513</v>
      </c>
      <c r="I20" s="23" t="s">
        <v>89</v>
      </c>
      <c r="J20" s="169"/>
      <c r="K20" s="23" t="s">
        <v>3178</v>
      </c>
      <c r="L20" s="23"/>
      <c r="M20" s="45"/>
      <c r="N20" s="31" t="b">
        <v>1</v>
      </c>
    </row>
    <row r="21" spans="1:14" ht="12.75">
      <c r="A21" s="23">
        <v>12</v>
      </c>
      <c r="B21" s="23" t="s">
        <v>79</v>
      </c>
      <c r="C21" s="23" t="s">
        <v>1723</v>
      </c>
      <c r="D21" s="61">
        <v>1</v>
      </c>
      <c r="E21" s="23" t="s">
        <v>533</v>
      </c>
      <c r="F21" s="23" t="s">
        <v>207</v>
      </c>
      <c r="G21" s="23" t="s">
        <v>1727</v>
      </c>
      <c r="H21" s="23" t="s">
        <v>513</v>
      </c>
      <c r="I21" s="23" t="s">
        <v>89</v>
      </c>
      <c r="J21" s="93"/>
      <c r="K21" s="23" t="s">
        <v>3178</v>
      </c>
      <c r="L21" s="422"/>
      <c r="M21" s="45"/>
      <c r="N21" s="31" t="b">
        <v>1</v>
      </c>
    </row>
    <row r="22" spans="1:14" ht="12.75">
      <c r="A22" s="23">
        <v>13</v>
      </c>
      <c r="B22" s="23" t="s">
        <v>79</v>
      </c>
      <c r="C22" s="23" t="s">
        <v>1723</v>
      </c>
      <c r="D22" s="61">
        <v>1</v>
      </c>
      <c r="E22" s="23" t="s">
        <v>534</v>
      </c>
      <c r="F22" s="23" t="s">
        <v>374</v>
      </c>
      <c r="G22" s="23" t="s">
        <v>1743</v>
      </c>
      <c r="H22" s="23" t="s">
        <v>513</v>
      </c>
      <c r="I22" s="23" t="s">
        <v>89</v>
      </c>
      <c r="J22" s="169"/>
      <c r="K22" s="23" t="s">
        <v>3178</v>
      </c>
      <c r="L22" s="23" t="s">
        <v>3202</v>
      </c>
      <c r="M22" s="45"/>
      <c r="N22" s="31" t="b">
        <v>1</v>
      </c>
    </row>
    <row r="23" spans="1:14" ht="12.75">
      <c r="A23" s="23">
        <v>14</v>
      </c>
      <c r="B23" s="23" t="s">
        <v>79</v>
      </c>
      <c r="C23" s="23" t="s">
        <v>1723</v>
      </c>
      <c r="D23" s="61">
        <v>1</v>
      </c>
      <c r="E23" s="23" t="s">
        <v>83</v>
      </c>
      <c r="F23" s="415" t="s">
        <v>155</v>
      </c>
      <c r="G23" s="23" t="s">
        <v>1757</v>
      </c>
      <c r="H23" s="23" t="s">
        <v>513</v>
      </c>
      <c r="I23" s="23" t="s">
        <v>89</v>
      </c>
      <c r="J23" s="172"/>
      <c r="K23" s="23" t="s">
        <v>3178</v>
      </c>
      <c r="L23" s="23" t="s">
        <v>3203</v>
      </c>
      <c r="M23" s="45"/>
      <c r="N23" s="31" t="b">
        <v>1</v>
      </c>
    </row>
    <row r="24" spans="1:14" ht="12.75">
      <c r="A24" s="23">
        <v>15</v>
      </c>
      <c r="B24" s="23" t="s">
        <v>13</v>
      </c>
      <c r="C24" s="23" t="s">
        <v>15</v>
      </c>
      <c r="D24" s="61">
        <v>1</v>
      </c>
      <c r="E24" s="23" t="s">
        <v>537</v>
      </c>
      <c r="F24" s="23" t="s">
        <v>207</v>
      </c>
      <c r="G24" s="23" t="s">
        <v>1765</v>
      </c>
      <c r="H24" s="23" t="s">
        <v>513</v>
      </c>
      <c r="I24" s="23" t="s">
        <v>89</v>
      </c>
      <c r="J24" s="93"/>
      <c r="K24" s="23" t="s">
        <v>3178</v>
      </c>
      <c r="L24" s="23"/>
      <c r="M24" s="45"/>
      <c r="N24" s="31" t="b">
        <v>1</v>
      </c>
    </row>
    <row r="25" spans="1:14" ht="12.75">
      <c r="A25" s="13">
        <v>16</v>
      </c>
      <c r="B25" s="23" t="s">
        <v>13</v>
      </c>
      <c r="C25" s="23" t="s">
        <v>15</v>
      </c>
      <c r="D25" s="61">
        <v>1</v>
      </c>
      <c r="E25" s="23" t="s">
        <v>539</v>
      </c>
      <c r="F25" s="23" t="s">
        <v>207</v>
      </c>
      <c r="G25" s="23" t="s">
        <v>1777</v>
      </c>
      <c r="H25" s="23" t="s">
        <v>513</v>
      </c>
      <c r="I25" s="23" t="s">
        <v>89</v>
      </c>
      <c r="J25" s="93"/>
      <c r="K25" s="23" t="s">
        <v>3178</v>
      </c>
      <c r="L25" s="23"/>
      <c r="M25" s="45"/>
      <c r="N25" s="31" t="b">
        <v>0</v>
      </c>
    </row>
    <row r="26" spans="1:14" ht="12.75">
      <c r="A26" s="23">
        <v>17</v>
      </c>
      <c r="B26" s="23" t="s">
        <v>13</v>
      </c>
      <c r="C26" s="23" t="s">
        <v>15</v>
      </c>
      <c r="D26" s="61">
        <v>1</v>
      </c>
      <c r="E26" s="23" t="s">
        <v>1778</v>
      </c>
      <c r="F26" s="23" t="s">
        <v>374</v>
      </c>
      <c r="G26" s="23" t="s">
        <v>1780</v>
      </c>
      <c r="H26" s="23" t="s">
        <v>513</v>
      </c>
      <c r="I26" s="23" t="s">
        <v>89</v>
      </c>
      <c r="J26" s="93"/>
      <c r="K26" s="23" t="s">
        <v>3178</v>
      </c>
      <c r="L26" s="23"/>
      <c r="M26" s="45"/>
      <c r="N26" s="38" t="b">
        <v>0</v>
      </c>
    </row>
    <row r="27" spans="1:14" ht="12.75">
      <c r="A27" s="23">
        <v>18</v>
      </c>
      <c r="B27" s="23" t="s">
        <v>13</v>
      </c>
      <c r="C27" s="247" t="s">
        <v>1788</v>
      </c>
      <c r="D27" s="61">
        <v>1</v>
      </c>
      <c r="E27" s="119" t="s">
        <v>1789</v>
      </c>
      <c r="F27" s="415" t="s">
        <v>155</v>
      </c>
      <c r="G27" s="23" t="s">
        <v>1791</v>
      </c>
      <c r="H27" s="23" t="s">
        <v>513</v>
      </c>
      <c r="I27" s="23" t="s">
        <v>3023</v>
      </c>
      <c r="J27" s="93">
        <v>45904.440694444442</v>
      </c>
      <c r="K27" s="23" t="s">
        <v>3178</v>
      </c>
      <c r="L27" s="112"/>
      <c r="M27" s="424"/>
      <c r="N27" s="31" t="b">
        <v>1</v>
      </c>
    </row>
    <row r="28" spans="1:14" ht="12.75">
      <c r="A28" s="23">
        <v>19</v>
      </c>
      <c r="B28" s="23" t="s">
        <v>13</v>
      </c>
      <c r="C28" s="247" t="s">
        <v>1788</v>
      </c>
      <c r="D28" s="61">
        <v>1</v>
      </c>
      <c r="E28" s="23" t="s">
        <v>544</v>
      </c>
      <c r="F28" s="23" t="s">
        <v>374</v>
      </c>
      <c r="G28" s="23" t="s">
        <v>1800</v>
      </c>
      <c r="H28" s="23" t="s">
        <v>513</v>
      </c>
      <c r="I28" s="23" t="s">
        <v>3023</v>
      </c>
      <c r="J28" s="93">
        <v>45904.441111111111</v>
      </c>
      <c r="K28" s="23" t="s">
        <v>3178</v>
      </c>
      <c r="L28" s="112"/>
      <c r="M28" s="424"/>
      <c r="N28" s="31" t="b">
        <v>1</v>
      </c>
    </row>
    <row r="29" spans="1:14" ht="12.75">
      <c r="A29" s="23">
        <v>20</v>
      </c>
      <c r="B29" s="23" t="s">
        <v>67</v>
      </c>
      <c r="C29" s="23" t="s">
        <v>1804</v>
      </c>
      <c r="D29" s="61">
        <v>1</v>
      </c>
      <c r="E29" s="23" t="s">
        <v>1805</v>
      </c>
      <c r="F29" s="23" t="s">
        <v>155</v>
      </c>
      <c r="G29" s="23" t="s">
        <v>1807</v>
      </c>
      <c r="H29" s="23" t="s">
        <v>513</v>
      </c>
      <c r="I29" s="23" t="s">
        <v>89</v>
      </c>
      <c r="J29" s="93"/>
      <c r="K29" s="23" t="s">
        <v>3178</v>
      </c>
      <c r="L29" s="112"/>
      <c r="M29" s="424"/>
      <c r="N29" s="31" t="b">
        <v>1</v>
      </c>
    </row>
    <row r="30" spans="1:14" ht="12.75">
      <c r="A30" s="23">
        <v>21</v>
      </c>
      <c r="B30" s="23" t="s">
        <v>67</v>
      </c>
      <c r="C30" s="23" t="s">
        <v>1804</v>
      </c>
      <c r="D30" s="61">
        <v>1</v>
      </c>
      <c r="E30" s="23" t="s">
        <v>1822</v>
      </c>
      <c r="F30" s="415" t="s">
        <v>155</v>
      </c>
      <c r="G30" s="23" t="s">
        <v>1824</v>
      </c>
      <c r="H30" s="23" t="s">
        <v>513</v>
      </c>
      <c r="I30" s="23" t="s">
        <v>89</v>
      </c>
      <c r="J30" s="93"/>
      <c r="K30" s="23" t="s">
        <v>3178</v>
      </c>
      <c r="L30" s="112"/>
      <c r="M30" s="424"/>
      <c r="N30" s="31" t="b">
        <v>1</v>
      </c>
    </row>
    <row r="31" spans="1:14" ht="12.75">
      <c r="A31" s="23">
        <v>22</v>
      </c>
      <c r="B31" s="23" t="s">
        <v>67</v>
      </c>
      <c r="C31" s="23" t="s">
        <v>1804</v>
      </c>
      <c r="D31" s="61">
        <v>1</v>
      </c>
      <c r="E31" s="23" t="s">
        <v>1826</v>
      </c>
      <c r="F31" s="23" t="s">
        <v>207</v>
      </c>
      <c r="G31" s="13" t="s">
        <v>1828</v>
      </c>
      <c r="H31" s="23" t="s">
        <v>513</v>
      </c>
      <c r="I31" s="23" t="s">
        <v>89</v>
      </c>
      <c r="J31" s="93"/>
      <c r="K31" s="23" t="s">
        <v>3178</v>
      </c>
      <c r="L31" s="112"/>
      <c r="M31" s="424"/>
      <c r="N31" s="31" t="b">
        <v>1</v>
      </c>
    </row>
    <row r="32" spans="1:14" ht="12.75">
      <c r="A32" s="13">
        <v>23</v>
      </c>
      <c r="B32" s="23" t="s">
        <v>67</v>
      </c>
      <c r="C32" s="23" t="s">
        <v>1804</v>
      </c>
      <c r="D32" s="61">
        <v>1</v>
      </c>
      <c r="E32" s="23" t="s">
        <v>1834</v>
      </c>
      <c r="F32" s="23" t="s">
        <v>207</v>
      </c>
      <c r="G32" s="23" t="s">
        <v>3205</v>
      </c>
      <c r="H32" s="23" t="s">
        <v>513</v>
      </c>
      <c r="I32" s="23" t="s">
        <v>89</v>
      </c>
      <c r="J32" s="93"/>
      <c r="K32" s="23" t="s">
        <v>3178</v>
      </c>
      <c r="L32" s="112"/>
      <c r="M32" s="424"/>
      <c r="N32" s="38" t="b">
        <v>0</v>
      </c>
    </row>
    <row r="33" spans="1:14" ht="12.75">
      <c r="A33" s="23">
        <v>24</v>
      </c>
      <c r="B33" s="23" t="s">
        <v>67</v>
      </c>
      <c r="C33" s="23" t="s">
        <v>1804</v>
      </c>
      <c r="D33" s="61">
        <v>1</v>
      </c>
      <c r="E33" s="23" t="s">
        <v>1835</v>
      </c>
      <c r="F33" s="23" t="s">
        <v>374</v>
      </c>
      <c r="G33" s="23" t="s">
        <v>1837</v>
      </c>
      <c r="H33" s="23" t="s">
        <v>513</v>
      </c>
      <c r="I33" s="23" t="s">
        <v>3023</v>
      </c>
      <c r="J33" s="93">
        <v>45839.774270833332</v>
      </c>
      <c r="K33" s="23" t="s">
        <v>3178</v>
      </c>
      <c r="L33" s="112"/>
      <c r="M33" s="424"/>
      <c r="N33" s="31" t="b">
        <v>1</v>
      </c>
    </row>
    <row r="34" spans="1:14" ht="12.75">
      <c r="A34" s="23">
        <v>25</v>
      </c>
      <c r="B34" s="23" t="s">
        <v>67</v>
      </c>
      <c r="C34" s="23" t="s">
        <v>1848</v>
      </c>
      <c r="D34" s="61">
        <v>1</v>
      </c>
      <c r="E34" s="23" t="s">
        <v>110</v>
      </c>
      <c r="F34" s="23" t="s">
        <v>553</v>
      </c>
      <c r="G34" s="23" t="s">
        <v>1851</v>
      </c>
      <c r="H34" s="23" t="s">
        <v>513</v>
      </c>
      <c r="I34" s="23" t="s">
        <v>89</v>
      </c>
      <c r="J34" s="93"/>
      <c r="K34" s="23" t="s">
        <v>3178</v>
      </c>
      <c r="L34" s="112"/>
      <c r="M34" s="424"/>
      <c r="N34" s="31" t="b">
        <v>1</v>
      </c>
    </row>
    <row r="35" spans="1:14" ht="12.75">
      <c r="A35" s="23">
        <v>26</v>
      </c>
      <c r="B35" s="23" t="s">
        <v>67</v>
      </c>
      <c r="C35" s="23" t="s">
        <v>1848</v>
      </c>
      <c r="D35" s="61">
        <v>1</v>
      </c>
      <c r="E35" s="13" t="s">
        <v>129</v>
      </c>
      <c r="F35" s="23" t="s">
        <v>553</v>
      </c>
      <c r="G35" s="23" t="s">
        <v>1865</v>
      </c>
      <c r="H35" s="23" t="s">
        <v>513</v>
      </c>
      <c r="I35" s="23" t="s">
        <v>3023</v>
      </c>
      <c r="J35" s="93">
        <v>45916.619803240741</v>
      </c>
      <c r="K35" s="23" t="s">
        <v>3178</v>
      </c>
      <c r="L35" s="112"/>
      <c r="M35" s="424"/>
      <c r="N35" s="31" t="b">
        <v>1</v>
      </c>
    </row>
    <row r="36" spans="1:14" ht="12.75">
      <c r="A36" s="23">
        <v>27</v>
      </c>
      <c r="B36" s="23" t="s">
        <v>67</v>
      </c>
      <c r="C36" s="23" t="s">
        <v>1848</v>
      </c>
      <c r="D36" s="61">
        <v>1</v>
      </c>
      <c r="E36" s="23" t="s">
        <v>135</v>
      </c>
      <c r="F36" s="23" t="s">
        <v>553</v>
      </c>
      <c r="G36" s="23" t="s">
        <v>1868</v>
      </c>
      <c r="H36" s="23" t="s">
        <v>513</v>
      </c>
      <c r="I36" s="23" t="s">
        <v>89</v>
      </c>
      <c r="J36" s="93"/>
      <c r="K36" s="23" t="s">
        <v>3178</v>
      </c>
      <c r="L36" s="112"/>
      <c r="M36" s="424"/>
      <c r="N36" s="31" t="b">
        <v>1</v>
      </c>
    </row>
    <row r="37" spans="1:14" ht="12.75">
      <c r="A37" s="23">
        <v>28</v>
      </c>
      <c r="B37" s="23" t="s">
        <v>81</v>
      </c>
      <c r="C37" s="23" t="s">
        <v>1869</v>
      </c>
      <c r="D37" s="61">
        <v>1</v>
      </c>
      <c r="E37" s="23" t="s">
        <v>554</v>
      </c>
      <c r="F37" s="415" t="s">
        <v>155</v>
      </c>
      <c r="G37" s="23" t="s">
        <v>1872</v>
      </c>
      <c r="H37" s="23" t="s">
        <v>513</v>
      </c>
      <c r="I37" s="23" t="s">
        <v>89</v>
      </c>
      <c r="J37" s="23"/>
      <c r="K37" s="23" t="s">
        <v>3178</v>
      </c>
      <c r="L37" s="112"/>
      <c r="M37" s="424"/>
      <c r="N37" s="31" t="b">
        <v>1</v>
      </c>
    </row>
    <row r="38" spans="1:14" ht="12.75">
      <c r="A38" s="23">
        <v>29</v>
      </c>
      <c r="B38" s="23" t="s">
        <v>81</v>
      </c>
      <c r="C38" s="23" t="s">
        <v>1869</v>
      </c>
      <c r="D38" s="61">
        <v>1</v>
      </c>
      <c r="E38" s="23" t="s">
        <v>556</v>
      </c>
      <c r="F38" s="23" t="s">
        <v>374</v>
      </c>
      <c r="G38" s="23" t="s">
        <v>1884</v>
      </c>
      <c r="H38" s="23" t="s">
        <v>513</v>
      </c>
      <c r="I38" s="23" t="s">
        <v>89</v>
      </c>
      <c r="J38" s="93"/>
      <c r="K38" s="23" t="s">
        <v>3178</v>
      </c>
      <c r="L38" s="112"/>
      <c r="M38" s="424"/>
      <c r="N38" s="31" t="b">
        <v>1</v>
      </c>
    </row>
    <row r="39" spans="1:14" ht="12.75">
      <c r="A39" s="23">
        <v>30</v>
      </c>
      <c r="B39" s="23" t="s">
        <v>81</v>
      </c>
      <c r="C39" s="23" t="s">
        <v>1889</v>
      </c>
      <c r="D39" s="61">
        <v>1</v>
      </c>
      <c r="E39" s="23" t="s">
        <v>1890</v>
      </c>
      <c r="F39" s="415" t="s">
        <v>155</v>
      </c>
      <c r="G39" s="23" t="s">
        <v>1892</v>
      </c>
      <c r="H39" s="23" t="s">
        <v>513</v>
      </c>
      <c r="I39" s="23" t="s">
        <v>89</v>
      </c>
      <c r="J39" s="93"/>
      <c r="K39" s="23" t="s">
        <v>3178</v>
      </c>
      <c r="L39" s="112"/>
      <c r="M39" s="424"/>
      <c r="N39" s="31" t="b">
        <v>1</v>
      </c>
    </row>
    <row r="40" spans="1:14" ht="12.75">
      <c r="A40" s="23">
        <v>31</v>
      </c>
      <c r="B40" s="23" t="s">
        <v>81</v>
      </c>
      <c r="C40" s="23" t="s">
        <v>1889</v>
      </c>
      <c r="D40" s="61">
        <v>1</v>
      </c>
      <c r="E40" s="23" t="s">
        <v>1900</v>
      </c>
      <c r="F40" s="23" t="s">
        <v>374</v>
      </c>
      <c r="G40" s="23" t="s">
        <v>1902</v>
      </c>
      <c r="H40" s="23" t="s">
        <v>513</v>
      </c>
      <c r="I40" s="23" t="s">
        <v>89</v>
      </c>
      <c r="J40" s="93"/>
      <c r="K40" s="23" t="s">
        <v>3178</v>
      </c>
      <c r="L40" s="112"/>
      <c r="M40" s="424"/>
      <c r="N40" s="31" t="b">
        <v>1</v>
      </c>
    </row>
    <row r="41" spans="1:14" ht="12.75">
      <c r="A41" s="23">
        <v>32</v>
      </c>
      <c r="B41" s="23" t="s">
        <v>81</v>
      </c>
      <c r="C41" s="23" t="s">
        <v>283</v>
      </c>
      <c r="D41" s="61">
        <v>1</v>
      </c>
      <c r="E41" s="23" t="s">
        <v>137</v>
      </c>
      <c r="F41" s="415" t="s">
        <v>155</v>
      </c>
      <c r="G41" s="23" t="s">
        <v>1914</v>
      </c>
      <c r="H41" s="23" t="s">
        <v>513</v>
      </c>
      <c r="I41" s="23" t="s">
        <v>89</v>
      </c>
      <c r="J41" s="93"/>
      <c r="K41" s="23" t="s">
        <v>3178</v>
      </c>
      <c r="L41" s="112"/>
      <c r="M41" s="424"/>
      <c r="N41" s="31" t="b">
        <v>1</v>
      </c>
    </row>
    <row r="42" spans="1:14" ht="12.75">
      <c r="A42" s="23">
        <v>33</v>
      </c>
      <c r="B42" s="23" t="s">
        <v>81</v>
      </c>
      <c r="C42" s="23" t="s">
        <v>283</v>
      </c>
      <c r="D42" s="61">
        <v>1</v>
      </c>
      <c r="E42" s="23" t="s">
        <v>1925</v>
      </c>
      <c r="F42" s="23" t="s">
        <v>374</v>
      </c>
      <c r="G42" s="23" t="s">
        <v>1927</v>
      </c>
      <c r="H42" s="23" t="s">
        <v>513</v>
      </c>
      <c r="I42" s="23" t="s">
        <v>89</v>
      </c>
      <c r="J42" s="93"/>
      <c r="K42" s="23" t="s">
        <v>3178</v>
      </c>
      <c r="L42" s="112"/>
      <c r="M42" s="424"/>
      <c r="N42" s="31" t="b">
        <v>1</v>
      </c>
    </row>
    <row r="43" spans="1:14" ht="12.75">
      <c r="A43" s="23">
        <v>34</v>
      </c>
      <c r="B43" s="23" t="s">
        <v>81</v>
      </c>
      <c r="C43" s="23" t="s">
        <v>1934</v>
      </c>
      <c r="D43" s="61">
        <v>1</v>
      </c>
      <c r="E43" s="23" t="s">
        <v>562</v>
      </c>
      <c r="F43" s="23" t="s">
        <v>207</v>
      </c>
      <c r="G43" s="23" t="s">
        <v>1939</v>
      </c>
      <c r="H43" s="23" t="s">
        <v>513</v>
      </c>
      <c r="I43" s="23" t="s">
        <v>89</v>
      </c>
      <c r="J43" s="93"/>
      <c r="K43" s="23" t="s">
        <v>3178</v>
      </c>
      <c r="L43" s="112"/>
      <c r="M43" s="424"/>
      <c r="N43" s="31" t="b">
        <v>1</v>
      </c>
    </row>
    <row r="44" spans="1:14" ht="12.75">
      <c r="A44" s="23">
        <v>36</v>
      </c>
      <c r="B44" s="23" t="s">
        <v>81</v>
      </c>
      <c r="C44" s="23" t="s">
        <v>1934</v>
      </c>
      <c r="D44" s="61">
        <v>1</v>
      </c>
      <c r="E44" s="23" t="s">
        <v>149</v>
      </c>
      <c r="F44" s="23" t="s">
        <v>374</v>
      </c>
      <c r="G44" s="23" t="s">
        <v>1955</v>
      </c>
      <c r="H44" s="23" t="s">
        <v>513</v>
      </c>
      <c r="I44" s="23" t="s">
        <v>89</v>
      </c>
      <c r="J44" s="93"/>
      <c r="K44" s="23" t="s">
        <v>3178</v>
      </c>
      <c r="L44" s="112"/>
      <c r="M44" s="424"/>
      <c r="N44" s="31" t="b">
        <v>1</v>
      </c>
    </row>
    <row r="45" spans="1:14" ht="12.75">
      <c r="A45" s="23">
        <v>35</v>
      </c>
      <c r="B45" s="23" t="s">
        <v>81</v>
      </c>
      <c r="C45" s="23" t="s">
        <v>1934</v>
      </c>
      <c r="D45" s="61">
        <v>1</v>
      </c>
      <c r="E45" s="23" t="s">
        <v>564</v>
      </c>
      <c r="F45" s="23" t="s">
        <v>207</v>
      </c>
      <c r="G45" s="23" t="s">
        <v>1950</v>
      </c>
      <c r="H45" s="23" t="s">
        <v>513</v>
      </c>
      <c r="I45" s="23" t="s">
        <v>3023</v>
      </c>
      <c r="J45" s="93">
        <v>45877.631932870368</v>
      </c>
      <c r="K45" s="23" t="s">
        <v>3178</v>
      </c>
      <c r="L45" s="112"/>
      <c r="M45" s="424"/>
      <c r="N45" s="31" t="b">
        <v>1</v>
      </c>
    </row>
    <row r="46" spans="1:14" ht="12.75">
      <c r="A46" s="23">
        <v>37</v>
      </c>
      <c r="B46" s="23" t="s">
        <v>113</v>
      </c>
      <c r="C46" s="23" t="s">
        <v>1959</v>
      </c>
      <c r="D46" s="61">
        <v>1</v>
      </c>
      <c r="E46" s="23" t="s">
        <v>565</v>
      </c>
      <c r="F46" s="415" t="s">
        <v>155</v>
      </c>
      <c r="G46" s="23" t="s">
        <v>1961</v>
      </c>
      <c r="H46" s="23" t="s">
        <v>513</v>
      </c>
      <c r="I46" s="23" t="s">
        <v>89</v>
      </c>
      <c r="J46" s="93"/>
      <c r="K46" s="23" t="s">
        <v>3178</v>
      </c>
      <c r="L46" s="112"/>
      <c r="M46" s="424"/>
      <c r="N46" s="31" t="b">
        <v>1</v>
      </c>
    </row>
    <row r="47" spans="1:14" ht="12.75">
      <c r="A47" s="23">
        <v>38</v>
      </c>
      <c r="B47" s="23" t="s">
        <v>113</v>
      </c>
      <c r="C47" s="23" t="s">
        <v>1959</v>
      </c>
      <c r="D47" s="61">
        <v>1</v>
      </c>
      <c r="E47" s="23" t="s">
        <v>568</v>
      </c>
      <c r="F47" s="23" t="s">
        <v>207</v>
      </c>
      <c r="G47" s="23" t="s">
        <v>1975</v>
      </c>
      <c r="H47" s="23" t="s">
        <v>513</v>
      </c>
      <c r="I47" s="23" t="s">
        <v>3023</v>
      </c>
      <c r="J47" s="93">
        <v>45868.367268518516</v>
      </c>
      <c r="K47" s="23" t="s">
        <v>3178</v>
      </c>
      <c r="L47" s="112"/>
      <c r="M47" s="424"/>
      <c r="N47" s="31" t="b">
        <v>1</v>
      </c>
    </row>
    <row r="48" spans="1:14" ht="12.75">
      <c r="A48" s="23">
        <v>39</v>
      </c>
      <c r="B48" s="23" t="s">
        <v>113</v>
      </c>
      <c r="C48" s="23" t="s">
        <v>1959</v>
      </c>
      <c r="D48" s="61">
        <v>1</v>
      </c>
      <c r="E48" s="23" t="s">
        <v>156</v>
      </c>
      <c r="F48" s="23" t="s">
        <v>374</v>
      </c>
      <c r="G48" s="23" t="s">
        <v>1990</v>
      </c>
      <c r="H48" s="23" t="s">
        <v>513</v>
      </c>
      <c r="I48" s="23" t="s">
        <v>89</v>
      </c>
      <c r="J48" s="23"/>
      <c r="K48" s="23" t="s">
        <v>3178</v>
      </c>
      <c r="L48" s="112"/>
      <c r="M48" s="424"/>
      <c r="N48" s="31" t="b">
        <v>1</v>
      </c>
    </row>
    <row r="49" spans="1:14" ht="12.75">
      <c r="A49" s="426">
        <v>40</v>
      </c>
      <c r="B49" s="23" t="s">
        <v>113</v>
      </c>
      <c r="C49" s="23" t="s">
        <v>2000</v>
      </c>
      <c r="D49" s="61">
        <v>1</v>
      </c>
      <c r="E49" s="23" t="s">
        <v>2001</v>
      </c>
      <c r="F49" s="23" t="s">
        <v>553</v>
      </c>
      <c r="G49" s="23" t="s">
        <v>2004</v>
      </c>
      <c r="H49" s="23" t="s">
        <v>513</v>
      </c>
      <c r="I49" s="23" t="s">
        <v>89</v>
      </c>
      <c r="J49" s="23"/>
      <c r="K49" s="23" t="s">
        <v>3178</v>
      </c>
      <c r="L49" s="112"/>
      <c r="M49" s="424"/>
      <c r="N49" s="31" t="b">
        <v>1</v>
      </c>
    </row>
    <row r="50" spans="1:14" ht="12.75">
      <c r="A50" s="23">
        <v>41</v>
      </c>
      <c r="B50" s="23" t="s">
        <v>113</v>
      </c>
      <c r="C50" s="23" t="s">
        <v>2000</v>
      </c>
      <c r="D50" s="61">
        <v>1</v>
      </c>
      <c r="E50" s="23" t="s">
        <v>572</v>
      </c>
      <c r="F50" s="23" t="s">
        <v>207</v>
      </c>
      <c r="G50" s="23" t="s">
        <v>2008</v>
      </c>
      <c r="H50" s="23" t="s">
        <v>513</v>
      </c>
      <c r="I50" s="23" t="s">
        <v>89</v>
      </c>
      <c r="J50" s="23"/>
      <c r="K50" s="23" t="s">
        <v>3178</v>
      </c>
      <c r="L50" s="112"/>
      <c r="M50" s="424"/>
      <c r="N50" s="31" t="b">
        <v>1</v>
      </c>
    </row>
    <row r="51" spans="1:14" ht="12.75">
      <c r="A51" s="23">
        <v>42</v>
      </c>
      <c r="B51" s="23" t="s">
        <v>113</v>
      </c>
      <c r="C51" s="23" t="s">
        <v>2000</v>
      </c>
      <c r="D51" s="61">
        <v>1</v>
      </c>
      <c r="E51" s="23" t="s">
        <v>574</v>
      </c>
      <c r="F51" s="23" t="s">
        <v>374</v>
      </c>
      <c r="G51" s="23" t="s">
        <v>2017</v>
      </c>
      <c r="H51" s="23" t="s">
        <v>513</v>
      </c>
      <c r="I51" s="23" t="s">
        <v>89</v>
      </c>
      <c r="J51" s="23"/>
      <c r="K51" s="23" t="s">
        <v>3178</v>
      </c>
      <c r="L51" s="112"/>
      <c r="M51" s="424"/>
      <c r="N51" s="31" t="b">
        <v>1</v>
      </c>
    </row>
    <row r="52" spans="1:14" ht="12.75">
      <c r="A52" s="23">
        <v>43</v>
      </c>
      <c r="B52" s="23" t="s">
        <v>165</v>
      </c>
      <c r="C52" s="23" t="s">
        <v>1981</v>
      </c>
      <c r="D52" s="61">
        <v>1</v>
      </c>
      <c r="E52" s="23" t="s">
        <v>166</v>
      </c>
      <c r="F52" s="415" t="s">
        <v>155</v>
      </c>
      <c r="G52" s="23" t="s">
        <v>2025</v>
      </c>
      <c r="H52" s="23" t="s">
        <v>513</v>
      </c>
      <c r="I52" s="23" t="s">
        <v>89</v>
      </c>
      <c r="J52" s="23"/>
      <c r="K52" s="23" t="s">
        <v>3178</v>
      </c>
      <c r="L52" s="112"/>
      <c r="M52" s="424"/>
      <c r="N52" s="31" t="b">
        <v>1</v>
      </c>
    </row>
    <row r="53" spans="1:14" ht="12.75">
      <c r="A53" s="23">
        <v>44</v>
      </c>
      <c r="B53" s="23" t="s">
        <v>165</v>
      </c>
      <c r="C53" s="23" t="s">
        <v>1981</v>
      </c>
      <c r="D53" s="61">
        <v>1</v>
      </c>
      <c r="E53" s="23" t="s">
        <v>577</v>
      </c>
      <c r="F53" s="23" t="s">
        <v>374</v>
      </c>
      <c r="G53" s="23" t="s">
        <v>2034</v>
      </c>
      <c r="H53" s="23" t="s">
        <v>513</v>
      </c>
      <c r="I53" s="23" t="s">
        <v>89</v>
      </c>
      <c r="J53" s="23"/>
      <c r="K53" s="23" t="s">
        <v>3178</v>
      </c>
      <c r="L53" s="112"/>
      <c r="M53" s="424"/>
      <c r="N53" s="31" t="b">
        <v>1</v>
      </c>
    </row>
    <row r="54" spans="1:14" ht="12.75">
      <c r="A54" s="23">
        <v>45</v>
      </c>
      <c r="B54" s="23" t="s">
        <v>165</v>
      </c>
      <c r="C54" s="23" t="s">
        <v>1981</v>
      </c>
      <c r="D54" s="61">
        <v>1</v>
      </c>
      <c r="E54" s="23" t="s">
        <v>170</v>
      </c>
      <c r="F54" s="23" t="s">
        <v>491</v>
      </c>
      <c r="G54" s="23" t="s">
        <v>2046</v>
      </c>
      <c r="H54" s="23" t="s">
        <v>513</v>
      </c>
      <c r="I54" s="23" t="s">
        <v>89</v>
      </c>
      <c r="J54" s="93"/>
      <c r="K54" s="23" t="s">
        <v>3178</v>
      </c>
      <c r="L54" s="112"/>
      <c r="M54" s="424"/>
      <c r="N54" s="31" t="b">
        <v>1</v>
      </c>
    </row>
    <row r="55" spans="1:14" ht="12.75">
      <c r="A55" s="13">
        <v>46</v>
      </c>
      <c r="B55" s="23" t="s">
        <v>165</v>
      </c>
      <c r="C55" s="23" t="s">
        <v>183</v>
      </c>
      <c r="D55" s="61">
        <v>1</v>
      </c>
      <c r="E55" s="23" t="s">
        <v>580</v>
      </c>
      <c r="F55" s="23" t="s">
        <v>207</v>
      </c>
      <c r="G55" s="23" t="s">
        <v>2058</v>
      </c>
      <c r="H55" s="23" t="s">
        <v>513</v>
      </c>
      <c r="I55" s="23" t="s">
        <v>89</v>
      </c>
      <c r="J55" s="93"/>
      <c r="K55" s="23" t="s">
        <v>3178</v>
      </c>
      <c r="L55" s="112"/>
      <c r="M55" s="424"/>
      <c r="N55" s="31" t="b">
        <v>1</v>
      </c>
    </row>
    <row r="56" spans="1:14" ht="12.75">
      <c r="A56" s="13">
        <v>47</v>
      </c>
      <c r="B56" s="23" t="s">
        <v>165</v>
      </c>
      <c r="C56" s="23" t="s">
        <v>183</v>
      </c>
      <c r="D56" s="61">
        <v>1</v>
      </c>
      <c r="E56" s="23" t="s">
        <v>582</v>
      </c>
      <c r="F56" s="23" t="s">
        <v>207</v>
      </c>
      <c r="G56" s="23" t="s">
        <v>2070</v>
      </c>
      <c r="H56" s="23" t="s">
        <v>513</v>
      </c>
      <c r="I56" s="23" t="s">
        <v>89</v>
      </c>
      <c r="J56" s="93"/>
      <c r="K56" s="23" t="s">
        <v>3178</v>
      </c>
      <c r="L56" s="112"/>
      <c r="M56" s="424"/>
      <c r="N56" s="31" t="b">
        <v>1</v>
      </c>
    </row>
    <row r="57" spans="1:14" ht="12.75">
      <c r="A57" s="23">
        <v>48</v>
      </c>
      <c r="B57" s="23" t="s">
        <v>165</v>
      </c>
      <c r="C57" s="23" t="s">
        <v>183</v>
      </c>
      <c r="D57" s="61">
        <v>1</v>
      </c>
      <c r="E57" s="23" t="s">
        <v>2071</v>
      </c>
      <c r="F57" s="23" t="s">
        <v>207</v>
      </c>
      <c r="G57" s="23" t="s">
        <v>2073</v>
      </c>
      <c r="H57" s="23" t="s">
        <v>513</v>
      </c>
      <c r="I57" s="23" t="s">
        <v>89</v>
      </c>
      <c r="J57" s="93"/>
      <c r="K57" s="23" t="s">
        <v>3178</v>
      </c>
      <c r="L57" s="112"/>
      <c r="M57" s="424"/>
      <c r="N57" s="31" t="b">
        <v>1</v>
      </c>
    </row>
    <row r="58" spans="1:14" ht="12.75">
      <c r="A58" s="23">
        <v>49</v>
      </c>
      <c r="B58" s="23" t="s">
        <v>140</v>
      </c>
      <c r="C58" s="23" t="s">
        <v>2049</v>
      </c>
      <c r="D58" s="61">
        <v>1</v>
      </c>
      <c r="E58" s="23" t="s">
        <v>585</v>
      </c>
      <c r="F58" s="23" t="s">
        <v>207</v>
      </c>
      <c r="G58" s="23" t="s">
        <v>2078</v>
      </c>
      <c r="H58" s="23" t="s">
        <v>513</v>
      </c>
      <c r="I58" s="23" t="s">
        <v>3023</v>
      </c>
      <c r="J58" s="93">
        <v>45908.414456018516</v>
      </c>
      <c r="K58" s="23" t="s">
        <v>3178</v>
      </c>
      <c r="L58" s="112"/>
      <c r="M58" s="424"/>
      <c r="N58" s="31" t="b">
        <v>1</v>
      </c>
    </row>
    <row r="59" spans="1:14" ht="12.75">
      <c r="A59" s="23">
        <v>50</v>
      </c>
      <c r="B59" s="23" t="s">
        <v>140</v>
      </c>
      <c r="C59" s="23" t="s">
        <v>2049</v>
      </c>
      <c r="D59" s="61">
        <v>1</v>
      </c>
      <c r="E59" s="23" t="s">
        <v>587</v>
      </c>
      <c r="F59" s="23" t="s">
        <v>207</v>
      </c>
      <c r="G59" s="23" t="s">
        <v>2087</v>
      </c>
      <c r="H59" s="23" t="s">
        <v>513</v>
      </c>
      <c r="I59" s="23" t="s">
        <v>3023</v>
      </c>
      <c r="J59" s="93">
        <v>45908.414282407408</v>
      </c>
      <c r="K59" s="23" t="s">
        <v>3178</v>
      </c>
      <c r="L59" s="112"/>
      <c r="M59" s="424"/>
      <c r="N59" s="31" t="b">
        <v>1</v>
      </c>
    </row>
    <row r="60" spans="1:14" ht="12.75">
      <c r="A60" s="23">
        <v>51</v>
      </c>
      <c r="B60" s="23" t="s">
        <v>140</v>
      </c>
      <c r="C60" s="23" t="s">
        <v>2049</v>
      </c>
      <c r="D60" s="61">
        <v>1</v>
      </c>
      <c r="E60" s="23" t="s">
        <v>588</v>
      </c>
      <c r="F60" s="415" t="s">
        <v>155</v>
      </c>
      <c r="G60" s="23" t="s">
        <v>2089</v>
      </c>
      <c r="H60" s="23" t="s">
        <v>513</v>
      </c>
      <c r="I60" s="23" t="s">
        <v>3023</v>
      </c>
      <c r="J60" s="93">
        <v>45908.414282407408</v>
      </c>
      <c r="K60" s="23" t="s">
        <v>3178</v>
      </c>
      <c r="L60" s="112"/>
      <c r="M60" s="424"/>
      <c r="N60" s="31" t="b">
        <v>1</v>
      </c>
    </row>
    <row r="61" spans="1:14" ht="12.75">
      <c r="A61" s="13">
        <v>52</v>
      </c>
      <c r="B61" s="23" t="s">
        <v>140</v>
      </c>
      <c r="C61" s="23" t="s">
        <v>2051</v>
      </c>
      <c r="D61" s="61">
        <v>1</v>
      </c>
      <c r="E61" s="23" t="s">
        <v>590</v>
      </c>
      <c r="F61" s="23" t="s">
        <v>207</v>
      </c>
      <c r="G61" s="23" t="s">
        <v>2094</v>
      </c>
      <c r="H61" s="23" t="s">
        <v>513</v>
      </c>
      <c r="I61" s="23" t="s">
        <v>89</v>
      </c>
      <c r="J61" s="93"/>
      <c r="K61" s="23" t="s">
        <v>3178</v>
      </c>
      <c r="L61" s="112"/>
      <c r="M61" s="424"/>
      <c r="N61" s="31" t="b">
        <v>1</v>
      </c>
    </row>
    <row r="62" spans="1:14" ht="12.75">
      <c r="A62" s="23">
        <v>53</v>
      </c>
      <c r="B62" s="23" t="s">
        <v>140</v>
      </c>
      <c r="C62" s="23" t="s">
        <v>2051</v>
      </c>
      <c r="D62" s="61">
        <v>1</v>
      </c>
      <c r="E62" s="23" t="s">
        <v>592</v>
      </c>
      <c r="F62" s="23" t="s">
        <v>374</v>
      </c>
      <c r="G62" s="23" t="s">
        <v>2109</v>
      </c>
      <c r="H62" s="23" t="s">
        <v>513</v>
      </c>
      <c r="I62" s="23" t="s">
        <v>89</v>
      </c>
      <c r="J62" s="93"/>
      <c r="K62" s="23" t="s">
        <v>3178</v>
      </c>
      <c r="L62" s="112"/>
      <c r="M62" s="424"/>
      <c r="N62" s="31" t="b">
        <v>1</v>
      </c>
    </row>
    <row r="63" spans="1:14" ht="12.75">
      <c r="A63" s="23">
        <v>54</v>
      </c>
      <c r="B63" s="23" t="s">
        <v>140</v>
      </c>
      <c r="C63" s="23" t="s">
        <v>2051</v>
      </c>
      <c r="D63" s="61">
        <v>1</v>
      </c>
      <c r="E63" s="23" t="s">
        <v>594</v>
      </c>
      <c r="F63" s="415" t="s">
        <v>155</v>
      </c>
      <c r="G63" s="23" t="s">
        <v>2118</v>
      </c>
      <c r="H63" s="23" t="s">
        <v>513</v>
      </c>
      <c r="I63" s="23" t="s">
        <v>89</v>
      </c>
      <c r="J63" s="93"/>
      <c r="K63" s="23" t="s">
        <v>3178</v>
      </c>
      <c r="L63" s="112"/>
      <c r="M63" s="424"/>
      <c r="N63" s="31" t="b">
        <v>1</v>
      </c>
    </row>
    <row r="64" spans="1:14" ht="12.75">
      <c r="A64" s="23">
        <v>55</v>
      </c>
      <c r="B64" s="23" t="s">
        <v>176</v>
      </c>
      <c r="C64" s="23" t="s">
        <v>210</v>
      </c>
      <c r="D64" s="61">
        <v>1</v>
      </c>
      <c r="E64" s="23" t="s">
        <v>179</v>
      </c>
      <c r="F64" s="23" t="s">
        <v>31</v>
      </c>
      <c r="G64" s="23" t="s">
        <v>2126</v>
      </c>
      <c r="H64" s="23" t="s">
        <v>513</v>
      </c>
      <c r="I64" s="23" t="s">
        <v>89</v>
      </c>
      <c r="J64" s="93"/>
      <c r="K64" s="23" t="s">
        <v>3178</v>
      </c>
      <c r="L64" s="112"/>
      <c r="M64" s="424"/>
      <c r="N64" s="31" t="b">
        <v>1</v>
      </c>
    </row>
    <row r="65" spans="1:14" ht="12.75">
      <c r="A65" s="13">
        <v>56</v>
      </c>
      <c r="B65" s="23" t="s">
        <v>176</v>
      </c>
      <c r="C65" s="23" t="s">
        <v>210</v>
      </c>
      <c r="D65" s="61">
        <v>1</v>
      </c>
      <c r="E65" s="23" t="s">
        <v>597</v>
      </c>
      <c r="F65" s="23" t="s">
        <v>598</v>
      </c>
      <c r="G65" s="23" t="s">
        <v>2132</v>
      </c>
      <c r="H65" s="23" t="s">
        <v>513</v>
      </c>
      <c r="I65" s="23" t="s">
        <v>89</v>
      </c>
      <c r="J65" s="93"/>
      <c r="K65" s="23" t="s">
        <v>3178</v>
      </c>
      <c r="L65" s="112"/>
      <c r="M65" s="424"/>
      <c r="N65" s="38" t="b">
        <v>0</v>
      </c>
    </row>
    <row r="66" spans="1:14" ht="12.75">
      <c r="A66" s="23">
        <v>57</v>
      </c>
      <c r="B66" s="23" t="s">
        <v>176</v>
      </c>
      <c r="C66" s="23" t="s">
        <v>210</v>
      </c>
      <c r="D66" s="61">
        <v>1</v>
      </c>
      <c r="E66" s="23" t="s">
        <v>193</v>
      </c>
      <c r="F66" s="23" t="s">
        <v>491</v>
      </c>
      <c r="G66" s="23" t="s">
        <v>2136</v>
      </c>
      <c r="H66" s="23" t="s">
        <v>513</v>
      </c>
      <c r="I66" s="23" t="s">
        <v>89</v>
      </c>
      <c r="J66" s="93"/>
      <c r="K66" s="23" t="s">
        <v>3178</v>
      </c>
      <c r="L66" s="112"/>
      <c r="M66" s="424"/>
      <c r="N66" s="31" t="b">
        <v>1</v>
      </c>
    </row>
    <row r="67" spans="1:14" ht="12.75">
      <c r="A67" s="23">
        <v>58</v>
      </c>
      <c r="B67" s="23" t="s">
        <v>196</v>
      </c>
      <c r="C67" s="23" t="s">
        <v>241</v>
      </c>
      <c r="D67" s="61">
        <v>1</v>
      </c>
      <c r="E67" s="23" t="s">
        <v>197</v>
      </c>
      <c r="F67" s="23" t="s">
        <v>374</v>
      </c>
      <c r="G67" s="23" t="s">
        <v>2140</v>
      </c>
      <c r="H67" s="23" t="s">
        <v>513</v>
      </c>
      <c r="I67" s="23" t="s">
        <v>3023</v>
      </c>
      <c r="J67" s="93">
        <v>45823.604259259257</v>
      </c>
      <c r="K67" s="23" t="s">
        <v>3178</v>
      </c>
      <c r="L67" s="112"/>
      <c r="M67" s="424"/>
      <c r="N67" s="31" t="b">
        <v>1</v>
      </c>
    </row>
    <row r="68" spans="1:14" ht="12.75">
      <c r="A68" s="23">
        <v>59</v>
      </c>
      <c r="B68" s="23" t="s">
        <v>196</v>
      </c>
      <c r="C68" s="23" t="s">
        <v>241</v>
      </c>
      <c r="D68" s="61">
        <v>1</v>
      </c>
      <c r="E68" s="23" t="s">
        <v>599</v>
      </c>
      <c r="F68" s="23" t="s">
        <v>553</v>
      </c>
      <c r="G68" s="23" t="s">
        <v>2147</v>
      </c>
      <c r="H68" s="23" t="s">
        <v>513</v>
      </c>
      <c r="I68" s="23" t="s">
        <v>89</v>
      </c>
      <c r="J68" s="93"/>
      <c r="K68" s="23" t="s">
        <v>3178</v>
      </c>
      <c r="L68" s="112"/>
      <c r="M68" s="424"/>
      <c r="N68" s="31" t="b">
        <v>1</v>
      </c>
    </row>
    <row r="69" spans="1:14" ht="12.75">
      <c r="A69" s="23">
        <v>60</v>
      </c>
      <c r="B69" s="23" t="s">
        <v>196</v>
      </c>
      <c r="C69" s="23" t="s">
        <v>241</v>
      </c>
      <c r="D69" s="61">
        <v>1</v>
      </c>
      <c r="E69" s="23" t="s">
        <v>601</v>
      </c>
      <c r="F69" s="23" t="s">
        <v>553</v>
      </c>
      <c r="G69" s="23" t="s">
        <v>2159</v>
      </c>
      <c r="H69" s="23" t="s">
        <v>513</v>
      </c>
      <c r="I69" s="23" t="s">
        <v>89</v>
      </c>
      <c r="J69" s="93"/>
      <c r="K69" s="23" t="s">
        <v>3178</v>
      </c>
      <c r="L69" s="112"/>
      <c r="M69" s="424"/>
      <c r="N69" s="38" t="b">
        <v>0</v>
      </c>
    </row>
    <row r="70" spans="1:14" ht="12.75">
      <c r="A70" s="23">
        <v>61</v>
      </c>
      <c r="B70" s="23" t="s">
        <v>196</v>
      </c>
      <c r="C70" s="23" t="s">
        <v>2061</v>
      </c>
      <c r="D70" s="61">
        <v>1</v>
      </c>
      <c r="E70" s="23" t="s">
        <v>602</v>
      </c>
      <c r="F70" s="23" t="s">
        <v>207</v>
      </c>
      <c r="G70" s="23" t="s">
        <v>2162</v>
      </c>
      <c r="H70" s="23" t="s">
        <v>513</v>
      </c>
      <c r="I70" s="23" t="s">
        <v>89</v>
      </c>
      <c r="J70" s="93"/>
      <c r="K70" s="23" t="s">
        <v>3178</v>
      </c>
      <c r="L70" s="112"/>
      <c r="M70" s="424"/>
      <c r="N70" s="31" t="b">
        <v>1</v>
      </c>
    </row>
    <row r="71" spans="1:14" ht="12.75">
      <c r="A71" s="13">
        <v>62</v>
      </c>
      <c r="B71" s="23" t="s">
        <v>196</v>
      </c>
      <c r="C71" s="23" t="s">
        <v>2061</v>
      </c>
      <c r="D71" s="61">
        <v>1</v>
      </c>
      <c r="E71" s="23" t="s">
        <v>604</v>
      </c>
      <c r="F71" s="23" t="s">
        <v>207</v>
      </c>
      <c r="G71" s="23" t="s">
        <v>2172</v>
      </c>
      <c r="H71" s="23" t="s">
        <v>513</v>
      </c>
      <c r="I71" s="23" t="s">
        <v>89</v>
      </c>
      <c r="J71" s="172"/>
      <c r="K71" s="23" t="s">
        <v>3178</v>
      </c>
      <c r="L71" s="112"/>
      <c r="M71" s="424"/>
      <c r="N71" s="38" t="b">
        <v>0</v>
      </c>
    </row>
    <row r="72" spans="1:14" ht="12.75">
      <c r="A72" s="23">
        <v>63</v>
      </c>
      <c r="B72" s="23" t="s">
        <v>196</v>
      </c>
      <c r="C72" s="23" t="s">
        <v>2061</v>
      </c>
      <c r="D72" s="61">
        <v>1</v>
      </c>
      <c r="E72" s="23" t="s">
        <v>202</v>
      </c>
      <c r="F72" s="23" t="s">
        <v>374</v>
      </c>
      <c r="G72" s="23" t="s">
        <v>2175</v>
      </c>
      <c r="H72" s="23" t="s">
        <v>513</v>
      </c>
      <c r="I72" s="23" t="s">
        <v>89</v>
      </c>
      <c r="J72" s="93"/>
      <c r="K72" s="23" t="s">
        <v>3178</v>
      </c>
      <c r="L72" s="112"/>
      <c r="M72" s="424"/>
      <c r="N72" s="31" t="b">
        <v>1</v>
      </c>
    </row>
    <row r="73" spans="1:14" ht="12.75">
      <c r="A73" s="23">
        <v>64</v>
      </c>
      <c r="B73" s="23" t="s">
        <v>196</v>
      </c>
      <c r="C73" s="23" t="s">
        <v>1629</v>
      </c>
      <c r="D73" s="61">
        <v>1</v>
      </c>
      <c r="E73" s="23" t="s">
        <v>605</v>
      </c>
      <c r="F73" s="415" t="s">
        <v>155</v>
      </c>
      <c r="G73" s="23" t="s">
        <v>2179</v>
      </c>
      <c r="H73" s="23" t="s">
        <v>513</v>
      </c>
      <c r="I73" s="23" t="s">
        <v>89</v>
      </c>
      <c r="J73" s="23"/>
      <c r="K73" s="23" t="s">
        <v>3178</v>
      </c>
      <c r="L73" s="112"/>
      <c r="M73" s="424"/>
      <c r="N73" s="31" t="b">
        <v>1</v>
      </c>
    </row>
    <row r="74" spans="1:14" ht="12.75">
      <c r="A74" s="23">
        <v>65</v>
      </c>
      <c r="B74" s="23" t="s">
        <v>196</v>
      </c>
      <c r="C74" s="23" t="s">
        <v>1629</v>
      </c>
      <c r="D74" s="61">
        <v>1</v>
      </c>
      <c r="E74" s="23" t="s">
        <v>608</v>
      </c>
      <c r="F74" s="23" t="s">
        <v>374</v>
      </c>
      <c r="G74" s="23" t="s">
        <v>2189</v>
      </c>
      <c r="H74" s="23" t="s">
        <v>513</v>
      </c>
      <c r="I74" s="23" t="s">
        <v>89</v>
      </c>
      <c r="J74" s="23"/>
      <c r="K74" s="23" t="s">
        <v>3178</v>
      </c>
      <c r="L74" s="112"/>
      <c r="M74" s="424"/>
      <c r="N74" s="31" t="b">
        <v>1</v>
      </c>
    </row>
    <row r="75" spans="1:14" ht="12.75">
      <c r="A75" s="23">
        <v>66</v>
      </c>
      <c r="B75" s="23" t="s">
        <v>196</v>
      </c>
      <c r="C75" s="23" t="s">
        <v>1629</v>
      </c>
      <c r="D75" s="61">
        <v>1</v>
      </c>
      <c r="E75" s="23" t="s">
        <v>607</v>
      </c>
      <c r="F75" s="415" t="s">
        <v>155</v>
      </c>
      <c r="G75" s="23" t="s">
        <v>2195</v>
      </c>
      <c r="H75" s="23" t="s">
        <v>513</v>
      </c>
      <c r="I75" s="23" t="s">
        <v>89</v>
      </c>
      <c r="J75" s="23"/>
      <c r="K75" s="23" t="s">
        <v>3178</v>
      </c>
      <c r="L75" s="112"/>
      <c r="M75" s="424"/>
      <c r="N75" s="31" t="b">
        <v>1</v>
      </c>
    </row>
    <row r="76" spans="1:14" ht="12.75">
      <c r="A76" s="23">
        <v>67</v>
      </c>
      <c r="B76" s="23" t="s">
        <v>196</v>
      </c>
      <c r="C76" s="23" t="s">
        <v>1638</v>
      </c>
      <c r="D76" s="61">
        <v>1</v>
      </c>
      <c r="E76" s="23" t="s">
        <v>610</v>
      </c>
      <c r="F76" s="97" t="s">
        <v>128</v>
      </c>
      <c r="G76" s="23" t="s">
        <v>2198</v>
      </c>
      <c r="H76" s="23" t="s">
        <v>513</v>
      </c>
      <c r="I76" s="23" t="s">
        <v>89</v>
      </c>
      <c r="J76" s="93"/>
      <c r="K76" s="23" t="s">
        <v>3178</v>
      </c>
      <c r="L76" s="112"/>
      <c r="M76" s="424"/>
      <c r="N76" s="31" t="b">
        <v>1</v>
      </c>
    </row>
    <row r="77" spans="1:14" ht="12.75">
      <c r="A77" s="13">
        <v>68</v>
      </c>
      <c r="B77" s="23" t="s">
        <v>196</v>
      </c>
      <c r="C77" s="23" t="s">
        <v>1638</v>
      </c>
      <c r="D77" s="61">
        <v>1</v>
      </c>
      <c r="E77" s="119" t="s">
        <v>612</v>
      </c>
      <c r="F77" s="97" t="s">
        <v>128</v>
      </c>
      <c r="G77" s="23" t="s">
        <v>2203</v>
      </c>
      <c r="H77" s="23" t="s">
        <v>513</v>
      </c>
      <c r="I77" s="23" t="s">
        <v>89</v>
      </c>
      <c r="J77" s="23"/>
      <c r="K77" s="23" t="s">
        <v>3178</v>
      </c>
      <c r="L77" s="112"/>
      <c r="M77" s="424"/>
      <c r="N77" s="38" t="b">
        <v>0</v>
      </c>
    </row>
    <row r="78" spans="1:14" ht="12.75">
      <c r="A78" s="23">
        <v>69</v>
      </c>
      <c r="B78" s="23" t="s">
        <v>268</v>
      </c>
      <c r="C78" s="23" t="s">
        <v>35</v>
      </c>
      <c r="D78" s="16">
        <v>2</v>
      </c>
      <c r="E78" s="119" t="s">
        <v>37</v>
      </c>
      <c r="F78" s="97" t="s">
        <v>151</v>
      </c>
      <c r="G78" s="23" t="s">
        <v>2206</v>
      </c>
      <c r="H78" s="23" t="s">
        <v>513</v>
      </c>
      <c r="I78" s="23" t="s">
        <v>89</v>
      </c>
      <c r="J78" s="23"/>
      <c r="K78" s="23" t="s">
        <v>3178</v>
      </c>
      <c r="L78" s="112"/>
      <c r="M78" s="424"/>
      <c r="N78" s="31" t="b">
        <v>1</v>
      </c>
    </row>
    <row r="79" spans="1:14" ht="12.75">
      <c r="A79" s="23">
        <v>70</v>
      </c>
      <c r="B79" s="23" t="s">
        <v>268</v>
      </c>
      <c r="C79" s="23" t="s">
        <v>35</v>
      </c>
      <c r="D79" s="16">
        <v>2</v>
      </c>
      <c r="E79" s="119" t="s">
        <v>38</v>
      </c>
      <c r="F79" s="97" t="s">
        <v>151</v>
      </c>
      <c r="G79" s="23" t="s">
        <v>2210</v>
      </c>
      <c r="H79" s="23" t="s">
        <v>513</v>
      </c>
      <c r="I79" s="23" t="s">
        <v>89</v>
      </c>
      <c r="J79" s="23"/>
      <c r="K79" s="23" t="s">
        <v>3178</v>
      </c>
      <c r="L79" s="112"/>
      <c r="M79" s="424"/>
      <c r="N79" s="31" t="b">
        <v>1</v>
      </c>
    </row>
    <row r="80" spans="1:14" ht="12.75">
      <c r="A80" s="23">
        <v>71</v>
      </c>
      <c r="B80" s="23" t="s">
        <v>268</v>
      </c>
      <c r="C80" s="23" t="s">
        <v>35</v>
      </c>
      <c r="D80" s="16">
        <v>2</v>
      </c>
      <c r="E80" s="119" t="s">
        <v>39</v>
      </c>
      <c r="F80" s="97" t="s">
        <v>151</v>
      </c>
      <c r="G80" s="23" t="s">
        <v>2212</v>
      </c>
      <c r="H80" s="23" t="s">
        <v>513</v>
      </c>
      <c r="I80" s="23" t="s">
        <v>89</v>
      </c>
      <c r="J80" s="172"/>
      <c r="K80" s="23" t="s">
        <v>3178</v>
      </c>
      <c r="L80" s="112"/>
      <c r="M80" s="424"/>
      <c r="N80" s="31" t="b">
        <v>1</v>
      </c>
    </row>
    <row r="81" spans="1:14" ht="12.75">
      <c r="A81" s="23">
        <v>72</v>
      </c>
      <c r="B81" s="23" t="s">
        <v>268</v>
      </c>
      <c r="C81" s="23" t="s">
        <v>35</v>
      </c>
      <c r="D81" s="16">
        <v>2</v>
      </c>
      <c r="E81" s="119" t="s">
        <v>36</v>
      </c>
      <c r="F81" s="97" t="s">
        <v>103</v>
      </c>
      <c r="G81" s="23" t="s">
        <v>2218</v>
      </c>
      <c r="H81" s="23" t="s">
        <v>513</v>
      </c>
      <c r="I81" s="23" t="s">
        <v>89</v>
      </c>
      <c r="J81" s="23"/>
      <c r="K81" s="23" t="s">
        <v>3178</v>
      </c>
      <c r="L81" s="112"/>
      <c r="M81" s="424"/>
      <c r="N81" s="31" t="b">
        <v>1</v>
      </c>
    </row>
    <row r="82" spans="1:14" ht="12.75">
      <c r="A82" s="23">
        <v>73</v>
      </c>
      <c r="B82" s="23" t="s">
        <v>216</v>
      </c>
      <c r="C82" s="23" t="s">
        <v>1981</v>
      </c>
      <c r="D82" s="16">
        <v>2</v>
      </c>
      <c r="E82" s="119" t="s">
        <v>615</v>
      </c>
      <c r="F82" s="97" t="s">
        <v>553</v>
      </c>
      <c r="G82" s="23" t="s">
        <v>2134</v>
      </c>
      <c r="H82" s="23" t="s">
        <v>513</v>
      </c>
      <c r="I82" s="23" t="s">
        <v>89</v>
      </c>
      <c r="J82" s="93"/>
      <c r="K82" s="23" t="s">
        <v>3178</v>
      </c>
      <c r="L82" s="112"/>
      <c r="M82" s="424"/>
      <c r="N82" s="31" t="b">
        <v>1</v>
      </c>
    </row>
    <row r="83" spans="1:14" ht="12.75">
      <c r="A83" s="23">
        <v>74</v>
      </c>
      <c r="B83" s="23" t="s">
        <v>216</v>
      </c>
      <c r="C83" s="23" t="s">
        <v>1981</v>
      </c>
      <c r="D83" s="16">
        <v>2</v>
      </c>
      <c r="E83" s="119" t="s">
        <v>617</v>
      </c>
      <c r="F83" s="97" t="s">
        <v>553</v>
      </c>
      <c r="G83" s="23" t="s">
        <v>2226</v>
      </c>
      <c r="H83" s="23" t="s">
        <v>513</v>
      </c>
      <c r="I83" s="23" t="s">
        <v>89</v>
      </c>
      <c r="J83" s="93"/>
      <c r="K83" s="23" t="s">
        <v>3178</v>
      </c>
      <c r="L83" s="112"/>
      <c r="M83" s="424"/>
      <c r="N83" s="31" t="b">
        <v>1</v>
      </c>
    </row>
    <row r="84" spans="1:14" ht="12.75">
      <c r="A84" s="23">
        <v>75</v>
      </c>
      <c r="B84" s="23" t="s">
        <v>216</v>
      </c>
      <c r="C84" s="23" t="s">
        <v>1981</v>
      </c>
      <c r="D84" s="16">
        <v>2</v>
      </c>
      <c r="E84" s="119" t="s">
        <v>618</v>
      </c>
      <c r="F84" s="97" t="s">
        <v>553</v>
      </c>
      <c r="G84" s="23" t="s">
        <v>2143</v>
      </c>
      <c r="H84" s="23" t="s">
        <v>513</v>
      </c>
      <c r="I84" s="23" t="s">
        <v>89</v>
      </c>
      <c r="J84" s="93"/>
      <c r="K84" s="23" t="s">
        <v>3178</v>
      </c>
      <c r="L84" s="112"/>
      <c r="M84" s="424"/>
      <c r="N84" s="31" t="b">
        <v>1</v>
      </c>
    </row>
    <row r="85" spans="1:14" ht="12.75">
      <c r="A85" s="23">
        <v>76</v>
      </c>
      <c r="B85" s="23" t="s">
        <v>216</v>
      </c>
      <c r="C85" s="23" t="s">
        <v>1981</v>
      </c>
      <c r="D85" s="16">
        <v>2</v>
      </c>
      <c r="E85" s="119" t="s">
        <v>619</v>
      </c>
      <c r="F85" s="97" t="s">
        <v>553</v>
      </c>
      <c r="G85" s="23" t="s">
        <v>2145</v>
      </c>
      <c r="H85" s="23" t="s">
        <v>513</v>
      </c>
      <c r="I85" s="23" t="s">
        <v>89</v>
      </c>
      <c r="J85" s="93"/>
      <c r="K85" s="23" t="s">
        <v>3178</v>
      </c>
      <c r="L85" s="112"/>
      <c r="M85" s="424"/>
      <c r="N85" s="31" t="b">
        <v>1</v>
      </c>
    </row>
    <row r="88" spans="1:14" ht="12.75">
      <c r="I88" s="31" t="s">
        <v>3000</v>
      </c>
      <c r="J88" s="357" t="s">
        <v>3124</v>
      </c>
    </row>
    <row r="89" spans="1:14" ht="25.5">
      <c r="A89" s="31" t="s">
        <v>2998</v>
      </c>
      <c r="C89" s="313" t="s">
        <v>2996</v>
      </c>
      <c r="I89" s="31" t="s">
        <v>3044</v>
      </c>
      <c r="J89" s="31" t="s">
        <v>3126</v>
      </c>
      <c r="L89" s="31" t="s">
        <v>3234</v>
      </c>
      <c r="M89" s="31"/>
    </row>
    <row r="90" spans="1:14" ht="12.75">
      <c r="A90" s="31" t="s">
        <v>3041</v>
      </c>
      <c r="C90" s="31"/>
      <c r="I90" s="31" t="s">
        <v>3046</v>
      </c>
      <c r="J90" s="31" t="s">
        <v>3127</v>
      </c>
      <c r="L90" s="31" t="s">
        <v>3235</v>
      </c>
      <c r="M90" s="31"/>
    </row>
  </sheetData>
  <mergeCells count="12">
    <mergeCell ref="A1:L1"/>
    <mergeCell ref="A2:L2"/>
    <mergeCell ref="A3:L3"/>
    <mergeCell ref="A5:H5"/>
    <mergeCell ref="I5:J5"/>
    <mergeCell ref="L10:L12"/>
    <mergeCell ref="M10:M12"/>
    <mergeCell ref="L13:L14"/>
    <mergeCell ref="M13:M14"/>
    <mergeCell ref="A6:H6"/>
    <mergeCell ref="A9:M9"/>
    <mergeCell ref="I6:J6"/>
  </mergeCells>
  <dataValidations count="1">
    <dataValidation type="list" allowBlank="1" showErrorMessage="1" sqref="I10:I85" xr:uid="{00000000-0002-0000-1D00-000000000000}">
      <formula1>"Active,Dormant,Down,To Implement,Installed,Change Out"</formula1>
    </dataValidation>
  </dataValidations>
  <hyperlinks>
    <hyperlink ref="C27" r:id="rId1" xr:uid="{00000000-0004-0000-1D00-000000000000}"/>
    <hyperlink ref="C28" r:id="rId2" xr:uid="{00000000-0004-0000-1D00-000001000000}"/>
    <hyperlink ref="J88" r:id="rId3" location="/monitor_overview_global_menu" xr:uid="{00000000-0004-0000-1D00-000002000000}"/>
  </hyperlinks>
  <pageMargins left="0.7" right="0.7" top="0.75" bottom="0.75" header="0.3" footer="0.3"/>
  <tableParts count="2">
    <tablePart r:id="rId4"/>
    <tablePart r:id="rId5"/>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L23"/>
  <sheetViews>
    <sheetView showGridLines="0" workbookViewId="0"/>
  </sheetViews>
  <sheetFormatPr defaultColWidth="12.5703125" defaultRowHeight="15.75" customHeight="1"/>
  <cols>
    <col min="1" max="1" width="6.140625" customWidth="1"/>
    <col min="2" max="2" width="17.42578125" customWidth="1"/>
    <col min="3" max="3" width="19.42578125" customWidth="1"/>
    <col min="4" max="4" width="9.28515625" customWidth="1"/>
    <col min="5" max="5" width="51.85546875" customWidth="1"/>
    <col min="6" max="7" width="16" customWidth="1"/>
    <col min="8" max="8" width="12.140625" customWidth="1"/>
    <col min="9" max="9" width="18.140625" customWidth="1"/>
    <col min="11" max="11" width="19" customWidth="1"/>
    <col min="12" max="12" width="38.42578125" customWidth="1"/>
  </cols>
  <sheetData>
    <row r="1" spans="1:12" ht="23.25">
      <c r="A1" s="539" t="s">
        <v>3174</v>
      </c>
      <c r="B1" s="517"/>
      <c r="C1" s="517"/>
      <c r="D1" s="517"/>
      <c r="E1" s="517"/>
      <c r="F1" s="517"/>
      <c r="G1" s="517"/>
      <c r="H1" s="517"/>
      <c r="I1" s="517"/>
      <c r="J1" s="517"/>
      <c r="K1" s="517"/>
      <c r="L1" s="517"/>
    </row>
    <row r="2" spans="1:12">
      <c r="A2" s="540" t="s">
        <v>1464</v>
      </c>
      <c r="B2" s="517"/>
      <c r="C2" s="517"/>
      <c r="D2" s="517"/>
      <c r="E2" s="517"/>
      <c r="F2" s="517"/>
      <c r="G2" s="517"/>
      <c r="H2" s="517"/>
      <c r="I2" s="517"/>
      <c r="J2" s="517"/>
      <c r="K2" s="517"/>
      <c r="L2" s="517"/>
    </row>
    <row r="3" spans="1:12" ht="12.75">
      <c r="A3" s="541">
        <f ca="1">NOW()</f>
        <v>46308.848431481485</v>
      </c>
      <c r="B3" s="517"/>
      <c r="C3" s="517"/>
      <c r="D3" s="517"/>
      <c r="E3" s="517"/>
      <c r="F3" s="517"/>
      <c r="G3" s="517"/>
      <c r="H3" s="517"/>
      <c r="I3" s="517"/>
      <c r="J3" s="517"/>
      <c r="K3" s="517"/>
      <c r="L3" s="517"/>
    </row>
    <row r="4" spans="1:12" ht="12.75">
      <c r="L4" s="31"/>
    </row>
    <row r="5" spans="1:12" ht="12.75">
      <c r="A5" s="624"/>
      <c r="B5" s="543"/>
      <c r="C5" s="543"/>
      <c r="D5" s="543"/>
      <c r="E5" s="543"/>
      <c r="F5" s="543"/>
      <c r="G5" s="544"/>
      <c r="H5" s="625" t="s">
        <v>2917</v>
      </c>
      <c r="I5" s="543"/>
      <c r="J5" s="544"/>
      <c r="K5" s="329">
        <f>COUNTIF(K10:K18,"Down")</f>
        <v>0</v>
      </c>
      <c r="L5" s="31"/>
    </row>
    <row r="6" spans="1:12" ht="12.75">
      <c r="A6" s="622"/>
      <c r="B6" s="543"/>
      <c r="C6" s="543"/>
      <c r="D6" s="543"/>
      <c r="E6" s="543"/>
      <c r="F6" s="543"/>
      <c r="G6" s="544"/>
      <c r="H6" s="623" t="s">
        <v>2899</v>
      </c>
      <c r="I6" s="543"/>
      <c r="J6" s="544"/>
      <c r="K6" s="332">
        <f>COUNT(A10:A18)</f>
        <v>9</v>
      </c>
    </row>
    <row r="8" spans="1:12" ht="25.5">
      <c r="A8" s="127" t="s">
        <v>1466</v>
      </c>
      <c r="B8" s="127" t="s">
        <v>2</v>
      </c>
      <c r="C8" s="127" t="s">
        <v>1</v>
      </c>
      <c r="D8" s="127" t="s">
        <v>0</v>
      </c>
      <c r="E8" s="127" t="s">
        <v>2902</v>
      </c>
      <c r="F8" s="127" t="s">
        <v>14</v>
      </c>
      <c r="G8" s="127" t="s">
        <v>645</v>
      </c>
      <c r="H8" s="127" t="s">
        <v>7</v>
      </c>
      <c r="I8" s="127" t="s">
        <v>1473</v>
      </c>
      <c r="J8" s="127" t="s">
        <v>650</v>
      </c>
      <c r="K8" s="127" t="s">
        <v>20</v>
      </c>
      <c r="L8" s="127" t="s">
        <v>2905</v>
      </c>
    </row>
    <row r="9" spans="1:12" ht="12.75">
      <c r="A9" s="542" t="s">
        <v>1551</v>
      </c>
      <c r="B9" s="543"/>
      <c r="C9" s="543"/>
      <c r="D9" s="543"/>
      <c r="E9" s="543"/>
      <c r="F9" s="543"/>
      <c r="G9" s="543"/>
      <c r="H9" s="543"/>
      <c r="I9" s="543"/>
      <c r="J9" s="543"/>
      <c r="K9" s="543"/>
      <c r="L9" s="544"/>
    </row>
    <row r="10" spans="1:12" ht="25.5">
      <c r="A10" s="23">
        <v>1</v>
      </c>
      <c r="B10" s="55" t="s">
        <v>81</v>
      </c>
      <c r="C10" s="55" t="s">
        <v>2230</v>
      </c>
      <c r="D10" s="62">
        <v>1</v>
      </c>
      <c r="E10" s="55" t="s">
        <v>620</v>
      </c>
      <c r="F10" s="16" t="s">
        <v>622</v>
      </c>
      <c r="G10" s="16" t="s">
        <v>2233</v>
      </c>
      <c r="H10" s="419" t="s">
        <v>623</v>
      </c>
      <c r="I10" s="61" t="s">
        <v>2234</v>
      </c>
      <c r="J10" s="61"/>
      <c r="K10" s="61" t="s">
        <v>3180</v>
      </c>
      <c r="L10" s="207"/>
    </row>
    <row r="11" spans="1:12" ht="25.5">
      <c r="A11" s="23">
        <v>2</v>
      </c>
      <c r="B11" s="55" t="s">
        <v>81</v>
      </c>
      <c r="C11" s="55" t="s">
        <v>2230</v>
      </c>
      <c r="D11" s="62">
        <v>1</v>
      </c>
      <c r="E11" s="55" t="s">
        <v>624</v>
      </c>
      <c r="F11" s="16" t="s">
        <v>622</v>
      </c>
      <c r="G11" s="16" t="s">
        <v>2233</v>
      </c>
      <c r="H11" s="419" t="s">
        <v>623</v>
      </c>
      <c r="I11" s="61" t="s">
        <v>2234</v>
      </c>
      <c r="J11" s="61"/>
      <c r="K11" s="61" t="s">
        <v>3180</v>
      </c>
      <c r="L11" s="207"/>
    </row>
    <row r="12" spans="1:12" ht="25.5">
      <c r="A12" s="23">
        <v>3</v>
      </c>
      <c r="B12" s="55" t="s">
        <v>81</v>
      </c>
      <c r="C12" s="55" t="s">
        <v>2230</v>
      </c>
      <c r="D12" s="62">
        <v>1</v>
      </c>
      <c r="E12" s="55" t="s">
        <v>625</v>
      </c>
      <c r="F12" s="16" t="s">
        <v>622</v>
      </c>
      <c r="G12" s="16" t="s">
        <v>2233</v>
      </c>
      <c r="H12" s="419" t="s">
        <v>623</v>
      </c>
      <c r="I12" s="61" t="s">
        <v>2234</v>
      </c>
      <c r="J12" s="61"/>
      <c r="K12" s="61" t="s">
        <v>3180</v>
      </c>
      <c r="L12" s="207"/>
    </row>
    <row r="13" spans="1:12" ht="25.5">
      <c r="A13" s="23">
        <v>4</v>
      </c>
      <c r="B13" s="54" t="s">
        <v>198</v>
      </c>
      <c r="C13" s="54" t="s">
        <v>345</v>
      </c>
      <c r="D13" s="61">
        <v>2</v>
      </c>
      <c r="E13" s="54" t="s">
        <v>626</v>
      </c>
      <c r="F13" s="16" t="s">
        <v>622</v>
      </c>
      <c r="G13" s="16" t="s">
        <v>2235</v>
      </c>
      <c r="H13" s="419" t="s">
        <v>623</v>
      </c>
      <c r="I13" s="61" t="s">
        <v>2234</v>
      </c>
      <c r="J13" s="61"/>
      <c r="K13" s="61" t="s">
        <v>3180</v>
      </c>
      <c r="L13" s="207"/>
    </row>
    <row r="14" spans="1:12" ht="25.5">
      <c r="A14" s="23">
        <v>5</v>
      </c>
      <c r="B14" s="54" t="s">
        <v>198</v>
      </c>
      <c r="C14" s="54" t="s">
        <v>345</v>
      </c>
      <c r="D14" s="61">
        <v>2</v>
      </c>
      <c r="E14" s="54" t="s">
        <v>628</v>
      </c>
      <c r="F14" s="16" t="s">
        <v>622</v>
      </c>
      <c r="G14" s="16" t="s">
        <v>2235</v>
      </c>
      <c r="H14" s="419" t="s">
        <v>623</v>
      </c>
      <c r="I14" s="61" t="s">
        <v>2234</v>
      </c>
      <c r="J14" s="61"/>
      <c r="K14" s="61" t="s">
        <v>3180</v>
      </c>
      <c r="L14" s="420"/>
    </row>
    <row r="15" spans="1:12" ht="15.75" customHeight="1">
      <c r="A15" s="23">
        <v>6</v>
      </c>
      <c r="B15" s="54" t="s">
        <v>198</v>
      </c>
      <c r="C15" s="54" t="s">
        <v>345</v>
      </c>
      <c r="D15" s="61">
        <v>2</v>
      </c>
      <c r="E15" s="54" t="s">
        <v>629</v>
      </c>
      <c r="F15" s="16" t="s">
        <v>622</v>
      </c>
      <c r="G15" s="16" t="s">
        <v>2235</v>
      </c>
      <c r="H15" s="419" t="s">
        <v>623</v>
      </c>
      <c r="I15" s="61" t="s">
        <v>2234</v>
      </c>
      <c r="J15" s="61"/>
      <c r="K15" s="61" t="s">
        <v>3180</v>
      </c>
      <c r="L15" s="207"/>
    </row>
    <row r="16" spans="1:12" ht="25.5">
      <c r="A16" s="23">
        <v>7</v>
      </c>
      <c r="B16" s="54" t="s">
        <v>381</v>
      </c>
      <c r="C16" s="54" t="s">
        <v>2082</v>
      </c>
      <c r="D16" s="61">
        <v>2</v>
      </c>
      <c r="E16" s="54" t="s">
        <v>630</v>
      </c>
      <c r="F16" s="16" t="s">
        <v>622</v>
      </c>
      <c r="G16" s="16" t="s">
        <v>2236</v>
      </c>
      <c r="H16" s="419" t="s">
        <v>623</v>
      </c>
      <c r="I16" s="61" t="s">
        <v>2234</v>
      </c>
      <c r="J16" s="61"/>
      <c r="K16" s="61" t="s">
        <v>3180</v>
      </c>
      <c r="L16" s="207"/>
    </row>
    <row r="17" spans="1:12" ht="25.5">
      <c r="A17" s="23">
        <v>8</v>
      </c>
      <c r="B17" s="54" t="s">
        <v>381</v>
      </c>
      <c r="C17" s="421" t="s">
        <v>2082</v>
      </c>
      <c r="D17" s="61">
        <v>2</v>
      </c>
      <c r="E17" s="421" t="s">
        <v>632</v>
      </c>
      <c r="F17" s="16" t="s">
        <v>622</v>
      </c>
      <c r="G17" s="16" t="s">
        <v>2236</v>
      </c>
      <c r="H17" s="419" t="s">
        <v>623</v>
      </c>
      <c r="I17" s="61" t="s">
        <v>2234</v>
      </c>
      <c r="J17" s="61"/>
      <c r="K17" s="61" t="s">
        <v>3180</v>
      </c>
      <c r="L17" s="207"/>
    </row>
    <row r="18" spans="1:12" ht="25.5">
      <c r="A18" s="23">
        <v>9</v>
      </c>
      <c r="B18" s="54" t="s">
        <v>381</v>
      </c>
      <c r="C18" s="421" t="s">
        <v>2082</v>
      </c>
      <c r="D18" s="61">
        <v>2</v>
      </c>
      <c r="E18" s="421" t="s">
        <v>633</v>
      </c>
      <c r="F18" s="16" t="s">
        <v>622</v>
      </c>
      <c r="G18" s="16" t="s">
        <v>2236</v>
      </c>
      <c r="H18" s="419" t="s">
        <v>623</v>
      </c>
      <c r="I18" s="61" t="s">
        <v>2234</v>
      </c>
      <c r="J18" s="61"/>
      <c r="K18" s="61" t="s">
        <v>3180</v>
      </c>
      <c r="L18" s="207"/>
    </row>
    <row r="20" spans="1:12" ht="12.75">
      <c r="J20" s="31" t="s">
        <v>3188</v>
      </c>
      <c r="K20" s="31" t="s">
        <v>3190</v>
      </c>
    </row>
    <row r="21" spans="1:12" ht="12.75">
      <c r="J21" s="31" t="s">
        <v>3000</v>
      </c>
      <c r="K21" s="357" t="s">
        <v>3191</v>
      </c>
    </row>
    <row r="22" spans="1:12" ht="12.75">
      <c r="J22" s="31" t="s">
        <v>3044</v>
      </c>
      <c r="K22" s="31" t="s">
        <v>3195</v>
      </c>
    </row>
    <row r="23" spans="1:12" ht="12.75">
      <c r="J23" s="31" t="s">
        <v>3107</v>
      </c>
      <c r="K23" s="31" t="s">
        <v>3196</v>
      </c>
    </row>
  </sheetData>
  <mergeCells count="8">
    <mergeCell ref="A6:G6"/>
    <mergeCell ref="H6:J6"/>
    <mergeCell ref="A9:L9"/>
    <mergeCell ref="A1:L1"/>
    <mergeCell ref="A2:L2"/>
    <mergeCell ref="A3:L3"/>
    <mergeCell ref="A5:G5"/>
    <mergeCell ref="H5:J5"/>
  </mergeCells>
  <dataValidations count="1">
    <dataValidation type="list" allowBlank="1" showErrorMessage="1" sqref="I10:I18" xr:uid="{00000000-0002-0000-1E00-000000000000}">
      <formula1>"Active,Dormant,Down,Deactivated"</formula1>
    </dataValidation>
  </dataValidations>
  <hyperlinks>
    <hyperlink ref="K21" r:id="rId1" location="controller" xr:uid="{00000000-0004-0000-1E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K25"/>
  <sheetViews>
    <sheetView showGridLines="0" workbookViewId="0"/>
  </sheetViews>
  <sheetFormatPr defaultColWidth="12.5703125" defaultRowHeight="15.75" customHeight="1"/>
  <cols>
    <col min="1" max="1" width="6.140625" customWidth="1"/>
    <col min="2" max="3" width="25.85546875" customWidth="1"/>
    <col min="4" max="4" width="10" customWidth="1"/>
    <col min="5" max="5" width="25.85546875" customWidth="1"/>
    <col min="6" max="6" width="19.42578125" customWidth="1"/>
    <col min="7" max="7" width="25.28515625" customWidth="1"/>
    <col min="8" max="8" width="19.42578125" customWidth="1"/>
    <col min="10" max="10" width="19" customWidth="1"/>
    <col min="11" max="11" width="38.42578125" customWidth="1"/>
  </cols>
  <sheetData>
    <row r="1" spans="1:11" ht="23.25">
      <c r="A1" s="539" t="s">
        <v>3207</v>
      </c>
      <c r="B1" s="517"/>
      <c r="C1" s="517"/>
      <c r="D1" s="517"/>
      <c r="E1" s="517"/>
      <c r="F1" s="517"/>
      <c r="G1" s="517"/>
      <c r="H1" s="517"/>
      <c r="I1" s="517"/>
      <c r="J1" s="517"/>
      <c r="K1" s="517"/>
    </row>
    <row r="2" spans="1:11">
      <c r="A2" s="540" t="s">
        <v>1464</v>
      </c>
      <c r="B2" s="517"/>
      <c r="C2" s="517"/>
      <c r="D2" s="517"/>
      <c r="E2" s="517"/>
      <c r="F2" s="517"/>
      <c r="G2" s="517"/>
      <c r="H2" s="517"/>
      <c r="I2" s="517"/>
      <c r="J2" s="517"/>
      <c r="K2" s="517"/>
    </row>
    <row r="3" spans="1:11" ht="12.75">
      <c r="A3" s="541">
        <f ca="1">NOW()</f>
        <v>46308.848431481485</v>
      </c>
      <c r="B3" s="517"/>
      <c r="C3" s="517"/>
      <c r="D3" s="517"/>
      <c r="E3" s="517"/>
      <c r="F3" s="517"/>
      <c r="G3" s="517"/>
      <c r="H3" s="517"/>
      <c r="I3" s="517"/>
      <c r="J3" s="517"/>
      <c r="K3" s="517"/>
    </row>
    <row r="5" spans="1:11" ht="12.75">
      <c r="A5" s="624" t="s">
        <v>3208</v>
      </c>
      <c r="B5" s="543"/>
      <c r="C5" s="543"/>
      <c r="D5" s="543"/>
      <c r="E5" s="544"/>
      <c r="F5" s="633">
        <f>COUNTIF(H10:H18,"Down")</f>
        <v>0</v>
      </c>
      <c r="G5" s="544"/>
      <c r="H5" s="425"/>
      <c r="K5" s="31"/>
    </row>
    <row r="6" spans="1:11" ht="12.75">
      <c r="A6" s="622" t="s">
        <v>3209</v>
      </c>
      <c r="B6" s="543"/>
      <c r="C6" s="543"/>
      <c r="D6" s="543"/>
      <c r="E6" s="544"/>
      <c r="F6" s="632">
        <f>COUNT(A10:A18)</f>
        <v>9</v>
      </c>
      <c r="G6" s="544"/>
      <c r="H6" s="425"/>
    </row>
    <row r="8" spans="1:11" ht="25.5">
      <c r="A8" s="127" t="s">
        <v>1466</v>
      </c>
      <c r="B8" s="127" t="s">
        <v>2</v>
      </c>
      <c r="C8" s="127" t="s">
        <v>1</v>
      </c>
      <c r="D8" s="127" t="s">
        <v>0</v>
      </c>
      <c r="E8" s="127" t="s">
        <v>2902</v>
      </c>
      <c r="F8" s="127" t="s">
        <v>14</v>
      </c>
      <c r="G8" s="127" t="s">
        <v>3210</v>
      </c>
      <c r="H8" s="127" t="s">
        <v>1473</v>
      </c>
      <c r="I8" s="127" t="s">
        <v>650</v>
      </c>
      <c r="J8" s="127" t="s">
        <v>20</v>
      </c>
      <c r="K8" s="127" t="s">
        <v>2905</v>
      </c>
    </row>
    <row r="9" spans="1:11" ht="12.75">
      <c r="A9" s="542" t="s">
        <v>1551</v>
      </c>
      <c r="B9" s="543"/>
      <c r="C9" s="543"/>
      <c r="D9" s="543"/>
      <c r="E9" s="543"/>
      <c r="F9" s="543"/>
      <c r="G9" s="543"/>
      <c r="H9" s="543"/>
      <c r="I9" s="543"/>
      <c r="J9" s="543"/>
      <c r="K9" s="544"/>
    </row>
    <row r="10" spans="1:11" ht="25.5">
      <c r="A10" s="23">
        <v>1</v>
      </c>
      <c r="B10" s="428" t="s">
        <v>268</v>
      </c>
      <c r="C10" s="428" t="s">
        <v>40</v>
      </c>
      <c r="D10" s="428">
        <v>2</v>
      </c>
      <c r="E10" s="428" t="s">
        <v>634</v>
      </c>
      <c r="F10" s="23" t="s">
        <v>493</v>
      </c>
      <c r="G10" s="23" t="s">
        <v>635</v>
      </c>
      <c r="H10" s="61" t="s">
        <v>2037</v>
      </c>
      <c r="I10" s="61"/>
      <c r="J10" s="61" t="s">
        <v>3211</v>
      </c>
      <c r="K10" s="207" t="s">
        <v>3212</v>
      </c>
    </row>
    <row r="11" spans="1:11" ht="25.5">
      <c r="A11" s="23">
        <v>2</v>
      </c>
      <c r="B11" s="428" t="s">
        <v>176</v>
      </c>
      <c r="C11" s="428" t="s">
        <v>210</v>
      </c>
      <c r="D11" s="428">
        <v>1</v>
      </c>
      <c r="E11" s="428" t="s">
        <v>211</v>
      </c>
      <c r="F11" s="188" t="s">
        <v>65</v>
      </c>
      <c r="G11" s="23" t="s">
        <v>635</v>
      </c>
      <c r="H11" s="61" t="s">
        <v>2037</v>
      </c>
      <c r="I11" s="61"/>
      <c r="J11" s="61" t="s">
        <v>3211</v>
      </c>
      <c r="K11" s="207" t="s">
        <v>3213</v>
      </c>
    </row>
    <row r="12" spans="1:11" ht="25.5">
      <c r="A12" s="23">
        <v>3</v>
      </c>
      <c r="B12" s="428" t="s">
        <v>140</v>
      </c>
      <c r="C12" s="428" t="s">
        <v>81</v>
      </c>
      <c r="D12" s="428">
        <v>1</v>
      </c>
      <c r="E12" s="428" t="s">
        <v>637</v>
      </c>
      <c r="F12" s="188" t="s">
        <v>65</v>
      </c>
      <c r="G12" s="23" t="s">
        <v>635</v>
      </c>
      <c r="H12" s="61" t="s">
        <v>2037</v>
      </c>
      <c r="I12" s="61"/>
      <c r="J12" s="61" t="s">
        <v>3211</v>
      </c>
      <c r="K12" s="207" t="s">
        <v>3214</v>
      </c>
    </row>
    <row r="13" spans="1:11" ht="25.5">
      <c r="A13" s="23">
        <v>4</v>
      </c>
      <c r="B13" s="428" t="s">
        <v>196</v>
      </c>
      <c r="C13" s="428" t="s">
        <v>241</v>
      </c>
      <c r="D13" s="428">
        <v>1</v>
      </c>
      <c r="E13" s="428" t="s">
        <v>638</v>
      </c>
      <c r="F13" s="188" t="s">
        <v>65</v>
      </c>
      <c r="G13" s="23" t="s">
        <v>635</v>
      </c>
      <c r="H13" s="61" t="s">
        <v>2037</v>
      </c>
      <c r="I13" s="61"/>
      <c r="J13" s="61" t="s">
        <v>3211</v>
      </c>
      <c r="K13" s="207" t="s">
        <v>3215</v>
      </c>
    </row>
    <row r="14" spans="1:11" ht="25.5">
      <c r="A14" s="23">
        <v>5</v>
      </c>
      <c r="B14" s="428" t="s">
        <v>67</v>
      </c>
      <c r="C14" s="428" t="s">
        <v>347</v>
      </c>
      <c r="D14" s="428">
        <v>1</v>
      </c>
      <c r="E14" s="428" t="s">
        <v>69</v>
      </c>
      <c r="F14" s="188" t="s">
        <v>65</v>
      </c>
      <c r="G14" s="23" t="s">
        <v>635</v>
      </c>
      <c r="H14" s="61" t="s">
        <v>2037</v>
      </c>
      <c r="I14" s="61"/>
      <c r="J14" s="61" t="s">
        <v>3211</v>
      </c>
      <c r="K14" s="420" t="s">
        <v>3216</v>
      </c>
    </row>
    <row r="15" spans="1:11" ht="15.75" customHeight="1">
      <c r="A15" s="23">
        <v>6</v>
      </c>
      <c r="B15" s="428" t="s">
        <v>81</v>
      </c>
      <c r="C15" s="428" t="s">
        <v>2247</v>
      </c>
      <c r="D15" s="428">
        <v>1</v>
      </c>
      <c r="E15" s="428" t="s">
        <v>639</v>
      </c>
      <c r="F15" s="188" t="s">
        <v>65</v>
      </c>
      <c r="G15" s="23" t="s">
        <v>635</v>
      </c>
      <c r="H15" s="61" t="s">
        <v>2037</v>
      </c>
      <c r="I15" s="61"/>
      <c r="J15" s="61" t="s">
        <v>3211</v>
      </c>
      <c r="K15" s="207" t="s">
        <v>3217</v>
      </c>
    </row>
    <row r="16" spans="1:11" ht="25.5">
      <c r="A16" s="23">
        <v>7</v>
      </c>
      <c r="B16" s="428" t="s">
        <v>113</v>
      </c>
      <c r="C16" s="428" t="s">
        <v>286</v>
      </c>
      <c r="D16" s="428">
        <v>1</v>
      </c>
      <c r="E16" s="428" t="s">
        <v>287</v>
      </c>
      <c r="F16" s="188" t="s">
        <v>155</v>
      </c>
      <c r="G16" s="23" t="s">
        <v>635</v>
      </c>
      <c r="H16" s="61" t="s">
        <v>2037</v>
      </c>
      <c r="I16" s="61"/>
      <c r="J16" s="61" t="s">
        <v>3211</v>
      </c>
      <c r="K16" s="207" t="s">
        <v>3218</v>
      </c>
    </row>
    <row r="17" spans="1:11" ht="25.5">
      <c r="A17" s="23">
        <v>8</v>
      </c>
      <c r="B17" s="428" t="s">
        <v>79</v>
      </c>
      <c r="C17" s="428" t="s">
        <v>1665</v>
      </c>
      <c r="D17" s="428">
        <v>1</v>
      </c>
      <c r="E17" s="428" t="s">
        <v>643</v>
      </c>
      <c r="F17" s="188" t="s">
        <v>155</v>
      </c>
      <c r="G17" s="23" t="s">
        <v>3219</v>
      </c>
      <c r="H17" s="61" t="s">
        <v>2037</v>
      </c>
      <c r="I17" s="61" t="s">
        <v>3220</v>
      </c>
      <c r="J17" s="61"/>
      <c r="K17" s="207" t="s">
        <v>3221</v>
      </c>
    </row>
    <row r="18" spans="1:11" ht="25.5">
      <c r="A18" s="23">
        <v>9</v>
      </c>
      <c r="B18" s="428" t="s">
        <v>165</v>
      </c>
      <c r="C18" s="428" t="s">
        <v>29</v>
      </c>
      <c r="D18" s="428">
        <v>1</v>
      </c>
      <c r="E18" s="428" t="s">
        <v>3184</v>
      </c>
      <c r="F18" s="188" t="s">
        <v>155</v>
      </c>
      <c r="G18" s="23" t="s">
        <v>635</v>
      </c>
      <c r="H18" s="61" t="s">
        <v>2037</v>
      </c>
      <c r="I18" s="61"/>
      <c r="J18" s="61" t="s">
        <v>3211</v>
      </c>
      <c r="K18" s="207" t="s">
        <v>3222</v>
      </c>
    </row>
    <row r="20" spans="1:11" ht="38.25">
      <c r="E20" s="313" t="s">
        <v>3223</v>
      </c>
      <c r="G20" s="45" t="s">
        <v>3224</v>
      </c>
    </row>
    <row r="25" spans="1:11" ht="12.75">
      <c r="A25" s="31" t="s">
        <v>3225</v>
      </c>
    </row>
  </sheetData>
  <mergeCells count="8">
    <mergeCell ref="A6:E6"/>
    <mergeCell ref="F6:G6"/>
    <mergeCell ref="A9:K9"/>
    <mergeCell ref="A1:K1"/>
    <mergeCell ref="A2:K2"/>
    <mergeCell ref="A3:K3"/>
    <mergeCell ref="A5:E5"/>
    <mergeCell ref="F5:G5"/>
  </mergeCells>
  <dataValidations count="1">
    <dataValidation type="list" allowBlank="1" showErrorMessage="1" sqref="H10:H18" xr:uid="{00000000-0002-0000-1F00-000000000000}">
      <formula1>"Active,Dormant,Down,Terminated"</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L23"/>
  <sheetViews>
    <sheetView showGridLines="0" workbookViewId="0"/>
  </sheetViews>
  <sheetFormatPr defaultColWidth="12.5703125" defaultRowHeight="15.75" customHeight="1"/>
  <cols>
    <col min="1" max="1" width="6.140625" customWidth="1"/>
    <col min="2" max="3" width="16.28515625" customWidth="1"/>
    <col min="4" max="4" width="12.140625" customWidth="1"/>
    <col min="5" max="5" width="55.7109375" customWidth="1"/>
    <col min="6" max="9" width="19.42578125" customWidth="1"/>
    <col min="11" max="11" width="38.42578125" customWidth="1"/>
  </cols>
  <sheetData>
    <row r="1" spans="1:12" ht="15.75" customHeight="1">
      <c r="A1" s="539" t="s">
        <v>508</v>
      </c>
      <c r="B1" s="517"/>
      <c r="C1" s="517"/>
      <c r="D1" s="517"/>
      <c r="E1" s="517"/>
      <c r="F1" s="517"/>
      <c r="G1" s="517"/>
      <c r="H1" s="517"/>
      <c r="I1" s="517"/>
      <c r="J1" s="517"/>
      <c r="K1" s="517"/>
    </row>
    <row r="2" spans="1:12" ht="15.75" customHeight="1">
      <c r="A2" s="540" t="s">
        <v>1464</v>
      </c>
      <c r="B2" s="517"/>
      <c r="C2" s="517"/>
      <c r="D2" s="517"/>
      <c r="E2" s="517"/>
      <c r="F2" s="517"/>
      <c r="G2" s="517"/>
      <c r="H2" s="517"/>
      <c r="I2" s="517"/>
      <c r="J2" s="517"/>
      <c r="K2" s="517"/>
    </row>
    <row r="3" spans="1:12" ht="12.75">
      <c r="A3" s="541">
        <f ca="1">NOW()</f>
        <v>46308.848431481485</v>
      </c>
      <c r="B3" s="517"/>
      <c r="C3" s="517"/>
      <c r="D3" s="517"/>
      <c r="E3" s="517"/>
      <c r="F3" s="517"/>
      <c r="G3" s="517"/>
      <c r="H3" s="517"/>
      <c r="I3" s="517"/>
      <c r="J3" s="517"/>
      <c r="K3" s="517"/>
    </row>
    <row r="4" spans="1:12" ht="12.75">
      <c r="K4" s="31"/>
    </row>
    <row r="5" spans="1:12" ht="12.75">
      <c r="A5" s="624"/>
      <c r="B5" s="543"/>
      <c r="C5" s="543"/>
      <c r="D5" s="543"/>
      <c r="E5" s="543"/>
      <c r="F5" s="543"/>
      <c r="G5" s="543"/>
      <c r="H5" s="544"/>
      <c r="I5" s="625" t="s">
        <v>2917</v>
      </c>
      <c r="J5" s="544"/>
      <c r="K5" s="329">
        <f>COUNTIF(I10:I15,"Down")</f>
        <v>0</v>
      </c>
      <c r="L5" s="429"/>
    </row>
    <row r="6" spans="1:12" ht="12.75">
      <c r="A6" s="622"/>
      <c r="B6" s="543"/>
      <c r="C6" s="543"/>
      <c r="D6" s="543"/>
      <c r="E6" s="543"/>
      <c r="F6" s="543"/>
      <c r="G6" s="543"/>
      <c r="H6" s="544"/>
      <c r="I6" s="623" t="s">
        <v>2899</v>
      </c>
      <c r="J6" s="544"/>
      <c r="K6" s="332">
        <f>COUNT(A10:A15)</f>
        <v>6</v>
      </c>
      <c r="L6" s="429"/>
    </row>
    <row r="8" spans="1:12" ht="12.75">
      <c r="A8" s="127" t="s">
        <v>1466</v>
      </c>
      <c r="B8" s="127" t="s">
        <v>2</v>
      </c>
      <c r="C8" s="127" t="s">
        <v>1</v>
      </c>
      <c r="D8" s="127" t="s">
        <v>0</v>
      </c>
      <c r="E8" s="127" t="s">
        <v>2902</v>
      </c>
      <c r="F8" s="127" t="s">
        <v>14</v>
      </c>
      <c r="G8" s="127" t="s">
        <v>7</v>
      </c>
      <c r="H8" s="127" t="s">
        <v>645</v>
      </c>
      <c r="I8" s="127" t="s">
        <v>1473</v>
      </c>
      <c r="J8" s="127" t="s">
        <v>648</v>
      </c>
      <c r="K8" s="127" t="s">
        <v>240</v>
      </c>
    </row>
    <row r="9" spans="1:12" ht="12.75">
      <c r="A9" s="542" t="s">
        <v>1551</v>
      </c>
      <c r="B9" s="543"/>
      <c r="C9" s="543"/>
      <c r="D9" s="543"/>
      <c r="E9" s="543"/>
      <c r="F9" s="543"/>
      <c r="G9" s="543"/>
      <c r="H9" s="543"/>
      <c r="I9" s="543"/>
      <c r="J9" s="543"/>
      <c r="K9" s="544"/>
    </row>
    <row r="10" spans="1:12" ht="25.5">
      <c r="A10" s="23">
        <v>1</v>
      </c>
      <c r="B10" s="55" t="s">
        <v>229</v>
      </c>
      <c r="C10" s="55" t="s">
        <v>191</v>
      </c>
      <c r="D10" s="62">
        <v>2</v>
      </c>
      <c r="E10" s="55" t="s">
        <v>646</v>
      </c>
      <c r="F10" s="97" t="s">
        <v>31</v>
      </c>
      <c r="G10" s="97" t="s">
        <v>649</v>
      </c>
      <c r="H10" s="16" t="s">
        <v>2265</v>
      </c>
      <c r="I10" s="61" t="s">
        <v>89</v>
      </c>
      <c r="J10" s="61"/>
      <c r="K10" s="207"/>
    </row>
    <row r="11" spans="1:12" ht="25.5">
      <c r="A11" s="23">
        <v>2</v>
      </c>
      <c r="B11" s="55" t="s">
        <v>229</v>
      </c>
      <c r="C11" s="55" t="s">
        <v>191</v>
      </c>
      <c r="D11" s="62">
        <v>2</v>
      </c>
      <c r="E11" s="55" t="s">
        <v>651</v>
      </c>
      <c r="F11" s="97" t="s">
        <v>31</v>
      </c>
      <c r="G11" s="97" t="s">
        <v>649</v>
      </c>
      <c r="H11" s="16" t="s">
        <v>2265</v>
      </c>
      <c r="I11" s="61" t="s">
        <v>89</v>
      </c>
      <c r="J11" s="61"/>
      <c r="K11" s="207"/>
    </row>
    <row r="12" spans="1:12" ht="25.5">
      <c r="A12" s="23">
        <v>3</v>
      </c>
      <c r="B12" s="55" t="s">
        <v>196</v>
      </c>
      <c r="C12" s="55" t="s">
        <v>2266</v>
      </c>
      <c r="D12" s="62">
        <v>1</v>
      </c>
      <c r="E12" s="55" t="s">
        <v>653</v>
      </c>
      <c r="F12" s="97" t="s">
        <v>155</v>
      </c>
      <c r="G12" s="97" t="s">
        <v>649</v>
      </c>
      <c r="H12" s="16" t="s">
        <v>2267</v>
      </c>
      <c r="I12" s="61" t="s">
        <v>89</v>
      </c>
      <c r="J12" s="61"/>
      <c r="K12" s="207"/>
    </row>
    <row r="13" spans="1:12" ht="25.5">
      <c r="A13" s="23">
        <v>4</v>
      </c>
      <c r="B13" s="55" t="s">
        <v>196</v>
      </c>
      <c r="C13" s="204" t="s">
        <v>2266</v>
      </c>
      <c r="D13" s="207">
        <v>1</v>
      </c>
      <c r="E13" s="204" t="s">
        <v>658</v>
      </c>
      <c r="F13" s="97" t="s">
        <v>155</v>
      </c>
      <c r="G13" s="97" t="s">
        <v>649</v>
      </c>
      <c r="H13" s="16" t="s">
        <v>2267</v>
      </c>
      <c r="I13" s="61" t="s">
        <v>89</v>
      </c>
      <c r="J13" s="61"/>
      <c r="K13" s="207"/>
    </row>
    <row r="14" spans="1:12" ht="25.5">
      <c r="A14" s="23">
        <v>5</v>
      </c>
      <c r="B14" s="204" t="s">
        <v>291</v>
      </c>
      <c r="C14" s="204" t="s">
        <v>2268</v>
      </c>
      <c r="D14" s="207">
        <v>2</v>
      </c>
      <c r="E14" s="204" t="s">
        <v>659</v>
      </c>
      <c r="F14" s="97" t="s">
        <v>155</v>
      </c>
      <c r="G14" s="97" t="s">
        <v>649</v>
      </c>
      <c r="H14" s="16" t="s">
        <v>2269</v>
      </c>
      <c r="I14" s="61" t="s">
        <v>89</v>
      </c>
      <c r="J14" s="61"/>
      <c r="K14" s="207"/>
    </row>
    <row r="15" spans="1:12" ht="25.5">
      <c r="A15" s="23">
        <v>6</v>
      </c>
      <c r="B15" s="204" t="s">
        <v>291</v>
      </c>
      <c r="C15" s="204" t="s">
        <v>2268</v>
      </c>
      <c r="D15" s="207">
        <v>2</v>
      </c>
      <c r="E15" s="204" t="s">
        <v>661</v>
      </c>
      <c r="F15" s="97" t="s">
        <v>155</v>
      </c>
      <c r="G15" s="97" t="s">
        <v>649</v>
      </c>
      <c r="H15" s="16" t="s">
        <v>2269</v>
      </c>
      <c r="I15" s="61" t="s">
        <v>89</v>
      </c>
      <c r="J15" s="61"/>
      <c r="K15" s="207"/>
    </row>
    <row r="16" spans="1:12" ht="12.75">
      <c r="J16" s="31"/>
    </row>
    <row r="20" spans="7:9" ht="12.75">
      <c r="G20" s="31" t="s">
        <v>3188</v>
      </c>
      <c r="H20" s="31" t="s">
        <v>3226</v>
      </c>
    </row>
    <row r="21" spans="7:9" ht="12.75">
      <c r="G21" s="31" t="s">
        <v>3000</v>
      </c>
      <c r="H21" s="430" t="s">
        <v>3228</v>
      </c>
    </row>
    <row r="22" spans="7:9" ht="12.75">
      <c r="G22" s="31" t="s">
        <v>3044</v>
      </c>
      <c r="H22" s="431" t="s">
        <v>3229</v>
      </c>
    </row>
    <row r="23" spans="7:9" ht="12.75">
      <c r="G23" s="31" t="s">
        <v>3046</v>
      </c>
      <c r="H23" s="432" t="s">
        <v>3230</v>
      </c>
      <c r="I23" s="31" t="s">
        <v>3231</v>
      </c>
    </row>
  </sheetData>
  <mergeCells count="8">
    <mergeCell ref="A6:H6"/>
    <mergeCell ref="I6:J6"/>
    <mergeCell ref="A9:K9"/>
    <mergeCell ref="A1:K1"/>
    <mergeCell ref="A2:K2"/>
    <mergeCell ref="A3:K3"/>
    <mergeCell ref="A5:H5"/>
    <mergeCell ref="I5:J5"/>
  </mergeCells>
  <dataValidations count="1">
    <dataValidation type="list" allowBlank="1" showErrorMessage="1" sqref="I10:I15" xr:uid="{00000000-0002-0000-2000-000000000000}">
      <formula1>"Active,Dormant,Down"</formula1>
    </dataValidation>
  </dataValidations>
  <hyperlinks>
    <hyperlink ref="H21" r:id="rId1" xr:uid="{00000000-0004-0000-20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2:L338"/>
  <sheetViews>
    <sheetView workbookViewId="0"/>
  </sheetViews>
  <sheetFormatPr defaultColWidth="12.5703125" defaultRowHeight="15.75" customHeight="1"/>
  <cols>
    <col min="1" max="1" width="9.7109375" customWidth="1"/>
    <col min="2" max="2" width="14" customWidth="1"/>
    <col min="3" max="3" width="11.5703125" customWidth="1"/>
    <col min="4" max="4" width="9" customWidth="1"/>
    <col min="5" max="5" width="17.7109375" customWidth="1"/>
    <col min="6" max="6" width="28.7109375" customWidth="1"/>
    <col min="7" max="7" width="9.7109375" customWidth="1"/>
    <col min="8" max="8" width="10.7109375" customWidth="1"/>
    <col min="9" max="9" width="18.140625" customWidth="1"/>
    <col min="10" max="10" width="29.7109375" customWidth="1"/>
    <col min="11" max="11" width="17.140625" customWidth="1"/>
    <col min="12" max="12" width="9.85546875" customWidth="1"/>
  </cols>
  <sheetData>
    <row r="2" spans="1:12" ht="12.75">
      <c r="A2" s="320"/>
      <c r="B2" s="320"/>
      <c r="C2" s="320"/>
      <c r="D2" s="320"/>
      <c r="E2" s="320"/>
      <c r="F2" s="320"/>
      <c r="G2" s="320"/>
      <c r="H2" s="320"/>
      <c r="I2" s="320"/>
      <c r="J2" s="320"/>
      <c r="K2" s="320"/>
      <c r="L2" s="320"/>
    </row>
    <row r="3" spans="1:12" ht="15.75" customHeight="1">
      <c r="A3" s="433"/>
      <c r="B3" s="434" t="s">
        <v>3239</v>
      </c>
      <c r="C3" s="434" t="s">
        <v>3240</v>
      </c>
      <c r="D3" s="434" t="s">
        <v>3241</v>
      </c>
      <c r="E3" s="434" t="s">
        <v>3242</v>
      </c>
      <c r="F3" s="434" t="s">
        <v>2902</v>
      </c>
      <c r="G3" s="435" t="s">
        <v>3243</v>
      </c>
      <c r="H3" s="435" t="s">
        <v>641</v>
      </c>
      <c r="I3" s="435" t="s">
        <v>3244</v>
      </c>
      <c r="J3" s="434" t="s">
        <v>3245</v>
      </c>
      <c r="K3" s="435" t="s">
        <v>3246</v>
      </c>
      <c r="L3" s="434" t="s">
        <v>3247</v>
      </c>
    </row>
    <row r="4" spans="1:12" ht="14.25">
      <c r="A4" s="6">
        <v>1</v>
      </c>
      <c r="B4" s="327" t="s">
        <v>3248</v>
      </c>
      <c r="C4" s="327" t="s">
        <v>57</v>
      </c>
      <c r="D4" s="436">
        <v>2</v>
      </c>
      <c r="E4" s="327" t="s">
        <v>3249</v>
      </c>
      <c r="F4" s="327" t="s">
        <v>3251</v>
      </c>
      <c r="G4" s="327" t="s">
        <v>155</v>
      </c>
      <c r="H4" s="437">
        <v>9.4966670000000004</v>
      </c>
      <c r="I4" s="437">
        <v>125.5797</v>
      </c>
      <c r="J4" s="438" t="s">
        <v>3252</v>
      </c>
      <c r="K4" s="439" t="s">
        <v>3253</v>
      </c>
      <c r="L4" s="439" t="s">
        <v>409</v>
      </c>
    </row>
    <row r="5" spans="1:12" ht="14.25">
      <c r="A5" s="6">
        <v>2</v>
      </c>
      <c r="B5" s="327" t="s">
        <v>3248</v>
      </c>
      <c r="C5" s="327" t="s">
        <v>57</v>
      </c>
      <c r="D5" s="436">
        <v>2</v>
      </c>
      <c r="E5" s="327" t="s">
        <v>3254</v>
      </c>
      <c r="F5" s="327" t="s">
        <v>3255</v>
      </c>
      <c r="G5" s="327" t="s">
        <v>155</v>
      </c>
      <c r="H5" s="437">
        <v>9.4705560000000002</v>
      </c>
      <c r="I5" s="437">
        <v>125.57470000000001</v>
      </c>
      <c r="J5" s="438" t="s">
        <v>3256</v>
      </c>
      <c r="K5" s="439" t="s">
        <v>3257</v>
      </c>
      <c r="L5" s="439" t="s">
        <v>409</v>
      </c>
    </row>
    <row r="6" spans="1:12" ht="14.25">
      <c r="A6" s="6">
        <v>3</v>
      </c>
      <c r="B6" s="327" t="s">
        <v>3248</v>
      </c>
      <c r="C6" s="327" t="s">
        <v>57</v>
      </c>
      <c r="D6" s="436">
        <v>2</v>
      </c>
      <c r="E6" s="327" t="s">
        <v>3258</v>
      </c>
      <c r="F6" s="327" t="s">
        <v>3259</v>
      </c>
      <c r="G6" s="327" t="s">
        <v>155</v>
      </c>
      <c r="H6" s="437">
        <v>9.4683329999999994</v>
      </c>
      <c r="I6" s="437">
        <v>125.59690000000001</v>
      </c>
      <c r="J6" s="438" t="s">
        <v>3256</v>
      </c>
      <c r="K6" s="439" t="s">
        <v>3257</v>
      </c>
      <c r="L6" s="439" t="s">
        <v>409</v>
      </c>
    </row>
    <row r="7" spans="1:12" ht="14.25">
      <c r="A7" s="6">
        <v>4</v>
      </c>
      <c r="B7" s="327" t="s">
        <v>3248</v>
      </c>
      <c r="C7" s="327" t="s">
        <v>57</v>
      </c>
      <c r="D7" s="436">
        <v>2</v>
      </c>
      <c r="E7" s="327" t="s">
        <v>3260</v>
      </c>
      <c r="F7" s="327" t="s">
        <v>3261</v>
      </c>
      <c r="G7" s="327" t="s">
        <v>155</v>
      </c>
      <c r="H7" s="437">
        <v>9.4546139999999994</v>
      </c>
      <c r="I7" s="437">
        <v>125.610342</v>
      </c>
      <c r="J7" s="438" t="s">
        <v>3256</v>
      </c>
      <c r="K7" s="439" t="s">
        <v>3257</v>
      </c>
      <c r="L7" s="439" t="s">
        <v>409</v>
      </c>
    </row>
    <row r="8" spans="1:12" ht="14.25">
      <c r="A8" s="6">
        <v>5</v>
      </c>
      <c r="B8" s="327" t="s">
        <v>3248</v>
      </c>
      <c r="C8" s="327" t="s">
        <v>57</v>
      </c>
      <c r="D8" s="436">
        <v>2</v>
      </c>
      <c r="E8" s="327" t="s">
        <v>3262</v>
      </c>
      <c r="F8" s="327" t="s">
        <v>3263</v>
      </c>
      <c r="G8" s="327" t="s">
        <v>155</v>
      </c>
      <c r="H8" s="437">
        <v>9.4369440000000004</v>
      </c>
      <c r="I8" s="437">
        <v>125.68170000000001</v>
      </c>
      <c r="J8" s="438" t="s">
        <v>3256</v>
      </c>
      <c r="K8" s="439" t="s">
        <v>3257</v>
      </c>
      <c r="L8" s="439" t="s">
        <v>409</v>
      </c>
    </row>
    <row r="9" spans="1:12" ht="14.25">
      <c r="A9" s="6">
        <v>6</v>
      </c>
      <c r="B9" s="327" t="s">
        <v>3248</v>
      </c>
      <c r="C9" s="327" t="s">
        <v>57</v>
      </c>
      <c r="D9" s="436">
        <v>2</v>
      </c>
      <c r="E9" s="327" t="s">
        <v>212</v>
      </c>
      <c r="F9" s="327" t="s">
        <v>3265</v>
      </c>
      <c r="G9" s="327" t="s">
        <v>155</v>
      </c>
      <c r="H9" s="437">
        <v>9.4577779999999994</v>
      </c>
      <c r="I9" s="437">
        <v>125.5733</v>
      </c>
      <c r="J9" s="438" t="s">
        <v>3256</v>
      </c>
      <c r="K9" s="439" t="s">
        <v>3257</v>
      </c>
      <c r="L9" s="439" t="s">
        <v>409</v>
      </c>
    </row>
    <row r="10" spans="1:12" ht="14.25">
      <c r="A10" s="6">
        <v>7</v>
      </c>
      <c r="B10" s="327" t="s">
        <v>3248</v>
      </c>
      <c r="C10" s="327" t="s">
        <v>57</v>
      </c>
      <c r="D10" s="436">
        <v>2</v>
      </c>
      <c r="E10" s="327" t="s">
        <v>3267</v>
      </c>
      <c r="F10" s="327" t="s">
        <v>3268</v>
      </c>
      <c r="G10" s="327" t="s">
        <v>155</v>
      </c>
      <c r="H10" s="437">
        <v>9.4658329999999999</v>
      </c>
      <c r="I10" s="437">
        <v>125.57810000000001</v>
      </c>
      <c r="J10" s="438" t="s">
        <v>3269</v>
      </c>
      <c r="K10" s="439" t="s">
        <v>3253</v>
      </c>
      <c r="L10" s="439" t="s">
        <v>409</v>
      </c>
    </row>
    <row r="11" spans="1:12" ht="14.25">
      <c r="A11" s="6">
        <v>8</v>
      </c>
      <c r="B11" s="327" t="s">
        <v>3248</v>
      </c>
      <c r="C11" s="327" t="s">
        <v>57</v>
      </c>
      <c r="D11" s="436">
        <v>2</v>
      </c>
      <c r="E11" s="327" t="s">
        <v>3272</v>
      </c>
      <c r="F11" s="327" t="s">
        <v>3273</v>
      </c>
      <c r="G11" s="327" t="s">
        <v>155</v>
      </c>
      <c r="H11" s="437">
        <v>9.4630559999999999</v>
      </c>
      <c r="I11" s="437">
        <v>125.5894</v>
      </c>
      <c r="J11" s="438" t="s">
        <v>3256</v>
      </c>
      <c r="K11" s="439" t="s">
        <v>3257</v>
      </c>
      <c r="L11" s="439" t="s">
        <v>409</v>
      </c>
    </row>
    <row r="12" spans="1:12" ht="14.25">
      <c r="A12" s="6">
        <v>9</v>
      </c>
      <c r="B12" s="327" t="s">
        <v>3248</v>
      </c>
      <c r="C12" s="327" t="s">
        <v>57</v>
      </c>
      <c r="D12" s="436">
        <v>2</v>
      </c>
      <c r="E12" s="327" t="s">
        <v>191</v>
      </c>
      <c r="F12" s="327" t="s">
        <v>3276</v>
      </c>
      <c r="G12" s="327" t="s">
        <v>155</v>
      </c>
      <c r="H12" s="437">
        <v>9.4663070000000005</v>
      </c>
      <c r="I12" s="437">
        <v>125.573815</v>
      </c>
      <c r="J12" s="438" t="s">
        <v>3269</v>
      </c>
      <c r="K12" s="439" t="s">
        <v>3253</v>
      </c>
      <c r="L12" s="439" t="s">
        <v>409</v>
      </c>
    </row>
    <row r="13" spans="1:12" ht="14.25">
      <c r="A13" s="6">
        <v>10</v>
      </c>
      <c r="B13" s="327" t="s">
        <v>3248</v>
      </c>
      <c r="C13" s="327" t="s">
        <v>57</v>
      </c>
      <c r="D13" s="436">
        <v>2</v>
      </c>
      <c r="E13" s="327" t="s">
        <v>3279</v>
      </c>
      <c r="F13" s="327" t="s">
        <v>3280</v>
      </c>
      <c r="G13" s="327" t="s">
        <v>155</v>
      </c>
      <c r="H13" s="437">
        <v>9.5261110000000002</v>
      </c>
      <c r="I13" s="437">
        <v>125.5669</v>
      </c>
      <c r="J13" s="438" t="s">
        <v>3252</v>
      </c>
      <c r="K13" s="439" t="s">
        <v>3253</v>
      </c>
      <c r="L13" s="439" t="s">
        <v>409</v>
      </c>
    </row>
    <row r="14" spans="1:12" ht="14.25">
      <c r="A14" s="6">
        <v>11</v>
      </c>
      <c r="B14" s="327" t="s">
        <v>3248</v>
      </c>
      <c r="C14" s="327" t="s">
        <v>57</v>
      </c>
      <c r="D14" s="436">
        <v>2</v>
      </c>
      <c r="E14" s="327" t="s">
        <v>29</v>
      </c>
      <c r="F14" s="327" t="s">
        <v>425</v>
      </c>
      <c r="G14" s="327" t="s">
        <v>155</v>
      </c>
      <c r="H14" s="437">
        <v>9.5019570000000009</v>
      </c>
      <c r="I14" s="437">
        <v>125.578472</v>
      </c>
      <c r="J14" s="438" t="s">
        <v>3269</v>
      </c>
      <c r="K14" s="439" t="s">
        <v>3253</v>
      </c>
      <c r="L14" s="439" t="s">
        <v>409</v>
      </c>
    </row>
    <row r="15" spans="1:12" ht="14.25">
      <c r="A15" s="6">
        <v>12</v>
      </c>
      <c r="B15" s="327" t="s">
        <v>3248</v>
      </c>
      <c r="C15" s="327" t="s">
        <v>57</v>
      </c>
      <c r="D15" s="436">
        <v>2</v>
      </c>
      <c r="E15" s="327" t="s">
        <v>405</v>
      </c>
      <c r="F15" s="327" t="s">
        <v>3281</v>
      </c>
      <c r="G15" s="327" t="s">
        <v>155</v>
      </c>
      <c r="H15" s="437">
        <v>9.4761109999999995</v>
      </c>
      <c r="I15" s="437">
        <v>125.5778</v>
      </c>
      <c r="J15" s="438" t="s">
        <v>3269</v>
      </c>
      <c r="K15" s="439" t="s">
        <v>3253</v>
      </c>
      <c r="L15" s="439" t="s">
        <v>409</v>
      </c>
    </row>
    <row r="16" spans="1:12" ht="14.25">
      <c r="A16" s="6">
        <v>13</v>
      </c>
      <c r="B16" s="327" t="s">
        <v>3248</v>
      </c>
      <c r="C16" s="327" t="s">
        <v>117</v>
      </c>
      <c r="D16" s="436">
        <v>2</v>
      </c>
      <c r="E16" s="327" t="s">
        <v>1889</v>
      </c>
      <c r="F16" s="327" t="s">
        <v>558</v>
      </c>
      <c r="G16" s="327" t="s">
        <v>155</v>
      </c>
      <c r="H16" s="437">
        <v>9.5824010000000008</v>
      </c>
      <c r="I16" s="437">
        <v>125.654681</v>
      </c>
      <c r="J16" s="438" t="s">
        <v>3269</v>
      </c>
      <c r="K16" s="439" t="s">
        <v>3253</v>
      </c>
      <c r="L16" s="439" t="s">
        <v>409</v>
      </c>
    </row>
    <row r="17" spans="1:12" ht="14.25">
      <c r="A17" s="6">
        <v>14</v>
      </c>
      <c r="B17" s="327" t="s">
        <v>3248</v>
      </c>
      <c r="C17" s="327" t="s">
        <v>117</v>
      </c>
      <c r="D17" s="436">
        <v>2</v>
      </c>
      <c r="E17" s="327" t="s">
        <v>3285</v>
      </c>
      <c r="F17" s="327" t="s">
        <v>3286</v>
      </c>
      <c r="G17" s="327" t="s">
        <v>155</v>
      </c>
      <c r="H17" s="437">
        <v>9.552092</v>
      </c>
      <c r="I17" s="437">
        <v>125.638141</v>
      </c>
      <c r="J17" s="438" t="s">
        <v>3256</v>
      </c>
      <c r="K17" s="439" t="s">
        <v>3257</v>
      </c>
      <c r="L17" s="439" t="s">
        <v>409</v>
      </c>
    </row>
    <row r="18" spans="1:12" ht="14.25">
      <c r="A18" s="6">
        <v>15</v>
      </c>
      <c r="B18" s="327" t="s">
        <v>3248</v>
      </c>
      <c r="C18" s="327" t="s">
        <v>117</v>
      </c>
      <c r="D18" s="436">
        <v>2</v>
      </c>
      <c r="E18" s="327" t="s">
        <v>3288</v>
      </c>
      <c r="F18" s="327" t="s">
        <v>3289</v>
      </c>
      <c r="G18" s="327" t="s">
        <v>155</v>
      </c>
      <c r="H18" s="437">
        <v>9.5782790000000002</v>
      </c>
      <c r="I18" s="437">
        <v>125.640253</v>
      </c>
      <c r="J18" s="438" t="s">
        <v>3269</v>
      </c>
      <c r="K18" s="439" t="s">
        <v>3253</v>
      </c>
      <c r="L18" s="439" t="s">
        <v>409</v>
      </c>
    </row>
    <row r="19" spans="1:12" ht="14.25">
      <c r="A19" s="6">
        <v>16</v>
      </c>
      <c r="B19" s="327" t="s">
        <v>3248</v>
      </c>
      <c r="C19" s="327" t="s">
        <v>117</v>
      </c>
      <c r="D19" s="436">
        <v>2</v>
      </c>
      <c r="E19" s="327" t="s">
        <v>3291</v>
      </c>
      <c r="F19" s="327" t="s">
        <v>3293</v>
      </c>
      <c r="G19" s="327" t="s">
        <v>155</v>
      </c>
      <c r="H19" s="437">
        <v>9.5725219999999993</v>
      </c>
      <c r="I19" s="437">
        <v>125.63048999999999</v>
      </c>
      <c r="J19" s="438" t="s">
        <v>3252</v>
      </c>
      <c r="K19" s="439" t="s">
        <v>3253</v>
      </c>
      <c r="L19" s="439" t="s">
        <v>409</v>
      </c>
    </row>
    <row r="20" spans="1:12" ht="14.25">
      <c r="A20" s="6">
        <v>17</v>
      </c>
      <c r="B20" s="327" t="s">
        <v>3248</v>
      </c>
      <c r="C20" s="327" t="s">
        <v>117</v>
      </c>
      <c r="D20" s="436">
        <v>2</v>
      </c>
      <c r="E20" s="327" t="s">
        <v>1852</v>
      </c>
      <c r="F20" s="327" t="s">
        <v>3294</v>
      </c>
      <c r="G20" s="327" t="s">
        <v>155</v>
      </c>
      <c r="H20" s="437">
        <v>9.5575480000000006</v>
      </c>
      <c r="I20" s="437">
        <v>125.631141</v>
      </c>
      <c r="J20" s="438" t="s">
        <v>3252</v>
      </c>
      <c r="K20" s="439" t="s">
        <v>3253</v>
      </c>
      <c r="L20" s="439" t="s">
        <v>409</v>
      </c>
    </row>
    <row r="21" spans="1:12" ht="14.25">
      <c r="A21" s="6">
        <v>18</v>
      </c>
      <c r="B21" s="327" t="s">
        <v>3248</v>
      </c>
      <c r="C21" s="327" t="s">
        <v>117</v>
      </c>
      <c r="D21" s="436">
        <v>2</v>
      </c>
      <c r="E21" s="327" t="s">
        <v>1860</v>
      </c>
      <c r="F21" s="327" t="s">
        <v>3295</v>
      </c>
      <c r="G21" s="327" t="s">
        <v>155</v>
      </c>
      <c r="H21" s="437">
        <v>9.5492930000000005</v>
      </c>
      <c r="I21" s="437">
        <v>125.620294</v>
      </c>
      <c r="J21" s="438" t="s">
        <v>3252</v>
      </c>
      <c r="K21" s="439" t="s">
        <v>3253</v>
      </c>
      <c r="L21" s="439" t="s">
        <v>409</v>
      </c>
    </row>
    <row r="22" spans="1:12" ht="14.25">
      <c r="A22" s="6">
        <v>19</v>
      </c>
      <c r="B22" s="327" t="s">
        <v>3248</v>
      </c>
      <c r="C22" s="327" t="s">
        <v>117</v>
      </c>
      <c r="D22" s="436">
        <v>2</v>
      </c>
      <c r="E22" s="327" t="s">
        <v>191</v>
      </c>
      <c r="F22" s="327" t="s">
        <v>3276</v>
      </c>
      <c r="G22" s="327" t="s">
        <v>155</v>
      </c>
      <c r="H22" s="437">
        <v>9.6031809999999993</v>
      </c>
      <c r="I22" s="437">
        <v>125.64338499999999</v>
      </c>
      <c r="J22" s="438" t="s">
        <v>3269</v>
      </c>
      <c r="K22" s="439" t="s">
        <v>3253</v>
      </c>
      <c r="L22" s="439" t="s">
        <v>409</v>
      </c>
    </row>
    <row r="23" spans="1:12" ht="14.25">
      <c r="A23" s="6">
        <v>20</v>
      </c>
      <c r="B23" s="327" t="s">
        <v>3248</v>
      </c>
      <c r="C23" s="327" t="s">
        <v>117</v>
      </c>
      <c r="D23" s="436">
        <v>2</v>
      </c>
      <c r="E23" s="327" t="s">
        <v>3296</v>
      </c>
      <c r="F23" s="327" t="s">
        <v>3298</v>
      </c>
      <c r="G23" s="327" t="s">
        <v>155</v>
      </c>
      <c r="H23" s="437">
        <v>9.5496529999999993</v>
      </c>
      <c r="I23" s="437">
        <v>125.631212</v>
      </c>
      <c r="J23" s="438" t="s">
        <v>3256</v>
      </c>
      <c r="K23" s="439" t="s">
        <v>3257</v>
      </c>
      <c r="L23" s="439" t="s">
        <v>409</v>
      </c>
    </row>
    <row r="24" spans="1:12" ht="14.25">
      <c r="A24" s="6">
        <v>21</v>
      </c>
      <c r="B24" s="327" t="s">
        <v>3248</v>
      </c>
      <c r="C24" s="327" t="s">
        <v>117</v>
      </c>
      <c r="D24" s="436">
        <v>2</v>
      </c>
      <c r="E24" s="327" t="s">
        <v>3299</v>
      </c>
      <c r="F24" s="327" t="s">
        <v>3300</v>
      </c>
      <c r="G24" s="327" t="s">
        <v>155</v>
      </c>
      <c r="H24" s="437">
        <v>9.588158</v>
      </c>
      <c r="I24" s="437">
        <v>125.61173100000001</v>
      </c>
      <c r="J24" s="438" t="s">
        <v>3252</v>
      </c>
      <c r="K24" s="439" t="s">
        <v>3257</v>
      </c>
      <c r="L24" s="439" t="s">
        <v>409</v>
      </c>
    </row>
    <row r="25" spans="1:12" ht="14.25">
      <c r="A25" s="6">
        <v>22</v>
      </c>
      <c r="B25" s="327" t="s">
        <v>3248</v>
      </c>
      <c r="C25" s="327" t="s">
        <v>13</v>
      </c>
      <c r="D25" s="436">
        <v>1</v>
      </c>
      <c r="E25" s="327" t="s">
        <v>2370</v>
      </c>
      <c r="F25" s="327" t="s">
        <v>3301</v>
      </c>
      <c r="G25" s="327" t="s">
        <v>155</v>
      </c>
      <c r="H25" s="437">
        <v>9.978472</v>
      </c>
      <c r="I25" s="437">
        <v>126.088572</v>
      </c>
      <c r="J25" s="438" t="s">
        <v>3269</v>
      </c>
      <c r="K25" s="439" t="s">
        <v>3253</v>
      </c>
      <c r="L25" s="439" t="s">
        <v>409</v>
      </c>
    </row>
    <row r="26" spans="1:12" ht="14.25">
      <c r="A26" s="6">
        <v>23</v>
      </c>
      <c r="B26" s="327" t="s">
        <v>3248</v>
      </c>
      <c r="C26" s="327" t="s">
        <v>13</v>
      </c>
      <c r="D26" s="436">
        <v>1</v>
      </c>
      <c r="E26" s="327" t="s">
        <v>3302</v>
      </c>
      <c r="F26" s="327" t="s">
        <v>3303</v>
      </c>
      <c r="G26" s="327" t="s">
        <v>155</v>
      </c>
      <c r="H26" s="437">
        <v>10.0318</v>
      </c>
      <c r="I26" s="437">
        <v>126.07040000000001</v>
      </c>
      <c r="J26" s="438" t="s">
        <v>3269</v>
      </c>
      <c r="K26" s="439" t="s">
        <v>3253</v>
      </c>
      <c r="L26" s="439" t="s">
        <v>409</v>
      </c>
    </row>
    <row r="27" spans="1:12" ht="14.25">
      <c r="A27" s="6">
        <v>24</v>
      </c>
      <c r="B27" s="327" t="s">
        <v>3248</v>
      </c>
      <c r="C27" s="327" t="s">
        <v>13</v>
      </c>
      <c r="D27" s="436">
        <v>1</v>
      </c>
      <c r="E27" s="327" t="s">
        <v>3304</v>
      </c>
      <c r="F27" s="327" t="s">
        <v>2012</v>
      </c>
      <c r="G27" s="327" t="s">
        <v>155</v>
      </c>
      <c r="H27" s="437">
        <v>9.9670690000000004</v>
      </c>
      <c r="I27" s="437">
        <v>126.073719</v>
      </c>
      <c r="J27" s="438" t="s">
        <v>3256</v>
      </c>
      <c r="K27" s="439" t="s">
        <v>3257</v>
      </c>
      <c r="L27" s="439" t="s">
        <v>288</v>
      </c>
    </row>
    <row r="28" spans="1:12" ht="14.25">
      <c r="A28" s="6">
        <v>25</v>
      </c>
      <c r="B28" s="327" t="s">
        <v>3248</v>
      </c>
      <c r="C28" s="327" t="s">
        <v>13</v>
      </c>
      <c r="D28" s="436">
        <v>1</v>
      </c>
      <c r="E28" s="327" t="s">
        <v>15</v>
      </c>
      <c r="F28" s="327" t="s">
        <v>64</v>
      </c>
      <c r="G28" s="327" t="s">
        <v>155</v>
      </c>
      <c r="H28" s="437">
        <v>10.017963999999999</v>
      </c>
      <c r="I28" s="437">
        <v>126.074653</v>
      </c>
      <c r="J28" s="438" t="s">
        <v>3269</v>
      </c>
      <c r="K28" s="439" t="s">
        <v>3253</v>
      </c>
      <c r="L28" s="439" t="s">
        <v>409</v>
      </c>
    </row>
    <row r="29" spans="1:12" ht="14.25">
      <c r="A29" s="6">
        <v>26</v>
      </c>
      <c r="B29" s="327" t="s">
        <v>3248</v>
      </c>
      <c r="C29" s="327" t="s">
        <v>13</v>
      </c>
      <c r="D29" s="436">
        <v>1</v>
      </c>
      <c r="E29" s="327" t="s">
        <v>97</v>
      </c>
      <c r="F29" s="327" t="s">
        <v>3305</v>
      </c>
      <c r="G29" s="327" t="s">
        <v>155</v>
      </c>
      <c r="H29" s="437">
        <v>10.02087</v>
      </c>
      <c r="I29" s="437">
        <v>126.0714</v>
      </c>
      <c r="J29" s="438" t="s">
        <v>3269</v>
      </c>
      <c r="K29" s="439" t="s">
        <v>3253</v>
      </c>
      <c r="L29" s="439" t="s">
        <v>409</v>
      </c>
    </row>
    <row r="30" spans="1:12" ht="14.25">
      <c r="A30" s="6">
        <v>27</v>
      </c>
      <c r="B30" s="327" t="s">
        <v>3248</v>
      </c>
      <c r="C30" s="327" t="s">
        <v>13</v>
      </c>
      <c r="D30" s="436">
        <v>1</v>
      </c>
      <c r="E30" s="327" t="s">
        <v>3306</v>
      </c>
      <c r="F30" s="327" t="s">
        <v>3307</v>
      </c>
      <c r="G30" s="327" t="s">
        <v>155</v>
      </c>
      <c r="H30" s="437">
        <v>9.9884369999999993</v>
      </c>
      <c r="I30" s="437">
        <v>126.0699</v>
      </c>
      <c r="J30" s="438" t="s">
        <v>3269</v>
      </c>
      <c r="K30" s="439" t="s">
        <v>3253</v>
      </c>
      <c r="L30" s="439" t="s">
        <v>409</v>
      </c>
    </row>
    <row r="31" spans="1:12" ht="14.25">
      <c r="A31" s="6">
        <v>28</v>
      </c>
      <c r="B31" s="327" t="s">
        <v>3248</v>
      </c>
      <c r="C31" s="327" t="s">
        <v>136</v>
      </c>
      <c r="D31" s="436">
        <v>2</v>
      </c>
      <c r="E31" s="327" t="s">
        <v>283</v>
      </c>
      <c r="F31" s="327" t="s">
        <v>154</v>
      </c>
      <c r="G31" s="327" t="s">
        <v>155</v>
      </c>
      <c r="H31" s="437">
        <v>9.5767249999999997</v>
      </c>
      <c r="I31" s="437">
        <v>125.731375</v>
      </c>
      <c r="J31" s="438" t="s">
        <v>3269</v>
      </c>
      <c r="K31" s="439" t="s">
        <v>3253</v>
      </c>
      <c r="L31" s="439" t="s">
        <v>288</v>
      </c>
    </row>
    <row r="32" spans="1:12" ht="14.25">
      <c r="A32" s="6">
        <v>29</v>
      </c>
      <c r="B32" s="327" t="s">
        <v>3248</v>
      </c>
      <c r="C32" s="327" t="s">
        <v>136</v>
      </c>
      <c r="D32" s="436">
        <v>2</v>
      </c>
      <c r="E32" s="327" t="s">
        <v>3308</v>
      </c>
      <c r="F32" s="327" t="s">
        <v>3309</v>
      </c>
      <c r="G32" s="327" t="s">
        <v>155</v>
      </c>
      <c r="H32" s="437">
        <v>9.5505390000000006</v>
      </c>
      <c r="I32" s="437">
        <v>125.764478</v>
      </c>
      <c r="J32" s="438" t="s">
        <v>3269</v>
      </c>
      <c r="K32" s="439" t="s">
        <v>3253</v>
      </c>
      <c r="L32" s="439" t="s">
        <v>409</v>
      </c>
    </row>
    <row r="33" spans="1:12" ht="14.25">
      <c r="A33" s="6">
        <v>30</v>
      </c>
      <c r="B33" s="327" t="s">
        <v>3248</v>
      </c>
      <c r="C33" s="327" t="s">
        <v>136</v>
      </c>
      <c r="D33" s="436">
        <v>2</v>
      </c>
      <c r="E33" s="327" t="s">
        <v>3310</v>
      </c>
      <c r="F33" s="327" t="s">
        <v>3311</v>
      </c>
      <c r="G33" s="327" t="s">
        <v>155</v>
      </c>
      <c r="H33" s="437">
        <v>9.529458</v>
      </c>
      <c r="I33" s="437">
        <v>125.86146100000001</v>
      </c>
      <c r="J33" s="438" t="s">
        <v>3252</v>
      </c>
      <c r="K33" s="439" t="s">
        <v>3253</v>
      </c>
      <c r="L33" s="439" t="s">
        <v>409</v>
      </c>
    </row>
    <row r="34" spans="1:12" ht="14.25">
      <c r="A34" s="6">
        <v>31</v>
      </c>
      <c r="B34" s="327" t="s">
        <v>3248</v>
      </c>
      <c r="C34" s="327" t="s">
        <v>136</v>
      </c>
      <c r="D34" s="436">
        <v>2</v>
      </c>
      <c r="E34" s="327" t="s">
        <v>1921</v>
      </c>
      <c r="F34" s="327" t="s">
        <v>3313</v>
      </c>
      <c r="G34" s="327" t="s">
        <v>155</v>
      </c>
      <c r="H34" s="437">
        <v>9.560867</v>
      </c>
      <c r="I34" s="437">
        <v>125.715142</v>
      </c>
      <c r="J34" s="438" t="s">
        <v>3269</v>
      </c>
      <c r="K34" s="439" t="s">
        <v>3253</v>
      </c>
      <c r="L34" s="439" t="s">
        <v>409</v>
      </c>
    </row>
    <row r="35" spans="1:12" ht="14.25">
      <c r="A35" s="6">
        <v>32</v>
      </c>
      <c r="B35" s="327" t="s">
        <v>3248</v>
      </c>
      <c r="C35" s="327" t="s">
        <v>136</v>
      </c>
      <c r="D35" s="436">
        <v>2</v>
      </c>
      <c r="E35" s="327" t="s">
        <v>3314</v>
      </c>
      <c r="F35" s="327" t="s">
        <v>3315</v>
      </c>
      <c r="G35" s="327" t="s">
        <v>155</v>
      </c>
      <c r="H35" s="437">
        <v>9.5403599999999997</v>
      </c>
      <c r="I35" s="437">
        <v>125.839428</v>
      </c>
      <c r="J35" s="438" t="s">
        <v>3269</v>
      </c>
      <c r="K35" s="439" t="s">
        <v>3253</v>
      </c>
      <c r="L35" s="439" t="s">
        <v>409</v>
      </c>
    </row>
    <row r="36" spans="1:12" ht="14.25">
      <c r="A36" s="6">
        <v>33</v>
      </c>
      <c r="B36" s="327" t="s">
        <v>3248</v>
      </c>
      <c r="C36" s="327" t="s">
        <v>136</v>
      </c>
      <c r="D36" s="436">
        <v>2</v>
      </c>
      <c r="E36" s="327" t="s">
        <v>3316</v>
      </c>
      <c r="F36" s="327" t="s">
        <v>3317</v>
      </c>
      <c r="G36" s="327" t="s">
        <v>155</v>
      </c>
      <c r="H36" s="437">
        <v>9.5686999999999998</v>
      </c>
      <c r="I36" s="437">
        <v>125.72789</v>
      </c>
      <c r="J36" s="438" t="s">
        <v>3269</v>
      </c>
      <c r="K36" s="439" t="s">
        <v>3253</v>
      </c>
      <c r="L36" s="439" t="s">
        <v>409</v>
      </c>
    </row>
    <row r="37" spans="1:12" ht="14.25">
      <c r="A37" s="6">
        <v>34</v>
      </c>
      <c r="B37" s="327" t="s">
        <v>3248</v>
      </c>
      <c r="C37" s="327" t="s">
        <v>136</v>
      </c>
      <c r="D37" s="436">
        <v>2</v>
      </c>
      <c r="E37" s="327" t="s">
        <v>1893</v>
      </c>
      <c r="F37" s="327" t="s">
        <v>3318</v>
      </c>
      <c r="G37" s="327" t="s">
        <v>155</v>
      </c>
      <c r="H37" s="437">
        <v>9.5756700000000006</v>
      </c>
      <c r="I37" s="437">
        <v>125.76329</v>
      </c>
      <c r="J37" s="438" t="s">
        <v>3269</v>
      </c>
      <c r="K37" s="439" t="s">
        <v>3253</v>
      </c>
      <c r="L37" s="439" t="s">
        <v>409</v>
      </c>
    </row>
    <row r="38" spans="1:12" ht="14.25">
      <c r="A38" s="6">
        <v>35</v>
      </c>
      <c r="B38" s="327" t="s">
        <v>3248</v>
      </c>
      <c r="C38" s="327" t="s">
        <v>136</v>
      </c>
      <c r="D38" s="436">
        <v>2</v>
      </c>
      <c r="E38" s="327" t="s">
        <v>1905</v>
      </c>
      <c r="F38" s="327" t="s">
        <v>3319</v>
      </c>
      <c r="G38" s="327" t="s">
        <v>155</v>
      </c>
      <c r="H38" s="437">
        <v>9.5778809999999996</v>
      </c>
      <c r="I38" s="437">
        <v>125.714422</v>
      </c>
      <c r="J38" s="438" t="s">
        <v>3269</v>
      </c>
      <c r="K38" s="439" t="s">
        <v>3253</v>
      </c>
      <c r="L38" s="439" t="s">
        <v>409</v>
      </c>
    </row>
    <row r="39" spans="1:12" ht="14.25">
      <c r="A39" s="6">
        <v>36</v>
      </c>
      <c r="B39" s="327" t="s">
        <v>3248</v>
      </c>
      <c r="C39" s="327" t="s">
        <v>136</v>
      </c>
      <c r="D39" s="436">
        <v>2</v>
      </c>
      <c r="E39" s="327" t="s">
        <v>3320</v>
      </c>
      <c r="F39" s="327" t="s">
        <v>3321</v>
      </c>
      <c r="G39" s="327" t="s">
        <v>155</v>
      </c>
      <c r="H39" s="437">
        <v>9.5624680000000009</v>
      </c>
      <c r="I39" s="437">
        <v>125.746619</v>
      </c>
      <c r="J39" s="438" t="s">
        <v>3252</v>
      </c>
      <c r="K39" s="439" t="s">
        <v>3253</v>
      </c>
      <c r="L39" s="439" t="s">
        <v>409</v>
      </c>
    </row>
    <row r="40" spans="1:12" ht="14.25">
      <c r="A40" s="6">
        <v>37</v>
      </c>
      <c r="B40" s="327" t="s">
        <v>3248</v>
      </c>
      <c r="C40" s="327" t="s">
        <v>136</v>
      </c>
      <c r="D40" s="436">
        <v>2</v>
      </c>
      <c r="E40" s="327" t="s">
        <v>1915</v>
      </c>
      <c r="F40" s="327" t="s">
        <v>3322</v>
      </c>
      <c r="G40" s="327" t="s">
        <v>155</v>
      </c>
      <c r="H40" s="437">
        <v>9.5315390000000004</v>
      </c>
      <c r="I40" s="437">
        <v>125.72776399999999</v>
      </c>
      <c r="J40" s="438" t="s">
        <v>3252</v>
      </c>
      <c r="K40" s="439" t="s">
        <v>3257</v>
      </c>
      <c r="L40" s="439" t="s">
        <v>409</v>
      </c>
    </row>
    <row r="41" spans="1:12" ht="14.25">
      <c r="A41" s="6">
        <v>38</v>
      </c>
      <c r="B41" s="327" t="s">
        <v>3248</v>
      </c>
      <c r="C41" s="327" t="s">
        <v>136</v>
      </c>
      <c r="D41" s="436">
        <v>2</v>
      </c>
      <c r="E41" s="327" t="s">
        <v>3323</v>
      </c>
      <c r="F41" s="327" t="s">
        <v>3324</v>
      </c>
      <c r="G41" s="327" t="s">
        <v>155</v>
      </c>
      <c r="H41" s="437">
        <v>9.5415559999999999</v>
      </c>
      <c r="I41" s="437">
        <v>125.82155899999999</v>
      </c>
      <c r="J41" s="438" t="s">
        <v>3269</v>
      </c>
      <c r="K41" s="439" t="s">
        <v>3253</v>
      </c>
      <c r="L41" s="439" t="s">
        <v>409</v>
      </c>
    </row>
    <row r="42" spans="1:12" ht="14.25">
      <c r="A42" s="6">
        <v>39</v>
      </c>
      <c r="B42" s="327" t="s">
        <v>3248</v>
      </c>
      <c r="C42" s="327" t="s">
        <v>136</v>
      </c>
      <c r="D42" s="436">
        <v>2</v>
      </c>
      <c r="E42" s="327" t="s">
        <v>251</v>
      </c>
      <c r="F42" s="327" t="s">
        <v>3325</v>
      </c>
      <c r="G42" s="327" t="s">
        <v>155</v>
      </c>
      <c r="H42" s="437">
        <v>9.572711</v>
      </c>
      <c r="I42" s="437">
        <v>125.73313899999999</v>
      </c>
      <c r="J42" s="438" t="s">
        <v>3269</v>
      </c>
      <c r="K42" s="439" t="s">
        <v>3253</v>
      </c>
      <c r="L42" s="439" t="s">
        <v>409</v>
      </c>
    </row>
    <row r="43" spans="1:12" ht="14.25">
      <c r="A43" s="6">
        <v>40</v>
      </c>
      <c r="B43" s="327" t="s">
        <v>3248</v>
      </c>
      <c r="C43" s="327" t="s">
        <v>136</v>
      </c>
      <c r="D43" s="436">
        <v>2</v>
      </c>
      <c r="E43" s="327" t="s">
        <v>3326</v>
      </c>
      <c r="F43" s="327" t="s">
        <v>3327</v>
      </c>
      <c r="G43" s="327" t="s">
        <v>155</v>
      </c>
      <c r="H43" s="437">
        <v>9.5497619999999994</v>
      </c>
      <c r="I43" s="437">
        <v>125.77928</v>
      </c>
      <c r="J43" s="438" t="s">
        <v>3269</v>
      </c>
      <c r="K43" s="439" t="s">
        <v>3253</v>
      </c>
      <c r="L43" s="439" t="s">
        <v>409</v>
      </c>
    </row>
    <row r="44" spans="1:12" ht="14.25">
      <c r="A44" s="6">
        <v>41</v>
      </c>
      <c r="B44" s="327" t="s">
        <v>3248</v>
      </c>
      <c r="C44" s="327" t="s">
        <v>136</v>
      </c>
      <c r="D44" s="436">
        <v>2</v>
      </c>
      <c r="E44" s="327" t="s">
        <v>3328</v>
      </c>
      <c r="F44" s="327" t="s">
        <v>3329</v>
      </c>
      <c r="G44" s="327" t="s">
        <v>155</v>
      </c>
      <c r="H44" s="437">
        <v>9.5587590000000002</v>
      </c>
      <c r="I44" s="437">
        <v>125.75805200000001</v>
      </c>
      <c r="J44" s="438" t="s">
        <v>3269</v>
      </c>
      <c r="K44" s="439" t="s">
        <v>3253</v>
      </c>
      <c r="L44" s="439" t="s">
        <v>409</v>
      </c>
    </row>
    <row r="45" spans="1:12" ht="14.25">
      <c r="A45" s="6">
        <v>42</v>
      </c>
      <c r="B45" s="327" t="s">
        <v>3248</v>
      </c>
      <c r="C45" s="327" t="s">
        <v>67</v>
      </c>
      <c r="D45" s="436">
        <v>1</v>
      </c>
      <c r="E45" s="327" t="s">
        <v>283</v>
      </c>
      <c r="F45" s="327" t="s">
        <v>154</v>
      </c>
      <c r="G45" s="327" t="s">
        <v>155</v>
      </c>
      <c r="H45" s="437">
        <v>9.7319440000000004</v>
      </c>
      <c r="I45" s="437">
        <v>126.045556</v>
      </c>
      <c r="J45" s="438" t="s">
        <v>3269</v>
      </c>
      <c r="K45" s="439" t="s">
        <v>3253</v>
      </c>
      <c r="L45" s="439" t="s">
        <v>409</v>
      </c>
    </row>
    <row r="46" spans="1:12" ht="14.25">
      <c r="A46" s="6">
        <v>43</v>
      </c>
      <c r="B46" s="327" t="s">
        <v>3248</v>
      </c>
      <c r="C46" s="327" t="s">
        <v>67</v>
      </c>
      <c r="D46" s="436">
        <v>1</v>
      </c>
      <c r="E46" s="327" t="s">
        <v>360</v>
      </c>
      <c r="F46" s="327" t="s">
        <v>3331</v>
      </c>
      <c r="G46" s="327" t="s">
        <v>155</v>
      </c>
      <c r="H46" s="437">
        <v>9.755763</v>
      </c>
      <c r="I46" s="437">
        <v>126.053929</v>
      </c>
      <c r="J46" s="438" t="s">
        <v>3269</v>
      </c>
      <c r="K46" s="439" t="s">
        <v>3253</v>
      </c>
      <c r="L46" s="439" t="s">
        <v>409</v>
      </c>
    </row>
    <row r="47" spans="1:12" ht="14.25">
      <c r="A47" s="6">
        <v>44</v>
      </c>
      <c r="B47" s="327" t="s">
        <v>3248</v>
      </c>
      <c r="C47" s="327" t="s">
        <v>67</v>
      </c>
      <c r="D47" s="436">
        <v>1</v>
      </c>
      <c r="E47" s="327" t="s">
        <v>3332</v>
      </c>
      <c r="F47" s="327" t="s">
        <v>3333</v>
      </c>
      <c r="G47" s="327" t="s">
        <v>155</v>
      </c>
      <c r="H47" s="437">
        <v>9.7591000000000001</v>
      </c>
      <c r="I47" s="437">
        <v>126.0501</v>
      </c>
      <c r="J47" s="438" t="s">
        <v>3269</v>
      </c>
      <c r="K47" s="439" t="s">
        <v>3253</v>
      </c>
      <c r="L47" s="439" t="s">
        <v>409</v>
      </c>
    </row>
    <row r="48" spans="1:12" ht="14.25">
      <c r="A48" s="6">
        <v>45</v>
      </c>
      <c r="B48" s="327" t="s">
        <v>3248</v>
      </c>
      <c r="C48" s="327" t="s">
        <v>67</v>
      </c>
      <c r="D48" s="436">
        <v>1</v>
      </c>
      <c r="E48" s="327" t="s">
        <v>3334</v>
      </c>
      <c r="F48" s="327" t="s">
        <v>3335</v>
      </c>
      <c r="G48" s="327" t="s">
        <v>155</v>
      </c>
      <c r="H48" s="437">
        <v>9.7571999999999992</v>
      </c>
      <c r="I48" s="437">
        <v>126.0502</v>
      </c>
      <c r="J48" s="438" t="s">
        <v>3269</v>
      </c>
      <c r="K48" s="439" t="s">
        <v>3253</v>
      </c>
      <c r="L48" s="439" t="s">
        <v>409</v>
      </c>
    </row>
    <row r="49" spans="1:12" ht="14.25">
      <c r="A49" s="6">
        <v>46</v>
      </c>
      <c r="B49" s="327" t="s">
        <v>3248</v>
      </c>
      <c r="C49" s="327" t="s">
        <v>67</v>
      </c>
      <c r="D49" s="436">
        <v>1</v>
      </c>
      <c r="E49" s="327" t="s">
        <v>275</v>
      </c>
      <c r="F49" s="327" t="s">
        <v>3336</v>
      </c>
      <c r="G49" s="327" t="s">
        <v>155</v>
      </c>
      <c r="H49" s="437">
        <v>9.7640999999999991</v>
      </c>
      <c r="I49" s="437">
        <v>126.042</v>
      </c>
      <c r="J49" s="438" t="s">
        <v>3269</v>
      </c>
      <c r="K49" s="439" t="s">
        <v>3253</v>
      </c>
      <c r="L49" s="439" t="s">
        <v>288</v>
      </c>
    </row>
    <row r="50" spans="1:12" ht="14.25">
      <c r="A50" s="6">
        <v>47</v>
      </c>
      <c r="B50" s="327" t="s">
        <v>3248</v>
      </c>
      <c r="C50" s="327" t="s">
        <v>67</v>
      </c>
      <c r="D50" s="436">
        <v>1</v>
      </c>
      <c r="E50" s="327" t="s">
        <v>3338</v>
      </c>
      <c r="F50" s="327" t="s">
        <v>3339</v>
      </c>
      <c r="G50" s="327" t="s">
        <v>155</v>
      </c>
      <c r="H50" s="437">
        <v>9.7575099999999999</v>
      </c>
      <c r="I50" s="437">
        <v>126.04872</v>
      </c>
      <c r="J50" s="438" t="s">
        <v>3269</v>
      </c>
      <c r="K50" s="439" t="s">
        <v>3253</v>
      </c>
      <c r="L50" s="439" t="s">
        <v>409</v>
      </c>
    </row>
    <row r="51" spans="1:12" ht="14.25">
      <c r="A51" s="6">
        <v>48</v>
      </c>
      <c r="B51" s="327" t="s">
        <v>3248</v>
      </c>
      <c r="C51" s="327" t="s">
        <v>67</v>
      </c>
      <c r="D51" s="436">
        <v>1</v>
      </c>
      <c r="E51" s="327" t="s">
        <v>364</v>
      </c>
      <c r="F51" s="327" t="s">
        <v>3340</v>
      </c>
      <c r="G51" s="327" t="s">
        <v>155</v>
      </c>
      <c r="H51" s="437">
        <v>9.7555010000000006</v>
      </c>
      <c r="I51" s="437">
        <v>126.053693</v>
      </c>
      <c r="J51" s="438" t="s">
        <v>3269</v>
      </c>
      <c r="K51" s="439" t="s">
        <v>3253</v>
      </c>
      <c r="L51" s="439" t="s">
        <v>409</v>
      </c>
    </row>
    <row r="52" spans="1:12" ht="14.25">
      <c r="A52" s="6">
        <v>49</v>
      </c>
      <c r="B52" s="327" t="s">
        <v>3248</v>
      </c>
      <c r="C52" s="327" t="s">
        <v>67</v>
      </c>
      <c r="D52" s="436">
        <v>1</v>
      </c>
      <c r="E52" s="327" t="s">
        <v>367</v>
      </c>
      <c r="F52" s="327" t="s">
        <v>3341</v>
      </c>
      <c r="G52" s="327" t="s">
        <v>155</v>
      </c>
      <c r="H52" s="437">
        <v>9.7589480000000002</v>
      </c>
      <c r="I52" s="437">
        <v>126.053721</v>
      </c>
      <c r="J52" s="438" t="s">
        <v>3269</v>
      </c>
      <c r="K52" s="439" t="s">
        <v>3253</v>
      </c>
      <c r="L52" s="439" t="s">
        <v>409</v>
      </c>
    </row>
    <row r="53" spans="1:12" ht="14.25">
      <c r="A53" s="6">
        <v>50</v>
      </c>
      <c r="B53" s="327" t="s">
        <v>3248</v>
      </c>
      <c r="C53" s="327" t="s">
        <v>67</v>
      </c>
      <c r="D53" s="436">
        <v>1</v>
      </c>
      <c r="E53" s="327" t="s">
        <v>3342</v>
      </c>
      <c r="F53" s="327" t="s">
        <v>3343</v>
      </c>
      <c r="G53" s="327" t="s">
        <v>155</v>
      </c>
      <c r="H53" s="437">
        <v>9.7590299999999992</v>
      </c>
      <c r="I53" s="437">
        <v>126.05271</v>
      </c>
      <c r="J53" s="438" t="s">
        <v>3269</v>
      </c>
      <c r="K53" s="439" t="s">
        <v>3253</v>
      </c>
      <c r="L53" s="439" t="s">
        <v>409</v>
      </c>
    </row>
    <row r="54" spans="1:12" ht="14.25">
      <c r="A54" s="6">
        <v>51</v>
      </c>
      <c r="B54" s="327" t="s">
        <v>3248</v>
      </c>
      <c r="C54" s="327" t="s">
        <v>67</v>
      </c>
      <c r="D54" s="436">
        <v>1</v>
      </c>
      <c r="E54" s="327" t="s">
        <v>3344</v>
      </c>
      <c r="F54" s="327" t="s">
        <v>3345</v>
      </c>
      <c r="G54" s="327" t="s">
        <v>155</v>
      </c>
      <c r="H54" s="437">
        <v>9.7584</v>
      </c>
      <c r="I54" s="437">
        <v>126.0517</v>
      </c>
      <c r="J54" s="438" t="s">
        <v>3269</v>
      </c>
      <c r="K54" s="439" t="s">
        <v>3253</v>
      </c>
      <c r="L54" s="439" t="s">
        <v>409</v>
      </c>
    </row>
    <row r="55" spans="1:12" ht="14.25">
      <c r="A55" s="6">
        <v>52</v>
      </c>
      <c r="B55" s="327" t="s">
        <v>3248</v>
      </c>
      <c r="C55" s="327" t="s">
        <v>67</v>
      </c>
      <c r="D55" s="436">
        <v>1</v>
      </c>
      <c r="E55" s="327" t="s">
        <v>347</v>
      </c>
      <c r="F55" s="327" t="s">
        <v>3346</v>
      </c>
      <c r="G55" s="327" t="s">
        <v>155</v>
      </c>
      <c r="H55" s="437">
        <v>9.7555999999999994</v>
      </c>
      <c r="I55" s="437">
        <v>126.05212</v>
      </c>
      <c r="J55" s="438" t="s">
        <v>3269</v>
      </c>
      <c r="K55" s="439" t="s">
        <v>3253</v>
      </c>
      <c r="L55" s="439" t="s">
        <v>409</v>
      </c>
    </row>
    <row r="56" spans="1:12" ht="14.25">
      <c r="A56" s="6">
        <v>53</v>
      </c>
      <c r="B56" s="327" t="s">
        <v>3248</v>
      </c>
      <c r="C56" s="327" t="s">
        <v>67</v>
      </c>
      <c r="D56" s="436">
        <v>1</v>
      </c>
      <c r="E56" s="327" t="s">
        <v>3348</v>
      </c>
      <c r="F56" s="327" t="s">
        <v>3349</v>
      </c>
      <c r="G56" s="327" t="s">
        <v>155</v>
      </c>
      <c r="H56" s="437">
        <v>9.7568999999999999</v>
      </c>
      <c r="I56" s="437">
        <v>126.0518</v>
      </c>
      <c r="J56" s="438" t="s">
        <v>3269</v>
      </c>
      <c r="K56" s="439" t="s">
        <v>3253</v>
      </c>
      <c r="L56" s="439" t="s">
        <v>409</v>
      </c>
    </row>
    <row r="57" spans="1:12" ht="14.25">
      <c r="A57" s="6">
        <v>54</v>
      </c>
      <c r="B57" s="327" t="s">
        <v>3248</v>
      </c>
      <c r="C57" s="327" t="s">
        <v>67</v>
      </c>
      <c r="D57" s="436">
        <v>1</v>
      </c>
      <c r="E57" s="327" t="s">
        <v>3350</v>
      </c>
      <c r="F57" s="327" t="s">
        <v>3351</v>
      </c>
      <c r="G57" s="327" t="s">
        <v>155</v>
      </c>
      <c r="H57" s="437">
        <v>9.7586999999999993</v>
      </c>
      <c r="I57" s="437">
        <v>126.05110000000001</v>
      </c>
      <c r="J57" s="438" t="s">
        <v>3269</v>
      </c>
      <c r="K57" s="439" t="s">
        <v>3253</v>
      </c>
      <c r="L57" s="439" t="s">
        <v>409</v>
      </c>
    </row>
    <row r="58" spans="1:12" ht="14.25">
      <c r="A58" s="6">
        <v>55</v>
      </c>
      <c r="B58" s="327" t="s">
        <v>3248</v>
      </c>
      <c r="C58" s="327" t="s">
        <v>67</v>
      </c>
      <c r="D58" s="436">
        <v>1</v>
      </c>
      <c r="E58" s="327" t="s">
        <v>2772</v>
      </c>
      <c r="F58" s="327" t="s">
        <v>3352</v>
      </c>
      <c r="G58" s="327" t="s">
        <v>155</v>
      </c>
      <c r="H58" s="437">
        <v>9.7558399999999992</v>
      </c>
      <c r="I58" s="437">
        <v>126.05029999999999</v>
      </c>
      <c r="J58" s="438" t="s">
        <v>3269</v>
      </c>
      <c r="K58" s="439" t="s">
        <v>3253</v>
      </c>
      <c r="L58" s="439" t="s">
        <v>409</v>
      </c>
    </row>
    <row r="59" spans="1:12" ht="14.25">
      <c r="A59" s="6">
        <v>56</v>
      </c>
      <c r="B59" s="327" t="s">
        <v>3248</v>
      </c>
      <c r="C59" s="327" t="s">
        <v>67</v>
      </c>
      <c r="D59" s="436">
        <v>1</v>
      </c>
      <c r="E59" s="327" t="s">
        <v>2482</v>
      </c>
      <c r="F59" s="327" t="s">
        <v>3354</v>
      </c>
      <c r="G59" s="327" t="s">
        <v>155</v>
      </c>
      <c r="H59" s="437">
        <v>9.7312999999999992</v>
      </c>
      <c r="I59" s="437">
        <v>125.98220000000001</v>
      </c>
      <c r="J59" s="438" t="s">
        <v>3256</v>
      </c>
      <c r="K59" s="439" t="s">
        <v>3257</v>
      </c>
      <c r="L59" s="439" t="s">
        <v>409</v>
      </c>
    </row>
    <row r="60" spans="1:12" ht="14.25">
      <c r="A60" s="6">
        <v>57</v>
      </c>
      <c r="B60" s="327" t="s">
        <v>3248</v>
      </c>
      <c r="C60" s="327" t="s">
        <v>67</v>
      </c>
      <c r="D60" s="436">
        <v>1</v>
      </c>
      <c r="E60" s="327" t="s">
        <v>331</v>
      </c>
      <c r="F60" s="327" t="s">
        <v>333</v>
      </c>
      <c r="G60" s="327" t="s">
        <v>155</v>
      </c>
      <c r="H60" s="437">
        <v>9.7162000000000006</v>
      </c>
      <c r="I60" s="437">
        <v>126.0621</v>
      </c>
      <c r="J60" s="438" t="s">
        <v>3256</v>
      </c>
      <c r="K60" s="439" t="s">
        <v>3257</v>
      </c>
      <c r="L60" s="439" t="s">
        <v>288</v>
      </c>
    </row>
    <row r="61" spans="1:12" ht="14.25">
      <c r="A61" s="6">
        <v>58</v>
      </c>
      <c r="B61" s="327" t="s">
        <v>3248</v>
      </c>
      <c r="C61" s="327" t="s">
        <v>67</v>
      </c>
      <c r="D61" s="436">
        <v>1</v>
      </c>
      <c r="E61" s="327" t="s">
        <v>278</v>
      </c>
      <c r="F61" s="327" t="s">
        <v>279</v>
      </c>
      <c r="G61" s="327" t="s">
        <v>155</v>
      </c>
      <c r="H61" s="437">
        <v>9.7460000000000004</v>
      </c>
      <c r="I61" s="437">
        <v>126.0325</v>
      </c>
      <c r="J61" s="438" t="s">
        <v>3269</v>
      </c>
      <c r="K61" s="439" t="s">
        <v>3253</v>
      </c>
      <c r="L61" s="439" t="s">
        <v>288</v>
      </c>
    </row>
    <row r="62" spans="1:12" ht="14.25">
      <c r="A62" s="6">
        <v>59</v>
      </c>
      <c r="B62" s="327" t="s">
        <v>3248</v>
      </c>
      <c r="C62" s="327" t="s">
        <v>67</v>
      </c>
      <c r="D62" s="436">
        <v>1</v>
      </c>
      <c r="E62" s="327" t="s">
        <v>1804</v>
      </c>
      <c r="F62" s="327" t="s">
        <v>547</v>
      </c>
      <c r="G62" s="327" t="s">
        <v>155</v>
      </c>
      <c r="H62" s="437">
        <v>9.6905999999999999</v>
      </c>
      <c r="I62" s="437">
        <v>126.00790000000001</v>
      </c>
      <c r="J62" s="438" t="s">
        <v>3252</v>
      </c>
      <c r="K62" s="439" t="s">
        <v>3253</v>
      </c>
      <c r="L62" s="439" t="s">
        <v>288</v>
      </c>
    </row>
    <row r="63" spans="1:12" ht="14.25">
      <c r="A63" s="6">
        <v>60</v>
      </c>
      <c r="B63" s="327" t="s">
        <v>3248</v>
      </c>
      <c r="C63" s="327" t="s">
        <v>67</v>
      </c>
      <c r="D63" s="436">
        <v>1</v>
      </c>
      <c r="E63" s="327" t="s">
        <v>2434</v>
      </c>
      <c r="F63" s="327" t="s">
        <v>3355</v>
      </c>
      <c r="G63" s="327" t="s">
        <v>155</v>
      </c>
      <c r="H63" s="437">
        <v>9.6928920000000005</v>
      </c>
      <c r="I63" s="437">
        <v>126.077459</v>
      </c>
      <c r="J63" s="438" t="s">
        <v>3256</v>
      </c>
      <c r="K63" s="439" t="s">
        <v>3257</v>
      </c>
      <c r="L63" s="439" t="s">
        <v>409</v>
      </c>
    </row>
    <row r="64" spans="1:12" ht="14.25">
      <c r="A64" s="6">
        <v>61</v>
      </c>
      <c r="B64" s="327" t="s">
        <v>3248</v>
      </c>
      <c r="C64" s="327" t="s">
        <v>67</v>
      </c>
      <c r="D64" s="436">
        <v>1</v>
      </c>
      <c r="E64" s="327" t="s">
        <v>2441</v>
      </c>
      <c r="F64" s="327" t="s">
        <v>3356</v>
      </c>
      <c r="G64" s="327" t="s">
        <v>155</v>
      </c>
      <c r="H64" s="437">
        <v>9.7080000000000002</v>
      </c>
      <c r="I64" s="437">
        <v>126.0605</v>
      </c>
      <c r="J64" s="438" t="s">
        <v>3256</v>
      </c>
      <c r="K64" s="439" t="s">
        <v>3257</v>
      </c>
      <c r="L64" s="439" t="s">
        <v>409</v>
      </c>
    </row>
    <row r="65" spans="1:12" ht="14.25">
      <c r="A65" s="6">
        <v>62</v>
      </c>
      <c r="B65" s="327" t="s">
        <v>3248</v>
      </c>
      <c r="C65" s="327" t="s">
        <v>67</v>
      </c>
      <c r="D65" s="436">
        <v>1</v>
      </c>
      <c r="E65" s="327" t="s">
        <v>3357</v>
      </c>
      <c r="F65" s="327" t="s">
        <v>3358</v>
      </c>
      <c r="G65" s="327" t="s">
        <v>155</v>
      </c>
      <c r="H65" s="437">
        <v>9.7508999999999997</v>
      </c>
      <c r="I65" s="437">
        <v>126.0827</v>
      </c>
      <c r="J65" s="438" t="s">
        <v>3269</v>
      </c>
      <c r="K65" s="439" t="s">
        <v>3253</v>
      </c>
      <c r="L65" s="439" t="s">
        <v>409</v>
      </c>
    </row>
    <row r="66" spans="1:12" ht="14.25">
      <c r="A66" s="6">
        <v>63</v>
      </c>
      <c r="B66" s="327" t="s">
        <v>3248</v>
      </c>
      <c r="C66" s="327" t="s">
        <v>67</v>
      </c>
      <c r="D66" s="436">
        <v>1</v>
      </c>
      <c r="E66" s="327" t="s">
        <v>308</v>
      </c>
      <c r="F66" s="327" t="s">
        <v>309</v>
      </c>
      <c r="G66" s="327" t="s">
        <v>155</v>
      </c>
      <c r="H66" s="437">
        <v>9.7617999999999991</v>
      </c>
      <c r="I66" s="437">
        <v>126.0134</v>
      </c>
      <c r="J66" s="438" t="s">
        <v>3252</v>
      </c>
      <c r="K66" s="439" t="s">
        <v>3253</v>
      </c>
      <c r="L66" s="439" t="s">
        <v>288</v>
      </c>
    </row>
    <row r="67" spans="1:12" ht="14.25">
      <c r="A67" s="6">
        <v>64</v>
      </c>
      <c r="B67" s="327" t="s">
        <v>3248</v>
      </c>
      <c r="C67" s="327" t="s">
        <v>67</v>
      </c>
      <c r="D67" s="436">
        <v>1</v>
      </c>
      <c r="E67" s="327" t="s">
        <v>2448</v>
      </c>
      <c r="F67" s="327" t="s">
        <v>3359</v>
      </c>
      <c r="G67" s="327" t="s">
        <v>155</v>
      </c>
      <c r="H67" s="437">
        <v>9.7096999999999998</v>
      </c>
      <c r="I67" s="437">
        <v>126.0395</v>
      </c>
      <c r="J67" s="438" t="s">
        <v>3269</v>
      </c>
      <c r="K67" s="439" t="s">
        <v>3253</v>
      </c>
      <c r="L67" s="439" t="s">
        <v>409</v>
      </c>
    </row>
    <row r="68" spans="1:12" ht="14.25">
      <c r="A68" s="6">
        <v>65</v>
      </c>
      <c r="B68" s="327" t="s">
        <v>3248</v>
      </c>
      <c r="C68" s="327" t="s">
        <v>67</v>
      </c>
      <c r="D68" s="436">
        <v>1</v>
      </c>
      <c r="E68" s="327" t="s">
        <v>3054</v>
      </c>
      <c r="F68" s="327" t="s">
        <v>3360</v>
      </c>
      <c r="G68" s="327" t="s">
        <v>155</v>
      </c>
      <c r="H68" s="437">
        <v>9.7812999999999999</v>
      </c>
      <c r="I68" s="437">
        <v>126.07810000000001</v>
      </c>
      <c r="J68" s="438" t="s">
        <v>3269</v>
      </c>
      <c r="K68" s="439" t="s">
        <v>3253</v>
      </c>
      <c r="L68" s="439" t="s">
        <v>409</v>
      </c>
    </row>
    <row r="69" spans="1:12" ht="14.25">
      <c r="A69" s="6">
        <v>66</v>
      </c>
      <c r="B69" s="327" t="s">
        <v>3248</v>
      </c>
      <c r="C69" s="327" t="s">
        <v>67</v>
      </c>
      <c r="D69" s="436">
        <v>1</v>
      </c>
      <c r="E69" s="327" t="s">
        <v>1617</v>
      </c>
      <c r="F69" s="327" t="s">
        <v>3361</v>
      </c>
      <c r="G69" s="327" t="s">
        <v>155</v>
      </c>
      <c r="H69" s="437">
        <v>9.7203999999999997</v>
      </c>
      <c r="I69" s="437">
        <v>125.9744</v>
      </c>
      <c r="J69" s="438" t="s">
        <v>3256</v>
      </c>
      <c r="K69" s="439" t="s">
        <v>3257</v>
      </c>
      <c r="L69" s="439" t="s">
        <v>409</v>
      </c>
    </row>
    <row r="70" spans="1:12" ht="14.25">
      <c r="A70" s="6">
        <v>67</v>
      </c>
      <c r="B70" s="327" t="s">
        <v>3248</v>
      </c>
      <c r="C70" s="327" t="s">
        <v>67</v>
      </c>
      <c r="D70" s="436">
        <v>1</v>
      </c>
      <c r="E70" s="327" t="s">
        <v>306</v>
      </c>
      <c r="F70" s="327" t="s">
        <v>307</v>
      </c>
      <c r="G70" s="327" t="s">
        <v>155</v>
      </c>
      <c r="H70" s="437">
        <v>9.7354000000000003</v>
      </c>
      <c r="I70" s="437">
        <v>126.02809999999999</v>
      </c>
      <c r="J70" s="438" t="s">
        <v>3252</v>
      </c>
      <c r="K70" s="439" t="s">
        <v>3253</v>
      </c>
      <c r="L70" s="439" t="s">
        <v>409</v>
      </c>
    </row>
    <row r="71" spans="1:12" ht="14.25">
      <c r="A71" s="6">
        <v>68</v>
      </c>
      <c r="B71" s="327" t="s">
        <v>3248</v>
      </c>
      <c r="C71" s="327" t="s">
        <v>67</v>
      </c>
      <c r="D71" s="436">
        <v>1</v>
      </c>
      <c r="E71" s="327" t="s">
        <v>3364</v>
      </c>
      <c r="F71" s="327" t="s">
        <v>3366</v>
      </c>
      <c r="G71" s="327" t="s">
        <v>155</v>
      </c>
      <c r="H71" s="437">
        <v>9.7814999999999994</v>
      </c>
      <c r="I71" s="437">
        <v>126.01300000000001</v>
      </c>
      <c r="J71" s="438" t="s">
        <v>3256</v>
      </c>
      <c r="K71" s="439" t="s">
        <v>3257</v>
      </c>
      <c r="L71" s="439" t="s">
        <v>288</v>
      </c>
    </row>
    <row r="72" spans="1:12" ht="14.25">
      <c r="A72" s="6">
        <v>69</v>
      </c>
      <c r="B72" s="327" t="s">
        <v>3248</v>
      </c>
      <c r="C72" s="327" t="s">
        <v>67</v>
      </c>
      <c r="D72" s="436">
        <v>1</v>
      </c>
      <c r="E72" s="327" t="s">
        <v>3368</v>
      </c>
      <c r="F72" s="327" t="s">
        <v>3369</v>
      </c>
      <c r="G72" s="327" t="s">
        <v>155</v>
      </c>
      <c r="H72" s="437">
        <v>9.6988000000000003</v>
      </c>
      <c r="I72" s="437">
        <v>126.0243</v>
      </c>
      <c r="J72" s="438" t="s">
        <v>3256</v>
      </c>
      <c r="K72" s="439" t="s">
        <v>3257</v>
      </c>
      <c r="L72" s="439" t="s">
        <v>409</v>
      </c>
    </row>
    <row r="73" spans="1:12" ht="14.25">
      <c r="A73" s="6">
        <v>70</v>
      </c>
      <c r="B73" s="327" t="s">
        <v>3248</v>
      </c>
      <c r="C73" s="327" t="s">
        <v>67</v>
      </c>
      <c r="D73" s="436">
        <v>1</v>
      </c>
      <c r="E73" s="327" t="s">
        <v>354</v>
      </c>
      <c r="F73" s="327" t="s">
        <v>3370</v>
      </c>
      <c r="G73" s="327" t="s">
        <v>155</v>
      </c>
      <c r="H73" s="437">
        <v>9.7561</v>
      </c>
      <c r="I73" s="437">
        <v>126.1093</v>
      </c>
      <c r="J73" s="438" t="s">
        <v>3269</v>
      </c>
      <c r="K73" s="439" t="s">
        <v>3253</v>
      </c>
      <c r="L73" s="439" t="s">
        <v>409</v>
      </c>
    </row>
    <row r="74" spans="1:12" ht="14.25">
      <c r="A74" s="6">
        <v>71</v>
      </c>
      <c r="B74" s="327" t="s">
        <v>3248</v>
      </c>
      <c r="C74" s="327" t="s">
        <v>81</v>
      </c>
      <c r="D74" s="436">
        <v>1</v>
      </c>
      <c r="E74" s="327" t="s">
        <v>2349</v>
      </c>
      <c r="F74" s="327" t="s">
        <v>3373</v>
      </c>
      <c r="G74" s="327" t="s">
        <v>155</v>
      </c>
      <c r="H74" s="437">
        <v>9.8142440000000004</v>
      </c>
      <c r="I74" s="437">
        <v>126.013138</v>
      </c>
      <c r="J74" s="438" t="s">
        <v>3256</v>
      </c>
      <c r="K74" s="439" t="s">
        <v>3257</v>
      </c>
      <c r="L74" s="439" t="s">
        <v>409</v>
      </c>
    </row>
    <row r="75" spans="1:12" ht="14.25">
      <c r="A75" s="6">
        <v>72</v>
      </c>
      <c r="B75" s="327" t="s">
        <v>3248</v>
      </c>
      <c r="C75" s="327" t="s">
        <v>81</v>
      </c>
      <c r="D75" s="436">
        <v>1</v>
      </c>
      <c r="E75" s="327" t="s">
        <v>283</v>
      </c>
      <c r="F75" s="327" t="s">
        <v>154</v>
      </c>
      <c r="G75" s="327" t="s">
        <v>155</v>
      </c>
      <c r="H75" s="437">
        <v>9.8955640000000002</v>
      </c>
      <c r="I75" s="437">
        <v>126.02748099999999</v>
      </c>
      <c r="J75" s="438" t="s">
        <v>3256</v>
      </c>
      <c r="K75" s="439" t="s">
        <v>3257</v>
      </c>
      <c r="L75" s="439" t="s">
        <v>288</v>
      </c>
    </row>
    <row r="76" spans="1:12" ht="14.25">
      <c r="A76" s="6">
        <v>73</v>
      </c>
      <c r="B76" s="327" t="s">
        <v>3248</v>
      </c>
      <c r="C76" s="327" t="s">
        <v>81</v>
      </c>
      <c r="D76" s="436">
        <v>1</v>
      </c>
      <c r="E76" s="327" t="s">
        <v>1869</v>
      </c>
      <c r="F76" s="327" t="s">
        <v>555</v>
      </c>
      <c r="G76" s="327" t="s">
        <v>155</v>
      </c>
      <c r="H76" s="437">
        <v>9.7903219999999997</v>
      </c>
      <c r="I76" s="437">
        <v>126.011171</v>
      </c>
      <c r="J76" s="438" t="s">
        <v>3256</v>
      </c>
      <c r="K76" s="439" t="s">
        <v>3257</v>
      </c>
      <c r="L76" s="439" t="s">
        <v>288</v>
      </c>
    </row>
    <row r="77" spans="1:12" ht="14.25">
      <c r="A77" s="6">
        <v>74</v>
      </c>
      <c r="B77" s="327" t="s">
        <v>3248</v>
      </c>
      <c r="C77" s="327" t="s">
        <v>81</v>
      </c>
      <c r="D77" s="436">
        <v>1</v>
      </c>
      <c r="E77" s="327" t="s">
        <v>1889</v>
      </c>
      <c r="F77" s="327" t="s">
        <v>558</v>
      </c>
      <c r="G77" s="327" t="s">
        <v>155</v>
      </c>
      <c r="H77" s="437">
        <v>9.8032000000000004</v>
      </c>
      <c r="I77" s="437">
        <v>126.01009999999999</v>
      </c>
      <c r="J77" s="438" t="s">
        <v>3256</v>
      </c>
      <c r="K77" s="439" t="s">
        <v>3257</v>
      </c>
      <c r="L77" s="439" t="s">
        <v>288</v>
      </c>
    </row>
    <row r="78" spans="1:12" ht="14.25">
      <c r="A78" s="6">
        <v>75</v>
      </c>
      <c r="B78" s="327" t="s">
        <v>3248</v>
      </c>
      <c r="C78" s="327" t="s">
        <v>81</v>
      </c>
      <c r="D78" s="436">
        <v>1</v>
      </c>
      <c r="E78" s="327" t="s">
        <v>3380</v>
      </c>
      <c r="F78" s="327" t="s">
        <v>3381</v>
      </c>
      <c r="G78" s="327" t="s">
        <v>155</v>
      </c>
      <c r="H78" s="437">
        <v>9.8858920000000001</v>
      </c>
      <c r="I78" s="437">
        <v>126.01363000000001</v>
      </c>
      <c r="J78" s="438" t="s">
        <v>3269</v>
      </c>
      <c r="K78" s="439" t="s">
        <v>3253</v>
      </c>
      <c r="L78" s="439" t="s">
        <v>409</v>
      </c>
    </row>
    <row r="79" spans="1:12" ht="14.25">
      <c r="A79" s="6">
        <v>76</v>
      </c>
      <c r="B79" s="327" t="s">
        <v>3248</v>
      </c>
      <c r="C79" s="327" t="s">
        <v>81</v>
      </c>
      <c r="D79" s="436">
        <v>1</v>
      </c>
      <c r="E79" s="327" t="s">
        <v>2543</v>
      </c>
      <c r="F79" s="327" t="s">
        <v>3382</v>
      </c>
      <c r="G79" s="327" t="s">
        <v>155</v>
      </c>
      <c r="H79" s="437">
        <v>9.8964610000000004</v>
      </c>
      <c r="I79" s="437">
        <v>125.89520400000001</v>
      </c>
      <c r="J79" s="438" t="s">
        <v>3252</v>
      </c>
      <c r="K79" s="439" t="s">
        <v>3257</v>
      </c>
      <c r="L79" s="439" t="s">
        <v>409</v>
      </c>
    </row>
    <row r="80" spans="1:12" ht="14.25">
      <c r="A80" s="6">
        <v>77</v>
      </c>
      <c r="B80" s="327" t="s">
        <v>3248</v>
      </c>
      <c r="C80" s="327" t="s">
        <v>81</v>
      </c>
      <c r="D80" s="436">
        <v>1</v>
      </c>
      <c r="E80" s="327" t="s">
        <v>81</v>
      </c>
      <c r="F80" s="327" t="s">
        <v>3383</v>
      </c>
      <c r="G80" s="327" t="s">
        <v>155</v>
      </c>
      <c r="H80" s="437">
        <v>9.8679039999999993</v>
      </c>
      <c r="I80" s="437">
        <v>125.969729</v>
      </c>
      <c r="J80" s="438" t="s">
        <v>3269</v>
      </c>
      <c r="K80" s="439" t="s">
        <v>3253</v>
      </c>
      <c r="L80" s="439" t="s">
        <v>409</v>
      </c>
    </row>
    <row r="81" spans="1:12" ht="14.25">
      <c r="A81" s="6">
        <v>78</v>
      </c>
      <c r="B81" s="327" t="s">
        <v>3248</v>
      </c>
      <c r="C81" s="327" t="s">
        <v>81</v>
      </c>
      <c r="D81" s="436">
        <v>1</v>
      </c>
      <c r="E81" s="327" t="s">
        <v>2538</v>
      </c>
      <c r="F81" s="327" t="s">
        <v>3384</v>
      </c>
      <c r="G81" s="327" t="s">
        <v>155</v>
      </c>
      <c r="H81" s="437">
        <v>9.8420079999999999</v>
      </c>
      <c r="I81" s="437">
        <v>125.98589699999999</v>
      </c>
      <c r="J81" s="438" t="s">
        <v>3269</v>
      </c>
      <c r="K81" s="439" t="s">
        <v>3253</v>
      </c>
      <c r="L81" s="439" t="s">
        <v>409</v>
      </c>
    </row>
    <row r="82" spans="1:12" ht="14.25">
      <c r="A82" s="6">
        <v>79</v>
      </c>
      <c r="B82" s="327" t="s">
        <v>3248</v>
      </c>
      <c r="C82" s="327" t="s">
        <v>81</v>
      </c>
      <c r="D82" s="436">
        <v>1</v>
      </c>
      <c r="E82" s="327" t="s">
        <v>294</v>
      </c>
      <c r="F82" s="327" t="s">
        <v>3111</v>
      </c>
      <c r="G82" s="327" t="s">
        <v>155</v>
      </c>
      <c r="H82" s="437">
        <v>9.8644250000000007</v>
      </c>
      <c r="I82" s="437">
        <v>126.012518</v>
      </c>
      <c r="J82" s="438" t="s">
        <v>3252</v>
      </c>
      <c r="K82" s="439" t="s">
        <v>3253</v>
      </c>
      <c r="L82" s="439" t="s">
        <v>288</v>
      </c>
    </row>
    <row r="83" spans="1:12" ht="14.25">
      <c r="A83" s="6">
        <v>80</v>
      </c>
      <c r="B83" s="327" t="s">
        <v>3248</v>
      </c>
      <c r="C83" s="327" t="s">
        <v>81</v>
      </c>
      <c r="D83" s="436">
        <v>1</v>
      </c>
      <c r="E83" s="327" t="s">
        <v>3385</v>
      </c>
      <c r="F83" s="327" t="s">
        <v>3386</v>
      </c>
      <c r="G83" s="327" t="s">
        <v>155</v>
      </c>
      <c r="H83" s="437">
        <v>9.9257620000000006</v>
      </c>
      <c r="I83" s="437">
        <v>125.808379</v>
      </c>
      <c r="J83" s="438" t="s">
        <v>3269</v>
      </c>
      <c r="K83" s="439" t="s">
        <v>3253</v>
      </c>
      <c r="L83" s="439" t="s">
        <v>409</v>
      </c>
    </row>
    <row r="84" spans="1:12" ht="14.25">
      <c r="A84" s="6">
        <v>81</v>
      </c>
      <c r="B84" s="327" t="s">
        <v>3248</v>
      </c>
      <c r="C84" s="327" t="s">
        <v>81</v>
      </c>
      <c r="D84" s="436">
        <v>1</v>
      </c>
      <c r="E84" s="327" t="s">
        <v>3389</v>
      </c>
      <c r="F84" s="327" t="s">
        <v>3390</v>
      </c>
      <c r="G84" s="327" t="s">
        <v>155</v>
      </c>
      <c r="H84" s="437">
        <v>9.9043550000000007</v>
      </c>
      <c r="I84" s="437">
        <v>126.03730400000001</v>
      </c>
      <c r="J84" s="438" t="s">
        <v>3256</v>
      </c>
      <c r="K84" s="439" t="s">
        <v>3257</v>
      </c>
      <c r="L84" s="439" t="s">
        <v>409</v>
      </c>
    </row>
    <row r="85" spans="1:12" ht="14.25">
      <c r="A85" s="6">
        <v>82</v>
      </c>
      <c r="B85" s="327" t="s">
        <v>3248</v>
      </c>
      <c r="C85" s="327" t="s">
        <v>81</v>
      </c>
      <c r="D85" s="436">
        <v>1</v>
      </c>
      <c r="E85" s="327" t="s">
        <v>286</v>
      </c>
      <c r="F85" s="327" t="s">
        <v>287</v>
      </c>
      <c r="G85" s="327" t="s">
        <v>155</v>
      </c>
      <c r="H85" s="437">
        <v>9.8737630000000003</v>
      </c>
      <c r="I85" s="437">
        <v>126.013057</v>
      </c>
      <c r="J85" s="438" t="s">
        <v>3252</v>
      </c>
      <c r="K85" s="439" t="s">
        <v>3253</v>
      </c>
      <c r="L85" s="439" t="s">
        <v>288</v>
      </c>
    </row>
    <row r="86" spans="1:12" ht="14.25">
      <c r="A86" s="6">
        <v>83</v>
      </c>
      <c r="B86" s="327" t="s">
        <v>3248</v>
      </c>
      <c r="C86" s="327" t="s">
        <v>81</v>
      </c>
      <c r="D86" s="436">
        <v>1</v>
      </c>
      <c r="E86" s="327" t="s">
        <v>2512</v>
      </c>
      <c r="F86" s="327" t="s">
        <v>3392</v>
      </c>
      <c r="G86" s="327" t="s">
        <v>155</v>
      </c>
      <c r="H86" s="437">
        <v>9.8376280000000005</v>
      </c>
      <c r="I86" s="437">
        <v>126.013752</v>
      </c>
      <c r="J86" s="438" t="s">
        <v>3252</v>
      </c>
      <c r="K86" s="439" t="s">
        <v>3253</v>
      </c>
      <c r="L86" s="439" t="s">
        <v>409</v>
      </c>
    </row>
    <row r="87" spans="1:12" ht="14.25">
      <c r="A87" s="6">
        <v>84</v>
      </c>
      <c r="B87" s="327" t="s">
        <v>3248</v>
      </c>
      <c r="C87" s="327" t="s">
        <v>81</v>
      </c>
      <c r="D87" s="436">
        <v>1</v>
      </c>
      <c r="E87" s="327" t="s">
        <v>82</v>
      </c>
      <c r="F87" s="327" t="s">
        <v>500</v>
      </c>
      <c r="G87" s="327" t="s">
        <v>155</v>
      </c>
      <c r="H87" s="437">
        <v>9.9010440000000006</v>
      </c>
      <c r="I87" s="437">
        <v>125.987803</v>
      </c>
      <c r="J87" s="438" t="s">
        <v>3252</v>
      </c>
      <c r="K87" s="439" t="s">
        <v>3253</v>
      </c>
      <c r="L87" s="439" t="s">
        <v>409</v>
      </c>
    </row>
    <row r="88" spans="1:12" ht="14.25">
      <c r="A88" s="6">
        <v>85</v>
      </c>
      <c r="B88" s="327" t="s">
        <v>3248</v>
      </c>
      <c r="C88" s="327" t="s">
        <v>81</v>
      </c>
      <c r="D88" s="436">
        <v>1</v>
      </c>
      <c r="E88" s="327" t="s">
        <v>2532</v>
      </c>
      <c r="F88" s="327" t="s">
        <v>3393</v>
      </c>
      <c r="G88" s="327" t="s">
        <v>155</v>
      </c>
      <c r="H88" s="437">
        <v>9.8579089999999994</v>
      </c>
      <c r="I88" s="437">
        <v>126.038141</v>
      </c>
      <c r="J88" s="438" t="s">
        <v>3256</v>
      </c>
      <c r="K88" s="439" t="s">
        <v>3257</v>
      </c>
      <c r="L88" s="439" t="s">
        <v>409</v>
      </c>
    </row>
    <row r="89" spans="1:12" ht="14.25">
      <c r="A89" s="6">
        <v>86</v>
      </c>
      <c r="B89" s="327" t="s">
        <v>3248</v>
      </c>
      <c r="C89" s="327" t="s">
        <v>81</v>
      </c>
      <c r="D89" s="436">
        <v>1</v>
      </c>
      <c r="E89" s="327" t="s">
        <v>327</v>
      </c>
      <c r="F89" s="327" t="s">
        <v>3394</v>
      </c>
      <c r="G89" s="327" t="s">
        <v>155</v>
      </c>
      <c r="H89" s="437">
        <v>9.8305009999999999</v>
      </c>
      <c r="I89" s="437">
        <v>126.049378</v>
      </c>
      <c r="J89" s="438" t="s">
        <v>3256</v>
      </c>
      <c r="K89" s="439" t="s">
        <v>3257</v>
      </c>
      <c r="L89" s="439" t="s">
        <v>409</v>
      </c>
    </row>
    <row r="90" spans="1:12" ht="14.25">
      <c r="A90" s="6">
        <v>87</v>
      </c>
      <c r="B90" s="327" t="s">
        <v>3248</v>
      </c>
      <c r="C90" s="327" t="s">
        <v>81</v>
      </c>
      <c r="D90" s="436">
        <v>1</v>
      </c>
      <c r="E90" s="327" t="s">
        <v>3395</v>
      </c>
      <c r="F90" s="327" t="s">
        <v>3396</v>
      </c>
      <c r="G90" s="327" t="s">
        <v>155</v>
      </c>
      <c r="H90" s="437">
        <v>9.8254640000000002</v>
      </c>
      <c r="I90" s="437">
        <v>125.97714000000001</v>
      </c>
      <c r="J90" s="438" t="s">
        <v>3252</v>
      </c>
      <c r="K90" s="439" t="s">
        <v>3253</v>
      </c>
      <c r="L90" s="439" t="s">
        <v>409</v>
      </c>
    </row>
    <row r="91" spans="1:12" ht="14.25">
      <c r="A91" s="6">
        <v>88</v>
      </c>
      <c r="B91" s="327" t="s">
        <v>3248</v>
      </c>
      <c r="C91" s="327" t="s">
        <v>81</v>
      </c>
      <c r="D91" s="436">
        <v>1</v>
      </c>
      <c r="E91" s="327" t="s">
        <v>2247</v>
      </c>
      <c r="F91" s="327" t="s">
        <v>3397</v>
      </c>
      <c r="G91" s="327" t="s">
        <v>155</v>
      </c>
      <c r="H91" s="437">
        <v>9.8717249999999996</v>
      </c>
      <c r="I91" s="437">
        <v>125.96966999999999</v>
      </c>
      <c r="J91" s="438" t="s">
        <v>3269</v>
      </c>
      <c r="K91" s="439" t="s">
        <v>3253</v>
      </c>
      <c r="L91" s="439" t="s">
        <v>409</v>
      </c>
    </row>
    <row r="92" spans="1:12" ht="14.25">
      <c r="A92" s="6">
        <v>89</v>
      </c>
      <c r="B92" s="327" t="s">
        <v>3248</v>
      </c>
      <c r="C92" s="327" t="s">
        <v>81</v>
      </c>
      <c r="D92" s="436">
        <v>1</v>
      </c>
      <c r="E92" s="327" t="s">
        <v>320</v>
      </c>
      <c r="F92" s="327" t="s">
        <v>3399</v>
      </c>
      <c r="G92" s="327" t="s">
        <v>155</v>
      </c>
      <c r="H92" s="437">
        <v>9.8537239999999997</v>
      </c>
      <c r="I92" s="437">
        <v>126.01963600000001</v>
      </c>
      <c r="J92" s="438" t="s">
        <v>3269</v>
      </c>
      <c r="K92" s="439" t="s">
        <v>3253</v>
      </c>
      <c r="L92" s="439" t="s">
        <v>409</v>
      </c>
    </row>
    <row r="93" spans="1:12" ht="14.25">
      <c r="A93" s="6">
        <v>90</v>
      </c>
      <c r="B93" s="327" t="s">
        <v>3248</v>
      </c>
      <c r="C93" s="327" t="s">
        <v>81</v>
      </c>
      <c r="D93" s="436">
        <v>1</v>
      </c>
      <c r="E93" s="327" t="s">
        <v>2518</v>
      </c>
      <c r="F93" s="327" t="s">
        <v>3400</v>
      </c>
      <c r="G93" s="327" t="s">
        <v>155</v>
      </c>
      <c r="H93" s="437">
        <v>9.8244769999999999</v>
      </c>
      <c r="I93" s="437">
        <v>126.04370299999999</v>
      </c>
      <c r="J93" s="438" t="s">
        <v>3256</v>
      </c>
      <c r="K93" s="439" t="s">
        <v>3257</v>
      </c>
      <c r="L93" s="439" t="s">
        <v>409</v>
      </c>
    </row>
    <row r="94" spans="1:12" ht="14.25">
      <c r="A94" s="6">
        <v>91</v>
      </c>
      <c r="B94" s="327" t="s">
        <v>3248</v>
      </c>
      <c r="C94" s="327" t="s">
        <v>79</v>
      </c>
      <c r="D94" s="436">
        <v>1</v>
      </c>
      <c r="E94" s="327" t="s">
        <v>3401</v>
      </c>
      <c r="F94" s="327" t="s">
        <v>3402</v>
      </c>
      <c r="G94" s="327" t="s">
        <v>155</v>
      </c>
      <c r="H94" s="437">
        <v>9.6074719999999996</v>
      </c>
      <c r="I94" s="437">
        <v>126.1371</v>
      </c>
      <c r="J94" s="438" t="s">
        <v>3256</v>
      </c>
      <c r="K94" s="439" t="s">
        <v>3257</v>
      </c>
      <c r="L94" s="439" t="s">
        <v>409</v>
      </c>
    </row>
    <row r="95" spans="1:12" ht="14.25">
      <c r="A95" s="6">
        <v>92</v>
      </c>
      <c r="B95" s="327" t="s">
        <v>3248</v>
      </c>
      <c r="C95" s="327" t="s">
        <v>79</v>
      </c>
      <c r="D95" s="436">
        <v>1</v>
      </c>
      <c r="E95" s="327" t="s">
        <v>2554</v>
      </c>
      <c r="F95" s="327" t="s">
        <v>3403</v>
      </c>
      <c r="G95" s="327" t="s">
        <v>155</v>
      </c>
      <c r="H95" s="437">
        <v>9.8176389999999998</v>
      </c>
      <c r="I95" s="437">
        <v>126.1494</v>
      </c>
      <c r="J95" s="438" t="s">
        <v>3269</v>
      </c>
      <c r="K95" s="439" t="s">
        <v>3253</v>
      </c>
      <c r="L95" s="439" t="s">
        <v>409</v>
      </c>
    </row>
    <row r="96" spans="1:12" ht="14.25">
      <c r="A96" s="6">
        <v>93</v>
      </c>
      <c r="B96" s="327" t="s">
        <v>3248</v>
      </c>
      <c r="C96" s="327" t="s">
        <v>79</v>
      </c>
      <c r="D96" s="436">
        <v>1</v>
      </c>
      <c r="E96" s="327" t="s">
        <v>1665</v>
      </c>
      <c r="F96" s="327" t="s">
        <v>643</v>
      </c>
      <c r="G96" s="327" t="s">
        <v>155</v>
      </c>
      <c r="H96" s="437">
        <v>9.8070559999999993</v>
      </c>
      <c r="I96" s="437">
        <v>126.15989999999999</v>
      </c>
      <c r="J96" s="438" t="s">
        <v>3269</v>
      </c>
      <c r="K96" s="439" t="s">
        <v>3253</v>
      </c>
      <c r="L96" s="439" t="s">
        <v>409</v>
      </c>
    </row>
    <row r="97" spans="1:12" ht="14.25">
      <c r="A97" s="6">
        <v>94</v>
      </c>
      <c r="B97" s="327" t="s">
        <v>3248</v>
      </c>
      <c r="C97" s="327" t="s">
        <v>79</v>
      </c>
      <c r="D97" s="436">
        <v>1</v>
      </c>
      <c r="E97" s="327" t="s">
        <v>1723</v>
      </c>
      <c r="F97" s="327" t="s">
        <v>3405</v>
      </c>
      <c r="G97" s="327" t="s">
        <v>155</v>
      </c>
      <c r="H97" s="437">
        <v>9.7959999999999994</v>
      </c>
      <c r="I97" s="437">
        <v>126.1088</v>
      </c>
      <c r="J97" s="438" t="s">
        <v>3269</v>
      </c>
      <c r="K97" s="439" t="s">
        <v>3253</v>
      </c>
      <c r="L97" s="439" t="s">
        <v>288</v>
      </c>
    </row>
    <row r="98" spans="1:12" ht="14.25">
      <c r="A98" s="6">
        <v>95</v>
      </c>
      <c r="B98" s="327" t="s">
        <v>3248</v>
      </c>
      <c r="C98" s="327" t="s">
        <v>79</v>
      </c>
      <c r="D98" s="436">
        <v>1</v>
      </c>
      <c r="E98" s="327" t="s">
        <v>2565</v>
      </c>
      <c r="F98" s="327" t="s">
        <v>3406</v>
      </c>
      <c r="G98" s="327" t="s">
        <v>155</v>
      </c>
      <c r="H98" s="437">
        <v>9.8149999999999995</v>
      </c>
      <c r="I98" s="437">
        <v>126.1069</v>
      </c>
      <c r="J98" s="438" t="s">
        <v>3252</v>
      </c>
      <c r="K98" s="439" t="s">
        <v>3257</v>
      </c>
      <c r="L98" s="439" t="s">
        <v>409</v>
      </c>
    </row>
    <row r="99" spans="1:12" ht="14.25">
      <c r="A99" s="6">
        <v>96</v>
      </c>
      <c r="B99" s="327" t="s">
        <v>3248</v>
      </c>
      <c r="C99" s="327" t="s">
        <v>79</v>
      </c>
      <c r="D99" s="436">
        <v>1</v>
      </c>
      <c r="E99" s="327" t="s">
        <v>2573</v>
      </c>
      <c r="F99" s="327" t="s">
        <v>3407</v>
      </c>
      <c r="G99" s="327" t="s">
        <v>155</v>
      </c>
      <c r="H99" s="437">
        <v>9.7418890000000005</v>
      </c>
      <c r="I99" s="437">
        <v>126.1567</v>
      </c>
      <c r="J99" s="438" t="s">
        <v>3269</v>
      </c>
      <c r="K99" s="439" t="s">
        <v>3253</v>
      </c>
      <c r="L99" s="439" t="s">
        <v>409</v>
      </c>
    </row>
    <row r="100" spans="1:12" ht="14.25">
      <c r="A100" s="6">
        <v>97</v>
      </c>
      <c r="B100" s="327" t="s">
        <v>3248</v>
      </c>
      <c r="C100" s="327" t="s">
        <v>79</v>
      </c>
      <c r="D100" s="436">
        <v>1</v>
      </c>
      <c r="E100" s="327" t="s">
        <v>3408</v>
      </c>
      <c r="F100" s="327" t="s">
        <v>3409</v>
      </c>
      <c r="G100" s="327" t="s">
        <v>155</v>
      </c>
      <c r="H100" s="437">
        <v>9.6337779999999995</v>
      </c>
      <c r="I100" s="437">
        <v>126.1777</v>
      </c>
      <c r="J100" s="438" t="s">
        <v>3256</v>
      </c>
      <c r="K100" s="439" t="s">
        <v>3257</v>
      </c>
      <c r="L100" s="439" t="s">
        <v>409</v>
      </c>
    </row>
    <row r="101" spans="1:12" ht="14.25">
      <c r="A101" s="6">
        <v>98</v>
      </c>
      <c r="B101" s="327" t="s">
        <v>3248</v>
      </c>
      <c r="C101" s="327" t="s">
        <v>79</v>
      </c>
      <c r="D101" s="436">
        <v>1</v>
      </c>
      <c r="E101" s="327" t="s">
        <v>3410</v>
      </c>
      <c r="F101" s="327" t="s">
        <v>3411</v>
      </c>
      <c r="G101" s="327" t="s">
        <v>155</v>
      </c>
      <c r="H101" s="437">
        <v>9.8278610000000004</v>
      </c>
      <c r="I101" s="437">
        <v>126.14109999999999</v>
      </c>
      <c r="J101" s="438" t="s">
        <v>3269</v>
      </c>
      <c r="K101" s="439" t="s">
        <v>3253</v>
      </c>
      <c r="L101" s="439" t="s">
        <v>409</v>
      </c>
    </row>
    <row r="102" spans="1:12" ht="14.25">
      <c r="A102" s="6">
        <v>99</v>
      </c>
      <c r="B102" s="327" t="s">
        <v>3248</v>
      </c>
      <c r="C102" s="327" t="s">
        <v>79</v>
      </c>
      <c r="D102" s="436">
        <v>1</v>
      </c>
      <c r="E102" s="327" t="s">
        <v>356</v>
      </c>
      <c r="F102" s="327" t="s">
        <v>358</v>
      </c>
      <c r="G102" s="327" t="s">
        <v>155</v>
      </c>
      <c r="H102" s="437">
        <v>9.8097220000000007</v>
      </c>
      <c r="I102" s="437">
        <v>126.13079999999999</v>
      </c>
      <c r="J102" s="438" t="s">
        <v>3252</v>
      </c>
      <c r="K102" s="439" t="s">
        <v>3257</v>
      </c>
      <c r="L102" s="439" t="s">
        <v>409</v>
      </c>
    </row>
    <row r="103" spans="1:12" ht="14.25">
      <c r="A103" s="6">
        <v>100</v>
      </c>
      <c r="B103" s="327" t="s">
        <v>3248</v>
      </c>
      <c r="C103" s="327" t="s">
        <v>79</v>
      </c>
      <c r="D103" s="436">
        <v>1</v>
      </c>
      <c r="E103" s="327" t="s">
        <v>2588</v>
      </c>
      <c r="F103" s="327" t="s">
        <v>3412</v>
      </c>
      <c r="G103" s="327" t="s">
        <v>155</v>
      </c>
      <c r="H103" s="437">
        <v>9.7703330000000008</v>
      </c>
      <c r="I103" s="437">
        <v>126.127</v>
      </c>
      <c r="J103" s="438" t="s">
        <v>3269</v>
      </c>
      <c r="K103" s="439" t="s">
        <v>3253</v>
      </c>
      <c r="L103" s="439" t="s">
        <v>409</v>
      </c>
    </row>
    <row r="104" spans="1:12" ht="14.25">
      <c r="A104" s="6">
        <v>101</v>
      </c>
      <c r="B104" s="327" t="s">
        <v>3248</v>
      </c>
      <c r="C104" s="327" t="s">
        <v>79</v>
      </c>
      <c r="D104" s="436">
        <v>1</v>
      </c>
      <c r="E104" s="327" t="s">
        <v>3413</v>
      </c>
      <c r="F104" s="327" t="s">
        <v>3415</v>
      </c>
      <c r="G104" s="327" t="s">
        <v>155</v>
      </c>
      <c r="H104" s="437">
        <v>9.7816390000000002</v>
      </c>
      <c r="I104" s="437">
        <v>126.1538</v>
      </c>
      <c r="J104" s="438" t="s">
        <v>3269</v>
      </c>
      <c r="K104" s="439" t="s">
        <v>3253</v>
      </c>
      <c r="L104" s="439" t="s">
        <v>409</v>
      </c>
    </row>
    <row r="105" spans="1:12" ht="14.25">
      <c r="A105" s="6">
        <v>102</v>
      </c>
      <c r="B105" s="327" t="s">
        <v>3248</v>
      </c>
      <c r="C105" s="327" t="s">
        <v>79</v>
      </c>
      <c r="D105" s="436">
        <v>1</v>
      </c>
      <c r="E105" s="327" t="s">
        <v>3416</v>
      </c>
      <c r="F105" s="327" t="s">
        <v>3417</v>
      </c>
      <c r="G105" s="327" t="s">
        <v>155</v>
      </c>
      <c r="H105" s="437">
        <v>9.7824170000000006</v>
      </c>
      <c r="I105" s="437">
        <v>126.1555</v>
      </c>
      <c r="J105" s="438" t="s">
        <v>3269</v>
      </c>
      <c r="K105" s="439" t="s">
        <v>3253</v>
      </c>
      <c r="L105" s="439" t="s">
        <v>409</v>
      </c>
    </row>
    <row r="106" spans="1:12" ht="14.25">
      <c r="A106" s="6">
        <v>103</v>
      </c>
      <c r="B106" s="327" t="s">
        <v>3248</v>
      </c>
      <c r="C106" s="327" t="s">
        <v>79</v>
      </c>
      <c r="D106" s="436">
        <v>1</v>
      </c>
      <c r="E106" s="327" t="s">
        <v>3418</v>
      </c>
      <c r="F106" s="327" t="s">
        <v>3419</v>
      </c>
      <c r="G106" s="327" t="s">
        <v>155</v>
      </c>
      <c r="H106" s="437">
        <v>9.7841389999999997</v>
      </c>
      <c r="I106" s="437">
        <v>126.1576</v>
      </c>
      <c r="J106" s="438" t="s">
        <v>3269</v>
      </c>
      <c r="K106" s="439" t="s">
        <v>3253</v>
      </c>
      <c r="L106" s="439" t="s">
        <v>409</v>
      </c>
    </row>
    <row r="107" spans="1:12" ht="14.25">
      <c r="A107" s="6">
        <v>104</v>
      </c>
      <c r="B107" s="327" t="s">
        <v>3248</v>
      </c>
      <c r="C107" s="327" t="s">
        <v>79</v>
      </c>
      <c r="D107" s="436">
        <v>1</v>
      </c>
      <c r="E107" s="327" t="s">
        <v>3420</v>
      </c>
      <c r="F107" s="327" t="s">
        <v>3421</v>
      </c>
      <c r="G107" s="327" t="s">
        <v>155</v>
      </c>
      <c r="H107" s="437">
        <v>9.7850280000000005</v>
      </c>
      <c r="I107" s="437">
        <v>126.15560000000001</v>
      </c>
      <c r="J107" s="438" t="s">
        <v>3269</v>
      </c>
      <c r="K107" s="439" t="s">
        <v>3253</v>
      </c>
      <c r="L107" s="439" t="s">
        <v>409</v>
      </c>
    </row>
    <row r="108" spans="1:12" ht="14.25">
      <c r="A108" s="6">
        <v>105</v>
      </c>
      <c r="B108" s="327" t="s">
        <v>3248</v>
      </c>
      <c r="C108" s="327" t="s">
        <v>79</v>
      </c>
      <c r="D108" s="436">
        <v>1</v>
      </c>
      <c r="E108" s="327" t="s">
        <v>3423</v>
      </c>
      <c r="F108" s="327" t="s">
        <v>3424</v>
      </c>
      <c r="G108" s="327" t="s">
        <v>155</v>
      </c>
      <c r="H108" s="437">
        <v>9.7864170000000001</v>
      </c>
      <c r="I108" s="437">
        <v>126.15600000000001</v>
      </c>
      <c r="J108" s="438" t="s">
        <v>3269</v>
      </c>
      <c r="K108" s="439" t="s">
        <v>3253</v>
      </c>
      <c r="L108" s="439" t="s">
        <v>409</v>
      </c>
    </row>
    <row r="109" spans="1:12" ht="14.25">
      <c r="A109" s="6">
        <v>106</v>
      </c>
      <c r="B109" s="327" t="s">
        <v>3248</v>
      </c>
      <c r="C109" s="327" t="s">
        <v>79</v>
      </c>
      <c r="D109" s="436">
        <v>1</v>
      </c>
      <c r="E109" s="327" t="s">
        <v>172</v>
      </c>
      <c r="F109" s="327" t="s">
        <v>3425</v>
      </c>
      <c r="G109" s="327" t="s">
        <v>155</v>
      </c>
      <c r="H109" s="437">
        <v>9.8366389999999999</v>
      </c>
      <c r="I109" s="437">
        <v>126.12439999999999</v>
      </c>
      <c r="J109" s="438" t="s">
        <v>3269</v>
      </c>
      <c r="K109" s="439" t="s">
        <v>3253</v>
      </c>
      <c r="L109" s="439" t="s">
        <v>288</v>
      </c>
    </row>
    <row r="110" spans="1:12" ht="14.25">
      <c r="A110" s="6">
        <v>107</v>
      </c>
      <c r="B110" s="327" t="s">
        <v>3248</v>
      </c>
      <c r="C110" s="327" t="s">
        <v>79</v>
      </c>
      <c r="D110" s="436">
        <v>1</v>
      </c>
      <c r="E110" s="327" t="s">
        <v>3364</v>
      </c>
      <c r="F110" s="327" t="s">
        <v>3366</v>
      </c>
      <c r="G110" s="327" t="s">
        <v>155</v>
      </c>
      <c r="H110" s="437">
        <v>9.8409999999999993</v>
      </c>
      <c r="I110" s="437">
        <v>126.1387</v>
      </c>
      <c r="J110" s="438" t="s">
        <v>3269</v>
      </c>
      <c r="K110" s="439" t="s">
        <v>3253</v>
      </c>
      <c r="L110" s="439" t="s">
        <v>288</v>
      </c>
    </row>
    <row r="111" spans="1:12" ht="14.25">
      <c r="A111" s="6">
        <v>108</v>
      </c>
      <c r="B111" s="327" t="s">
        <v>3248</v>
      </c>
      <c r="C111" s="327" t="s">
        <v>79</v>
      </c>
      <c r="D111" s="436">
        <v>1</v>
      </c>
      <c r="E111" s="327" t="s">
        <v>3426</v>
      </c>
      <c r="F111" s="327" t="s">
        <v>3427</v>
      </c>
      <c r="G111" s="327" t="s">
        <v>155</v>
      </c>
      <c r="H111" s="437">
        <v>9.6207220000000007</v>
      </c>
      <c r="I111" s="437">
        <v>126.1776</v>
      </c>
      <c r="J111" s="438" t="s">
        <v>3256</v>
      </c>
      <c r="K111" s="439" t="s">
        <v>3257</v>
      </c>
      <c r="L111" s="439" t="s">
        <v>409</v>
      </c>
    </row>
    <row r="112" spans="1:12" ht="14.25">
      <c r="A112" s="6">
        <v>109</v>
      </c>
      <c r="B112" s="327" t="s">
        <v>3248</v>
      </c>
      <c r="C112" s="327" t="s">
        <v>79</v>
      </c>
      <c r="D112" s="436">
        <v>1</v>
      </c>
      <c r="E112" s="327" t="s">
        <v>3428</v>
      </c>
      <c r="F112" s="327" t="s">
        <v>3429</v>
      </c>
      <c r="G112" s="327" t="s">
        <v>155</v>
      </c>
      <c r="H112" s="437">
        <v>9.7903610000000008</v>
      </c>
      <c r="I112" s="437">
        <v>126.1377</v>
      </c>
      <c r="J112" s="438" t="s">
        <v>3269</v>
      </c>
      <c r="K112" s="439" t="s">
        <v>3253</v>
      </c>
      <c r="L112" s="439" t="s">
        <v>409</v>
      </c>
    </row>
    <row r="113" spans="1:12" ht="14.25">
      <c r="A113" s="6">
        <v>110</v>
      </c>
      <c r="B113" s="327" t="s">
        <v>3248</v>
      </c>
      <c r="C113" s="327" t="s">
        <v>167</v>
      </c>
      <c r="D113" s="436">
        <v>2</v>
      </c>
      <c r="E113" s="327" t="s">
        <v>3430</v>
      </c>
      <c r="F113" s="327" t="s">
        <v>3431</v>
      </c>
      <c r="G113" s="327" t="s">
        <v>155</v>
      </c>
      <c r="H113" s="437">
        <v>9.5965980000000002</v>
      </c>
      <c r="I113" s="437">
        <v>125.693952</v>
      </c>
      <c r="J113" s="438" t="s">
        <v>3269</v>
      </c>
      <c r="K113" s="439" t="s">
        <v>3253</v>
      </c>
      <c r="L113" s="439" t="s">
        <v>409</v>
      </c>
    </row>
    <row r="114" spans="1:12" ht="14.25">
      <c r="A114" s="6">
        <v>111</v>
      </c>
      <c r="B114" s="327" t="s">
        <v>3248</v>
      </c>
      <c r="C114" s="327" t="s">
        <v>167</v>
      </c>
      <c r="D114" s="436">
        <v>2</v>
      </c>
      <c r="E114" s="327" t="s">
        <v>3432</v>
      </c>
      <c r="F114" s="327" t="s">
        <v>3433</v>
      </c>
      <c r="G114" s="327" t="s">
        <v>155</v>
      </c>
      <c r="H114" s="437">
        <v>9.5964410000000004</v>
      </c>
      <c r="I114" s="437">
        <v>125.663804</v>
      </c>
      <c r="J114" s="438" t="s">
        <v>3269</v>
      </c>
      <c r="K114" s="439" t="s">
        <v>3253</v>
      </c>
      <c r="L114" s="439" t="s">
        <v>409</v>
      </c>
    </row>
    <row r="115" spans="1:12" ht="14.25">
      <c r="A115" s="6">
        <v>112</v>
      </c>
      <c r="B115" s="327" t="s">
        <v>3248</v>
      </c>
      <c r="C115" s="327" t="s">
        <v>167</v>
      </c>
      <c r="D115" s="436">
        <v>2</v>
      </c>
      <c r="E115" s="327" t="s">
        <v>3434</v>
      </c>
      <c r="F115" s="327" t="s">
        <v>3435</v>
      </c>
      <c r="G115" s="327" t="s">
        <v>155</v>
      </c>
      <c r="H115" s="437">
        <v>9.5549990000000005</v>
      </c>
      <c r="I115" s="437">
        <v>125.648016</v>
      </c>
      <c r="J115" s="438" t="s">
        <v>3269</v>
      </c>
      <c r="K115" s="439" t="s">
        <v>3253</v>
      </c>
      <c r="L115" s="439" t="s">
        <v>409</v>
      </c>
    </row>
    <row r="116" spans="1:12" ht="14.25">
      <c r="A116" s="6">
        <v>113</v>
      </c>
      <c r="B116" s="327" t="s">
        <v>3248</v>
      </c>
      <c r="C116" s="327" t="s">
        <v>167</v>
      </c>
      <c r="D116" s="436">
        <v>2</v>
      </c>
      <c r="E116" s="327" t="s">
        <v>3436</v>
      </c>
      <c r="F116" s="327" t="s">
        <v>3437</v>
      </c>
      <c r="G116" s="327" t="s">
        <v>155</v>
      </c>
      <c r="H116" s="437">
        <v>9.47133</v>
      </c>
      <c r="I116" s="437">
        <v>125.721919</v>
      </c>
      <c r="J116" s="438" t="s">
        <v>3256</v>
      </c>
      <c r="K116" s="439" t="s">
        <v>3257</v>
      </c>
      <c r="L116" s="439" t="s">
        <v>409</v>
      </c>
    </row>
    <row r="117" spans="1:12" ht="14.25">
      <c r="A117" s="6">
        <v>114</v>
      </c>
      <c r="B117" s="327" t="s">
        <v>3248</v>
      </c>
      <c r="C117" s="327" t="s">
        <v>167</v>
      </c>
      <c r="D117" s="436">
        <v>2</v>
      </c>
      <c r="E117" s="327" t="s">
        <v>290</v>
      </c>
      <c r="F117" s="327" t="s">
        <v>3438</v>
      </c>
      <c r="G117" s="327" t="s">
        <v>155</v>
      </c>
      <c r="H117" s="437">
        <v>9.5936509999999995</v>
      </c>
      <c r="I117" s="437">
        <v>125.69907000000001</v>
      </c>
      <c r="J117" s="438" t="s">
        <v>3269</v>
      </c>
      <c r="K117" s="439" t="s">
        <v>3253</v>
      </c>
      <c r="L117" s="439" t="s">
        <v>288</v>
      </c>
    </row>
    <row r="118" spans="1:12" ht="14.25">
      <c r="A118" s="6">
        <v>115</v>
      </c>
      <c r="B118" s="327" t="s">
        <v>3248</v>
      </c>
      <c r="C118" s="327" t="s">
        <v>167</v>
      </c>
      <c r="D118" s="436">
        <v>2</v>
      </c>
      <c r="E118" s="327" t="s">
        <v>3439</v>
      </c>
      <c r="F118" s="327" t="s">
        <v>3440</v>
      </c>
      <c r="G118" s="327" t="s">
        <v>155</v>
      </c>
      <c r="H118" s="437">
        <v>9.4986110000000004</v>
      </c>
      <c r="I118" s="437">
        <v>125.732007</v>
      </c>
      <c r="J118" s="438" t="s">
        <v>3256</v>
      </c>
      <c r="K118" s="439" t="s">
        <v>3257</v>
      </c>
      <c r="L118" s="439" t="s">
        <v>409</v>
      </c>
    </row>
    <row r="119" spans="1:12" ht="14.25">
      <c r="A119" s="6">
        <v>116</v>
      </c>
      <c r="B119" s="327" t="s">
        <v>3248</v>
      </c>
      <c r="C119" s="327" t="s">
        <v>167</v>
      </c>
      <c r="D119" s="436">
        <v>2</v>
      </c>
      <c r="E119" s="327" t="s">
        <v>1962</v>
      </c>
      <c r="F119" s="327" t="s">
        <v>3441</v>
      </c>
      <c r="G119" s="327" t="s">
        <v>155</v>
      </c>
      <c r="H119" s="437">
        <v>9.552251</v>
      </c>
      <c r="I119" s="437">
        <v>125.680423</v>
      </c>
      <c r="J119" s="438" t="s">
        <v>3252</v>
      </c>
      <c r="K119" s="439" t="s">
        <v>3253</v>
      </c>
      <c r="L119" s="439" t="s">
        <v>409</v>
      </c>
    </row>
    <row r="120" spans="1:12" ht="14.25">
      <c r="A120" s="6">
        <v>117</v>
      </c>
      <c r="B120" s="327" t="s">
        <v>3248</v>
      </c>
      <c r="C120" s="327" t="s">
        <v>167</v>
      </c>
      <c r="D120" s="436">
        <v>2</v>
      </c>
      <c r="E120" s="327" t="s">
        <v>3442</v>
      </c>
      <c r="F120" s="327" t="s">
        <v>3443</v>
      </c>
      <c r="G120" s="327" t="s">
        <v>155</v>
      </c>
      <c r="H120" s="437">
        <v>9.5584349999999993</v>
      </c>
      <c r="I120" s="437">
        <v>125.654011</v>
      </c>
      <c r="J120" s="438" t="s">
        <v>3269</v>
      </c>
      <c r="K120" s="439" t="s">
        <v>3253</v>
      </c>
      <c r="L120" s="439" t="s">
        <v>409</v>
      </c>
    </row>
    <row r="121" spans="1:12" ht="14.25">
      <c r="A121" s="6">
        <v>118</v>
      </c>
      <c r="B121" s="327" t="s">
        <v>3248</v>
      </c>
      <c r="C121" s="327" t="s">
        <v>167</v>
      </c>
      <c r="D121" s="436">
        <v>2</v>
      </c>
      <c r="E121" s="327" t="s">
        <v>3446</v>
      </c>
      <c r="F121" s="327" t="s">
        <v>3447</v>
      </c>
      <c r="G121" s="327" t="s">
        <v>155</v>
      </c>
      <c r="H121" s="437">
        <v>9.5533850000000005</v>
      </c>
      <c r="I121" s="437">
        <v>125.664874</v>
      </c>
      <c r="J121" s="438" t="s">
        <v>3269</v>
      </c>
      <c r="K121" s="439" t="s">
        <v>3253</v>
      </c>
      <c r="L121" s="439" t="s">
        <v>409</v>
      </c>
    </row>
    <row r="122" spans="1:12" ht="14.25">
      <c r="A122" s="6">
        <v>119</v>
      </c>
      <c r="B122" s="327" t="s">
        <v>3248</v>
      </c>
      <c r="C122" s="327" t="s">
        <v>167</v>
      </c>
      <c r="D122" s="436">
        <v>2</v>
      </c>
      <c r="E122" s="327" t="s">
        <v>140</v>
      </c>
      <c r="F122" s="327" t="s">
        <v>3451</v>
      </c>
      <c r="G122" s="327" t="s">
        <v>155</v>
      </c>
      <c r="H122" s="437">
        <v>9.5623660000000008</v>
      </c>
      <c r="I122" s="437">
        <v>125.682813</v>
      </c>
      <c r="J122" s="438" t="s">
        <v>3252</v>
      </c>
      <c r="K122" s="439" t="s">
        <v>3253</v>
      </c>
      <c r="L122" s="439" t="s">
        <v>409</v>
      </c>
    </row>
    <row r="123" spans="1:12" ht="14.25">
      <c r="A123" s="6">
        <v>120</v>
      </c>
      <c r="B123" s="327" t="s">
        <v>3248</v>
      </c>
      <c r="C123" s="327" t="s">
        <v>167</v>
      </c>
      <c r="D123" s="436">
        <v>2</v>
      </c>
      <c r="E123" s="327" t="s">
        <v>3456</v>
      </c>
      <c r="F123" s="327" t="s">
        <v>3457</v>
      </c>
      <c r="G123" s="327" t="s">
        <v>155</v>
      </c>
      <c r="H123" s="437">
        <v>9.4885549999999999</v>
      </c>
      <c r="I123" s="437">
        <v>125.72239999999999</v>
      </c>
      <c r="J123" s="438" t="s">
        <v>3256</v>
      </c>
      <c r="K123" s="439" t="s">
        <v>3257</v>
      </c>
      <c r="L123" s="439" t="s">
        <v>409</v>
      </c>
    </row>
    <row r="124" spans="1:12" ht="14.25">
      <c r="A124" s="6">
        <v>121</v>
      </c>
      <c r="B124" s="327" t="s">
        <v>3248</v>
      </c>
      <c r="C124" s="327" t="s">
        <v>167</v>
      </c>
      <c r="D124" s="436">
        <v>2</v>
      </c>
      <c r="E124" s="327" t="s">
        <v>3463</v>
      </c>
      <c r="F124" s="327" t="s">
        <v>3464</v>
      </c>
      <c r="G124" s="327" t="s">
        <v>155</v>
      </c>
      <c r="H124" s="437">
        <v>9.5683120000000006</v>
      </c>
      <c r="I124" s="437">
        <v>125.69972199999999</v>
      </c>
      <c r="J124" s="438" t="s">
        <v>3252</v>
      </c>
      <c r="K124" s="439" t="s">
        <v>3257</v>
      </c>
      <c r="L124" s="439" t="s">
        <v>409</v>
      </c>
    </row>
    <row r="125" spans="1:12" ht="14.25">
      <c r="A125" s="6">
        <v>122</v>
      </c>
      <c r="B125" s="327" t="s">
        <v>3248</v>
      </c>
      <c r="C125" s="327" t="s">
        <v>167</v>
      </c>
      <c r="D125" s="436">
        <v>2</v>
      </c>
      <c r="E125" s="327" t="s">
        <v>3471</v>
      </c>
      <c r="F125" s="327" t="s">
        <v>3473</v>
      </c>
      <c r="G125" s="327" t="s">
        <v>155</v>
      </c>
      <c r="H125" s="437">
        <v>9.5782749999999997</v>
      </c>
      <c r="I125" s="437">
        <v>125.69046</v>
      </c>
      <c r="J125" s="438" t="s">
        <v>3252</v>
      </c>
      <c r="K125" s="439" t="s">
        <v>3253</v>
      </c>
      <c r="L125" s="439" t="s">
        <v>409</v>
      </c>
    </row>
    <row r="126" spans="1:12" ht="14.25">
      <c r="A126" s="6">
        <v>123</v>
      </c>
      <c r="B126" s="327" t="s">
        <v>3248</v>
      </c>
      <c r="C126" s="327" t="s">
        <v>198</v>
      </c>
      <c r="D126" s="436">
        <v>2</v>
      </c>
      <c r="E126" s="327" t="s">
        <v>3476</v>
      </c>
      <c r="F126" s="327" t="s">
        <v>3477</v>
      </c>
      <c r="G126" s="327" t="s">
        <v>155</v>
      </c>
      <c r="H126" s="437">
        <v>9.5782916670000002</v>
      </c>
      <c r="I126" s="437">
        <v>125.494922</v>
      </c>
      <c r="J126" s="438" t="s">
        <v>3256</v>
      </c>
      <c r="K126" s="439" t="s">
        <v>3257</v>
      </c>
      <c r="L126" s="439" t="s">
        <v>409</v>
      </c>
    </row>
    <row r="127" spans="1:12" ht="14.25">
      <c r="A127" s="6">
        <v>124</v>
      </c>
      <c r="B127" s="327" t="s">
        <v>3248</v>
      </c>
      <c r="C127" s="327" t="s">
        <v>198</v>
      </c>
      <c r="D127" s="436">
        <v>2</v>
      </c>
      <c r="E127" s="327" t="s">
        <v>3478</v>
      </c>
      <c r="F127" s="327" t="s">
        <v>3479</v>
      </c>
      <c r="G127" s="327" t="s">
        <v>155</v>
      </c>
      <c r="H127" s="437">
        <v>9.6017833330000002</v>
      </c>
      <c r="I127" s="437">
        <v>125.498386</v>
      </c>
      <c r="J127" s="438" t="s">
        <v>3256</v>
      </c>
      <c r="K127" s="439" t="s">
        <v>3257</v>
      </c>
      <c r="L127" s="439" t="s">
        <v>409</v>
      </c>
    </row>
    <row r="128" spans="1:12" ht="14.25">
      <c r="A128" s="6">
        <v>125</v>
      </c>
      <c r="B128" s="327" t="s">
        <v>3248</v>
      </c>
      <c r="C128" s="327" t="s">
        <v>198</v>
      </c>
      <c r="D128" s="436">
        <v>2</v>
      </c>
      <c r="E128" s="327" t="s">
        <v>3481</v>
      </c>
      <c r="F128" s="327" t="s">
        <v>3482</v>
      </c>
      <c r="G128" s="327" t="s">
        <v>155</v>
      </c>
      <c r="H128" s="437">
        <v>9.5854750000000006</v>
      </c>
      <c r="I128" s="437">
        <v>125.471192</v>
      </c>
      <c r="J128" s="438" t="s">
        <v>3256</v>
      </c>
      <c r="K128" s="439" t="s">
        <v>3257</v>
      </c>
      <c r="L128" s="439" t="s">
        <v>409</v>
      </c>
    </row>
    <row r="129" spans="1:12" ht="14.25">
      <c r="A129" s="6">
        <v>126</v>
      </c>
      <c r="B129" s="327" t="s">
        <v>3248</v>
      </c>
      <c r="C129" s="327" t="s">
        <v>198</v>
      </c>
      <c r="D129" s="436">
        <v>2</v>
      </c>
      <c r="E129" s="327" t="s">
        <v>3483</v>
      </c>
      <c r="F129" s="327" t="s">
        <v>3484</v>
      </c>
      <c r="G129" s="327" t="s">
        <v>155</v>
      </c>
      <c r="H129" s="437">
        <v>9.5310888889999994</v>
      </c>
      <c r="I129" s="437">
        <v>125.579672</v>
      </c>
      <c r="J129" s="438" t="s">
        <v>3256</v>
      </c>
      <c r="K129" s="439" t="s">
        <v>3257</v>
      </c>
      <c r="L129" s="439" t="s">
        <v>409</v>
      </c>
    </row>
    <row r="130" spans="1:12" ht="14.25">
      <c r="A130" s="6">
        <v>127</v>
      </c>
      <c r="B130" s="327" t="s">
        <v>3248</v>
      </c>
      <c r="C130" s="327" t="s">
        <v>198</v>
      </c>
      <c r="D130" s="436">
        <v>2</v>
      </c>
      <c r="E130" s="327" t="s">
        <v>2429</v>
      </c>
      <c r="F130" s="327" t="s">
        <v>3485</v>
      </c>
      <c r="G130" s="327" t="s">
        <v>155</v>
      </c>
      <c r="H130" s="437">
        <v>9.5403583330000004</v>
      </c>
      <c r="I130" s="437">
        <v>125.53370200000001</v>
      </c>
      <c r="J130" s="438" t="s">
        <v>3269</v>
      </c>
      <c r="K130" s="439" t="s">
        <v>3253</v>
      </c>
      <c r="L130" s="439" t="s">
        <v>409</v>
      </c>
    </row>
    <row r="131" spans="1:12" ht="14.25">
      <c r="A131" s="6">
        <v>128</v>
      </c>
      <c r="B131" s="327" t="s">
        <v>3248</v>
      </c>
      <c r="C131" s="327" t="s">
        <v>198</v>
      </c>
      <c r="D131" s="436">
        <v>2</v>
      </c>
      <c r="E131" s="327" t="s">
        <v>345</v>
      </c>
      <c r="F131" s="327" t="s">
        <v>3486</v>
      </c>
      <c r="G131" s="327" t="s">
        <v>155</v>
      </c>
      <c r="H131" s="437">
        <v>9.5362555560000004</v>
      </c>
      <c r="I131" s="437">
        <v>125.562822</v>
      </c>
      <c r="J131" s="438" t="s">
        <v>3269</v>
      </c>
      <c r="K131" s="439" t="s">
        <v>3253</v>
      </c>
      <c r="L131" s="439" t="s">
        <v>409</v>
      </c>
    </row>
    <row r="132" spans="1:12" ht="14.25">
      <c r="A132" s="6">
        <v>129</v>
      </c>
      <c r="B132" s="327" t="s">
        <v>3248</v>
      </c>
      <c r="C132" s="327" t="s">
        <v>198</v>
      </c>
      <c r="D132" s="436">
        <v>2</v>
      </c>
      <c r="E132" s="327" t="s">
        <v>356</v>
      </c>
      <c r="F132" s="327" t="s">
        <v>358</v>
      </c>
      <c r="G132" s="327" t="s">
        <v>155</v>
      </c>
      <c r="H132" s="437">
        <v>9.5420920188747793</v>
      </c>
      <c r="I132" s="437">
        <v>125.52234562848901</v>
      </c>
      <c r="J132" s="438" t="s">
        <v>3269</v>
      </c>
      <c r="K132" s="439" t="s">
        <v>3253</v>
      </c>
      <c r="L132" s="439" t="s">
        <v>409</v>
      </c>
    </row>
    <row r="133" spans="1:12" ht="14.25">
      <c r="A133" s="6">
        <v>130</v>
      </c>
      <c r="B133" s="327" t="s">
        <v>3248</v>
      </c>
      <c r="C133" s="327" t="s">
        <v>198</v>
      </c>
      <c r="D133" s="436">
        <v>2</v>
      </c>
      <c r="E133" s="327" t="s">
        <v>3490</v>
      </c>
      <c r="F133" s="327" t="s">
        <v>3491</v>
      </c>
      <c r="G133" s="327" t="s">
        <v>155</v>
      </c>
      <c r="H133" s="437">
        <v>9.5067833329999996</v>
      </c>
      <c r="I133" s="437">
        <v>125.4747</v>
      </c>
      <c r="J133" s="438" t="s">
        <v>3269</v>
      </c>
      <c r="K133" s="439" t="s">
        <v>3253</v>
      </c>
      <c r="L133" s="439" t="s">
        <v>409</v>
      </c>
    </row>
    <row r="134" spans="1:12" ht="14.25">
      <c r="A134" s="6">
        <v>131</v>
      </c>
      <c r="B134" s="327" t="s">
        <v>3248</v>
      </c>
      <c r="C134" s="327" t="s">
        <v>198</v>
      </c>
      <c r="D134" s="436">
        <v>2</v>
      </c>
      <c r="E134" s="327" t="s">
        <v>3492</v>
      </c>
      <c r="F134" s="327" t="s">
        <v>3493</v>
      </c>
      <c r="G134" s="327" t="s">
        <v>155</v>
      </c>
      <c r="H134" s="437">
        <v>9.5829111109999996</v>
      </c>
      <c r="I134" s="437">
        <v>125.52218329999999</v>
      </c>
      <c r="J134" s="438" t="s">
        <v>3252</v>
      </c>
      <c r="K134" s="439" t="s">
        <v>3257</v>
      </c>
      <c r="L134" s="439" t="s">
        <v>409</v>
      </c>
    </row>
    <row r="135" spans="1:12" ht="14.25">
      <c r="A135" s="6">
        <v>132</v>
      </c>
      <c r="B135" s="327" t="s">
        <v>3248</v>
      </c>
      <c r="C135" s="327" t="s">
        <v>198</v>
      </c>
      <c r="D135" s="436">
        <v>2</v>
      </c>
      <c r="E135" s="327" t="s">
        <v>3304</v>
      </c>
      <c r="F135" s="327" t="s">
        <v>2012</v>
      </c>
      <c r="G135" s="327" t="s">
        <v>155</v>
      </c>
      <c r="H135" s="437">
        <v>9.5526777779999996</v>
      </c>
      <c r="I135" s="437">
        <v>125.4775056</v>
      </c>
      <c r="J135" s="438" t="s">
        <v>3269</v>
      </c>
      <c r="K135" s="439" t="s">
        <v>3253</v>
      </c>
      <c r="L135" s="439" t="s">
        <v>288</v>
      </c>
    </row>
    <row r="136" spans="1:12" ht="14.25">
      <c r="A136" s="6">
        <v>133</v>
      </c>
      <c r="B136" s="327" t="s">
        <v>3248</v>
      </c>
      <c r="C136" s="327" t="s">
        <v>198</v>
      </c>
      <c r="D136" s="436">
        <v>2</v>
      </c>
      <c r="E136" s="327" t="s">
        <v>3497</v>
      </c>
      <c r="F136" s="327" t="s">
        <v>3499</v>
      </c>
      <c r="G136" s="327" t="s">
        <v>155</v>
      </c>
      <c r="H136" s="437">
        <v>9.5869444440000002</v>
      </c>
      <c r="I136" s="437">
        <v>125.5193278</v>
      </c>
      <c r="J136" s="438" t="s">
        <v>3252</v>
      </c>
      <c r="K136" s="439" t="s">
        <v>3257</v>
      </c>
      <c r="L136" s="439" t="s">
        <v>409</v>
      </c>
    </row>
    <row r="137" spans="1:12" ht="14.25">
      <c r="A137" s="6">
        <v>134</v>
      </c>
      <c r="B137" s="327" t="s">
        <v>3248</v>
      </c>
      <c r="C137" s="327" t="s">
        <v>198</v>
      </c>
      <c r="D137" s="436">
        <v>2</v>
      </c>
      <c r="E137" s="327" t="s">
        <v>327</v>
      </c>
      <c r="F137" s="327" t="s">
        <v>3394</v>
      </c>
      <c r="G137" s="327" t="s">
        <v>155</v>
      </c>
      <c r="H137" s="437">
        <v>9.5359444440000001</v>
      </c>
      <c r="I137" s="437">
        <v>125.52381939999999</v>
      </c>
      <c r="J137" s="438" t="s">
        <v>3269</v>
      </c>
      <c r="K137" s="439" t="s">
        <v>3253</v>
      </c>
      <c r="L137" s="439" t="s">
        <v>288</v>
      </c>
    </row>
    <row r="138" spans="1:12" ht="14.25">
      <c r="A138" s="6">
        <v>135</v>
      </c>
      <c r="B138" s="327" t="s">
        <v>3248</v>
      </c>
      <c r="C138" s="327" t="s">
        <v>198</v>
      </c>
      <c r="D138" s="436">
        <v>2</v>
      </c>
      <c r="E138" s="327" t="s">
        <v>2051</v>
      </c>
      <c r="F138" s="327" t="s">
        <v>595</v>
      </c>
      <c r="G138" s="327" t="s">
        <v>155</v>
      </c>
      <c r="H138" s="437">
        <v>9.5378583330000009</v>
      </c>
      <c r="I138" s="437">
        <v>125.54359719999999</v>
      </c>
      <c r="J138" s="438" t="s">
        <v>3269</v>
      </c>
      <c r="K138" s="439" t="s">
        <v>3253</v>
      </c>
      <c r="L138" s="439" t="s">
        <v>409</v>
      </c>
    </row>
    <row r="139" spans="1:12" ht="14.25">
      <c r="A139" s="6">
        <v>136</v>
      </c>
      <c r="B139" s="327" t="s">
        <v>3248</v>
      </c>
      <c r="C139" s="327" t="s">
        <v>198</v>
      </c>
      <c r="D139" s="436">
        <v>2</v>
      </c>
      <c r="E139" s="327" t="s">
        <v>229</v>
      </c>
      <c r="F139" s="327" t="s">
        <v>3504</v>
      </c>
      <c r="G139" s="327" t="s">
        <v>155</v>
      </c>
      <c r="H139" s="437">
        <v>9.5288388889999993</v>
      </c>
      <c r="I139" s="437">
        <v>125.47142220000001</v>
      </c>
      <c r="J139" s="438" t="s">
        <v>3269</v>
      </c>
      <c r="K139" s="439" t="s">
        <v>3253</v>
      </c>
      <c r="L139" s="439" t="s">
        <v>409</v>
      </c>
    </row>
    <row r="140" spans="1:12" ht="14.25">
      <c r="A140" s="6">
        <v>137</v>
      </c>
      <c r="B140" s="327" t="s">
        <v>3248</v>
      </c>
      <c r="C140" s="327" t="s">
        <v>198</v>
      </c>
      <c r="D140" s="436">
        <v>2</v>
      </c>
      <c r="E140" s="327" t="s">
        <v>140</v>
      </c>
      <c r="F140" s="327" t="s">
        <v>3451</v>
      </c>
      <c r="G140" s="327" t="s">
        <v>155</v>
      </c>
      <c r="H140" s="437">
        <v>9.5456388889999992</v>
      </c>
      <c r="I140" s="437">
        <v>125.5030417</v>
      </c>
      <c r="J140" s="438" t="s">
        <v>3269</v>
      </c>
      <c r="K140" s="439" t="s">
        <v>3253</v>
      </c>
      <c r="L140" s="439" t="s">
        <v>409</v>
      </c>
    </row>
    <row r="141" spans="1:12" ht="14.25">
      <c r="A141" s="6">
        <v>138</v>
      </c>
      <c r="B141" s="327" t="s">
        <v>3248</v>
      </c>
      <c r="C141" s="327" t="s">
        <v>198</v>
      </c>
      <c r="D141" s="436">
        <v>2</v>
      </c>
      <c r="E141" s="327" t="s">
        <v>2247</v>
      </c>
      <c r="F141" s="327" t="s">
        <v>3397</v>
      </c>
      <c r="G141" s="327" t="s">
        <v>155</v>
      </c>
      <c r="H141" s="437">
        <v>9.5479749999999992</v>
      </c>
      <c r="I141" s="437">
        <v>125.52903329999999</v>
      </c>
      <c r="J141" s="438" t="s">
        <v>3256</v>
      </c>
      <c r="K141" s="439" t="s">
        <v>3257</v>
      </c>
      <c r="L141" s="439" t="s">
        <v>409</v>
      </c>
    </row>
    <row r="142" spans="1:12" ht="14.25">
      <c r="A142" s="6">
        <v>139</v>
      </c>
      <c r="B142" s="327" t="s">
        <v>3248</v>
      </c>
      <c r="C142" s="327" t="s">
        <v>198</v>
      </c>
      <c r="D142" s="436">
        <v>2</v>
      </c>
      <c r="E142" s="327" t="s">
        <v>3505</v>
      </c>
      <c r="F142" s="327" t="s">
        <v>3506</v>
      </c>
      <c r="G142" s="327" t="s">
        <v>155</v>
      </c>
      <c r="H142" s="437">
        <v>9.5381750000000007</v>
      </c>
      <c r="I142" s="437">
        <v>125.5716444</v>
      </c>
      <c r="J142" s="438" t="s">
        <v>3269</v>
      </c>
      <c r="K142" s="439" t="s">
        <v>3253</v>
      </c>
      <c r="L142" s="439" t="s">
        <v>409</v>
      </c>
    </row>
    <row r="143" spans="1:12" ht="14.25">
      <c r="A143" s="6">
        <v>140</v>
      </c>
      <c r="B143" s="327" t="s">
        <v>3248</v>
      </c>
      <c r="C143" s="327" t="s">
        <v>198</v>
      </c>
      <c r="D143" s="436">
        <v>2</v>
      </c>
      <c r="E143" s="327" t="s">
        <v>1491</v>
      </c>
      <c r="F143" s="327" t="s">
        <v>3508</v>
      </c>
      <c r="G143" s="327" t="s">
        <v>155</v>
      </c>
      <c r="H143" s="437">
        <v>9.6075499999999998</v>
      </c>
      <c r="I143" s="437">
        <v>125.52203609999999</v>
      </c>
      <c r="J143" s="438" t="s">
        <v>3256</v>
      </c>
      <c r="K143" s="439" t="s">
        <v>3257</v>
      </c>
      <c r="L143" s="439" t="s">
        <v>409</v>
      </c>
    </row>
    <row r="144" spans="1:12" ht="14.25">
      <c r="A144" s="6">
        <v>141</v>
      </c>
      <c r="B144" s="327" t="s">
        <v>3248</v>
      </c>
      <c r="C144" s="327" t="s">
        <v>198</v>
      </c>
      <c r="D144" s="436">
        <v>2</v>
      </c>
      <c r="E144" s="327" t="s">
        <v>3509</v>
      </c>
      <c r="F144" s="327" t="s">
        <v>3510</v>
      </c>
      <c r="G144" s="327" t="s">
        <v>155</v>
      </c>
      <c r="H144" s="437">
        <v>9.4855638889999998</v>
      </c>
      <c r="I144" s="437">
        <v>125.47623059999999</v>
      </c>
      <c r="J144" s="438" t="s">
        <v>3256</v>
      </c>
      <c r="K144" s="439" t="s">
        <v>3257</v>
      </c>
      <c r="L144" s="439" t="s">
        <v>409</v>
      </c>
    </row>
    <row r="145" spans="1:12" ht="14.25">
      <c r="A145" s="6">
        <v>142</v>
      </c>
      <c r="B145" s="327" t="s">
        <v>3248</v>
      </c>
      <c r="C145" s="327" t="s">
        <v>198</v>
      </c>
      <c r="D145" s="436">
        <v>2</v>
      </c>
      <c r="E145" s="327" t="s">
        <v>3511</v>
      </c>
      <c r="F145" s="327" t="s">
        <v>3512</v>
      </c>
      <c r="G145" s="327" t="s">
        <v>155</v>
      </c>
      <c r="H145" s="437">
        <v>9.4774416670000008</v>
      </c>
      <c r="I145" s="437">
        <v>125.4760361</v>
      </c>
      <c r="J145" s="438" t="s">
        <v>3256</v>
      </c>
      <c r="K145" s="439" t="s">
        <v>3257</v>
      </c>
      <c r="L145" s="439" t="s">
        <v>409</v>
      </c>
    </row>
    <row r="146" spans="1:12" ht="14.25">
      <c r="A146" s="6">
        <v>143</v>
      </c>
      <c r="B146" s="327" t="s">
        <v>3248</v>
      </c>
      <c r="C146" s="327" t="s">
        <v>198</v>
      </c>
      <c r="D146" s="436">
        <v>2</v>
      </c>
      <c r="E146" s="327" t="s">
        <v>3513</v>
      </c>
      <c r="F146" s="327" t="s">
        <v>3514</v>
      </c>
      <c r="G146" s="327" t="s">
        <v>155</v>
      </c>
      <c r="H146" s="437">
        <v>9.5523749999999996</v>
      </c>
      <c r="I146" s="437">
        <v>125.46864720000001</v>
      </c>
      <c r="J146" s="438" t="s">
        <v>3256</v>
      </c>
      <c r="K146" s="439" t="s">
        <v>3257</v>
      </c>
      <c r="L146" s="439" t="s">
        <v>409</v>
      </c>
    </row>
    <row r="147" spans="1:12" ht="14.25">
      <c r="A147" s="6">
        <v>144</v>
      </c>
      <c r="B147" s="327" t="s">
        <v>3248</v>
      </c>
      <c r="C147" s="327" t="s">
        <v>381</v>
      </c>
      <c r="D147" s="436">
        <v>2</v>
      </c>
      <c r="E147" s="327" t="s">
        <v>3515</v>
      </c>
      <c r="F147" s="327" t="s">
        <v>3516</v>
      </c>
      <c r="G147" s="327" t="s">
        <v>155</v>
      </c>
      <c r="H147" s="437">
        <v>9.5835279999999994</v>
      </c>
      <c r="I147" s="437">
        <v>125.4115</v>
      </c>
      <c r="J147" s="438" t="s">
        <v>3256</v>
      </c>
      <c r="K147" s="439" t="s">
        <v>3257</v>
      </c>
      <c r="L147" s="439" t="s">
        <v>409</v>
      </c>
    </row>
    <row r="148" spans="1:12" ht="14.25">
      <c r="A148" s="6">
        <v>145</v>
      </c>
      <c r="B148" s="327" t="s">
        <v>3248</v>
      </c>
      <c r="C148" s="327" t="s">
        <v>381</v>
      </c>
      <c r="D148" s="436">
        <v>2</v>
      </c>
      <c r="E148" s="327" t="s">
        <v>2082</v>
      </c>
      <c r="F148" s="327" t="s">
        <v>3518</v>
      </c>
      <c r="G148" s="327" t="s">
        <v>155</v>
      </c>
      <c r="H148" s="437">
        <v>9.6365829999999999</v>
      </c>
      <c r="I148" s="437">
        <v>125.39879999999999</v>
      </c>
      <c r="J148" s="438" t="s">
        <v>3252</v>
      </c>
      <c r="K148" s="439" t="s">
        <v>3253</v>
      </c>
      <c r="L148" s="439" t="s">
        <v>409</v>
      </c>
    </row>
    <row r="149" spans="1:12" ht="14.25">
      <c r="A149" s="6">
        <v>146</v>
      </c>
      <c r="B149" s="327" t="s">
        <v>3248</v>
      </c>
      <c r="C149" s="327" t="s">
        <v>381</v>
      </c>
      <c r="D149" s="436">
        <v>2</v>
      </c>
      <c r="E149" s="327" t="s">
        <v>3519</v>
      </c>
      <c r="F149" s="327" t="s">
        <v>3520</v>
      </c>
      <c r="G149" s="327" t="s">
        <v>155</v>
      </c>
      <c r="H149" s="437">
        <v>9.5083059999999993</v>
      </c>
      <c r="I149" s="437">
        <v>125.4344</v>
      </c>
      <c r="J149" s="438" t="s">
        <v>3256</v>
      </c>
      <c r="K149" s="439" t="s">
        <v>3257</v>
      </c>
      <c r="L149" s="439" t="s">
        <v>409</v>
      </c>
    </row>
    <row r="150" spans="1:12" ht="14.25">
      <c r="A150" s="6">
        <v>147</v>
      </c>
      <c r="B150" s="327" t="s">
        <v>3248</v>
      </c>
      <c r="C150" s="327" t="s">
        <v>381</v>
      </c>
      <c r="D150" s="436">
        <v>2</v>
      </c>
      <c r="E150" s="327" t="s">
        <v>3522</v>
      </c>
      <c r="F150" s="327" t="s">
        <v>3523</v>
      </c>
      <c r="G150" s="327" t="s">
        <v>155</v>
      </c>
      <c r="H150" s="437">
        <v>9.579917</v>
      </c>
      <c r="I150" s="437">
        <v>125.4126</v>
      </c>
      <c r="J150" s="438" t="s">
        <v>3256</v>
      </c>
      <c r="K150" s="439" t="s">
        <v>3257</v>
      </c>
      <c r="L150" s="439" t="s">
        <v>409</v>
      </c>
    </row>
    <row r="151" spans="1:12" ht="14.25">
      <c r="A151" s="6">
        <v>148</v>
      </c>
      <c r="B151" s="327" t="s">
        <v>3248</v>
      </c>
      <c r="C151" s="327" t="s">
        <v>381</v>
      </c>
      <c r="D151" s="436">
        <v>2</v>
      </c>
      <c r="E151" s="327" t="s">
        <v>3527</v>
      </c>
      <c r="F151" s="327" t="s">
        <v>3528</v>
      </c>
      <c r="G151" s="327" t="s">
        <v>155</v>
      </c>
      <c r="H151" s="437">
        <v>9.543139</v>
      </c>
      <c r="I151" s="437">
        <v>125.4259</v>
      </c>
      <c r="J151" s="438" t="s">
        <v>3256</v>
      </c>
      <c r="K151" s="439" t="s">
        <v>3257</v>
      </c>
      <c r="L151" s="439" t="s">
        <v>409</v>
      </c>
    </row>
    <row r="152" spans="1:12" ht="14.25">
      <c r="A152" s="6">
        <v>149</v>
      </c>
      <c r="B152" s="327" t="s">
        <v>3248</v>
      </c>
      <c r="C152" s="327" t="s">
        <v>381</v>
      </c>
      <c r="D152" s="436">
        <v>2</v>
      </c>
      <c r="E152" s="327" t="s">
        <v>3535</v>
      </c>
      <c r="F152" s="327" t="s">
        <v>3537</v>
      </c>
      <c r="G152" s="327" t="s">
        <v>155</v>
      </c>
      <c r="H152" s="437">
        <v>9.603472</v>
      </c>
      <c r="I152" s="437">
        <v>125.4062</v>
      </c>
      <c r="J152" s="438" t="s">
        <v>3269</v>
      </c>
      <c r="K152" s="439" t="s">
        <v>3253</v>
      </c>
      <c r="L152" s="439" t="s">
        <v>409</v>
      </c>
    </row>
    <row r="153" spans="1:12" ht="14.25">
      <c r="A153" s="6">
        <v>150</v>
      </c>
      <c r="B153" s="327" t="s">
        <v>3248</v>
      </c>
      <c r="C153" s="327" t="s">
        <v>381</v>
      </c>
      <c r="D153" s="436">
        <v>2</v>
      </c>
      <c r="E153" s="327" t="s">
        <v>1218</v>
      </c>
      <c r="F153" s="327" t="s">
        <v>3547</v>
      </c>
      <c r="G153" s="327" t="s">
        <v>155</v>
      </c>
      <c r="H153" s="437">
        <v>9.6226109999999991</v>
      </c>
      <c r="I153" s="437">
        <v>125.402</v>
      </c>
      <c r="J153" s="438" t="s">
        <v>3269</v>
      </c>
      <c r="K153" s="439" t="s">
        <v>3253</v>
      </c>
      <c r="L153" s="439" t="s">
        <v>409</v>
      </c>
    </row>
    <row r="154" spans="1:12" ht="14.25">
      <c r="A154" s="6">
        <v>151</v>
      </c>
      <c r="B154" s="327" t="s">
        <v>3248</v>
      </c>
      <c r="C154" s="327" t="s">
        <v>381</v>
      </c>
      <c r="D154" s="436">
        <v>2</v>
      </c>
      <c r="E154" s="327" t="s">
        <v>3549</v>
      </c>
      <c r="F154" s="327" t="s">
        <v>3551</v>
      </c>
      <c r="G154" s="327" t="s">
        <v>155</v>
      </c>
      <c r="H154" s="437">
        <v>9.5883330000000004</v>
      </c>
      <c r="I154" s="437">
        <v>125.4111</v>
      </c>
      <c r="J154" s="438" t="s">
        <v>3256</v>
      </c>
      <c r="K154" s="439" t="s">
        <v>3257</v>
      </c>
      <c r="L154" s="439" t="s">
        <v>409</v>
      </c>
    </row>
    <row r="155" spans="1:12" ht="14.25">
      <c r="A155" s="6">
        <v>152</v>
      </c>
      <c r="B155" s="327" t="s">
        <v>3248</v>
      </c>
      <c r="C155" s="327" t="s">
        <v>381</v>
      </c>
      <c r="D155" s="436">
        <v>2</v>
      </c>
      <c r="E155" s="327" t="s">
        <v>3552</v>
      </c>
      <c r="F155" s="327" t="s">
        <v>3553</v>
      </c>
      <c r="G155" s="327" t="s">
        <v>155</v>
      </c>
      <c r="H155" s="437">
        <v>9.4458900000000003</v>
      </c>
      <c r="I155" s="437">
        <v>125.454114</v>
      </c>
      <c r="J155" s="438" t="s">
        <v>3256</v>
      </c>
      <c r="K155" s="439" t="s">
        <v>3257</v>
      </c>
      <c r="L155" s="439" t="s">
        <v>409</v>
      </c>
    </row>
    <row r="156" spans="1:12" ht="14.25">
      <c r="A156" s="6">
        <v>153</v>
      </c>
      <c r="B156" s="327" t="s">
        <v>3248</v>
      </c>
      <c r="C156" s="327" t="s">
        <v>381</v>
      </c>
      <c r="D156" s="436">
        <v>2</v>
      </c>
      <c r="E156" s="327" t="s">
        <v>3554</v>
      </c>
      <c r="F156" s="327" t="s">
        <v>3555</v>
      </c>
      <c r="G156" s="327" t="s">
        <v>155</v>
      </c>
      <c r="H156" s="437">
        <v>9.5681390000000004</v>
      </c>
      <c r="I156" s="437">
        <v>125.4164</v>
      </c>
      <c r="J156" s="438" t="s">
        <v>3256</v>
      </c>
      <c r="K156" s="439" t="s">
        <v>3257</v>
      </c>
      <c r="L156" s="439" t="s">
        <v>409</v>
      </c>
    </row>
    <row r="157" spans="1:12" ht="14.25">
      <c r="A157" s="6">
        <v>154</v>
      </c>
      <c r="B157" s="327" t="s">
        <v>3248</v>
      </c>
      <c r="C157" s="327" t="s">
        <v>381</v>
      </c>
      <c r="D157" s="436">
        <v>2</v>
      </c>
      <c r="E157" s="327" t="s">
        <v>3557</v>
      </c>
      <c r="F157" s="327" t="s">
        <v>3558</v>
      </c>
      <c r="G157" s="327" t="s">
        <v>155</v>
      </c>
      <c r="H157" s="437">
        <v>9.4942499999999992</v>
      </c>
      <c r="I157" s="437">
        <v>125.43640000000001</v>
      </c>
      <c r="J157" s="438" t="s">
        <v>3256</v>
      </c>
      <c r="K157" s="439" t="s">
        <v>3257</v>
      </c>
      <c r="L157" s="439" t="s">
        <v>409</v>
      </c>
    </row>
    <row r="158" spans="1:12" ht="14.25">
      <c r="A158" s="6">
        <v>155</v>
      </c>
      <c r="B158" s="327" t="s">
        <v>3248</v>
      </c>
      <c r="C158" s="327" t="s">
        <v>381</v>
      </c>
      <c r="D158" s="436">
        <v>2</v>
      </c>
      <c r="E158" s="327" t="s">
        <v>140</v>
      </c>
      <c r="F158" s="327" t="s">
        <v>3451</v>
      </c>
      <c r="G158" s="327" t="s">
        <v>155</v>
      </c>
      <c r="H158" s="437">
        <v>9.6167219999999993</v>
      </c>
      <c r="I158" s="437">
        <v>125.40130000000001</v>
      </c>
      <c r="J158" s="438" t="s">
        <v>3269</v>
      </c>
      <c r="K158" s="439" t="s">
        <v>3253</v>
      </c>
      <c r="L158" s="439" t="s">
        <v>288</v>
      </c>
    </row>
    <row r="159" spans="1:12" ht="14.25">
      <c r="A159" s="6">
        <v>156</v>
      </c>
      <c r="B159" s="327" t="s">
        <v>3248</v>
      </c>
      <c r="C159" s="327" t="s">
        <v>381</v>
      </c>
      <c r="D159" s="436">
        <v>2</v>
      </c>
      <c r="E159" s="327" t="s">
        <v>2101</v>
      </c>
      <c r="F159" s="327" t="s">
        <v>3559</v>
      </c>
      <c r="G159" s="327" t="s">
        <v>155</v>
      </c>
      <c r="H159" s="437">
        <v>9.613944</v>
      </c>
      <c r="I159" s="437">
        <v>125.41160000000001</v>
      </c>
      <c r="J159" s="438" t="s">
        <v>3269</v>
      </c>
      <c r="K159" s="439" t="s">
        <v>3253</v>
      </c>
      <c r="L159" s="439" t="s">
        <v>409</v>
      </c>
    </row>
    <row r="160" spans="1:12" ht="14.25">
      <c r="A160" s="6">
        <v>157</v>
      </c>
      <c r="B160" s="327" t="s">
        <v>3248</v>
      </c>
      <c r="C160" s="327" t="s">
        <v>381</v>
      </c>
      <c r="D160" s="436">
        <v>2</v>
      </c>
      <c r="E160" s="327" t="s">
        <v>3560</v>
      </c>
      <c r="F160" s="327" t="s">
        <v>3561</v>
      </c>
      <c r="G160" s="327" t="s">
        <v>155</v>
      </c>
      <c r="H160" s="437">
        <v>9.5414999999999992</v>
      </c>
      <c r="I160" s="437">
        <v>125.4502</v>
      </c>
      <c r="J160" s="438" t="s">
        <v>3256</v>
      </c>
      <c r="K160" s="439" t="s">
        <v>3257</v>
      </c>
      <c r="L160" s="439" t="s">
        <v>409</v>
      </c>
    </row>
    <row r="161" spans="1:12" ht="14.25">
      <c r="A161" s="6">
        <v>158</v>
      </c>
      <c r="B161" s="327" t="s">
        <v>3248</v>
      </c>
      <c r="C161" s="327" t="s">
        <v>113</v>
      </c>
      <c r="D161" s="436">
        <v>1</v>
      </c>
      <c r="E161" s="327" t="s">
        <v>2000</v>
      </c>
      <c r="F161" s="327" t="s">
        <v>3562</v>
      </c>
      <c r="G161" s="327" t="s">
        <v>155</v>
      </c>
      <c r="H161" s="437">
        <v>9.865278</v>
      </c>
      <c r="I161" s="437">
        <v>126.098333</v>
      </c>
      <c r="J161" s="438" t="s">
        <v>3269</v>
      </c>
      <c r="K161" s="439" t="s">
        <v>3253</v>
      </c>
      <c r="L161" s="439" t="s">
        <v>409</v>
      </c>
    </row>
    <row r="162" spans="1:12" ht="14.25">
      <c r="A162" s="6">
        <v>159</v>
      </c>
      <c r="B162" s="327" t="s">
        <v>3248</v>
      </c>
      <c r="C162" s="327" t="s">
        <v>113</v>
      </c>
      <c r="D162" s="436">
        <v>1</v>
      </c>
      <c r="E162" s="327" t="s">
        <v>1959</v>
      </c>
      <c r="F162" s="327" t="s">
        <v>566</v>
      </c>
      <c r="G162" s="327" t="s">
        <v>155</v>
      </c>
      <c r="H162" s="437">
        <v>9.8949999999999996</v>
      </c>
      <c r="I162" s="437">
        <v>126.109167</v>
      </c>
      <c r="J162" s="438" t="s">
        <v>3269</v>
      </c>
      <c r="K162" s="439" t="s">
        <v>3253</v>
      </c>
      <c r="L162" s="439" t="s">
        <v>288</v>
      </c>
    </row>
    <row r="163" spans="1:12" ht="14.25">
      <c r="A163" s="6">
        <v>160</v>
      </c>
      <c r="B163" s="327" t="s">
        <v>3248</v>
      </c>
      <c r="C163" s="327" t="s">
        <v>113</v>
      </c>
      <c r="D163" s="436">
        <v>1</v>
      </c>
      <c r="E163" s="327" t="s">
        <v>3563</v>
      </c>
      <c r="F163" s="327" t="s">
        <v>3564</v>
      </c>
      <c r="G163" s="327" t="s">
        <v>155</v>
      </c>
      <c r="H163" s="437">
        <v>9.8628359999999997</v>
      </c>
      <c r="I163" s="437">
        <v>126.09936500000001</v>
      </c>
      <c r="J163" s="438" t="s">
        <v>3269</v>
      </c>
      <c r="K163" s="439" t="s">
        <v>3253</v>
      </c>
      <c r="L163" s="439" t="s">
        <v>288</v>
      </c>
    </row>
    <row r="164" spans="1:12" ht="14.25">
      <c r="A164" s="6">
        <v>161</v>
      </c>
      <c r="B164" s="327" t="s">
        <v>3248</v>
      </c>
      <c r="C164" s="327" t="s">
        <v>113</v>
      </c>
      <c r="D164" s="436">
        <v>1</v>
      </c>
      <c r="E164" s="327" t="s">
        <v>1804</v>
      </c>
      <c r="F164" s="327" t="s">
        <v>547</v>
      </c>
      <c r="G164" s="327" t="s">
        <v>155</v>
      </c>
      <c r="H164" s="437">
        <v>9.8752779999999998</v>
      </c>
      <c r="I164" s="437">
        <v>126.10638899999999</v>
      </c>
      <c r="J164" s="438" t="s">
        <v>3269</v>
      </c>
      <c r="K164" s="439" t="s">
        <v>3253</v>
      </c>
      <c r="L164" s="439" t="s">
        <v>288</v>
      </c>
    </row>
    <row r="165" spans="1:12" ht="14.25">
      <c r="A165" s="6">
        <v>162</v>
      </c>
      <c r="B165" s="327" t="s">
        <v>3248</v>
      </c>
      <c r="C165" s="327" t="s">
        <v>113</v>
      </c>
      <c r="D165" s="436">
        <v>1</v>
      </c>
      <c r="E165" s="327" t="s">
        <v>1500</v>
      </c>
      <c r="F165" s="327" t="s">
        <v>3566</v>
      </c>
      <c r="G165" s="327" t="s">
        <v>155</v>
      </c>
      <c r="H165" s="437">
        <v>9.8699999999999992</v>
      </c>
      <c r="I165" s="437">
        <v>126.064722</v>
      </c>
      <c r="J165" s="438" t="s">
        <v>3269</v>
      </c>
      <c r="K165" s="439" t="s">
        <v>3253</v>
      </c>
      <c r="L165" s="439" t="s">
        <v>409</v>
      </c>
    </row>
    <row r="166" spans="1:12" ht="14.25">
      <c r="A166" s="6">
        <v>163</v>
      </c>
      <c r="B166" s="327" t="s">
        <v>3248</v>
      </c>
      <c r="C166" s="327" t="s">
        <v>113</v>
      </c>
      <c r="D166" s="436">
        <v>1</v>
      </c>
      <c r="E166" s="327" t="s">
        <v>2624</v>
      </c>
      <c r="F166" s="327" t="s">
        <v>3568</v>
      </c>
      <c r="G166" s="327" t="s">
        <v>155</v>
      </c>
      <c r="H166" s="437">
        <v>9.8730560000000001</v>
      </c>
      <c r="I166" s="437">
        <v>126.096389</v>
      </c>
      <c r="J166" s="438" t="s">
        <v>3269</v>
      </c>
      <c r="K166" s="439" t="s">
        <v>3253</v>
      </c>
      <c r="L166" s="439" t="s">
        <v>409</v>
      </c>
    </row>
    <row r="167" spans="1:12" ht="14.25">
      <c r="A167" s="6">
        <v>164</v>
      </c>
      <c r="B167" s="327" t="s">
        <v>3248</v>
      </c>
      <c r="C167" s="327" t="s">
        <v>113</v>
      </c>
      <c r="D167" s="436">
        <v>1</v>
      </c>
      <c r="E167" s="327" t="s">
        <v>3570</v>
      </c>
      <c r="F167" s="327" t="s">
        <v>3571</v>
      </c>
      <c r="G167" s="327" t="s">
        <v>155</v>
      </c>
      <c r="H167" s="437">
        <v>9.8994440000000008</v>
      </c>
      <c r="I167" s="437">
        <v>126.087222</v>
      </c>
      <c r="J167" s="438" t="s">
        <v>3269</v>
      </c>
      <c r="K167" s="439" t="s">
        <v>3253</v>
      </c>
      <c r="L167" s="439" t="s">
        <v>409</v>
      </c>
    </row>
    <row r="168" spans="1:12" ht="14.25">
      <c r="A168" s="6">
        <v>165</v>
      </c>
      <c r="B168" s="327" t="s">
        <v>3248</v>
      </c>
      <c r="C168" s="327" t="s">
        <v>113</v>
      </c>
      <c r="D168" s="436">
        <v>1</v>
      </c>
      <c r="E168" s="327" t="s">
        <v>286</v>
      </c>
      <c r="F168" s="327" t="s">
        <v>287</v>
      </c>
      <c r="G168" s="327" t="s">
        <v>155</v>
      </c>
      <c r="H168" s="437">
        <v>9.8312919999999995</v>
      </c>
      <c r="I168" s="437">
        <v>126.093654</v>
      </c>
      <c r="J168" s="438" t="s">
        <v>3256</v>
      </c>
      <c r="K168" s="439" t="s">
        <v>3257</v>
      </c>
      <c r="L168" s="439" t="s">
        <v>288</v>
      </c>
    </row>
    <row r="169" spans="1:12" ht="14.25">
      <c r="A169" s="6">
        <v>166</v>
      </c>
      <c r="B169" s="327" t="s">
        <v>3248</v>
      </c>
      <c r="C169" s="327" t="s">
        <v>113</v>
      </c>
      <c r="D169" s="436">
        <v>1</v>
      </c>
      <c r="E169" s="327" t="s">
        <v>2635</v>
      </c>
      <c r="F169" s="327" t="s">
        <v>3575</v>
      </c>
      <c r="G169" s="327" t="s">
        <v>155</v>
      </c>
      <c r="H169" s="437">
        <v>9.82</v>
      </c>
      <c r="I169" s="437">
        <v>126.056667</v>
      </c>
      <c r="J169" s="438" t="s">
        <v>3256</v>
      </c>
      <c r="K169" s="439" t="s">
        <v>3257</v>
      </c>
      <c r="L169" s="439" t="s">
        <v>409</v>
      </c>
    </row>
    <row r="170" spans="1:12" ht="14.25">
      <c r="A170" s="6">
        <v>167</v>
      </c>
      <c r="B170" s="327" t="s">
        <v>3248</v>
      </c>
      <c r="C170" s="327" t="s">
        <v>113</v>
      </c>
      <c r="D170" s="436">
        <v>1</v>
      </c>
      <c r="E170" s="327" t="s">
        <v>2429</v>
      </c>
      <c r="F170" s="327" t="s">
        <v>3485</v>
      </c>
      <c r="G170" s="327" t="s">
        <v>155</v>
      </c>
      <c r="H170" s="437">
        <v>9.8377780000000001</v>
      </c>
      <c r="I170" s="437">
        <v>126.064722</v>
      </c>
      <c r="J170" s="438" t="s">
        <v>3269</v>
      </c>
      <c r="K170" s="439" t="s">
        <v>3253</v>
      </c>
      <c r="L170" s="439" t="s">
        <v>409</v>
      </c>
    </row>
    <row r="171" spans="1:12" ht="14.25">
      <c r="A171" s="6">
        <v>168</v>
      </c>
      <c r="B171" s="327" t="s">
        <v>3248</v>
      </c>
      <c r="C171" s="327" t="s">
        <v>113</v>
      </c>
      <c r="D171" s="436">
        <v>1</v>
      </c>
      <c r="E171" s="327" t="s">
        <v>82</v>
      </c>
      <c r="F171" s="327" t="s">
        <v>500</v>
      </c>
      <c r="G171" s="327" t="s">
        <v>155</v>
      </c>
      <c r="H171" s="437">
        <v>9.8263890000000007</v>
      </c>
      <c r="I171" s="437">
        <v>126.108611</v>
      </c>
      <c r="J171" s="438" t="s">
        <v>3269</v>
      </c>
      <c r="K171" s="439" t="s">
        <v>3253</v>
      </c>
      <c r="L171" s="439" t="s">
        <v>409</v>
      </c>
    </row>
    <row r="172" spans="1:12" ht="14.25">
      <c r="A172" s="6">
        <v>169</v>
      </c>
      <c r="B172" s="327" t="s">
        <v>3248</v>
      </c>
      <c r="C172" s="327" t="s">
        <v>113</v>
      </c>
      <c r="D172" s="436">
        <v>1</v>
      </c>
      <c r="E172" s="327" t="s">
        <v>3543</v>
      </c>
      <c r="F172" s="327" t="s">
        <v>3588</v>
      </c>
      <c r="G172" s="327" t="s">
        <v>155</v>
      </c>
      <c r="H172" s="437">
        <v>9.8633330000000008</v>
      </c>
      <c r="I172" s="437">
        <v>126.103056</v>
      </c>
      <c r="J172" s="438" t="s">
        <v>3269</v>
      </c>
      <c r="K172" s="439" t="s">
        <v>3253</v>
      </c>
      <c r="L172" s="439" t="s">
        <v>409</v>
      </c>
    </row>
    <row r="173" spans="1:12" ht="14.25">
      <c r="A173" s="6">
        <v>170</v>
      </c>
      <c r="B173" s="327" t="s">
        <v>3248</v>
      </c>
      <c r="C173" s="327" t="s">
        <v>113</v>
      </c>
      <c r="D173" s="436">
        <v>1</v>
      </c>
      <c r="E173" s="327" t="s">
        <v>3591</v>
      </c>
      <c r="F173" s="327" t="s">
        <v>3592</v>
      </c>
      <c r="G173" s="327" t="s">
        <v>155</v>
      </c>
      <c r="H173" s="437">
        <v>9.8625330000000009</v>
      </c>
      <c r="I173" s="437">
        <v>126.101364</v>
      </c>
      <c r="J173" s="438" t="s">
        <v>3269</v>
      </c>
      <c r="K173" s="439" t="s">
        <v>3253</v>
      </c>
      <c r="L173" s="439" t="s">
        <v>409</v>
      </c>
    </row>
    <row r="174" spans="1:12" ht="14.25">
      <c r="A174" s="6">
        <v>171</v>
      </c>
      <c r="B174" s="327" t="s">
        <v>3248</v>
      </c>
      <c r="C174" s="327" t="s">
        <v>113</v>
      </c>
      <c r="D174" s="436">
        <v>1</v>
      </c>
      <c r="E174" s="327" t="s">
        <v>1567</v>
      </c>
      <c r="F174" s="327" t="s">
        <v>1568</v>
      </c>
      <c r="G174" s="327" t="s">
        <v>155</v>
      </c>
      <c r="H174" s="437">
        <v>9.8466670000000001</v>
      </c>
      <c r="I174" s="437">
        <v>126.11027799999999</v>
      </c>
      <c r="J174" s="438" t="s">
        <v>3269</v>
      </c>
      <c r="K174" s="439" t="s">
        <v>3253</v>
      </c>
      <c r="L174" s="439" t="s">
        <v>409</v>
      </c>
    </row>
    <row r="175" spans="1:12" ht="14.25">
      <c r="A175" s="6">
        <v>172</v>
      </c>
      <c r="B175" s="327" t="s">
        <v>3248</v>
      </c>
      <c r="C175" s="327" t="s">
        <v>113</v>
      </c>
      <c r="D175" s="436">
        <v>1</v>
      </c>
      <c r="E175" s="327" t="s">
        <v>1477</v>
      </c>
      <c r="F175" s="327" t="s">
        <v>1478</v>
      </c>
      <c r="G175" s="327" t="s">
        <v>155</v>
      </c>
      <c r="H175" s="437">
        <v>9.8752209999999998</v>
      </c>
      <c r="I175" s="437">
        <v>126.06731600000001</v>
      </c>
      <c r="J175" s="438" t="s">
        <v>3269</v>
      </c>
      <c r="K175" s="439" t="s">
        <v>3253</v>
      </c>
      <c r="L175" s="439" t="s">
        <v>409</v>
      </c>
    </row>
    <row r="176" spans="1:12" ht="14.25">
      <c r="A176" s="6">
        <v>173</v>
      </c>
      <c r="B176" s="327" t="s">
        <v>3248</v>
      </c>
      <c r="C176" s="327" t="s">
        <v>216</v>
      </c>
      <c r="D176" s="436">
        <v>2</v>
      </c>
      <c r="E176" s="327" t="s">
        <v>3594</v>
      </c>
      <c r="F176" s="327" t="s">
        <v>3595</v>
      </c>
      <c r="G176" s="327" t="s">
        <v>155</v>
      </c>
      <c r="H176" s="437">
        <v>9.6372739999999997</v>
      </c>
      <c r="I176" s="437">
        <v>125.598322</v>
      </c>
      <c r="J176" s="438" t="s">
        <v>3269</v>
      </c>
      <c r="K176" s="439" t="s">
        <v>3253</v>
      </c>
      <c r="L176" s="439" t="s">
        <v>409</v>
      </c>
    </row>
    <row r="177" spans="1:12" ht="14.25">
      <c r="A177" s="6">
        <v>174</v>
      </c>
      <c r="B177" s="327" t="s">
        <v>3248</v>
      </c>
      <c r="C177" s="327" t="s">
        <v>216</v>
      </c>
      <c r="D177" s="436">
        <v>2</v>
      </c>
      <c r="E177" s="327" t="s">
        <v>3596</v>
      </c>
      <c r="F177" s="327" t="s">
        <v>3597</v>
      </c>
      <c r="G177" s="327" t="s">
        <v>155</v>
      </c>
      <c r="H177" s="437">
        <v>9.6212180000000007</v>
      </c>
      <c r="I177" s="437">
        <v>125.548783</v>
      </c>
      <c r="J177" s="438" t="s">
        <v>3252</v>
      </c>
      <c r="K177" s="439" t="s">
        <v>3257</v>
      </c>
      <c r="L177" s="439" t="s">
        <v>409</v>
      </c>
    </row>
    <row r="178" spans="1:12" ht="14.25">
      <c r="A178" s="6">
        <v>175</v>
      </c>
      <c r="B178" s="327" t="s">
        <v>3248</v>
      </c>
      <c r="C178" s="327" t="s">
        <v>216</v>
      </c>
      <c r="D178" s="436">
        <v>2</v>
      </c>
      <c r="E178" s="327" t="s">
        <v>3598</v>
      </c>
      <c r="F178" s="327" t="s">
        <v>3599</v>
      </c>
      <c r="G178" s="327" t="s">
        <v>155</v>
      </c>
      <c r="H178" s="437">
        <v>9.6351560000000003</v>
      </c>
      <c r="I178" s="437">
        <v>125.566948</v>
      </c>
      <c r="J178" s="438" t="s">
        <v>3269</v>
      </c>
      <c r="K178" s="439" t="s">
        <v>3253</v>
      </c>
      <c r="L178" s="439" t="s">
        <v>409</v>
      </c>
    </row>
    <row r="179" spans="1:12" ht="14.25">
      <c r="A179" s="6">
        <v>176</v>
      </c>
      <c r="B179" s="327" t="s">
        <v>3248</v>
      </c>
      <c r="C179" s="327" t="s">
        <v>216</v>
      </c>
      <c r="D179" s="436">
        <v>2</v>
      </c>
      <c r="E179" s="327" t="s">
        <v>3600</v>
      </c>
      <c r="F179" s="327" t="s">
        <v>3601</v>
      </c>
      <c r="G179" s="327" t="s">
        <v>155</v>
      </c>
      <c r="H179" s="437">
        <v>9.6073330000000006</v>
      </c>
      <c r="I179" s="437">
        <v>125.5654</v>
      </c>
      <c r="J179" s="438" t="s">
        <v>3269</v>
      </c>
      <c r="K179" s="439" t="s">
        <v>3253</v>
      </c>
      <c r="L179" s="439" t="s">
        <v>409</v>
      </c>
    </row>
    <row r="180" spans="1:12" ht="14.25">
      <c r="A180" s="6">
        <v>177</v>
      </c>
      <c r="B180" s="327" t="s">
        <v>3248</v>
      </c>
      <c r="C180" s="327" t="s">
        <v>216</v>
      </c>
      <c r="D180" s="436">
        <v>2</v>
      </c>
      <c r="E180" s="327" t="s">
        <v>3602</v>
      </c>
      <c r="F180" s="327" t="s">
        <v>3603</v>
      </c>
      <c r="G180" s="327" t="s">
        <v>155</v>
      </c>
      <c r="H180" s="437">
        <v>9.6540230000000005</v>
      </c>
      <c r="I180" s="437">
        <v>125.575462</v>
      </c>
      <c r="J180" s="438" t="s">
        <v>3269</v>
      </c>
      <c r="K180" s="439" t="s">
        <v>3253</v>
      </c>
      <c r="L180" s="439" t="s">
        <v>409</v>
      </c>
    </row>
    <row r="181" spans="1:12" ht="14.25">
      <c r="A181" s="6">
        <v>178</v>
      </c>
      <c r="B181" s="327" t="s">
        <v>3248</v>
      </c>
      <c r="C181" s="327" t="s">
        <v>216</v>
      </c>
      <c r="D181" s="436">
        <v>2</v>
      </c>
      <c r="E181" s="327" t="s">
        <v>376</v>
      </c>
      <c r="F181" s="327" t="s">
        <v>3604</v>
      </c>
      <c r="G181" s="327" t="s">
        <v>155</v>
      </c>
      <c r="H181" s="437">
        <v>9.6575600000000001</v>
      </c>
      <c r="I181" s="437">
        <v>125.60235299999999</v>
      </c>
      <c r="J181" s="438" t="s">
        <v>3269</v>
      </c>
      <c r="K181" s="439" t="s">
        <v>3253</v>
      </c>
      <c r="L181" s="439" t="s">
        <v>409</v>
      </c>
    </row>
    <row r="182" spans="1:12" ht="14.25">
      <c r="A182" s="6">
        <v>179</v>
      </c>
      <c r="B182" s="327" t="s">
        <v>3248</v>
      </c>
      <c r="C182" s="327" t="s">
        <v>216</v>
      </c>
      <c r="D182" s="436">
        <v>2</v>
      </c>
      <c r="E182" s="327" t="s">
        <v>3605</v>
      </c>
      <c r="F182" s="327" t="s">
        <v>3606</v>
      </c>
      <c r="G182" s="327" t="s">
        <v>155</v>
      </c>
      <c r="H182" s="437">
        <v>9.6914730000000002</v>
      </c>
      <c r="I182" s="437">
        <v>125.655587</v>
      </c>
      <c r="J182" s="438" t="s">
        <v>3256</v>
      </c>
      <c r="K182" s="439" t="s">
        <v>3257</v>
      </c>
      <c r="L182" s="439" t="s">
        <v>409</v>
      </c>
    </row>
    <row r="183" spans="1:12" ht="14.25">
      <c r="A183" s="6">
        <v>180</v>
      </c>
      <c r="B183" s="327" t="s">
        <v>3248</v>
      </c>
      <c r="C183" s="327" t="s">
        <v>216</v>
      </c>
      <c r="D183" s="436">
        <v>2</v>
      </c>
      <c r="E183" s="327" t="s">
        <v>290</v>
      </c>
      <c r="F183" s="327" t="s">
        <v>3438</v>
      </c>
      <c r="G183" s="327" t="s">
        <v>155</v>
      </c>
      <c r="H183" s="437">
        <v>9.6525320000000008</v>
      </c>
      <c r="I183" s="437">
        <v>125.604727</v>
      </c>
      <c r="J183" s="438" t="s">
        <v>3269</v>
      </c>
      <c r="K183" s="439" t="s">
        <v>3253</v>
      </c>
      <c r="L183" s="439" t="s">
        <v>409</v>
      </c>
    </row>
    <row r="184" spans="1:12" ht="14.25">
      <c r="A184" s="6">
        <v>181</v>
      </c>
      <c r="B184" s="327" t="s">
        <v>3248</v>
      </c>
      <c r="C184" s="327" t="s">
        <v>216</v>
      </c>
      <c r="D184" s="436">
        <v>2</v>
      </c>
      <c r="E184" s="327" t="s">
        <v>3608</v>
      </c>
      <c r="F184" s="327" t="s">
        <v>3609</v>
      </c>
      <c r="G184" s="327" t="s">
        <v>155</v>
      </c>
      <c r="H184" s="437">
        <v>9.6762320000000006</v>
      </c>
      <c r="I184" s="437">
        <v>125.64452</v>
      </c>
      <c r="J184" s="438" t="s">
        <v>3256</v>
      </c>
      <c r="K184" s="439" t="s">
        <v>3257</v>
      </c>
      <c r="L184" s="439" t="s">
        <v>409</v>
      </c>
    </row>
    <row r="185" spans="1:12" ht="14.25">
      <c r="A185" s="6">
        <v>182</v>
      </c>
      <c r="B185" s="327" t="s">
        <v>3248</v>
      </c>
      <c r="C185" s="327" t="s">
        <v>216</v>
      </c>
      <c r="D185" s="436">
        <v>2</v>
      </c>
      <c r="E185" s="327" t="s">
        <v>2429</v>
      </c>
      <c r="F185" s="327" t="s">
        <v>3485</v>
      </c>
      <c r="G185" s="327" t="s">
        <v>155</v>
      </c>
      <c r="H185" s="437">
        <v>9.6244859999999992</v>
      </c>
      <c r="I185" s="437">
        <v>125.566715</v>
      </c>
      <c r="J185" s="438" t="s">
        <v>3269</v>
      </c>
      <c r="K185" s="439" t="s">
        <v>3253</v>
      </c>
      <c r="L185" s="439" t="s">
        <v>409</v>
      </c>
    </row>
    <row r="186" spans="1:12" ht="14.25">
      <c r="A186" s="6">
        <v>183</v>
      </c>
      <c r="B186" s="327" t="s">
        <v>3248</v>
      </c>
      <c r="C186" s="327" t="s">
        <v>216</v>
      </c>
      <c r="D186" s="436">
        <v>2</v>
      </c>
      <c r="E186" s="327" t="s">
        <v>3610</v>
      </c>
      <c r="F186" s="327" t="s">
        <v>3611</v>
      </c>
      <c r="G186" s="327" t="s">
        <v>155</v>
      </c>
      <c r="H186" s="437">
        <v>9.6162259999999993</v>
      </c>
      <c r="I186" s="437">
        <v>125.56441</v>
      </c>
      <c r="J186" s="438" t="s">
        <v>3269</v>
      </c>
      <c r="K186" s="439" t="s">
        <v>3253</v>
      </c>
      <c r="L186" s="439" t="s">
        <v>409</v>
      </c>
    </row>
    <row r="187" spans="1:12" ht="14.25">
      <c r="A187" s="6">
        <v>184</v>
      </c>
      <c r="B187" s="327" t="s">
        <v>3248</v>
      </c>
      <c r="C187" s="327" t="s">
        <v>216</v>
      </c>
      <c r="D187" s="436">
        <v>2</v>
      </c>
      <c r="E187" s="327" t="s">
        <v>356</v>
      </c>
      <c r="F187" s="327" t="s">
        <v>358</v>
      </c>
      <c r="G187" s="327" t="s">
        <v>155</v>
      </c>
      <c r="H187" s="437">
        <v>9.6567349999999994</v>
      </c>
      <c r="I187" s="437">
        <v>125.59986600000001</v>
      </c>
      <c r="J187" s="438" t="s">
        <v>3269</v>
      </c>
      <c r="K187" s="439" t="s">
        <v>3253</v>
      </c>
      <c r="L187" s="439" t="s">
        <v>288</v>
      </c>
    </row>
    <row r="188" spans="1:12" ht="14.25">
      <c r="A188" s="6">
        <v>185</v>
      </c>
      <c r="B188" s="327" t="s">
        <v>3248</v>
      </c>
      <c r="C188" s="327" t="s">
        <v>216</v>
      </c>
      <c r="D188" s="436">
        <v>2</v>
      </c>
      <c r="E188" s="327" t="s">
        <v>3612</v>
      </c>
      <c r="F188" s="327" t="s">
        <v>3614</v>
      </c>
      <c r="G188" s="327" t="s">
        <v>155</v>
      </c>
      <c r="H188" s="437">
        <v>9.6532839999999993</v>
      </c>
      <c r="I188" s="437">
        <v>125.557605</v>
      </c>
      <c r="J188" s="438" t="s">
        <v>3256</v>
      </c>
      <c r="K188" s="439" t="s">
        <v>3257</v>
      </c>
      <c r="L188" s="439" t="s">
        <v>409</v>
      </c>
    </row>
    <row r="189" spans="1:12" ht="14.25">
      <c r="A189" s="6">
        <v>186</v>
      </c>
      <c r="B189" s="327" t="s">
        <v>3248</v>
      </c>
      <c r="C189" s="327" t="s">
        <v>216</v>
      </c>
      <c r="D189" s="436">
        <v>2</v>
      </c>
      <c r="E189" s="327" t="s">
        <v>3615</v>
      </c>
      <c r="F189" s="327" t="s">
        <v>3616</v>
      </c>
      <c r="G189" s="327" t="s">
        <v>155</v>
      </c>
      <c r="H189" s="437">
        <v>9.6169980000000006</v>
      </c>
      <c r="I189" s="437">
        <v>125.612453</v>
      </c>
      <c r="J189" s="438" t="s">
        <v>3256</v>
      </c>
      <c r="K189" s="439" t="s">
        <v>3257</v>
      </c>
      <c r="L189" s="439" t="s">
        <v>409</v>
      </c>
    </row>
    <row r="190" spans="1:12" ht="14.25">
      <c r="A190" s="6">
        <v>187</v>
      </c>
      <c r="B190" s="327" t="s">
        <v>3248</v>
      </c>
      <c r="C190" s="327" t="s">
        <v>216</v>
      </c>
      <c r="D190" s="436">
        <v>2</v>
      </c>
      <c r="E190" s="327" t="s">
        <v>471</v>
      </c>
      <c r="F190" s="327" t="s">
        <v>474</v>
      </c>
      <c r="G190" s="327" t="s">
        <v>155</v>
      </c>
      <c r="H190" s="437">
        <v>9.6317260000000005</v>
      </c>
      <c r="I190" s="437">
        <v>125.61660500000001</v>
      </c>
      <c r="J190" s="438" t="s">
        <v>3256</v>
      </c>
      <c r="K190" s="439" t="s">
        <v>3257</v>
      </c>
      <c r="L190" s="439" t="s">
        <v>409</v>
      </c>
    </row>
    <row r="191" spans="1:12" ht="14.25">
      <c r="A191" s="6">
        <v>188</v>
      </c>
      <c r="B191" s="327" t="s">
        <v>3248</v>
      </c>
      <c r="C191" s="327" t="s">
        <v>216</v>
      </c>
      <c r="D191" s="436">
        <v>2</v>
      </c>
      <c r="E191" s="327" t="s">
        <v>140</v>
      </c>
      <c r="F191" s="327" t="s">
        <v>3451</v>
      </c>
      <c r="G191" s="327" t="s">
        <v>155</v>
      </c>
      <c r="H191" s="437">
        <v>9.6435110000000002</v>
      </c>
      <c r="I191" s="437">
        <v>125.550704</v>
      </c>
      <c r="J191" s="438" t="s">
        <v>3256</v>
      </c>
      <c r="K191" s="439" t="s">
        <v>3257</v>
      </c>
      <c r="L191" s="439" t="s">
        <v>409</v>
      </c>
    </row>
    <row r="192" spans="1:12" ht="14.25">
      <c r="A192" s="6">
        <v>189</v>
      </c>
      <c r="B192" s="327" t="s">
        <v>3248</v>
      </c>
      <c r="C192" s="327" t="s">
        <v>216</v>
      </c>
      <c r="D192" s="436">
        <v>2</v>
      </c>
      <c r="E192" s="327" t="s">
        <v>3617</v>
      </c>
      <c r="F192" s="327" t="s">
        <v>3618</v>
      </c>
      <c r="G192" s="327" t="s">
        <v>155</v>
      </c>
      <c r="H192" s="437">
        <v>9.691255</v>
      </c>
      <c r="I192" s="437">
        <v>125.643175</v>
      </c>
      <c r="J192" s="438" t="s">
        <v>3256</v>
      </c>
      <c r="K192" s="439" t="s">
        <v>3257</v>
      </c>
      <c r="L192" s="439" t="s">
        <v>409</v>
      </c>
    </row>
    <row r="193" spans="1:12" ht="14.25">
      <c r="A193" s="6">
        <v>190</v>
      </c>
      <c r="B193" s="327" t="s">
        <v>3248</v>
      </c>
      <c r="C193" s="327" t="s">
        <v>216</v>
      </c>
      <c r="D193" s="436">
        <v>2</v>
      </c>
      <c r="E193" s="327" t="s">
        <v>172</v>
      </c>
      <c r="F193" s="327" t="s">
        <v>3425</v>
      </c>
      <c r="G193" s="327" t="s">
        <v>155</v>
      </c>
      <c r="H193" s="437">
        <v>9.6340599999999998</v>
      </c>
      <c r="I193" s="437">
        <v>125.55929999999999</v>
      </c>
      <c r="J193" s="438" t="s">
        <v>3269</v>
      </c>
      <c r="K193" s="439" t="s">
        <v>3253</v>
      </c>
      <c r="L193" s="439" t="s">
        <v>409</v>
      </c>
    </row>
    <row r="194" spans="1:12" ht="14.25">
      <c r="A194" s="6">
        <v>191</v>
      </c>
      <c r="B194" s="327" t="s">
        <v>3248</v>
      </c>
      <c r="C194" s="327" t="s">
        <v>216</v>
      </c>
      <c r="D194" s="436">
        <v>2</v>
      </c>
      <c r="E194" s="327" t="s">
        <v>2164</v>
      </c>
      <c r="F194" s="327" t="s">
        <v>3619</v>
      </c>
      <c r="G194" s="327" t="s">
        <v>155</v>
      </c>
      <c r="H194" s="437">
        <v>9.6635749999999998</v>
      </c>
      <c r="I194" s="437">
        <v>125.57534</v>
      </c>
      <c r="J194" s="438" t="s">
        <v>3256</v>
      </c>
      <c r="K194" s="439" t="s">
        <v>3257</v>
      </c>
      <c r="L194" s="439" t="s">
        <v>409</v>
      </c>
    </row>
    <row r="195" spans="1:12" ht="14.25">
      <c r="A195" s="6">
        <v>192</v>
      </c>
      <c r="B195" s="327" t="s">
        <v>3248</v>
      </c>
      <c r="C195" s="327" t="s">
        <v>216</v>
      </c>
      <c r="D195" s="436">
        <v>2</v>
      </c>
      <c r="E195" s="327" t="s">
        <v>3620</v>
      </c>
      <c r="F195" s="327" t="s">
        <v>3621</v>
      </c>
      <c r="G195" s="327" t="s">
        <v>155</v>
      </c>
      <c r="H195" s="437">
        <v>9.6252080000000007</v>
      </c>
      <c r="I195" s="437">
        <v>125.602311</v>
      </c>
      <c r="J195" s="438" t="s">
        <v>3256</v>
      </c>
      <c r="K195" s="439" t="s">
        <v>3257</v>
      </c>
      <c r="L195" s="439" t="s">
        <v>409</v>
      </c>
    </row>
    <row r="196" spans="1:12" ht="14.25">
      <c r="A196" s="6">
        <v>193</v>
      </c>
      <c r="B196" s="327" t="s">
        <v>3248</v>
      </c>
      <c r="C196" s="327" t="s">
        <v>165</v>
      </c>
      <c r="D196" s="436">
        <v>1</v>
      </c>
      <c r="E196" s="327" t="s">
        <v>3579</v>
      </c>
      <c r="F196" s="327" t="s">
        <v>3580</v>
      </c>
      <c r="G196" s="327" t="s">
        <v>155</v>
      </c>
      <c r="H196" s="437">
        <v>9.9134370000000001</v>
      </c>
      <c r="I196" s="437">
        <v>126.003925</v>
      </c>
      <c r="J196" s="438" t="s">
        <v>3256</v>
      </c>
      <c r="K196" s="439" t="s">
        <v>3257</v>
      </c>
      <c r="L196" s="439" t="s">
        <v>409</v>
      </c>
    </row>
    <row r="197" spans="1:12" ht="14.25">
      <c r="A197" s="6">
        <v>194</v>
      </c>
      <c r="B197" s="327" t="s">
        <v>3248</v>
      </c>
      <c r="C197" s="327" t="s">
        <v>165</v>
      </c>
      <c r="D197" s="436">
        <v>1</v>
      </c>
      <c r="E197" s="327" t="s">
        <v>3622</v>
      </c>
      <c r="F197" s="327" t="s">
        <v>3623</v>
      </c>
      <c r="G197" s="327" t="s">
        <v>155</v>
      </c>
      <c r="H197" s="437">
        <v>9.9347989999999999</v>
      </c>
      <c r="I197" s="437">
        <v>125.964451</v>
      </c>
      <c r="J197" s="438" t="s">
        <v>3256</v>
      </c>
      <c r="K197" s="439" t="s">
        <v>3257</v>
      </c>
      <c r="L197" s="439" t="s">
        <v>409</v>
      </c>
    </row>
    <row r="198" spans="1:12" ht="14.25">
      <c r="A198" s="6">
        <v>195</v>
      </c>
      <c r="B198" s="327" t="s">
        <v>3248</v>
      </c>
      <c r="C198" s="327" t="s">
        <v>165</v>
      </c>
      <c r="D198" s="436">
        <v>1</v>
      </c>
      <c r="E198" s="327" t="s">
        <v>2683</v>
      </c>
      <c r="F198" s="327" t="s">
        <v>3624</v>
      </c>
      <c r="G198" s="327" t="s">
        <v>155</v>
      </c>
      <c r="H198" s="437">
        <v>9.9428090000000005</v>
      </c>
      <c r="I198" s="437">
        <v>126.04006099999999</v>
      </c>
      <c r="J198" s="438" t="s">
        <v>3252</v>
      </c>
      <c r="K198" s="439" t="s">
        <v>3257</v>
      </c>
      <c r="L198" s="439" t="s">
        <v>409</v>
      </c>
    </row>
    <row r="199" spans="1:12" ht="14.25">
      <c r="A199" s="6">
        <v>196</v>
      </c>
      <c r="B199" s="327" t="s">
        <v>3248</v>
      </c>
      <c r="C199" s="327" t="s">
        <v>165</v>
      </c>
      <c r="D199" s="436">
        <v>1</v>
      </c>
      <c r="E199" s="327" t="s">
        <v>29</v>
      </c>
      <c r="F199" s="327" t="s">
        <v>425</v>
      </c>
      <c r="G199" s="327" t="s">
        <v>155</v>
      </c>
      <c r="H199" s="437">
        <v>9.9764300000000006</v>
      </c>
      <c r="I199" s="437">
        <v>126.02217400000001</v>
      </c>
      <c r="J199" s="438" t="s">
        <v>3269</v>
      </c>
      <c r="K199" s="439" t="s">
        <v>3253</v>
      </c>
      <c r="L199" s="439" t="s">
        <v>288</v>
      </c>
    </row>
    <row r="200" spans="1:12" ht="14.25">
      <c r="A200" s="6">
        <v>197</v>
      </c>
      <c r="B200" s="327" t="s">
        <v>3248</v>
      </c>
      <c r="C200" s="327" t="s">
        <v>165</v>
      </c>
      <c r="D200" s="436">
        <v>1</v>
      </c>
      <c r="E200" s="327" t="s">
        <v>172</v>
      </c>
      <c r="F200" s="327" t="s">
        <v>3425</v>
      </c>
      <c r="G200" s="327" t="s">
        <v>155</v>
      </c>
      <c r="H200" s="437">
        <v>9.9606720000000006</v>
      </c>
      <c r="I200" s="437">
        <v>126.007734</v>
      </c>
      <c r="J200" s="438" t="s">
        <v>3269</v>
      </c>
      <c r="K200" s="439" t="s">
        <v>3253</v>
      </c>
      <c r="L200" s="439" t="s">
        <v>409</v>
      </c>
    </row>
    <row r="201" spans="1:12" ht="14.25">
      <c r="A201" s="6">
        <v>198</v>
      </c>
      <c r="B201" s="327" t="s">
        <v>3248</v>
      </c>
      <c r="C201" s="327" t="s">
        <v>165</v>
      </c>
      <c r="D201" s="436">
        <v>1</v>
      </c>
      <c r="E201" s="327" t="s">
        <v>183</v>
      </c>
      <c r="F201" s="327" t="s">
        <v>204</v>
      </c>
      <c r="G201" s="327" t="s">
        <v>155</v>
      </c>
      <c r="H201" s="437">
        <v>9.9563699999999997</v>
      </c>
      <c r="I201" s="437">
        <v>126.004578</v>
      </c>
      <c r="J201" s="438" t="s">
        <v>3269</v>
      </c>
      <c r="K201" s="439" t="s">
        <v>3253</v>
      </c>
      <c r="L201" s="439" t="s">
        <v>409</v>
      </c>
    </row>
    <row r="202" spans="1:12" ht="14.25">
      <c r="A202" s="6">
        <v>199</v>
      </c>
      <c r="B202" s="327" t="s">
        <v>3248</v>
      </c>
      <c r="C202" s="327" t="s">
        <v>229</v>
      </c>
      <c r="D202" s="436">
        <v>2</v>
      </c>
      <c r="E202" s="327" t="s">
        <v>3625</v>
      </c>
      <c r="F202" s="327" t="s">
        <v>3626</v>
      </c>
      <c r="G202" s="327" t="s">
        <v>155</v>
      </c>
      <c r="H202" s="437">
        <v>9.7058330000000002</v>
      </c>
      <c r="I202" s="437">
        <v>125.3967</v>
      </c>
      <c r="J202" s="438" t="s">
        <v>3269</v>
      </c>
      <c r="K202" s="439" t="s">
        <v>3253</v>
      </c>
      <c r="L202" s="439" t="s">
        <v>409</v>
      </c>
    </row>
    <row r="203" spans="1:12" ht="14.25">
      <c r="A203" s="6">
        <v>200</v>
      </c>
      <c r="B203" s="327" t="s">
        <v>3248</v>
      </c>
      <c r="C203" s="327" t="s">
        <v>229</v>
      </c>
      <c r="D203" s="436">
        <v>2</v>
      </c>
      <c r="E203" s="327" t="s">
        <v>3627</v>
      </c>
      <c r="F203" s="327" t="s">
        <v>3628</v>
      </c>
      <c r="G203" s="327" t="s">
        <v>155</v>
      </c>
      <c r="H203" s="437">
        <v>9.7375000000000007</v>
      </c>
      <c r="I203" s="437">
        <v>125.3981</v>
      </c>
      <c r="J203" s="438" t="s">
        <v>3269</v>
      </c>
      <c r="K203" s="439" t="s">
        <v>3253</v>
      </c>
      <c r="L203" s="439" t="s">
        <v>409</v>
      </c>
    </row>
    <row r="204" spans="1:12" ht="14.25">
      <c r="A204" s="6">
        <v>201</v>
      </c>
      <c r="B204" s="327" t="s">
        <v>3248</v>
      </c>
      <c r="C204" s="327" t="s">
        <v>229</v>
      </c>
      <c r="D204" s="436">
        <v>2</v>
      </c>
      <c r="E204" s="327" t="s">
        <v>403</v>
      </c>
      <c r="F204" s="327" t="s">
        <v>3629</v>
      </c>
      <c r="G204" s="327" t="s">
        <v>155</v>
      </c>
      <c r="H204" s="437">
        <v>9.7619439999999997</v>
      </c>
      <c r="I204" s="437">
        <v>125.4061</v>
      </c>
      <c r="J204" s="438" t="s">
        <v>3269</v>
      </c>
      <c r="K204" s="439" t="s">
        <v>3253</v>
      </c>
      <c r="L204" s="439" t="s">
        <v>409</v>
      </c>
    </row>
    <row r="205" spans="1:12" ht="14.25">
      <c r="A205" s="6">
        <v>202</v>
      </c>
      <c r="B205" s="327" t="s">
        <v>3248</v>
      </c>
      <c r="C205" s="327" t="s">
        <v>229</v>
      </c>
      <c r="D205" s="436">
        <v>2</v>
      </c>
      <c r="E205" s="327" t="s">
        <v>3630</v>
      </c>
      <c r="F205" s="327" t="s">
        <v>3631</v>
      </c>
      <c r="G205" s="327" t="s">
        <v>155</v>
      </c>
      <c r="H205" s="437">
        <v>9.7702779999999994</v>
      </c>
      <c r="I205" s="437">
        <v>125.41889999999999</v>
      </c>
      <c r="J205" s="438" t="s">
        <v>3269</v>
      </c>
      <c r="K205" s="439" t="s">
        <v>3253</v>
      </c>
      <c r="L205" s="439" t="s">
        <v>409</v>
      </c>
    </row>
    <row r="206" spans="1:12" ht="14.25">
      <c r="A206" s="6">
        <v>203</v>
      </c>
      <c r="B206" s="327" t="s">
        <v>3248</v>
      </c>
      <c r="C206" s="327" t="s">
        <v>229</v>
      </c>
      <c r="D206" s="436">
        <v>2</v>
      </c>
      <c r="E206" s="327" t="s">
        <v>2743</v>
      </c>
      <c r="F206" s="327" t="s">
        <v>3632</v>
      </c>
      <c r="G206" s="327" t="s">
        <v>155</v>
      </c>
      <c r="H206" s="437">
        <v>9.7623162213096304</v>
      </c>
      <c r="I206" s="437" t="s">
        <v>3633</v>
      </c>
      <c r="J206" s="438" t="s">
        <v>3269</v>
      </c>
      <c r="K206" s="439" t="s">
        <v>3253</v>
      </c>
      <c r="L206" s="439" t="s">
        <v>409</v>
      </c>
    </row>
    <row r="207" spans="1:12" ht="14.25">
      <c r="A207" s="6">
        <v>204</v>
      </c>
      <c r="B207" s="327" t="s">
        <v>3248</v>
      </c>
      <c r="C207" s="327" t="s">
        <v>229</v>
      </c>
      <c r="D207" s="436">
        <v>2</v>
      </c>
      <c r="E207" s="327" t="s">
        <v>3634</v>
      </c>
      <c r="F207" s="327" t="s">
        <v>3635</v>
      </c>
      <c r="G207" s="327" t="s">
        <v>155</v>
      </c>
      <c r="H207" s="437">
        <v>9.6826209999999993</v>
      </c>
      <c r="I207" s="437">
        <v>125.395915</v>
      </c>
      <c r="J207" s="438" t="s">
        <v>3269</v>
      </c>
      <c r="K207" s="439" t="s">
        <v>3253</v>
      </c>
      <c r="L207" s="439" t="s">
        <v>409</v>
      </c>
    </row>
    <row r="208" spans="1:12" ht="14.25">
      <c r="A208" s="6">
        <v>205</v>
      </c>
      <c r="B208" s="327" t="s">
        <v>3248</v>
      </c>
      <c r="C208" s="327" t="s">
        <v>229</v>
      </c>
      <c r="D208" s="436">
        <v>2</v>
      </c>
      <c r="E208" s="327" t="s">
        <v>3636</v>
      </c>
      <c r="F208" s="327" t="s">
        <v>3637</v>
      </c>
      <c r="G208" s="327" t="s">
        <v>155</v>
      </c>
      <c r="H208" s="437">
        <v>9.7143429999999995</v>
      </c>
      <c r="I208" s="437">
        <v>125.39597999999999</v>
      </c>
      <c r="J208" s="438" t="s">
        <v>3269</v>
      </c>
      <c r="K208" s="439" t="s">
        <v>3253</v>
      </c>
      <c r="L208" s="439" t="s">
        <v>409</v>
      </c>
    </row>
    <row r="209" spans="1:12" ht="14.25">
      <c r="A209" s="6">
        <v>206</v>
      </c>
      <c r="B209" s="327" t="s">
        <v>3248</v>
      </c>
      <c r="C209" s="327" t="s">
        <v>229</v>
      </c>
      <c r="D209" s="436">
        <v>2</v>
      </c>
      <c r="E209" s="327" t="s">
        <v>3638</v>
      </c>
      <c r="F209" s="327" t="s">
        <v>3639</v>
      </c>
      <c r="G209" s="327" t="s">
        <v>155</v>
      </c>
      <c r="H209" s="437">
        <v>9.7439601440093604</v>
      </c>
      <c r="I209" s="437" t="s">
        <v>3640</v>
      </c>
      <c r="J209" s="438" t="s">
        <v>3269</v>
      </c>
      <c r="K209" s="439" t="s">
        <v>3253</v>
      </c>
      <c r="L209" s="439" t="s">
        <v>409</v>
      </c>
    </row>
    <row r="210" spans="1:12" ht="14.25">
      <c r="A210" s="6">
        <v>207</v>
      </c>
      <c r="B210" s="327" t="s">
        <v>3248</v>
      </c>
      <c r="C210" s="327" t="s">
        <v>229</v>
      </c>
      <c r="D210" s="436">
        <v>2</v>
      </c>
      <c r="E210" s="327" t="s">
        <v>2214</v>
      </c>
      <c r="F210" s="327" t="s">
        <v>3641</v>
      </c>
      <c r="G210" s="327" t="s">
        <v>155</v>
      </c>
      <c r="H210" s="437">
        <v>9.7158329999999999</v>
      </c>
      <c r="I210" s="437">
        <v>125.4314</v>
      </c>
      <c r="J210" s="438" t="s">
        <v>3269</v>
      </c>
      <c r="K210" s="439" t="s">
        <v>3253</v>
      </c>
      <c r="L210" s="439" t="s">
        <v>409</v>
      </c>
    </row>
    <row r="211" spans="1:12" ht="14.25">
      <c r="A211" s="6">
        <v>208</v>
      </c>
      <c r="B211" s="327" t="s">
        <v>3248</v>
      </c>
      <c r="C211" s="327" t="s">
        <v>229</v>
      </c>
      <c r="D211" s="436">
        <v>2</v>
      </c>
      <c r="E211" s="327" t="s">
        <v>3642</v>
      </c>
      <c r="F211" s="327" t="s">
        <v>3643</v>
      </c>
      <c r="G211" s="327" t="s">
        <v>155</v>
      </c>
      <c r="H211" s="437">
        <v>9.7538889999999991</v>
      </c>
      <c r="I211" s="437">
        <v>125.39830000000001</v>
      </c>
      <c r="J211" s="438" t="s">
        <v>3269</v>
      </c>
      <c r="K211" s="439" t="s">
        <v>3253</v>
      </c>
      <c r="L211" s="439" t="s">
        <v>409</v>
      </c>
    </row>
    <row r="212" spans="1:12" ht="14.25">
      <c r="A212" s="6">
        <v>209</v>
      </c>
      <c r="B212" s="327" t="s">
        <v>3248</v>
      </c>
      <c r="C212" s="327" t="s">
        <v>229</v>
      </c>
      <c r="D212" s="436">
        <v>2</v>
      </c>
      <c r="E212" s="327" t="s">
        <v>191</v>
      </c>
      <c r="F212" s="327" t="s">
        <v>3276</v>
      </c>
      <c r="G212" s="327" t="s">
        <v>155</v>
      </c>
      <c r="H212" s="437">
        <v>9.776389</v>
      </c>
      <c r="I212" s="437">
        <v>125.4217</v>
      </c>
      <c r="J212" s="438" t="s">
        <v>3269</v>
      </c>
      <c r="K212" s="439" t="s">
        <v>3253</v>
      </c>
      <c r="L212" s="439" t="s">
        <v>409</v>
      </c>
    </row>
    <row r="213" spans="1:12" ht="14.25">
      <c r="A213" s="6">
        <v>210</v>
      </c>
      <c r="B213" s="327" t="s">
        <v>3248</v>
      </c>
      <c r="C213" s="327" t="s">
        <v>140</v>
      </c>
      <c r="D213" s="436">
        <v>1</v>
      </c>
      <c r="E213" s="327" t="s">
        <v>3644</v>
      </c>
      <c r="F213" s="327" t="s">
        <v>2047</v>
      </c>
      <c r="G213" s="327" t="s">
        <v>155</v>
      </c>
      <c r="H213" s="437">
        <v>9.9414829999999998</v>
      </c>
      <c r="I213" s="437">
        <v>126.065558</v>
      </c>
      <c r="J213" s="438" t="s">
        <v>3252</v>
      </c>
      <c r="K213" s="439" t="s">
        <v>3253</v>
      </c>
      <c r="L213" s="439" t="s">
        <v>288</v>
      </c>
    </row>
    <row r="214" spans="1:12" ht="14.25">
      <c r="A214" s="6">
        <v>211</v>
      </c>
      <c r="B214" s="327" t="s">
        <v>3248</v>
      </c>
      <c r="C214" s="327" t="s">
        <v>140</v>
      </c>
      <c r="D214" s="436">
        <v>1</v>
      </c>
      <c r="E214" s="327" t="s">
        <v>81</v>
      </c>
      <c r="F214" s="327" t="s">
        <v>3383</v>
      </c>
      <c r="G214" s="327" t="s">
        <v>155</v>
      </c>
      <c r="H214" s="437">
        <v>9.936261</v>
      </c>
      <c r="I214" s="437">
        <v>126.08920000000001</v>
      </c>
      <c r="J214" s="438" t="s">
        <v>3252</v>
      </c>
      <c r="K214" s="439" t="s">
        <v>3253</v>
      </c>
      <c r="L214" s="439" t="s">
        <v>288</v>
      </c>
    </row>
    <row r="215" spans="1:12" ht="14.25">
      <c r="A215" s="6">
        <v>212</v>
      </c>
      <c r="B215" s="327" t="s">
        <v>3248</v>
      </c>
      <c r="C215" s="327" t="s">
        <v>140</v>
      </c>
      <c r="D215" s="436">
        <v>1</v>
      </c>
      <c r="E215" s="327" t="s">
        <v>2689</v>
      </c>
      <c r="F215" s="327" t="s">
        <v>3645</v>
      </c>
      <c r="G215" s="327" t="s">
        <v>155</v>
      </c>
      <c r="H215" s="437">
        <v>9.9311799999999995</v>
      </c>
      <c r="I215" s="437">
        <v>126.0711</v>
      </c>
      <c r="J215" s="438" t="s">
        <v>3252</v>
      </c>
      <c r="K215" s="439" t="s">
        <v>3253</v>
      </c>
      <c r="L215" s="439" t="s">
        <v>409</v>
      </c>
    </row>
    <row r="216" spans="1:12" ht="14.25">
      <c r="A216" s="6">
        <v>213</v>
      </c>
      <c r="B216" s="327" t="s">
        <v>3248</v>
      </c>
      <c r="C216" s="327" t="s">
        <v>140</v>
      </c>
      <c r="D216" s="436">
        <v>1</v>
      </c>
      <c r="E216" s="327" t="s">
        <v>2694</v>
      </c>
      <c r="F216" s="327" t="s">
        <v>3646</v>
      </c>
      <c r="G216" s="327" t="s">
        <v>155</v>
      </c>
      <c r="H216" s="437">
        <v>9.9209610000000001</v>
      </c>
      <c r="I216" s="437">
        <v>126.0489</v>
      </c>
      <c r="J216" s="438" t="s">
        <v>3252</v>
      </c>
      <c r="K216" s="439" t="s">
        <v>3253</v>
      </c>
      <c r="L216" s="439" t="s">
        <v>409</v>
      </c>
    </row>
    <row r="217" spans="1:12" ht="14.25">
      <c r="A217" s="6">
        <v>214</v>
      </c>
      <c r="B217" s="327" t="s">
        <v>3248</v>
      </c>
      <c r="C217" s="327" t="s">
        <v>140</v>
      </c>
      <c r="D217" s="436">
        <v>1</v>
      </c>
      <c r="E217" s="327" t="s">
        <v>2699</v>
      </c>
      <c r="F217" s="327" t="s">
        <v>3647</v>
      </c>
      <c r="G217" s="327" t="s">
        <v>155</v>
      </c>
      <c r="H217" s="437">
        <v>9.9468940000000003</v>
      </c>
      <c r="I217" s="437">
        <v>126.1018</v>
      </c>
      <c r="J217" s="438" t="s">
        <v>3256</v>
      </c>
      <c r="K217" s="439" t="s">
        <v>3257</v>
      </c>
      <c r="L217" s="439" t="s">
        <v>409</v>
      </c>
    </row>
    <row r="218" spans="1:12" ht="14.25">
      <c r="A218" s="6">
        <v>215</v>
      </c>
      <c r="B218" s="327" t="s">
        <v>3248</v>
      </c>
      <c r="C218" s="327" t="s">
        <v>140</v>
      </c>
      <c r="D218" s="436">
        <v>1</v>
      </c>
      <c r="E218" s="327" t="s">
        <v>3648</v>
      </c>
      <c r="F218" s="327" t="s">
        <v>3649</v>
      </c>
      <c r="G218" s="327" t="s">
        <v>155</v>
      </c>
      <c r="H218" s="437">
        <v>9.9448279999999993</v>
      </c>
      <c r="I218" s="437">
        <v>126.05459999999999</v>
      </c>
      <c r="J218" s="438" t="s">
        <v>3252</v>
      </c>
      <c r="K218" s="439" t="s">
        <v>3253</v>
      </c>
      <c r="L218" s="439" t="s">
        <v>409</v>
      </c>
    </row>
    <row r="219" spans="1:12" ht="14.25">
      <c r="A219" s="6">
        <v>216</v>
      </c>
      <c r="B219" s="327" t="s">
        <v>3248</v>
      </c>
      <c r="C219" s="327" t="s">
        <v>140</v>
      </c>
      <c r="D219" s="436">
        <v>1</v>
      </c>
      <c r="E219" s="327" t="s">
        <v>2051</v>
      </c>
      <c r="F219" s="327" t="s">
        <v>595</v>
      </c>
      <c r="G219" s="327" t="s">
        <v>155</v>
      </c>
      <c r="H219" s="437">
        <v>9.9278670000000009</v>
      </c>
      <c r="I219" s="437">
        <v>126.0548</v>
      </c>
      <c r="J219" s="438" t="s">
        <v>3252</v>
      </c>
      <c r="K219" s="439" t="s">
        <v>3253</v>
      </c>
      <c r="L219" s="439" t="s">
        <v>288</v>
      </c>
    </row>
    <row r="220" spans="1:12" ht="14.25">
      <c r="A220" s="6">
        <v>217</v>
      </c>
      <c r="B220" s="327" t="s">
        <v>3248</v>
      </c>
      <c r="C220" s="327" t="s">
        <v>140</v>
      </c>
      <c r="D220" s="436">
        <v>1</v>
      </c>
      <c r="E220" s="327" t="s">
        <v>306</v>
      </c>
      <c r="F220" s="327" t="s">
        <v>307</v>
      </c>
      <c r="G220" s="327" t="s">
        <v>155</v>
      </c>
      <c r="H220" s="437">
        <v>9.9540810000000004</v>
      </c>
      <c r="I220" s="437">
        <v>126.0676</v>
      </c>
      <c r="J220" s="438" t="s">
        <v>3252</v>
      </c>
      <c r="K220" s="439" t="s">
        <v>3257</v>
      </c>
      <c r="L220" s="439" t="s">
        <v>288</v>
      </c>
    </row>
    <row r="221" spans="1:12" ht="14.25">
      <c r="A221" s="6">
        <v>218</v>
      </c>
      <c r="B221" s="327" t="s">
        <v>3248</v>
      </c>
      <c r="C221" s="327" t="s">
        <v>140</v>
      </c>
      <c r="D221" s="436">
        <v>1</v>
      </c>
      <c r="E221" s="327" t="s">
        <v>3650</v>
      </c>
      <c r="F221" s="327" t="s">
        <v>3651</v>
      </c>
      <c r="G221" s="327" t="s">
        <v>155</v>
      </c>
      <c r="H221" s="437">
        <v>9.8976830000000007</v>
      </c>
      <c r="I221" s="437">
        <v>126.0616</v>
      </c>
      <c r="J221" s="438" t="s">
        <v>3252</v>
      </c>
      <c r="K221" s="439" t="s">
        <v>3253</v>
      </c>
      <c r="L221" s="439" t="s">
        <v>409</v>
      </c>
    </row>
    <row r="222" spans="1:12" ht="14.25">
      <c r="A222" s="6">
        <v>219</v>
      </c>
      <c r="B222" s="327" t="s">
        <v>3248</v>
      </c>
      <c r="C222" s="327" t="s">
        <v>140</v>
      </c>
      <c r="D222" s="436">
        <v>1</v>
      </c>
      <c r="E222" s="327" t="s">
        <v>3652</v>
      </c>
      <c r="F222" s="327" t="s">
        <v>3653</v>
      </c>
      <c r="G222" s="327" t="s">
        <v>155</v>
      </c>
      <c r="H222" s="437">
        <v>9.9163809999999994</v>
      </c>
      <c r="I222" s="437">
        <v>126.0458</v>
      </c>
      <c r="J222" s="438" t="s">
        <v>3256</v>
      </c>
      <c r="K222" s="439" t="s">
        <v>3257</v>
      </c>
      <c r="L222" s="439" t="s">
        <v>409</v>
      </c>
    </row>
    <row r="223" spans="1:12" ht="14.25">
      <c r="A223" s="6">
        <v>220</v>
      </c>
      <c r="B223" s="327" t="s">
        <v>3248</v>
      </c>
      <c r="C223" s="327" t="s">
        <v>140</v>
      </c>
      <c r="D223" s="436">
        <v>1</v>
      </c>
      <c r="E223" s="327" t="s">
        <v>2722</v>
      </c>
      <c r="F223" s="327" t="s">
        <v>3654</v>
      </c>
      <c r="G223" s="327" t="s">
        <v>155</v>
      </c>
      <c r="H223" s="437">
        <v>9.9208219999999994</v>
      </c>
      <c r="I223" s="437">
        <v>126.04049999999999</v>
      </c>
      <c r="J223" s="438" t="s">
        <v>3252</v>
      </c>
      <c r="K223" s="439" t="s">
        <v>3253</v>
      </c>
      <c r="L223" s="439" t="s">
        <v>409</v>
      </c>
    </row>
    <row r="224" spans="1:12" ht="14.25">
      <c r="A224" s="6">
        <v>221</v>
      </c>
      <c r="B224" s="327" t="s">
        <v>3248</v>
      </c>
      <c r="C224" s="327" t="s">
        <v>140</v>
      </c>
      <c r="D224" s="436">
        <v>1</v>
      </c>
      <c r="E224" s="327" t="s">
        <v>2727</v>
      </c>
      <c r="F224" s="327" t="s">
        <v>3655</v>
      </c>
      <c r="G224" s="327" t="s">
        <v>155</v>
      </c>
      <c r="H224" s="437">
        <v>9.9266419999999993</v>
      </c>
      <c r="I224" s="437">
        <v>126.1028</v>
      </c>
      <c r="J224" s="438" t="s">
        <v>3252</v>
      </c>
      <c r="K224" s="439" t="s">
        <v>3253</v>
      </c>
      <c r="L224" s="439" t="s">
        <v>409</v>
      </c>
    </row>
    <row r="225" spans="1:12" ht="14.25">
      <c r="A225" s="6">
        <v>222</v>
      </c>
      <c r="B225" s="327" t="s">
        <v>3248</v>
      </c>
      <c r="C225" s="436" t="s">
        <v>176</v>
      </c>
      <c r="D225" s="436">
        <v>1</v>
      </c>
      <c r="E225" s="327" t="s">
        <v>1611</v>
      </c>
      <c r="F225" s="327" t="s">
        <v>3656</v>
      </c>
      <c r="G225" s="327" t="s">
        <v>155</v>
      </c>
      <c r="H225" s="437">
        <v>9.987914</v>
      </c>
      <c r="I225" s="437">
        <v>126.029308</v>
      </c>
      <c r="J225" s="438" t="s">
        <v>3269</v>
      </c>
      <c r="K225" s="439" t="s">
        <v>3253</v>
      </c>
      <c r="L225" s="439" t="s">
        <v>409</v>
      </c>
    </row>
    <row r="226" spans="1:12" ht="14.25">
      <c r="A226" s="6">
        <v>223</v>
      </c>
      <c r="B226" s="327" t="s">
        <v>3248</v>
      </c>
      <c r="C226" s="436" t="s">
        <v>176</v>
      </c>
      <c r="D226" s="436">
        <v>1</v>
      </c>
      <c r="E226" s="327" t="s">
        <v>57</v>
      </c>
      <c r="F226" s="327" t="s">
        <v>3657</v>
      </c>
      <c r="G226" s="327" t="s">
        <v>155</v>
      </c>
      <c r="H226" s="437">
        <v>10.05533</v>
      </c>
      <c r="I226" s="437">
        <v>126.06789999999999</v>
      </c>
      <c r="J226" s="438" t="s">
        <v>3269</v>
      </c>
      <c r="K226" s="439" t="s">
        <v>3253</v>
      </c>
      <c r="L226" s="439" t="s">
        <v>409</v>
      </c>
    </row>
    <row r="227" spans="1:12" ht="14.25">
      <c r="A227" s="6">
        <v>224</v>
      </c>
      <c r="B227" s="327" t="s">
        <v>3248</v>
      </c>
      <c r="C227" s="436" t="s">
        <v>176</v>
      </c>
      <c r="D227" s="436">
        <v>1</v>
      </c>
      <c r="E227" s="327" t="s">
        <v>3658</v>
      </c>
      <c r="F227" s="327" t="s">
        <v>3659</v>
      </c>
      <c r="G227" s="327" t="s">
        <v>155</v>
      </c>
      <c r="H227" s="437">
        <v>10.003798</v>
      </c>
      <c r="I227" s="437">
        <v>126.044715</v>
      </c>
      <c r="J227" s="438" t="s">
        <v>3269</v>
      </c>
      <c r="K227" s="439" t="s">
        <v>3253</v>
      </c>
      <c r="L227" s="439" t="s">
        <v>409</v>
      </c>
    </row>
    <row r="228" spans="1:12" ht="14.25">
      <c r="A228" s="6">
        <v>225</v>
      </c>
      <c r="B228" s="327" t="s">
        <v>3248</v>
      </c>
      <c r="C228" s="436" t="s">
        <v>176</v>
      </c>
      <c r="D228" s="436">
        <v>1</v>
      </c>
      <c r="E228" s="327" t="s">
        <v>3661</v>
      </c>
      <c r="F228" s="327" t="s">
        <v>3662</v>
      </c>
      <c r="G228" s="327" t="s">
        <v>155</v>
      </c>
      <c r="H228" s="437">
        <v>10.04243</v>
      </c>
      <c r="I228" s="437">
        <v>126.0702</v>
      </c>
      <c r="J228" s="438" t="s">
        <v>3269</v>
      </c>
      <c r="K228" s="439" t="s">
        <v>3253</v>
      </c>
      <c r="L228" s="439" t="s">
        <v>409</v>
      </c>
    </row>
    <row r="229" spans="1:12" ht="14.25">
      <c r="A229" s="6">
        <v>226</v>
      </c>
      <c r="B229" s="327" t="s">
        <v>3248</v>
      </c>
      <c r="C229" s="436" t="s">
        <v>176</v>
      </c>
      <c r="D229" s="436">
        <v>1</v>
      </c>
      <c r="E229" s="327" t="s">
        <v>3410</v>
      </c>
      <c r="F229" s="327" t="s">
        <v>3411</v>
      </c>
      <c r="G229" s="327" t="s">
        <v>155</v>
      </c>
      <c r="H229" s="437">
        <v>9.9852000000000007</v>
      </c>
      <c r="I229" s="437">
        <v>126.055931</v>
      </c>
      <c r="J229" s="438" t="s">
        <v>3269</v>
      </c>
      <c r="K229" s="439" t="s">
        <v>3253</v>
      </c>
      <c r="L229" s="439" t="s">
        <v>409</v>
      </c>
    </row>
    <row r="230" spans="1:12" ht="14.25">
      <c r="A230" s="6">
        <v>227</v>
      </c>
      <c r="B230" s="327" t="s">
        <v>3248</v>
      </c>
      <c r="C230" s="436" t="s">
        <v>176</v>
      </c>
      <c r="D230" s="436">
        <v>1</v>
      </c>
      <c r="E230" s="327" t="s">
        <v>2429</v>
      </c>
      <c r="F230" s="327" t="s">
        <v>3485</v>
      </c>
      <c r="G230" s="327" t="s">
        <v>155</v>
      </c>
      <c r="H230" s="437">
        <v>9.9645419999999998</v>
      </c>
      <c r="I230" s="437">
        <v>126.0485</v>
      </c>
      <c r="J230" s="438" t="s">
        <v>3269</v>
      </c>
      <c r="K230" s="439" t="s">
        <v>3253</v>
      </c>
      <c r="L230" s="439" t="s">
        <v>409</v>
      </c>
    </row>
    <row r="231" spans="1:12" ht="14.25">
      <c r="A231" s="6">
        <v>228</v>
      </c>
      <c r="B231" s="327" t="s">
        <v>3248</v>
      </c>
      <c r="C231" s="436" t="s">
        <v>176</v>
      </c>
      <c r="D231" s="436">
        <v>1</v>
      </c>
      <c r="E231" s="327" t="s">
        <v>82</v>
      </c>
      <c r="F231" s="327" t="s">
        <v>500</v>
      </c>
      <c r="G231" s="327" t="s">
        <v>155</v>
      </c>
      <c r="H231" s="437">
        <v>10.01972</v>
      </c>
      <c r="I231" s="437">
        <v>126.03870000000001</v>
      </c>
      <c r="J231" s="438" t="s">
        <v>3269</v>
      </c>
      <c r="K231" s="439" t="s">
        <v>3253</v>
      </c>
      <c r="L231" s="439" t="s">
        <v>288</v>
      </c>
    </row>
    <row r="232" spans="1:12" ht="14.25">
      <c r="A232" s="6">
        <v>229</v>
      </c>
      <c r="B232" s="327" t="s">
        <v>3248</v>
      </c>
      <c r="C232" s="436" t="s">
        <v>176</v>
      </c>
      <c r="D232" s="436">
        <v>1</v>
      </c>
      <c r="E232" s="327" t="s">
        <v>356</v>
      </c>
      <c r="F232" s="327" t="s">
        <v>358</v>
      </c>
      <c r="G232" s="327" t="s">
        <v>155</v>
      </c>
      <c r="H232" s="437">
        <v>9.9983640000000005</v>
      </c>
      <c r="I232" s="437">
        <v>126.0346</v>
      </c>
      <c r="J232" s="438" t="s">
        <v>3269</v>
      </c>
      <c r="K232" s="439" t="s">
        <v>3253</v>
      </c>
      <c r="L232" s="439" t="s">
        <v>409</v>
      </c>
    </row>
    <row r="233" spans="1:12" ht="14.25">
      <c r="A233" s="6">
        <v>230</v>
      </c>
      <c r="B233" s="327" t="s">
        <v>3248</v>
      </c>
      <c r="C233" s="436" t="s">
        <v>176</v>
      </c>
      <c r="D233" s="436">
        <v>1</v>
      </c>
      <c r="E233" s="327" t="s">
        <v>23</v>
      </c>
      <c r="F233" s="327" t="s">
        <v>449</v>
      </c>
      <c r="G233" s="327" t="s">
        <v>155</v>
      </c>
      <c r="H233" s="437">
        <v>10.029870000000001</v>
      </c>
      <c r="I233" s="437">
        <v>126.03189999999999</v>
      </c>
      <c r="J233" s="438" t="s">
        <v>3269</v>
      </c>
      <c r="K233" s="439" t="s">
        <v>3253</v>
      </c>
      <c r="L233" s="439" t="s">
        <v>409</v>
      </c>
    </row>
    <row r="234" spans="1:12" ht="14.25">
      <c r="A234" s="6">
        <v>231</v>
      </c>
      <c r="B234" s="327" t="s">
        <v>3248</v>
      </c>
      <c r="C234" s="436" t="s">
        <v>176</v>
      </c>
      <c r="D234" s="436">
        <v>1</v>
      </c>
      <c r="E234" s="327" t="s">
        <v>210</v>
      </c>
      <c r="F234" s="327" t="s">
        <v>3664</v>
      </c>
      <c r="G234" s="327" t="s">
        <v>155</v>
      </c>
      <c r="H234" s="437">
        <v>10.01843</v>
      </c>
      <c r="I234" s="437">
        <v>126.0367</v>
      </c>
      <c r="J234" s="438" t="s">
        <v>3269</v>
      </c>
      <c r="K234" s="439" t="s">
        <v>3253</v>
      </c>
      <c r="L234" s="439" t="s">
        <v>409</v>
      </c>
    </row>
    <row r="235" spans="1:12" ht="14.25">
      <c r="A235" s="6">
        <v>232</v>
      </c>
      <c r="B235" s="327" t="s">
        <v>3248</v>
      </c>
      <c r="C235" s="436" t="s">
        <v>176</v>
      </c>
      <c r="D235" s="436">
        <v>1</v>
      </c>
      <c r="E235" s="327" t="s">
        <v>3666</v>
      </c>
      <c r="F235" s="327" t="s">
        <v>3667</v>
      </c>
      <c r="G235" s="327" t="s">
        <v>155</v>
      </c>
      <c r="H235" s="437">
        <v>10.055870000000001</v>
      </c>
      <c r="I235" s="437">
        <v>126.0565</v>
      </c>
      <c r="J235" s="438" t="s">
        <v>3269</v>
      </c>
      <c r="K235" s="439" t="s">
        <v>3253</v>
      </c>
      <c r="L235" s="439" t="s">
        <v>409</v>
      </c>
    </row>
    <row r="236" spans="1:12" ht="14.25">
      <c r="A236" s="6">
        <v>233</v>
      </c>
      <c r="B236" s="327" t="s">
        <v>3248</v>
      </c>
      <c r="C236" s="327" t="s">
        <v>257</v>
      </c>
      <c r="D236" s="436">
        <v>2</v>
      </c>
      <c r="E236" s="327" t="s">
        <v>3668</v>
      </c>
      <c r="F236" s="327" t="s">
        <v>3669</v>
      </c>
      <c r="G236" s="327" t="s">
        <v>155</v>
      </c>
      <c r="H236" s="437">
        <v>9.6192039999999999</v>
      </c>
      <c r="I236" s="437">
        <v>125.504338</v>
      </c>
      <c r="J236" s="438" t="s">
        <v>3256</v>
      </c>
      <c r="K236" s="439" t="s">
        <v>3257</v>
      </c>
      <c r="L236" s="439" t="s">
        <v>409</v>
      </c>
    </row>
    <row r="237" spans="1:12" ht="14.25">
      <c r="A237" s="6">
        <v>234</v>
      </c>
      <c r="B237" s="327" t="s">
        <v>3248</v>
      </c>
      <c r="C237" s="327" t="s">
        <v>257</v>
      </c>
      <c r="D237" s="436">
        <v>2</v>
      </c>
      <c r="E237" s="327" t="s">
        <v>2237</v>
      </c>
      <c r="F237" s="327" t="s">
        <v>3671</v>
      </c>
      <c r="G237" s="327" t="s">
        <v>155</v>
      </c>
      <c r="H237" s="437">
        <v>9.6085530000000006</v>
      </c>
      <c r="I237" s="437">
        <v>125.46328</v>
      </c>
      <c r="J237" s="438" t="s">
        <v>3256</v>
      </c>
      <c r="K237" s="439" t="s">
        <v>3257</v>
      </c>
      <c r="L237" s="439" t="s">
        <v>409</v>
      </c>
    </row>
    <row r="238" spans="1:12" ht="14.25">
      <c r="A238" s="6">
        <v>235</v>
      </c>
      <c r="B238" s="327" t="s">
        <v>3248</v>
      </c>
      <c r="C238" s="327" t="s">
        <v>257</v>
      </c>
      <c r="D238" s="436">
        <v>2</v>
      </c>
      <c r="E238" s="327" t="s">
        <v>3672</v>
      </c>
      <c r="F238" s="327" t="s">
        <v>3673</v>
      </c>
      <c r="G238" s="327" t="s">
        <v>155</v>
      </c>
      <c r="H238" s="437">
        <v>9.6637389999999996</v>
      </c>
      <c r="I238" s="437">
        <v>125.477648</v>
      </c>
      <c r="J238" s="438" t="s">
        <v>3256</v>
      </c>
      <c r="K238" s="439" t="s">
        <v>3257</v>
      </c>
      <c r="L238" s="439" t="s">
        <v>409</v>
      </c>
    </row>
    <row r="239" spans="1:12" ht="14.25">
      <c r="A239" s="6">
        <v>236</v>
      </c>
      <c r="B239" s="327" t="s">
        <v>3248</v>
      </c>
      <c r="C239" s="327" t="s">
        <v>257</v>
      </c>
      <c r="D239" s="436">
        <v>2</v>
      </c>
      <c r="E239" s="327" t="s">
        <v>3675</v>
      </c>
      <c r="F239" s="327" t="s">
        <v>3676</v>
      </c>
      <c r="G239" s="327" t="s">
        <v>155</v>
      </c>
      <c r="H239" s="437">
        <v>9.6383690000000009</v>
      </c>
      <c r="I239" s="437">
        <v>125.518269</v>
      </c>
      <c r="J239" s="438" t="s">
        <v>3252</v>
      </c>
      <c r="K239" s="439" t="s">
        <v>3257</v>
      </c>
      <c r="L239" s="439" t="s">
        <v>409</v>
      </c>
    </row>
    <row r="240" spans="1:12" ht="14.25">
      <c r="A240" s="6">
        <v>237</v>
      </c>
      <c r="B240" s="327" t="s">
        <v>3248</v>
      </c>
      <c r="C240" s="327" t="s">
        <v>257</v>
      </c>
      <c r="D240" s="436">
        <v>2</v>
      </c>
      <c r="E240" s="327" t="s">
        <v>82</v>
      </c>
      <c r="F240" s="327" t="s">
        <v>500</v>
      </c>
      <c r="G240" s="327" t="s">
        <v>155</v>
      </c>
      <c r="H240" s="437">
        <v>9.6805000000000003</v>
      </c>
      <c r="I240" s="437">
        <v>125.524494</v>
      </c>
      <c r="J240" s="438" t="s">
        <v>3269</v>
      </c>
      <c r="K240" s="439" t="s">
        <v>3253</v>
      </c>
      <c r="L240" s="439" t="s">
        <v>409</v>
      </c>
    </row>
    <row r="241" spans="1:12" ht="14.25">
      <c r="A241" s="6">
        <v>238</v>
      </c>
      <c r="B241" s="327" t="s">
        <v>3248</v>
      </c>
      <c r="C241" s="327" t="s">
        <v>257</v>
      </c>
      <c r="D241" s="436">
        <v>2</v>
      </c>
      <c r="E241" s="327" t="s">
        <v>3681</v>
      </c>
      <c r="F241" s="327" t="s">
        <v>3682</v>
      </c>
      <c r="G241" s="327" t="s">
        <v>155</v>
      </c>
      <c r="H241" s="437">
        <v>9.6264199999999995</v>
      </c>
      <c r="I241" s="437">
        <v>125.464207</v>
      </c>
      <c r="J241" s="438" t="s">
        <v>3256</v>
      </c>
      <c r="K241" s="439" t="s">
        <v>3257</v>
      </c>
      <c r="L241" s="439" t="s">
        <v>409</v>
      </c>
    </row>
    <row r="242" spans="1:12" ht="14.25">
      <c r="A242" s="6">
        <v>239</v>
      </c>
      <c r="B242" s="327" t="s">
        <v>3248</v>
      </c>
      <c r="C242" s="327" t="s">
        <v>257</v>
      </c>
      <c r="D242" s="436">
        <v>2</v>
      </c>
      <c r="E242" s="327" t="s">
        <v>3683</v>
      </c>
      <c r="F242" s="327" t="s">
        <v>3684</v>
      </c>
      <c r="G242" s="327" t="s">
        <v>155</v>
      </c>
      <c r="H242" s="437">
        <v>9.6577760000000001</v>
      </c>
      <c r="I242" s="437">
        <v>125.527168</v>
      </c>
      <c r="J242" s="438" t="s">
        <v>3269</v>
      </c>
      <c r="K242" s="439" t="s">
        <v>3253</v>
      </c>
      <c r="L242" s="439" t="s">
        <v>288</v>
      </c>
    </row>
    <row r="243" spans="1:12" ht="14.25">
      <c r="A243" s="6">
        <v>240</v>
      </c>
      <c r="B243" s="327" t="s">
        <v>3248</v>
      </c>
      <c r="C243" s="327" t="s">
        <v>257</v>
      </c>
      <c r="D243" s="436">
        <v>2</v>
      </c>
      <c r="E243" s="327" t="s">
        <v>140</v>
      </c>
      <c r="F243" s="327" t="s">
        <v>3451</v>
      </c>
      <c r="G243" s="327" t="s">
        <v>155</v>
      </c>
      <c r="H243" s="437">
        <v>9.6809119268096993</v>
      </c>
      <c r="I243" s="437">
        <v>125.52452760516999</v>
      </c>
      <c r="J243" s="438" t="s">
        <v>3269</v>
      </c>
      <c r="K243" s="439" t="s">
        <v>3253</v>
      </c>
      <c r="L243" s="439" t="s">
        <v>409</v>
      </c>
    </row>
    <row r="244" spans="1:12" ht="14.25">
      <c r="A244" s="6">
        <v>241</v>
      </c>
      <c r="B244" s="327" t="s">
        <v>3248</v>
      </c>
      <c r="C244" s="327" t="s">
        <v>257</v>
      </c>
      <c r="D244" s="436">
        <v>2</v>
      </c>
      <c r="E244" s="327" t="s">
        <v>415</v>
      </c>
      <c r="F244" s="327" t="s">
        <v>3685</v>
      </c>
      <c r="G244" s="327" t="s">
        <v>155</v>
      </c>
      <c r="H244" s="437">
        <v>9.6656200000000005</v>
      </c>
      <c r="I244" s="437">
        <v>125.527208</v>
      </c>
      <c r="J244" s="438" t="s">
        <v>3269</v>
      </c>
      <c r="K244" s="439" t="s">
        <v>3253</v>
      </c>
      <c r="L244" s="439" t="s">
        <v>409</v>
      </c>
    </row>
    <row r="245" spans="1:12" ht="14.25">
      <c r="A245" s="6">
        <v>242</v>
      </c>
      <c r="B245" s="327" t="s">
        <v>3248</v>
      </c>
      <c r="C245" s="327" t="s">
        <v>257</v>
      </c>
      <c r="D245" s="436">
        <v>2</v>
      </c>
      <c r="E245" s="327" t="s">
        <v>3686</v>
      </c>
      <c r="F245" s="327" t="s">
        <v>3687</v>
      </c>
      <c r="G245" s="327" t="s">
        <v>155</v>
      </c>
      <c r="H245" s="437">
        <v>9.6521860000000004</v>
      </c>
      <c r="I245" s="437">
        <v>125.492064</v>
      </c>
      <c r="J245" s="438" t="s">
        <v>3256</v>
      </c>
      <c r="K245" s="439" t="s">
        <v>3257</v>
      </c>
      <c r="L245" s="439" t="s">
        <v>409</v>
      </c>
    </row>
    <row r="246" spans="1:12" ht="14.25">
      <c r="A246" s="6">
        <v>243</v>
      </c>
      <c r="B246" s="327" t="s">
        <v>3248</v>
      </c>
      <c r="C246" s="327" t="s">
        <v>257</v>
      </c>
      <c r="D246" s="436">
        <v>2</v>
      </c>
      <c r="E246" s="327" t="s">
        <v>3688</v>
      </c>
      <c r="F246" s="327" t="s">
        <v>3689</v>
      </c>
      <c r="G246" s="327" t="s">
        <v>155</v>
      </c>
      <c r="H246" s="437">
        <v>9.6698550000000001</v>
      </c>
      <c r="I246" s="437">
        <v>125.535127</v>
      </c>
      <c r="J246" s="438" t="s">
        <v>3269</v>
      </c>
      <c r="K246" s="439" t="s">
        <v>3253</v>
      </c>
      <c r="L246" s="439" t="s">
        <v>409</v>
      </c>
    </row>
    <row r="247" spans="1:12" ht="14.25">
      <c r="A247" s="6">
        <v>244</v>
      </c>
      <c r="B247" s="327" t="s">
        <v>3248</v>
      </c>
      <c r="C247" s="327" t="s">
        <v>257</v>
      </c>
      <c r="D247" s="436">
        <v>2</v>
      </c>
      <c r="E247" s="327" t="s">
        <v>3692</v>
      </c>
      <c r="F247" s="327" t="s">
        <v>3693</v>
      </c>
      <c r="G247" s="327" t="s">
        <v>155</v>
      </c>
      <c r="H247" s="437">
        <v>9.6322039999999998</v>
      </c>
      <c r="I247" s="437">
        <v>125.51287000000001</v>
      </c>
      <c r="J247" s="438" t="s">
        <v>3269</v>
      </c>
      <c r="K247" s="439" t="s">
        <v>3253</v>
      </c>
      <c r="L247" s="439" t="s">
        <v>409</v>
      </c>
    </row>
    <row r="248" spans="1:12" ht="14.25">
      <c r="A248" s="6">
        <v>245</v>
      </c>
      <c r="B248" s="327" t="s">
        <v>3248</v>
      </c>
      <c r="C248" s="327" t="s">
        <v>196</v>
      </c>
      <c r="D248" s="436">
        <v>1</v>
      </c>
      <c r="E248" s="327" t="s">
        <v>3696</v>
      </c>
      <c r="F248" s="327" t="s">
        <v>3697</v>
      </c>
      <c r="G248" s="327" t="s">
        <v>155</v>
      </c>
      <c r="H248" s="437">
        <v>9.6138890000000004</v>
      </c>
      <c r="I248" s="437">
        <v>125.96495</v>
      </c>
      <c r="J248" s="438" t="s">
        <v>3269</v>
      </c>
      <c r="K248" s="439" t="s">
        <v>3253</v>
      </c>
      <c r="L248" s="439" t="s">
        <v>409</v>
      </c>
    </row>
    <row r="249" spans="1:12" ht="14.25">
      <c r="A249" s="6">
        <v>246</v>
      </c>
      <c r="B249" s="327" t="s">
        <v>3248</v>
      </c>
      <c r="C249" s="327" t="s">
        <v>196</v>
      </c>
      <c r="D249" s="436">
        <v>1</v>
      </c>
      <c r="E249" s="327" t="s">
        <v>2689</v>
      </c>
      <c r="F249" s="327" t="s">
        <v>3645</v>
      </c>
      <c r="G249" s="327" t="s">
        <v>155</v>
      </c>
      <c r="H249" s="437">
        <v>9.6298110000000001</v>
      </c>
      <c r="I249" s="437">
        <v>125.9543</v>
      </c>
      <c r="J249" s="438" t="s">
        <v>3269</v>
      </c>
      <c r="K249" s="439" t="s">
        <v>3253</v>
      </c>
      <c r="L249" s="439" t="s">
        <v>409</v>
      </c>
    </row>
    <row r="250" spans="1:12" ht="14.25">
      <c r="A250" s="6">
        <v>247</v>
      </c>
      <c r="B250" s="327" t="s">
        <v>3248</v>
      </c>
      <c r="C250" s="327" t="s">
        <v>196</v>
      </c>
      <c r="D250" s="436">
        <v>1</v>
      </c>
      <c r="E250" s="327" t="s">
        <v>2734</v>
      </c>
      <c r="F250" s="327" t="s">
        <v>3699</v>
      </c>
      <c r="G250" s="327" t="s">
        <v>155</v>
      </c>
      <c r="H250" s="437">
        <v>9.5677500000000002</v>
      </c>
      <c r="I250" s="437">
        <v>125.9397</v>
      </c>
      <c r="J250" s="438" t="s">
        <v>3252</v>
      </c>
      <c r="K250" s="439" t="s">
        <v>3257</v>
      </c>
      <c r="L250" s="439" t="s">
        <v>409</v>
      </c>
    </row>
    <row r="251" spans="1:12" ht="14.25">
      <c r="A251" s="6">
        <v>248</v>
      </c>
      <c r="B251" s="327" t="s">
        <v>3248</v>
      </c>
      <c r="C251" s="327" t="s">
        <v>196</v>
      </c>
      <c r="D251" s="436">
        <v>1</v>
      </c>
      <c r="E251" s="327" t="s">
        <v>2743</v>
      </c>
      <c r="F251" s="327" t="s">
        <v>3632</v>
      </c>
      <c r="G251" s="327" t="s">
        <v>155</v>
      </c>
      <c r="H251" s="437">
        <v>9.6456110000000006</v>
      </c>
      <c r="I251" s="437">
        <v>125.9423</v>
      </c>
      <c r="J251" s="438" t="s">
        <v>3252</v>
      </c>
      <c r="K251" s="439" t="s">
        <v>3257</v>
      </c>
      <c r="L251" s="439" t="s">
        <v>409</v>
      </c>
    </row>
    <row r="252" spans="1:12" ht="14.25">
      <c r="A252" s="6">
        <v>249</v>
      </c>
      <c r="B252" s="327" t="s">
        <v>3248</v>
      </c>
      <c r="C252" s="327" t="s">
        <v>196</v>
      </c>
      <c r="D252" s="436">
        <v>1</v>
      </c>
      <c r="E252" s="327" t="s">
        <v>241</v>
      </c>
      <c r="F252" s="327" t="s">
        <v>3700</v>
      </c>
      <c r="G252" s="327" t="s">
        <v>155</v>
      </c>
      <c r="H252" s="437">
        <v>9.6167569999999998</v>
      </c>
      <c r="I252" s="437">
        <v>125.965227</v>
      </c>
      <c r="J252" s="438" t="s">
        <v>3269</v>
      </c>
      <c r="K252" s="439" t="s">
        <v>3253</v>
      </c>
      <c r="L252" s="439" t="s">
        <v>409</v>
      </c>
    </row>
    <row r="253" spans="1:12" ht="14.25">
      <c r="A253" s="6">
        <v>250</v>
      </c>
      <c r="B253" s="327" t="s">
        <v>3248</v>
      </c>
      <c r="C253" s="327" t="s">
        <v>196</v>
      </c>
      <c r="D253" s="436">
        <v>1</v>
      </c>
      <c r="E253" s="327" t="s">
        <v>2748</v>
      </c>
      <c r="F253" s="327" t="s">
        <v>3701</v>
      </c>
      <c r="G253" s="327" t="s">
        <v>155</v>
      </c>
      <c r="H253" s="437">
        <v>9.6294000000000004</v>
      </c>
      <c r="I253" s="437">
        <v>125.93770000000001</v>
      </c>
      <c r="J253" s="438" t="s">
        <v>3252</v>
      </c>
      <c r="K253" s="439" t="s">
        <v>3257</v>
      </c>
      <c r="L253" s="439" t="s">
        <v>409</v>
      </c>
    </row>
    <row r="254" spans="1:12" ht="14.25">
      <c r="A254" s="6">
        <v>251</v>
      </c>
      <c r="B254" s="327" t="s">
        <v>3248</v>
      </c>
      <c r="C254" s="327" t="s">
        <v>196</v>
      </c>
      <c r="D254" s="436">
        <v>1</v>
      </c>
      <c r="E254" s="327" t="s">
        <v>2753</v>
      </c>
      <c r="F254" s="327" t="s">
        <v>3703</v>
      </c>
      <c r="G254" s="327" t="s">
        <v>155</v>
      </c>
      <c r="H254" s="437">
        <v>9.6506670000000003</v>
      </c>
      <c r="I254" s="437">
        <v>125.9238</v>
      </c>
      <c r="J254" s="438" t="s">
        <v>3269</v>
      </c>
      <c r="K254" s="439" t="s">
        <v>3253</v>
      </c>
      <c r="L254" s="439" t="s">
        <v>409</v>
      </c>
    </row>
    <row r="255" spans="1:12" ht="14.25">
      <c r="A255" s="6">
        <v>252</v>
      </c>
      <c r="B255" s="327" t="s">
        <v>3248</v>
      </c>
      <c r="C255" s="327" t="s">
        <v>196</v>
      </c>
      <c r="D255" s="436">
        <v>1</v>
      </c>
      <c r="E255" s="327" t="s">
        <v>23</v>
      </c>
      <c r="F255" s="327" t="s">
        <v>449</v>
      </c>
      <c r="G255" s="327" t="s">
        <v>155</v>
      </c>
      <c r="H255" s="437">
        <v>9.6191080000000007</v>
      </c>
      <c r="I255" s="437">
        <v>125.9665</v>
      </c>
      <c r="J255" s="438" t="s">
        <v>3269</v>
      </c>
      <c r="K255" s="439" t="s">
        <v>3253</v>
      </c>
      <c r="L255" s="439" t="s">
        <v>409</v>
      </c>
    </row>
    <row r="256" spans="1:12" ht="14.25">
      <c r="A256" s="6">
        <v>253</v>
      </c>
      <c r="B256" s="327" t="s">
        <v>3248</v>
      </c>
      <c r="C256" s="327" t="s">
        <v>196</v>
      </c>
      <c r="D256" s="436">
        <v>1</v>
      </c>
      <c r="E256" s="327" t="s">
        <v>1629</v>
      </c>
      <c r="F256" s="327" t="s">
        <v>606</v>
      </c>
      <c r="G256" s="327" t="s">
        <v>155</v>
      </c>
      <c r="H256" s="437">
        <v>9.6963310000000007</v>
      </c>
      <c r="I256" s="437">
        <v>125.949</v>
      </c>
      <c r="J256" s="438" t="s">
        <v>3252</v>
      </c>
      <c r="K256" s="439" t="s">
        <v>3257</v>
      </c>
      <c r="L256" s="439" t="s">
        <v>288</v>
      </c>
    </row>
    <row r="257" spans="1:12" ht="14.25">
      <c r="A257" s="6">
        <v>254</v>
      </c>
      <c r="B257" s="327" t="s">
        <v>3248</v>
      </c>
      <c r="C257" s="327" t="s">
        <v>196</v>
      </c>
      <c r="D257" s="436">
        <v>1</v>
      </c>
      <c r="E257" s="327" t="s">
        <v>1477</v>
      </c>
      <c r="F257" s="327" t="s">
        <v>1478</v>
      </c>
      <c r="G257" s="327" t="s">
        <v>155</v>
      </c>
      <c r="H257" s="437">
        <v>9.6264669999999999</v>
      </c>
      <c r="I257" s="437">
        <v>125.9195</v>
      </c>
      <c r="J257" s="438" t="s">
        <v>3252</v>
      </c>
      <c r="K257" s="439" t="s">
        <v>3257</v>
      </c>
      <c r="L257" s="439" t="s">
        <v>409</v>
      </c>
    </row>
    <row r="258" spans="1:12" ht="14.25">
      <c r="A258" s="6">
        <v>255</v>
      </c>
      <c r="B258" s="327" t="s">
        <v>3248</v>
      </c>
      <c r="C258" s="327" t="s">
        <v>196</v>
      </c>
      <c r="D258" s="436">
        <v>1</v>
      </c>
      <c r="E258" s="327" t="s">
        <v>172</v>
      </c>
      <c r="F258" s="327" t="s">
        <v>3425</v>
      </c>
      <c r="G258" s="327" t="s">
        <v>155</v>
      </c>
      <c r="H258" s="437">
        <v>9.6473110000000002</v>
      </c>
      <c r="I258" s="437">
        <v>125.90779999999999</v>
      </c>
      <c r="J258" s="438" t="s">
        <v>3252</v>
      </c>
      <c r="K258" s="439" t="s">
        <v>3257</v>
      </c>
      <c r="L258" s="439" t="s">
        <v>409</v>
      </c>
    </row>
    <row r="259" spans="1:12" ht="14.25">
      <c r="A259" s="6">
        <v>256</v>
      </c>
      <c r="B259" s="327" t="s">
        <v>3248</v>
      </c>
      <c r="C259" s="327" t="s">
        <v>196</v>
      </c>
      <c r="D259" s="436">
        <v>1</v>
      </c>
      <c r="E259" s="327" t="s">
        <v>2266</v>
      </c>
      <c r="F259" s="327" t="s">
        <v>654</v>
      </c>
      <c r="G259" s="327" t="s">
        <v>155</v>
      </c>
      <c r="H259" s="437">
        <v>9.6854309999999995</v>
      </c>
      <c r="I259" s="437">
        <v>125.9765</v>
      </c>
      <c r="J259" s="438" t="s">
        <v>3252</v>
      </c>
      <c r="K259" s="439" t="s">
        <v>3257</v>
      </c>
      <c r="L259" s="439" t="s">
        <v>288</v>
      </c>
    </row>
    <row r="260" spans="1:12" ht="14.25">
      <c r="A260" s="6">
        <v>257</v>
      </c>
      <c r="B260" s="327" t="s">
        <v>3248</v>
      </c>
      <c r="C260" s="327" t="s">
        <v>196</v>
      </c>
      <c r="D260" s="436">
        <v>1</v>
      </c>
      <c r="E260" s="327" t="s">
        <v>3706</v>
      </c>
      <c r="F260" s="327" t="s">
        <v>3707</v>
      </c>
      <c r="G260" s="327" t="s">
        <v>155</v>
      </c>
      <c r="H260" s="437">
        <v>9.630153</v>
      </c>
      <c r="I260" s="437">
        <v>125.9507</v>
      </c>
      <c r="J260" s="438" t="s">
        <v>3269</v>
      </c>
      <c r="K260" s="439" t="s">
        <v>3253</v>
      </c>
      <c r="L260" s="439" t="s">
        <v>409</v>
      </c>
    </row>
    <row r="261" spans="1:12" ht="14.25">
      <c r="A261" s="6">
        <v>258</v>
      </c>
      <c r="B261" s="327" t="s">
        <v>3248</v>
      </c>
      <c r="C261" s="327" t="s">
        <v>196</v>
      </c>
      <c r="D261" s="436">
        <v>1</v>
      </c>
      <c r="E261" s="327" t="s">
        <v>1638</v>
      </c>
      <c r="F261" s="327" t="s">
        <v>3708</v>
      </c>
      <c r="G261" s="327" t="s">
        <v>155</v>
      </c>
      <c r="H261" s="437">
        <v>9.611758</v>
      </c>
      <c r="I261" s="437">
        <v>125.9396</v>
      </c>
      <c r="J261" s="438" t="s">
        <v>3252</v>
      </c>
      <c r="K261" s="439" t="s">
        <v>3257</v>
      </c>
      <c r="L261" s="439" t="s">
        <v>409</v>
      </c>
    </row>
    <row r="262" spans="1:12" ht="14.25">
      <c r="A262" s="6">
        <v>259</v>
      </c>
      <c r="B262" s="327" t="s">
        <v>3248</v>
      </c>
      <c r="C262" s="327" t="s">
        <v>268</v>
      </c>
      <c r="D262" s="436">
        <v>2</v>
      </c>
      <c r="E262" s="327" t="s">
        <v>3709</v>
      </c>
      <c r="F262" s="327" t="s">
        <v>3710</v>
      </c>
      <c r="G262" s="327" t="s">
        <v>155</v>
      </c>
      <c r="H262" s="437">
        <v>9.8801135979999994</v>
      </c>
      <c r="I262" s="437">
        <v>125.5178231</v>
      </c>
      <c r="J262" s="438" t="s">
        <v>3256</v>
      </c>
      <c r="K262" s="439" t="s">
        <v>3257</v>
      </c>
      <c r="L262" s="439" t="s">
        <v>409</v>
      </c>
    </row>
    <row r="263" spans="1:12" ht="14.25">
      <c r="A263" s="6">
        <v>260</v>
      </c>
      <c r="B263" s="327" t="s">
        <v>3248</v>
      </c>
      <c r="C263" s="327" t="s">
        <v>268</v>
      </c>
      <c r="D263" s="436">
        <v>2</v>
      </c>
      <c r="E263" s="327" t="s">
        <v>57</v>
      </c>
      <c r="F263" s="327" t="s">
        <v>3657</v>
      </c>
      <c r="G263" s="327" t="s">
        <v>155</v>
      </c>
      <c r="H263" s="437">
        <v>9.8852035170000008</v>
      </c>
      <c r="I263" s="437">
        <v>125.53344629999999</v>
      </c>
      <c r="J263" s="438" t="s">
        <v>3256</v>
      </c>
      <c r="K263" s="439" t="s">
        <v>3257</v>
      </c>
      <c r="L263" s="439" t="s">
        <v>409</v>
      </c>
    </row>
    <row r="264" spans="1:12" ht="14.25">
      <c r="A264" s="6">
        <v>261</v>
      </c>
      <c r="B264" s="327" t="s">
        <v>3248</v>
      </c>
      <c r="C264" s="327" t="s">
        <v>268</v>
      </c>
      <c r="D264" s="436">
        <v>2</v>
      </c>
      <c r="E264" s="327" t="s">
        <v>3711</v>
      </c>
      <c r="F264" s="327" t="s">
        <v>3712</v>
      </c>
      <c r="G264" s="327" t="s">
        <v>155</v>
      </c>
      <c r="H264" s="437">
        <v>9.6798240670000002</v>
      </c>
      <c r="I264" s="437">
        <v>125.50473770000001</v>
      </c>
      <c r="J264" s="438" t="s">
        <v>3256</v>
      </c>
      <c r="K264" s="439" t="s">
        <v>3257</v>
      </c>
      <c r="L264" s="439" t="s">
        <v>409</v>
      </c>
    </row>
    <row r="265" spans="1:12" ht="14.25">
      <c r="A265" s="6">
        <v>262</v>
      </c>
      <c r="B265" s="327" t="s">
        <v>3248</v>
      </c>
      <c r="C265" s="327" t="s">
        <v>268</v>
      </c>
      <c r="D265" s="436">
        <v>2</v>
      </c>
      <c r="E265" s="327" t="s">
        <v>2402</v>
      </c>
      <c r="F265" s="327" t="s">
        <v>3713</v>
      </c>
      <c r="G265" s="327" t="s">
        <v>155</v>
      </c>
      <c r="H265" s="437">
        <v>9.9062006222779804</v>
      </c>
      <c r="I265" s="437">
        <v>125.59269851874301</v>
      </c>
      <c r="J265" s="438" t="s">
        <v>3256</v>
      </c>
      <c r="K265" s="439" t="s">
        <v>3257</v>
      </c>
      <c r="L265" s="439" t="s">
        <v>409</v>
      </c>
    </row>
    <row r="266" spans="1:12" ht="14.25">
      <c r="A266" s="6">
        <v>263</v>
      </c>
      <c r="B266" s="327" t="s">
        <v>3248</v>
      </c>
      <c r="C266" s="327" t="s">
        <v>268</v>
      </c>
      <c r="D266" s="436">
        <v>2</v>
      </c>
      <c r="E266" s="327" t="s">
        <v>3714</v>
      </c>
      <c r="F266" s="327" t="s">
        <v>3715</v>
      </c>
      <c r="G266" s="327" t="s">
        <v>155</v>
      </c>
      <c r="H266" s="437">
        <v>9.7639014779999993</v>
      </c>
      <c r="I266" s="437">
        <v>125.5241905</v>
      </c>
      <c r="J266" s="438" t="s">
        <v>3252</v>
      </c>
      <c r="K266" s="439" t="s">
        <v>3253</v>
      </c>
      <c r="L266" s="439" t="s">
        <v>409</v>
      </c>
    </row>
    <row r="267" spans="1:12" ht="14.25">
      <c r="A267" s="6">
        <v>264</v>
      </c>
      <c r="B267" s="327" t="s">
        <v>3248</v>
      </c>
      <c r="C267" s="327" t="s">
        <v>268</v>
      </c>
      <c r="D267" s="436">
        <v>2</v>
      </c>
      <c r="E267" s="327" t="s">
        <v>2370</v>
      </c>
      <c r="F267" s="327" t="s">
        <v>3301</v>
      </c>
      <c r="G267" s="327" t="s">
        <v>155</v>
      </c>
      <c r="H267" s="437">
        <v>9.8696698430000005</v>
      </c>
      <c r="I267" s="437">
        <v>125.5467068</v>
      </c>
      <c r="J267" s="438" t="s">
        <v>3256</v>
      </c>
      <c r="K267" s="439" t="s">
        <v>3257</v>
      </c>
      <c r="L267" s="439" t="s">
        <v>409</v>
      </c>
    </row>
    <row r="268" spans="1:12" ht="14.25">
      <c r="A268" s="6">
        <v>265</v>
      </c>
      <c r="B268" s="327" t="s">
        <v>3248</v>
      </c>
      <c r="C268" s="327" t="s">
        <v>268</v>
      </c>
      <c r="D268" s="436">
        <v>2</v>
      </c>
      <c r="E268" s="327" t="s">
        <v>3717</v>
      </c>
      <c r="F268" s="327" t="s">
        <v>3718</v>
      </c>
      <c r="G268" s="327" t="s">
        <v>155</v>
      </c>
      <c r="H268" s="437">
        <v>9.8925979440000003</v>
      </c>
      <c r="I268" s="437">
        <v>125.52861900000001</v>
      </c>
      <c r="J268" s="438" t="s">
        <v>3256</v>
      </c>
      <c r="K268" s="439" t="s">
        <v>3257</v>
      </c>
      <c r="L268" s="439" t="s">
        <v>409</v>
      </c>
    </row>
    <row r="269" spans="1:12" ht="14.25">
      <c r="A269" s="6">
        <v>266</v>
      </c>
      <c r="B269" s="327" t="s">
        <v>3248</v>
      </c>
      <c r="C269" s="327" t="s">
        <v>268</v>
      </c>
      <c r="D269" s="436">
        <v>2</v>
      </c>
      <c r="E269" s="327" t="s">
        <v>3719</v>
      </c>
      <c r="F269" s="327" t="s">
        <v>3720</v>
      </c>
      <c r="G269" s="327" t="s">
        <v>155</v>
      </c>
      <c r="H269" s="437">
        <v>9.7921793319999999</v>
      </c>
      <c r="I269" s="437">
        <v>125.6323867</v>
      </c>
      <c r="J269" s="438" t="s">
        <v>3256</v>
      </c>
      <c r="K269" s="439" t="s">
        <v>3257</v>
      </c>
      <c r="L269" s="439" t="s">
        <v>409</v>
      </c>
    </row>
    <row r="270" spans="1:12" ht="14.25">
      <c r="A270" s="6">
        <v>267</v>
      </c>
      <c r="B270" s="327" t="s">
        <v>3248</v>
      </c>
      <c r="C270" s="327" t="s">
        <v>268</v>
      </c>
      <c r="D270" s="436">
        <v>2</v>
      </c>
      <c r="E270" s="327" t="s">
        <v>1537</v>
      </c>
      <c r="F270" s="327" t="s">
        <v>3721</v>
      </c>
      <c r="G270" s="327" t="s">
        <v>155</v>
      </c>
      <c r="H270" s="437">
        <v>9.7382382060000001</v>
      </c>
      <c r="I270" s="437">
        <v>125.4962278</v>
      </c>
      <c r="J270" s="438" t="s">
        <v>3269</v>
      </c>
      <c r="K270" s="439" t="s">
        <v>3253</v>
      </c>
      <c r="L270" s="439" t="s">
        <v>409</v>
      </c>
    </row>
    <row r="271" spans="1:12" ht="14.25">
      <c r="A271" s="6">
        <v>268</v>
      </c>
      <c r="B271" s="327" t="s">
        <v>3248</v>
      </c>
      <c r="C271" s="327" t="s">
        <v>268</v>
      </c>
      <c r="D271" s="436">
        <v>2</v>
      </c>
      <c r="E271" s="327" t="s">
        <v>2482</v>
      </c>
      <c r="F271" s="327" t="s">
        <v>3354</v>
      </c>
      <c r="G271" s="327" t="s">
        <v>155</v>
      </c>
      <c r="H271" s="437">
        <v>9.8723247460000003</v>
      </c>
      <c r="I271" s="437">
        <v>125.53408450000001</v>
      </c>
      <c r="J271" s="438" t="s">
        <v>3269</v>
      </c>
      <c r="K271" s="439" t="s">
        <v>3253</v>
      </c>
      <c r="L271" s="439" t="s">
        <v>409</v>
      </c>
    </row>
    <row r="272" spans="1:12" ht="14.25">
      <c r="A272" s="6">
        <v>269</v>
      </c>
      <c r="B272" s="327" t="s">
        <v>3248</v>
      </c>
      <c r="C272" s="327" t="s">
        <v>268</v>
      </c>
      <c r="D272" s="436">
        <v>2</v>
      </c>
      <c r="E272" s="327" t="s">
        <v>2396</v>
      </c>
      <c r="F272" s="327" t="s">
        <v>3722</v>
      </c>
      <c r="G272" s="327" t="s">
        <v>155</v>
      </c>
      <c r="H272" s="437">
        <v>9.7220452450000003</v>
      </c>
      <c r="I272" s="437">
        <v>125.56648869999999</v>
      </c>
      <c r="J272" s="438" t="s">
        <v>3256</v>
      </c>
      <c r="K272" s="439" t="s">
        <v>3257</v>
      </c>
      <c r="L272" s="439" t="s">
        <v>409</v>
      </c>
    </row>
    <row r="273" spans="1:12" ht="14.25">
      <c r="A273" s="6">
        <v>270</v>
      </c>
      <c r="B273" s="327" t="s">
        <v>3248</v>
      </c>
      <c r="C273" s="327" t="s">
        <v>268</v>
      </c>
      <c r="D273" s="436">
        <v>2</v>
      </c>
      <c r="E273" s="327" t="s">
        <v>3724</v>
      </c>
      <c r="F273" s="327" t="s">
        <v>3725</v>
      </c>
      <c r="G273" s="327" t="s">
        <v>155</v>
      </c>
      <c r="H273" s="437">
        <v>9.7630214209999995</v>
      </c>
      <c r="I273" s="437">
        <v>125.5037696</v>
      </c>
      <c r="J273" s="438" t="s">
        <v>3269</v>
      </c>
      <c r="K273" s="439" t="s">
        <v>3253</v>
      </c>
      <c r="L273" s="439" t="s">
        <v>409</v>
      </c>
    </row>
    <row r="274" spans="1:12" ht="14.25">
      <c r="A274" s="6">
        <v>271</v>
      </c>
      <c r="B274" s="327" t="s">
        <v>3248</v>
      </c>
      <c r="C274" s="327" t="s">
        <v>268</v>
      </c>
      <c r="D274" s="436">
        <v>2</v>
      </c>
      <c r="E274" s="327" t="s">
        <v>3726</v>
      </c>
      <c r="F274" s="327" t="s">
        <v>3727</v>
      </c>
      <c r="G274" s="327" t="s">
        <v>155</v>
      </c>
      <c r="H274" s="437">
        <v>9.7729280240000005</v>
      </c>
      <c r="I274" s="437">
        <v>125.653014</v>
      </c>
      <c r="J274" s="438" t="s">
        <v>3256</v>
      </c>
      <c r="K274" s="439" t="s">
        <v>3257</v>
      </c>
      <c r="L274" s="439" t="s">
        <v>409</v>
      </c>
    </row>
    <row r="275" spans="1:12" ht="14.25">
      <c r="A275" s="6">
        <v>272</v>
      </c>
      <c r="B275" s="327" t="s">
        <v>3248</v>
      </c>
      <c r="C275" s="327" t="s">
        <v>268</v>
      </c>
      <c r="D275" s="436">
        <v>2</v>
      </c>
      <c r="E275" s="327" t="s">
        <v>2342</v>
      </c>
      <c r="F275" s="327" t="s">
        <v>3729</v>
      </c>
      <c r="G275" s="327" t="s">
        <v>155</v>
      </c>
      <c r="H275" s="437">
        <v>9.7744009999999992</v>
      </c>
      <c r="I275" s="437">
        <v>125.49678400000001</v>
      </c>
      <c r="J275" s="438" t="s">
        <v>3269</v>
      </c>
      <c r="K275" s="439" t="s">
        <v>3253</v>
      </c>
      <c r="L275" s="439" t="s">
        <v>409</v>
      </c>
    </row>
    <row r="276" spans="1:12" ht="14.25">
      <c r="A276" s="6">
        <v>273</v>
      </c>
      <c r="B276" s="327" t="s">
        <v>3248</v>
      </c>
      <c r="C276" s="327" t="s">
        <v>268</v>
      </c>
      <c r="D276" s="436">
        <v>2</v>
      </c>
      <c r="E276" s="327" t="s">
        <v>1487</v>
      </c>
      <c r="F276" s="327" t="s">
        <v>3732</v>
      </c>
      <c r="G276" s="327" t="s">
        <v>155</v>
      </c>
      <c r="H276" s="437">
        <v>9.8521550409999996</v>
      </c>
      <c r="I276" s="437">
        <v>125.5872882</v>
      </c>
      <c r="J276" s="438" t="s">
        <v>3256</v>
      </c>
      <c r="K276" s="439" t="s">
        <v>3257</v>
      </c>
      <c r="L276" s="439" t="s">
        <v>409</v>
      </c>
    </row>
    <row r="277" spans="1:12" ht="14.25">
      <c r="A277" s="6">
        <v>274</v>
      </c>
      <c r="B277" s="327" t="s">
        <v>3248</v>
      </c>
      <c r="C277" s="327" t="s">
        <v>268</v>
      </c>
      <c r="D277" s="436">
        <v>2</v>
      </c>
      <c r="E277" s="327" t="s">
        <v>4</v>
      </c>
      <c r="F277" s="327" t="s">
        <v>3733</v>
      </c>
      <c r="G277" s="327" t="s">
        <v>155</v>
      </c>
      <c r="H277" s="437">
        <v>9.7402599070000004</v>
      </c>
      <c r="I277" s="437">
        <v>125.5443665</v>
      </c>
      <c r="J277" s="438" t="s">
        <v>3269</v>
      </c>
      <c r="K277" s="439" t="s">
        <v>3253</v>
      </c>
      <c r="L277" s="439" t="s">
        <v>409</v>
      </c>
    </row>
    <row r="278" spans="1:12" ht="14.25">
      <c r="A278" s="6">
        <v>275</v>
      </c>
      <c r="B278" s="327" t="s">
        <v>3248</v>
      </c>
      <c r="C278" s="327" t="s">
        <v>268</v>
      </c>
      <c r="D278" s="436">
        <v>2</v>
      </c>
      <c r="E278" s="327" t="s">
        <v>2463</v>
      </c>
      <c r="F278" s="327" t="s">
        <v>3734</v>
      </c>
      <c r="G278" s="327" t="s">
        <v>155</v>
      </c>
      <c r="H278" s="437">
        <v>9.9176954849999994</v>
      </c>
      <c r="I278" s="437">
        <v>125.5152781</v>
      </c>
      <c r="J278" s="438" t="s">
        <v>3269</v>
      </c>
      <c r="K278" s="439" t="s">
        <v>3253</v>
      </c>
      <c r="L278" s="439" t="s">
        <v>409</v>
      </c>
    </row>
    <row r="279" spans="1:12" ht="14.25">
      <c r="A279" s="6">
        <v>276</v>
      </c>
      <c r="B279" s="327" t="s">
        <v>3248</v>
      </c>
      <c r="C279" s="327" t="s">
        <v>268</v>
      </c>
      <c r="D279" s="436">
        <v>2</v>
      </c>
      <c r="E279" s="327" t="s">
        <v>3735</v>
      </c>
      <c r="F279" s="327" t="s">
        <v>3736</v>
      </c>
      <c r="G279" s="327" t="s">
        <v>155</v>
      </c>
      <c r="H279" s="437">
        <v>9.7557009289999996</v>
      </c>
      <c r="I279" s="437">
        <v>125.4392112</v>
      </c>
      <c r="J279" s="438" t="s">
        <v>3256</v>
      </c>
      <c r="K279" s="439" t="s">
        <v>3257</v>
      </c>
      <c r="L279" s="439" t="s">
        <v>409</v>
      </c>
    </row>
    <row r="280" spans="1:12" ht="14.25">
      <c r="A280" s="6">
        <v>277</v>
      </c>
      <c r="B280" s="327" t="s">
        <v>3248</v>
      </c>
      <c r="C280" s="327" t="s">
        <v>268</v>
      </c>
      <c r="D280" s="436">
        <v>2</v>
      </c>
      <c r="E280" s="327" t="s">
        <v>3737</v>
      </c>
      <c r="F280" s="327" t="s">
        <v>3738</v>
      </c>
      <c r="G280" s="327" t="s">
        <v>155</v>
      </c>
      <c r="H280" s="437">
        <v>9.9266875910000003</v>
      </c>
      <c r="I280" s="437">
        <v>125.5004765</v>
      </c>
      <c r="J280" s="438" t="s">
        <v>3256</v>
      </c>
      <c r="K280" s="439" t="s">
        <v>3257</v>
      </c>
      <c r="L280" s="439" t="s">
        <v>409</v>
      </c>
    </row>
    <row r="281" spans="1:12" ht="14.25">
      <c r="A281" s="6">
        <v>278</v>
      </c>
      <c r="B281" s="327" t="s">
        <v>3248</v>
      </c>
      <c r="C281" s="327" t="s">
        <v>268</v>
      </c>
      <c r="D281" s="436">
        <v>2</v>
      </c>
      <c r="E281" s="327" t="s">
        <v>3739</v>
      </c>
      <c r="F281" s="327" t="s">
        <v>3741</v>
      </c>
      <c r="G281" s="327" t="s">
        <v>155</v>
      </c>
      <c r="H281" s="437">
        <v>9.7698595800000003</v>
      </c>
      <c r="I281" s="437">
        <v>125.5347215</v>
      </c>
      <c r="J281" s="438" t="s">
        <v>3269</v>
      </c>
      <c r="K281" s="439" t="s">
        <v>3253</v>
      </c>
      <c r="L281" s="439" t="s">
        <v>409</v>
      </c>
    </row>
    <row r="282" spans="1:12" ht="14.25">
      <c r="A282" s="6">
        <v>279</v>
      </c>
      <c r="B282" s="327" t="s">
        <v>3248</v>
      </c>
      <c r="C282" s="327" t="s">
        <v>268</v>
      </c>
      <c r="D282" s="436">
        <v>2</v>
      </c>
      <c r="E282" s="327" t="s">
        <v>290</v>
      </c>
      <c r="F282" s="327" t="s">
        <v>3438</v>
      </c>
      <c r="G282" s="327" t="s">
        <v>155</v>
      </c>
      <c r="H282" s="437">
        <v>9.7920185110000002</v>
      </c>
      <c r="I282" s="437">
        <v>125.43931310000001</v>
      </c>
      <c r="J282" s="438" t="s">
        <v>3269</v>
      </c>
      <c r="K282" s="439" t="s">
        <v>3253</v>
      </c>
      <c r="L282" s="439" t="s">
        <v>409</v>
      </c>
    </row>
    <row r="283" spans="1:12" ht="14.25">
      <c r="A283" s="6">
        <v>280</v>
      </c>
      <c r="B283" s="327" t="s">
        <v>3248</v>
      </c>
      <c r="C283" s="327" t="s">
        <v>268</v>
      </c>
      <c r="D283" s="436">
        <v>2</v>
      </c>
      <c r="E283" s="327" t="s">
        <v>3746</v>
      </c>
      <c r="F283" s="327" t="s">
        <v>3747</v>
      </c>
      <c r="G283" s="327" t="s">
        <v>155</v>
      </c>
      <c r="H283" s="437">
        <v>9.8910531699999993</v>
      </c>
      <c r="I283" s="437">
        <v>125.5147375</v>
      </c>
      <c r="J283" s="438" t="s">
        <v>3256</v>
      </c>
      <c r="K283" s="439" t="s">
        <v>3257</v>
      </c>
      <c r="L283" s="439" t="s">
        <v>409</v>
      </c>
    </row>
    <row r="284" spans="1:12" ht="14.25">
      <c r="A284" s="6">
        <v>281</v>
      </c>
      <c r="B284" s="327" t="s">
        <v>3248</v>
      </c>
      <c r="C284" s="327" t="s">
        <v>268</v>
      </c>
      <c r="D284" s="436">
        <v>2</v>
      </c>
      <c r="E284" s="327" t="s">
        <v>18</v>
      </c>
      <c r="F284" s="327" t="s">
        <v>3749</v>
      </c>
      <c r="G284" s="327" t="s">
        <v>155</v>
      </c>
      <c r="H284" s="437">
        <v>9.8127170810000006</v>
      </c>
      <c r="I284" s="437">
        <v>125.45591090000001</v>
      </c>
      <c r="J284" s="438" t="s">
        <v>3269</v>
      </c>
      <c r="K284" s="439" t="s">
        <v>3253</v>
      </c>
      <c r="L284" s="439" t="s">
        <v>409</v>
      </c>
    </row>
    <row r="285" spans="1:12" ht="14.25">
      <c r="A285" s="6">
        <v>282</v>
      </c>
      <c r="B285" s="327" t="s">
        <v>3248</v>
      </c>
      <c r="C285" s="327" t="s">
        <v>268</v>
      </c>
      <c r="D285" s="436">
        <v>2</v>
      </c>
      <c r="E285" s="327" t="s">
        <v>2416</v>
      </c>
      <c r="F285" s="327" t="s">
        <v>3756</v>
      </c>
      <c r="G285" s="327" t="s">
        <v>155</v>
      </c>
      <c r="H285" s="437">
        <v>9.8820774870000001</v>
      </c>
      <c r="I285" s="437">
        <v>125.56642650000001</v>
      </c>
      <c r="J285" s="438" t="s">
        <v>3269</v>
      </c>
      <c r="K285" s="439" t="s">
        <v>3253</v>
      </c>
      <c r="L285" s="439" t="s">
        <v>409</v>
      </c>
    </row>
    <row r="286" spans="1:12" ht="14.25">
      <c r="A286" s="6">
        <v>283</v>
      </c>
      <c r="B286" s="327" t="s">
        <v>3248</v>
      </c>
      <c r="C286" s="327" t="s">
        <v>268</v>
      </c>
      <c r="D286" s="436">
        <v>2</v>
      </c>
      <c r="E286" s="327" t="s">
        <v>1564</v>
      </c>
      <c r="F286" s="327" t="s">
        <v>2337</v>
      </c>
      <c r="G286" s="327" t="s">
        <v>155</v>
      </c>
      <c r="H286" s="437">
        <v>9.7638325980000005</v>
      </c>
      <c r="I286" s="437">
        <v>125.4829325</v>
      </c>
      <c r="J286" s="438" t="s">
        <v>3269</v>
      </c>
      <c r="K286" s="439" t="s">
        <v>3253</v>
      </c>
      <c r="L286" s="439" t="s">
        <v>409</v>
      </c>
    </row>
    <row r="287" spans="1:12" ht="14.25">
      <c r="A287" s="6">
        <v>284</v>
      </c>
      <c r="B287" s="327" t="s">
        <v>3248</v>
      </c>
      <c r="C287" s="327" t="s">
        <v>268</v>
      </c>
      <c r="D287" s="436">
        <v>2</v>
      </c>
      <c r="E287" s="327" t="s">
        <v>2429</v>
      </c>
      <c r="F287" s="327" t="s">
        <v>3485</v>
      </c>
      <c r="G287" s="327" t="s">
        <v>155</v>
      </c>
      <c r="H287" s="437">
        <v>9.7023583579999997</v>
      </c>
      <c r="I287" s="437">
        <v>125.4963858</v>
      </c>
      <c r="J287" s="438" t="s">
        <v>3256</v>
      </c>
      <c r="K287" s="439" t="s">
        <v>3257</v>
      </c>
      <c r="L287" s="439" t="s">
        <v>409</v>
      </c>
    </row>
    <row r="288" spans="1:12" ht="14.25">
      <c r="A288" s="6">
        <v>285</v>
      </c>
      <c r="B288" s="327" t="s">
        <v>3248</v>
      </c>
      <c r="C288" s="327" t="s">
        <v>268</v>
      </c>
      <c r="D288" s="436">
        <v>2</v>
      </c>
      <c r="E288" s="327" t="s">
        <v>1830</v>
      </c>
      <c r="F288" s="327" t="s">
        <v>3768</v>
      </c>
      <c r="G288" s="327" t="s">
        <v>155</v>
      </c>
      <c r="H288" s="437">
        <v>9.808697703</v>
      </c>
      <c r="I288" s="437">
        <v>125.4412177</v>
      </c>
      <c r="J288" s="438" t="s">
        <v>3269</v>
      </c>
      <c r="K288" s="439" t="s">
        <v>3253</v>
      </c>
      <c r="L288" s="439" t="s">
        <v>409</v>
      </c>
    </row>
    <row r="289" spans="1:12" ht="14.25">
      <c r="A289" s="6">
        <v>286</v>
      </c>
      <c r="B289" s="327" t="s">
        <v>3248</v>
      </c>
      <c r="C289" s="327" t="s">
        <v>268</v>
      </c>
      <c r="D289" s="436">
        <v>2</v>
      </c>
      <c r="E289" s="327" t="s">
        <v>3770</v>
      </c>
      <c r="F289" s="327" t="s">
        <v>3771</v>
      </c>
      <c r="G289" s="327" t="s">
        <v>155</v>
      </c>
      <c r="H289" s="437">
        <v>9.7598359650000006</v>
      </c>
      <c r="I289" s="437">
        <v>125.6369519</v>
      </c>
      <c r="J289" s="438" t="s">
        <v>3256</v>
      </c>
      <c r="K289" s="439" t="s">
        <v>3257</v>
      </c>
      <c r="L289" s="439" t="s">
        <v>409</v>
      </c>
    </row>
    <row r="290" spans="1:12" ht="14.25">
      <c r="A290" s="6">
        <v>287</v>
      </c>
      <c r="B290" s="327" t="s">
        <v>3248</v>
      </c>
      <c r="C290" s="327" t="s">
        <v>268</v>
      </c>
      <c r="D290" s="436">
        <v>2</v>
      </c>
      <c r="E290" s="327" t="s">
        <v>3772</v>
      </c>
      <c r="F290" s="327" t="s">
        <v>3773</v>
      </c>
      <c r="G290" s="327" t="s">
        <v>155</v>
      </c>
      <c r="H290" s="437">
        <v>9.7285039940000004</v>
      </c>
      <c r="I290" s="437">
        <v>125.5201392</v>
      </c>
      <c r="J290" s="438" t="s">
        <v>3256</v>
      </c>
      <c r="K290" s="439" t="s">
        <v>3257</v>
      </c>
      <c r="L290" s="439" t="s">
        <v>409</v>
      </c>
    </row>
    <row r="291" spans="1:12" ht="14.25">
      <c r="A291" s="6">
        <v>288</v>
      </c>
      <c r="B291" s="327" t="s">
        <v>3248</v>
      </c>
      <c r="C291" s="327" t="s">
        <v>268</v>
      </c>
      <c r="D291" s="436">
        <v>2</v>
      </c>
      <c r="E291" s="327" t="s">
        <v>2561</v>
      </c>
      <c r="F291" s="327" t="s">
        <v>3774</v>
      </c>
      <c r="G291" s="327" t="s">
        <v>155</v>
      </c>
      <c r="H291" s="437">
        <v>9.7158890469999992</v>
      </c>
      <c r="I291" s="437">
        <v>125.4766748</v>
      </c>
      <c r="J291" s="438" t="s">
        <v>3269</v>
      </c>
      <c r="K291" s="439" t="s">
        <v>3253</v>
      </c>
      <c r="L291" s="439" t="s">
        <v>409</v>
      </c>
    </row>
    <row r="292" spans="1:12" ht="14.25">
      <c r="A292" s="6">
        <v>289</v>
      </c>
      <c r="B292" s="327" t="s">
        <v>3248</v>
      </c>
      <c r="C292" s="327" t="s">
        <v>268</v>
      </c>
      <c r="D292" s="436">
        <v>2</v>
      </c>
      <c r="E292" s="327" t="s">
        <v>3775</v>
      </c>
      <c r="F292" s="327" t="s">
        <v>3776</v>
      </c>
      <c r="G292" s="327" t="s">
        <v>155</v>
      </c>
      <c r="H292" s="437">
        <v>9.7342614399999992</v>
      </c>
      <c r="I292" s="437">
        <v>125.5638379</v>
      </c>
      <c r="J292" s="438" t="s">
        <v>3256</v>
      </c>
      <c r="K292" s="439" t="s">
        <v>3257</v>
      </c>
      <c r="L292" s="439" t="s">
        <v>409</v>
      </c>
    </row>
    <row r="293" spans="1:12" ht="14.25">
      <c r="A293" s="6">
        <v>290</v>
      </c>
      <c r="B293" s="327" t="s">
        <v>3248</v>
      </c>
      <c r="C293" s="327" t="s">
        <v>268</v>
      </c>
      <c r="D293" s="436">
        <v>2</v>
      </c>
      <c r="E293" s="327" t="s">
        <v>3779</v>
      </c>
      <c r="F293" s="327" t="s">
        <v>3780</v>
      </c>
      <c r="G293" s="327" t="s">
        <v>155</v>
      </c>
      <c r="H293" s="437">
        <v>9.8210487529999995</v>
      </c>
      <c r="I293" s="437">
        <v>125.5817747</v>
      </c>
      <c r="J293" s="438" t="s">
        <v>3269</v>
      </c>
      <c r="K293" s="439" t="s">
        <v>3253</v>
      </c>
      <c r="L293" s="439" t="s">
        <v>409</v>
      </c>
    </row>
    <row r="294" spans="1:12" ht="14.25">
      <c r="A294" s="6">
        <v>291</v>
      </c>
      <c r="B294" s="327" t="s">
        <v>3248</v>
      </c>
      <c r="C294" s="327" t="s">
        <v>268</v>
      </c>
      <c r="D294" s="436">
        <v>2</v>
      </c>
      <c r="E294" s="327" t="s">
        <v>3781</v>
      </c>
      <c r="F294" s="327" t="s">
        <v>3782</v>
      </c>
      <c r="G294" s="327" t="s">
        <v>155</v>
      </c>
      <c r="H294" s="437">
        <v>9.7563166710000004</v>
      </c>
      <c r="I294" s="437">
        <v>125.54199269999999</v>
      </c>
      <c r="J294" s="438" t="s">
        <v>3269</v>
      </c>
      <c r="K294" s="439" t="s">
        <v>3253</v>
      </c>
      <c r="L294" s="439" t="s">
        <v>409</v>
      </c>
    </row>
    <row r="295" spans="1:12" ht="14.25">
      <c r="A295" s="6">
        <v>292</v>
      </c>
      <c r="B295" s="327" t="s">
        <v>3248</v>
      </c>
      <c r="C295" s="327" t="s">
        <v>268</v>
      </c>
      <c r="D295" s="436">
        <v>2</v>
      </c>
      <c r="E295" s="327" t="s">
        <v>3783</v>
      </c>
      <c r="F295" s="327" t="s">
        <v>3784</v>
      </c>
      <c r="G295" s="327" t="s">
        <v>155</v>
      </c>
      <c r="H295" s="437">
        <v>9.7438640000000003</v>
      </c>
      <c r="I295" s="437">
        <v>125.47692809999999</v>
      </c>
      <c r="J295" s="438" t="s">
        <v>3269</v>
      </c>
      <c r="K295" s="439" t="s">
        <v>3253</v>
      </c>
      <c r="L295" s="439" t="s">
        <v>409</v>
      </c>
    </row>
    <row r="296" spans="1:12" ht="14.25">
      <c r="A296" s="6">
        <v>293</v>
      </c>
      <c r="B296" s="327" t="s">
        <v>3248</v>
      </c>
      <c r="C296" s="327" t="s">
        <v>268</v>
      </c>
      <c r="D296" s="436">
        <v>2</v>
      </c>
      <c r="E296" s="327" t="s">
        <v>3786</v>
      </c>
      <c r="F296" s="327" t="s">
        <v>3787</v>
      </c>
      <c r="G296" s="327" t="s">
        <v>155</v>
      </c>
      <c r="H296" s="437">
        <v>9.8228943510000004</v>
      </c>
      <c r="I296" s="437">
        <v>125.4442774</v>
      </c>
      <c r="J296" s="438" t="s">
        <v>3269</v>
      </c>
      <c r="K296" s="439" t="s">
        <v>3253</v>
      </c>
      <c r="L296" s="439" t="s">
        <v>409</v>
      </c>
    </row>
    <row r="297" spans="1:12" ht="14.25">
      <c r="A297" s="6">
        <v>294</v>
      </c>
      <c r="B297" s="327" t="s">
        <v>3248</v>
      </c>
      <c r="C297" s="327" t="s">
        <v>268</v>
      </c>
      <c r="D297" s="436">
        <v>2</v>
      </c>
      <c r="E297" s="327" t="s">
        <v>327</v>
      </c>
      <c r="F297" s="327" t="s">
        <v>3394</v>
      </c>
      <c r="G297" s="327" t="s">
        <v>155</v>
      </c>
      <c r="H297" s="437">
        <v>9.7205642169999997</v>
      </c>
      <c r="I297" s="437">
        <v>125.5068248</v>
      </c>
      <c r="J297" s="438" t="s">
        <v>3269</v>
      </c>
      <c r="K297" s="439" t="s">
        <v>3253</v>
      </c>
      <c r="L297" s="439" t="s">
        <v>409</v>
      </c>
    </row>
    <row r="298" spans="1:12" ht="14.25">
      <c r="A298" s="6">
        <v>295</v>
      </c>
      <c r="B298" s="327" t="s">
        <v>3248</v>
      </c>
      <c r="C298" s="327" t="s">
        <v>268</v>
      </c>
      <c r="D298" s="436">
        <v>2</v>
      </c>
      <c r="E298" s="327" t="s">
        <v>23</v>
      </c>
      <c r="F298" s="327" t="s">
        <v>449</v>
      </c>
      <c r="G298" s="327" t="s">
        <v>155</v>
      </c>
      <c r="H298" s="437">
        <v>9.7801203739999991</v>
      </c>
      <c r="I298" s="437">
        <v>125.46511</v>
      </c>
      <c r="J298" s="438" t="s">
        <v>3269</v>
      </c>
      <c r="K298" s="439" t="s">
        <v>3253</v>
      </c>
      <c r="L298" s="439" t="s">
        <v>288</v>
      </c>
    </row>
    <row r="299" spans="1:12" ht="14.25">
      <c r="A299" s="6">
        <v>296</v>
      </c>
      <c r="B299" s="327" t="s">
        <v>3248</v>
      </c>
      <c r="C299" s="327" t="s">
        <v>268</v>
      </c>
      <c r="D299" s="436">
        <v>2</v>
      </c>
      <c r="E299" s="327" t="s">
        <v>2340</v>
      </c>
      <c r="F299" s="327" t="s">
        <v>3788</v>
      </c>
      <c r="G299" s="327" t="s">
        <v>155</v>
      </c>
      <c r="H299" s="437">
        <v>9.7978310789999998</v>
      </c>
      <c r="I299" s="437">
        <v>125.47261090000001</v>
      </c>
      <c r="J299" s="438" t="s">
        <v>3269</v>
      </c>
      <c r="K299" s="439" t="s">
        <v>3253</v>
      </c>
      <c r="L299" s="439" t="s">
        <v>409</v>
      </c>
    </row>
    <row r="300" spans="1:12" ht="14.25">
      <c r="A300" s="6">
        <v>297</v>
      </c>
      <c r="B300" s="327" t="s">
        <v>3248</v>
      </c>
      <c r="C300" s="327" t="s">
        <v>268</v>
      </c>
      <c r="D300" s="436">
        <v>2</v>
      </c>
      <c r="E300" s="327" t="s">
        <v>140</v>
      </c>
      <c r="F300" s="327" t="s">
        <v>3451</v>
      </c>
      <c r="G300" s="327" t="s">
        <v>155</v>
      </c>
      <c r="H300" s="437">
        <v>9.7611352090000008</v>
      </c>
      <c r="I300" s="437">
        <v>125.5512169</v>
      </c>
      <c r="J300" s="438" t="s">
        <v>3269</v>
      </c>
      <c r="K300" s="439" t="s">
        <v>3253</v>
      </c>
      <c r="L300" s="439" t="s">
        <v>409</v>
      </c>
    </row>
    <row r="301" spans="1:12" ht="14.25">
      <c r="A301" s="6">
        <v>298</v>
      </c>
      <c r="B301" s="327" t="s">
        <v>3248</v>
      </c>
      <c r="C301" s="327" t="s">
        <v>268</v>
      </c>
      <c r="D301" s="436">
        <v>2</v>
      </c>
      <c r="E301" s="327" t="s">
        <v>2247</v>
      </c>
      <c r="F301" s="327" t="s">
        <v>3397</v>
      </c>
      <c r="G301" s="327" t="s">
        <v>155</v>
      </c>
      <c r="H301" s="437">
        <v>9.755537382</v>
      </c>
      <c r="I301" s="437">
        <v>125.6667688</v>
      </c>
      <c r="J301" s="438" t="s">
        <v>3269</v>
      </c>
      <c r="K301" s="439" t="s">
        <v>3253</v>
      </c>
      <c r="L301" s="439" t="s">
        <v>409</v>
      </c>
    </row>
    <row r="302" spans="1:12" ht="14.25">
      <c r="A302" s="6">
        <v>299</v>
      </c>
      <c r="B302" s="327" t="s">
        <v>3248</v>
      </c>
      <c r="C302" s="327" t="s">
        <v>268</v>
      </c>
      <c r="D302" s="436">
        <v>2</v>
      </c>
      <c r="E302" s="327" t="s">
        <v>29</v>
      </c>
      <c r="F302" s="327" t="s">
        <v>425</v>
      </c>
      <c r="G302" s="327" t="s">
        <v>155</v>
      </c>
      <c r="H302" s="437">
        <v>9.7919744939999998</v>
      </c>
      <c r="I302" s="437">
        <v>125.4845172</v>
      </c>
      <c r="J302" s="438" t="s">
        <v>3269</v>
      </c>
      <c r="K302" s="439" t="s">
        <v>3253</v>
      </c>
      <c r="L302" s="439" t="s">
        <v>288</v>
      </c>
    </row>
    <row r="303" spans="1:12" ht="14.25">
      <c r="A303" s="6">
        <v>300</v>
      </c>
      <c r="B303" s="327" t="s">
        <v>3248</v>
      </c>
      <c r="C303" s="327" t="s">
        <v>268</v>
      </c>
      <c r="D303" s="436">
        <v>2</v>
      </c>
      <c r="E303" s="327" t="s">
        <v>405</v>
      </c>
      <c r="F303" s="327" t="s">
        <v>3281</v>
      </c>
      <c r="G303" s="327" t="s">
        <v>155</v>
      </c>
      <c r="H303" s="437">
        <v>9.8534140509999997</v>
      </c>
      <c r="I303" s="437">
        <v>125.5821534</v>
      </c>
      <c r="J303" s="438" t="s">
        <v>3256</v>
      </c>
      <c r="K303" s="439" t="s">
        <v>3257</v>
      </c>
      <c r="L303" s="439" t="s">
        <v>409</v>
      </c>
    </row>
    <row r="304" spans="1:12" ht="14.25">
      <c r="A304" s="6">
        <v>301</v>
      </c>
      <c r="B304" s="327" t="s">
        <v>3248</v>
      </c>
      <c r="C304" s="327" t="s">
        <v>268</v>
      </c>
      <c r="D304" s="436">
        <v>2</v>
      </c>
      <c r="E304" s="327" t="s">
        <v>1477</v>
      </c>
      <c r="F304" s="327" t="s">
        <v>1478</v>
      </c>
      <c r="G304" s="327" t="s">
        <v>155</v>
      </c>
      <c r="H304" s="437">
        <v>9.7529439149999995</v>
      </c>
      <c r="I304" s="437">
        <v>125.4739924</v>
      </c>
      <c r="J304" s="438" t="s">
        <v>3269</v>
      </c>
      <c r="K304" s="439" t="s">
        <v>3253</v>
      </c>
      <c r="L304" s="439" t="s">
        <v>409</v>
      </c>
    </row>
    <row r="305" spans="1:12" ht="14.25">
      <c r="A305" s="6">
        <v>302</v>
      </c>
      <c r="B305" s="327" t="s">
        <v>3248</v>
      </c>
      <c r="C305" s="327" t="s">
        <v>268</v>
      </c>
      <c r="D305" s="436">
        <v>2</v>
      </c>
      <c r="E305" s="327" t="s">
        <v>3792</v>
      </c>
      <c r="F305" s="327" t="s">
        <v>3793</v>
      </c>
      <c r="G305" s="327" t="s">
        <v>155</v>
      </c>
      <c r="H305" s="437">
        <v>9.733704135</v>
      </c>
      <c r="I305" s="437">
        <v>125.4810195</v>
      </c>
      <c r="J305" s="438" t="s">
        <v>3269</v>
      </c>
      <c r="K305" s="439" t="s">
        <v>3253</v>
      </c>
      <c r="L305" s="439" t="s">
        <v>409</v>
      </c>
    </row>
    <row r="306" spans="1:12" ht="14.25">
      <c r="A306" s="6">
        <v>303</v>
      </c>
      <c r="B306" s="327" t="s">
        <v>3248</v>
      </c>
      <c r="C306" s="327" t="s">
        <v>268</v>
      </c>
      <c r="D306" s="436">
        <v>2</v>
      </c>
      <c r="E306" s="327" t="s">
        <v>3794</v>
      </c>
      <c r="F306" s="327" t="s">
        <v>3795</v>
      </c>
      <c r="G306" s="327" t="s">
        <v>155</v>
      </c>
      <c r="H306" s="437">
        <v>9.8989584270000002</v>
      </c>
      <c r="I306" s="437">
        <v>125.5181384</v>
      </c>
      <c r="J306" s="438" t="s">
        <v>3256</v>
      </c>
      <c r="K306" s="439" t="s">
        <v>3257</v>
      </c>
      <c r="L306" s="439" t="s">
        <v>409</v>
      </c>
    </row>
    <row r="307" spans="1:12" ht="14.25">
      <c r="A307" s="6">
        <v>304</v>
      </c>
      <c r="B307" s="327" t="s">
        <v>3248</v>
      </c>
      <c r="C307" s="327" t="s">
        <v>268</v>
      </c>
      <c r="D307" s="436">
        <v>2</v>
      </c>
      <c r="E307" s="327" t="s">
        <v>1491</v>
      </c>
      <c r="F307" s="327" t="s">
        <v>3508</v>
      </c>
      <c r="G307" s="327" t="s">
        <v>155</v>
      </c>
      <c r="H307" s="437">
        <v>9.7424035950000007</v>
      </c>
      <c r="I307" s="437">
        <v>125.5106739</v>
      </c>
      <c r="J307" s="438" t="s">
        <v>3269</v>
      </c>
      <c r="K307" s="439" t="s">
        <v>3253</v>
      </c>
      <c r="L307" s="439" t="s">
        <v>409</v>
      </c>
    </row>
    <row r="308" spans="1:12" ht="14.25">
      <c r="A308" s="6">
        <v>305</v>
      </c>
      <c r="B308" s="327" t="s">
        <v>3248</v>
      </c>
      <c r="C308" s="327" t="s">
        <v>268</v>
      </c>
      <c r="D308" s="436">
        <v>2</v>
      </c>
      <c r="E308" s="327" t="s">
        <v>3796</v>
      </c>
      <c r="F308" s="327" t="s">
        <v>3797</v>
      </c>
      <c r="G308" s="327" t="s">
        <v>155</v>
      </c>
      <c r="H308" s="437">
        <v>9.7873938700000007</v>
      </c>
      <c r="I308" s="437">
        <v>125.6458322</v>
      </c>
      <c r="J308" s="438" t="s">
        <v>3256</v>
      </c>
      <c r="K308" s="439" t="s">
        <v>3257</v>
      </c>
      <c r="L308" s="439" t="s">
        <v>409</v>
      </c>
    </row>
    <row r="309" spans="1:12" ht="14.25">
      <c r="A309" s="6">
        <v>306</v>
      </c>
      <c r="B309" s="327" t="s">
        <v>3248</v>
      </c>
      <c r="C309" s="327" t="s">
        <v>268</v>
      </c>
      <c r="D309" s="436">
        <v>2</v>
      </c>
      <c r="E309" s="327" t="s">
        <v>2375</v>
      </c>
      <c r="F309" s="327" t="s">
        <v>3798</v>
      </c>
      <c r="G309" s="327" t="s">
        <v>155</v>
      </c>
      <c r="H309" s="437">
        <v>9.6718559279999994</v>
      </c>
      <c r="I309" s="437">
        <v>125.50607479999999</v>
      </c>
      <c r="J309" s="438" t="s">
        <v>3269</v>
      </c>
      <c r="K309" s="439" t="s">
        <v>3253</v>
      </c>
      <c r="L309" s="439" t="s">
        <v>409</v>
      </c>
    </row>
    <row r="310" spans="1:12" ht="14.25">
      <c r="A310" s="6">
        <v>307</v>
      </c>
      <c r="B310" s="327" t="s">
        <v>3248</v>
      </c>
      <c r="C310" s="327" t="s">
        <v>268</v>
      </c>
      <c r="D310" s="436">
        <v>2</v>
      </c>
      <c r="E310" s="327" t="s">
        <v>35</v>
      </c>
      <c r="F310" s="327" t="s">
        <v>3799</v>
      </c>
      <c r="G310" s="327" t="s">
        <v>155</v>
      </c>
      <c r="H310" s="437">
        <v>9.783195869</v>
      </c>
      <c r="I310" s="437">
        <v>125.4989001</v>
      </c>
      <c r="J310" s="438" t="s">
        <v>3269</v>
      </c>
      <c r="K310" s="439" t="s">
        <v>3253</v>
      </c>
      <c r="L310" s="439" t="s">
        <v>409</v>
      </c>
    </row>
    <row r="311" spans="1:12" ht="14.25">
      <c r="A311" s="6">
        <v>308</v>
      </c>
      <c r="B311" s="327" t="s">
        <v>3248</v>
      </c>
      <c r="C311" s="327" t="s">
        <v>268</v>
      </c>
      <c r="D311" s="436">
        <v>2</v>
      </c>
      <c r="E311" s="327" t="s">
        <v>183</v>
      </c>
      <c r="F311" s="327" t="s">
        <v>204</v>
      </c>
      <c r="G311" s="327" t="s">
        <v>155</v>
      </c>
      <c r="H311" s="437">
        <v>9.8215315309999998</v>
      </c>
      <c r="I311" s="437">
        <v>125.6140971</v>
      </c>
      <c r="J311" s="438" t="s">
        <v>3269</v>
      </c>
      <c r="K311" s="439" t="s">
        <v>3253</v>
      </c>
      <c r="L311" s="439" t="s">
        <v>409</v>
      </c>
    </row>
    <row r="312" spans="1:12" ht="14.25">
      <c r="A312" s="6">
        <v>309</v>
      </c>
      <c r="B312" s="327" t="s">
        <v>3248</v>
      </c>
      <c r="C312" s="327" t="s">
        <v>268</v>
      </c>
      <c r="D312" s="436">
        <v>2</v>
      </c>
      <c r="E312" s="327" t="s">
        <v>3801</v>
      </c>
      <c r="F312" s="327" t="s">
        <v>3802</v>
      </c>
      <c r="G312" s="327" t="s">
        <v>155</v>
      </c>
      <c r="H312" s="437">
        <v>9.7625873540000008</v>
      </c>
      <c r="I312" s="437">
        <v>125.4724239</v>
      </c>
      <c r="J312" s="438" t="s">
        <v>3269</v>
      </c>
      <c r="K312" s="439" t="s">
        <v>3253</v>
      </c>
      <c r="L312" s="439" t="s">
        <v>409</v>
      </c>
    </row>
    <row r="313" spans="1:12" ht="14.25">
      <c r="A313" s="6">
        <v>310</v>
      </c>
      <c r="B313" s="327" t="s">
        <v>3248</v>
      </c>
      <c r="C313" s="327" t="s">
        <v>268</v>
      </c>
      <c r="D313" s="436">
        <v>2</v>
      </c>
      <c r="E313" s="327" t="s">
        <v>3803</v>
      </c>
      <c r="F313" s="327" t="s">
        <v>3804</v>
      </c>
      <c r="G313" s="327" t="s">
        <v>155</v>
      </c>
      <c r="H313" s="437">
        <v>9.6920426020000008</v>
      </c>
      <c r="I313" s="437">
        <v>125.5072107</v>
      </c>
      <c r="J313" s="438" t="s">
        <v>3269</v>
      </c>
      <c r="K313" s="439" t="s">
        <v>3253</v>
      </c>
      <c r="L313" s="439" t="s">
        <v>409</v>
      </c>
    </row>
    <row r="314" spans="1:12" ht="14.25">
      <c r="A314" s="6">
        <v>311</v>
      </c>
      <c r="B314" s="327" t="s">
        <v>3248</v>
      </c>
      <c r="C314" s="327" t="s">
        <v>268</v>
      </c>
      <c r="D314" s="436">
        <v>2</v>
      </c>
      <c r="E314" s="327" t="s">
        <v>40</v>
      </c>
      <c r="F314" s="327" t="s">
        <v>3806</v>
      </c>
      <c r="G314" s="327" t="s">
        <v>155</v>
      </c>
      <c r="H314" s="437">
        <v>9.7853638370000002</v>
      </c>
      <c r="I314" s="437">
        <v>125.4875321</v>
      </c>
      <c r="J314" s="438" t="s">
        <v>3269</v>
      </c>
      <c r="K314" s="439" t="s">
        <v>3253</v>
      </c>
      <c r="L314" s="439" t="s">
        <v>288</v>
      </c>
    </row>
    <row r="315" spans="1:12" ht="14.25">
      <c r="A315" s="6">
        <v>312</v>
      </c>
      <c r="B315" s="327" t="s">
        <v>3248</v>
      </c>
      <c r="C315" s="327" t="s">
        <v>268</v>
      </c>
      <c r="D315" s="436">
        <v>2</v>
      </c>
      <c r="E315" s="327" t="s">
        <v>3807</v>
      </c>
      <c r="F315" s="327" t="s">
        <v>3808</v>
      </c>
      <c r="G315" s="327" t="s">
        <v>155</v>
      </c>
      <c r="H315" s="437">
        <v>9.9079999999999995</v>
      </c>
      <c r="I315" s="437">
        <v>125.5714</v>
      </c>
      <c r="J315" s="438" t="s">
        <v>3269</v>
      </c>
      <c r="K315" s="439" t="s">
        <v>3253</v>
      </c>
      <c r="L315" s="439" t="s">
        <v>409</v>
      </c>
    </row>
    <row r="316" spans="1:12" ht="14.25">
      <c r="A316" s="6">
        <v>313</v>
      </c>
      <c r="B316" s="327" t="s">
        <v>3248</v>
      </c>
      <c r="C316" s="327" t="s">
        <v>291</v>
      </c>
      <c r="D316" s="436">
        <v>2</v>
      </c>
      <c r="E316" s="327" t="s">
        <v>2402</v>
      </c>
      <c r="F316" s="327" t="s">
        <v>3713</v>
      </c>
      <c r="G316" s="327" t="s">
        <v>155</v>
      </c>
      <c r="H316" s="437">
        <v>9.6942102870000006</v>
      </c>
      <c r="I316" s="437">
        <v>125.580111</v>
      </c>
      <c r="J316" s="438" t="s">
        <v>3269</v>
      </c>
      <c r="K316" s="439" t="s">
        <v>3253</v>
      </c>
      <c r="L316" s="439" t="s">
        <v>409</v>
      </c>
    </row>
    <row r="317" spans="1:12" ht="14.25">
      <c r="A317" s="6">
        <v>314</v>
      </c>
      <c r="B317" s="327" t="s">
        <v>3248</v>
      </c>
      <c r="C317" s="327" t="s">
        <v>291</v>
      </c>
      <c r="D317" s="436">
        <v>2</v>
      </c>
      <c r="E317" s="327" t="s">
        <v>3809</v>
      </c>
      <c r="F317" s="327" t="s">
        <v>3811</v>
      </c>
      <c r="G317" s="327" t="s">
        <v>155</v>
      </c>
      <c r="H317" s="437">
        <v>9.696745301</v>
      </c>
      <c r="I317" s="437">
        <v>125.582052</v>
      </c>
      <c r="J317" s="438" t="s">
        <v>3269</v>
      </c>
      <c r="K317" s="439" t="s">
        <v>3253</v>
      </c>
      <c r="L317" s="439" t="s">
        <v>409</v>
      </c>
    </row>
    <row r="318" spans="1:12" ht="14.25">
      <c r="A318" s="6">
        <v>315</v>
      </c>
      <c r="B318" s="327" t="s">
        <v>3248</v>
      </c>
      <c r="C318" s="327" t="s">
        <v>291</v>
      </c>
      <c r="D318" s="436">
        <v>2</v>
      </c>
      <c r="E318" s="327" t="s">
        <v>3812</v>
      </c>
      <c r="F318" s="327" t="s">
        <v>3813</v>
      </c>
      <c r="G318" s="327" t="s">
        <v>155</v>
      </c>
      <c r="H318" s="437">
        <v>9.6868981979999997</v>
      </c>
      <c r="I318" s="437">
        <v>125.59386499999999</v>
      </c>
      <c r="J318" s="438" t="s">
        <v>3252</v>
      </c>
      <c r="K318" s="439" t="s">
        <v>3257</v>
      </c>
      <c r="L318" s="439" t="s">
        <v>409</v>
      </c>
    </row>
    <row r="319" spans="1:12" ht="14.25">
      <c r="A319" s="6">
        <v>316</v>
      </c>
      <c r="B319" s="327" t="s">
        <v>3248</v>
      </c>
      <c r="C319" s="327" t="s">
        <v>291</v>
      </c>
      <c r="D319" s="436">
        <v>2</v>
      </c>
      <c r="E319" s="327" t="s">
        <v>2669</v>
      </c>
      <c r="F319" s="327" t="s">
        <v>3814</v>
      </c>
      <c r="G319" s="327" t="s">
        <v>155</v>
      </c>
      <c r="H319" s="437">
        <v>9.7210350769999998</v>
      </c>
      <c r="I319" s="437">
        <v>125.663335</v>
      </c>
      <c r="J319" s="438" t="s">
        <v>3252</v>
      </c>
      <c r="K319" s="439" t="s">
        <v>3257</v>
      </c>
      <c r="L319" s="439" t="s">
        <v>409</v>
      </c>
    </row>
    <row r="320" spans="1:12" ht="14.25">
      <c r="A320" s="6">
        <v>317</v>
      </c>
      <c r="B320" s="327" t="s">
        <v>3248</v>
      </c>
      <c r="C320" s="327" t="s">
        <v>291</v>
      </c>
      <c r="D320" s="436">
        <v>2</v>
      </c>
      <c r="E320" s="327" t="s">
        <v>2609</v>
      </c>
      <c r="F320" s="327" t="s">
        <v>3815</v>
      </c>
      <c r="G320" s="327" t="s">
        <v>155</v>
      </c>
      <c r="H320" s="437">
        <v>9.71882892</v>
      </c>
      <c r="I320" s="437">
        <v>125.635671</v>
      </c>
      <c r="J320" s="438" t="s">
        <v>3252</v>
      </c>
      <c r="K320" s="439" t="s">
        <v>3257</v>
      </c>
      <c r="L320" s="439" t="s">
        <v>409</v>
      </c>
    </row>
    <row r="321" spans="1:12" ht="14.25">
      <c r="A321" s="6">
        <v>318</v>
      </c>
      <c r="B321" s="327" t="s">
        <v>3248</v>
      </c>
      <c r="C321" s="327" t="s">
        <v>291</v>
      </c>
      <c r="D321" s="436">
        <v>2</v>
      </c>
      <c r="E321" s="327" t="s">
        <v>3816</v>
      </c>
      <c r="F321" s="327" t="s">
        <v>3817</v>
      </c>
      <c r="G321" s="327" t="s">
        <v>155</v>
      </c>
      <c r="H321" s="437">
        <v>9.7166812050000004</v>
      </c>
      <c r="I321" s="437">
        <v>125.570429</v>
      </c>
      <c r="J321" s="438" t="s">
        <v>3269</v>
      </c>
      <c r="K321" s="439" t="s">
        <v>3253</v>
      </c>
      <c r="L321" s="439" t="s">
        <v>409</v>
      </c>
    </row>
    <row r="322" spans="1:12" ht="14.25">
      <c r="A322" s="6">
        <v>319</v>
      </c>
      <c r="B322" s="327" t="s">
        <v>3248</v>
      </c>
      <c r="C322" s="327" t="s">
        <v>291</v>
      </c>
      <c r="D322" s="436">
        <v>2</v>
      </c>
      <c r="E322" s="327" t="s">
        <v>3818</v>
      </c>
      <c r="F322" s="327" t="s">
        <v>3819</v>
      </c>
      <c r="G322" s="327" t="s">
        <v>155</v>
      </c>
      <c r="H322" s="437">
        <v>9.6707928499999998</v>
      </c>
      <c r="I322" s="437">
        <v>125.572384</v>
      </c>
      <c r="J322" s="438" t="s">
        <v>3269</v>
      </c>
      <c r="K322" s="439" t="s">
        <v>3253</v>
      </c>
      <c r="L322" s="439" t="s">
        <v>409</v>
      </c>
    </row>
    <row r="323" spans="1:12" ht="14.25">
      <c r="A323" s="6">
        <v>320</v>
      </c>
      <c r="B323" s="327" t="s">
        <v>3248</v>
      </c>
      <c r="C323" s="327" t="s">
        <v>291</v>
      </c>
      <c r="D323" s="436">
        <v>2</v>
      </c>
      <c r="E323" s="327" t="s">
        <v>3820</v>
      </c>
      <c r="F323" s="327" t="s">
        <v>3821</v>
      </c>
      <c r="G323" s="327" t="s">
        <v>155</v>
      </c>
      <c r="H323" s="437">
        <v>9.659394571</v>
      </c>
      <c r="I323" s="437">
        <v>125.543408</v>
      </c>
      <c r="J323" s="438" t="s">
        <v>3252</v>
      </c>
      <c r="K323" s="439" t="s">
        <v>3257</v>
      </c>
      <c r="L323" s="439" t="s">
        <v>409</v>
      </c>
    </row>
    <row r="324" spans="1:12" ht="14.25">
      <c r="A324" s="6">
        <v>321</v>
      </c>
      <c r="B324" s="327" t="s">
        <v>3248</v>
      </c>
      <c r="C324" s="327" t="s">
        <v>291</v>
      </c>
      <c r="D324" s="436">
        <v>2</v>
      </c>
      <c r="E324" s="327" t="s">
        <v>2623</v>
      </c>
      <c r="F324" s="327" t="s">
        <v>3822</v>
      </c>
      <c r="G324" s="327" t="s">
        <v>155</v>
      </c>
      <c r="H324" s="437">
        <v>9.7092773050000005</v>
      </c>
      <c r="I324" s="437">
        <v>125.601776</v>
      </c>
      <c r="J324" s="438" t="s">
        <v>3252</v>
      </c>
      <c r="K324" s="439" t="s">
        <v>3257</v>
      </c>
      <c r="L324" s="439" t="s">
        <v>409</v>
      </c>
    </row>
    <row r="325" spans="1:12">
      <c r="A325" s="433"/>
      <c r="B325" s="327" t="s">
        <v>3248</v>
      </c>
      <c r="C325" s="327" t="s">
        <v>291</v>
      </c>
      <c r="D325" s="436">
        <v>2</v>
      </c>
      <c r="E325" s="327" t="s">
        <v>2268</v>
      </c>
      <c r="F325" s="327" t="s">
        <v>660</v>
      </c>
      <c r="G325" s="327" t="s">
        <v>155</v>
      </c>
      <c r="H325" s="437">
        <v>9.7138059440000006</v>
      </c>
      <c r="I325" s="437">
        <v>125.655213</v>
      </c>
      <c r="J325" s="438" t="s">
        <v>3252</v>
      </c>
      <c r="K325" s="439" t="s">
        <v>3257</v>
      </c>
      <c r="L325" s="439" t="s">
        <v>288</v>
      </c>
    </row>
    <row r="326" spans="1:12">
      <c r="A326" s="433"/>
      <c r="B326" s="327" t="s">
        <v>3248</v>
      </c>
      <c r="C326" s="327" t="s">
        <v>291</v>
      </c>
      <c r="D326" s="436">
        <v>2</v>
      </c>
      <c r="E326" s="327" t="s">
        <v>411</v>
      </c>
      <c r="F326" s="327" t="s">
        <v>3824</v>
      </c>
      <c r="G326" s="327" t="s">
        <v>155</v>
      </c>
      <c r="H326" s="437">
        <v>9.6991980959999999</v>
      </c>
      <c r="I326" s="437">
        <v>125.585379</v>
      </c>
      <c r="J326" s="438" t="s">
        <v>3269</v>
      </c>
      <c r="K326" s="439" t="s">
        <v>3253</v>
      </c>
      <c r="L326" s="439" t="s">
        <v>288</v>
      </c>
    </row>
    <row r="327" spans="1:12">
      <c r="A327" s="433"/>
      <c r="B327" s="327" t="s">
        <v>3248</v>
      </c>
      <c r="C327" s="327" t="s">
        <v>291</v>
      </c>
      <c r="D327" s="436">
        <v>2</v>
      </c>
      <c r="E327" s="327" t="s">
        <v>2602</v>
      </c>
      <c r="F327" s="327" t="s">
        <v>3825</v>
      </c>
      <c r="G327" s="327" t="s">
        <v>155</v>
      </c>
      <c r="H327" s="437">
        <v>9.7521395129999995</v>
      </c>
      <c r="I327" s="437">
        <v>125.695831</v>
      </c>
      <c r="J327" s="438" t="s">
        <v>3252</v>
      </c>
      <c r="K327" s="439" t="s">
        <v>3257</v>
      </c>
      <c r="L327" s="439" t="s">
        <v>409</v>
      </c>
    </row>
    <row r="328" spans="1:12">
      <c r="A328" s="433"/>
      <c r="B328" s="327" t="s">
        <v>3248</v>
      </c>
      <c r="C328" s="327" t="s">
        <v>291</v>
      </c>
      <c r="D328" s="436">
        <v>2</v>
      </c>
      <c r="E328" s="327" t="s">
        <v>354</v>
      </c>
      <c r="F328" s="327" t="s">
        <v>3370</v>
      </c>
      <c r="G328" s="327" t="s">
        <v>155</v>
      </c>
      <c r="H328" s="437">
        <v>9.6640539380000003</v>
      </c>
      <c r="I328" s="437">
        <v>125.561201</v>
      </c>
      <c r="J328" s="438" t="s">
        <v>3269</v>
      </c>
      <c r="K328" s="439" t="s">
        <v>3253</v>
      </c>
      <c r="L328" s="439" t="s">
        <v>409</v>
      </c>
    </row>
    <row r="329" spans="1:12">
      <c r="A329" s="433"/>
      <c r="B329" s="327" t="s">
        <v>3248</v>
      </c>
      <c r="C329" s="327" t="s">
        <v>291</v>
      </c>
      <c r="D329" s="436">
        <v>2</v>
      </c>
      <c r="E329" s="327" t="s">
        <v>3826</v>
      </c>
      <c r="F329" s="327" t="s">
        <v>3827</v>
      </c>
      <c r="G329" s="327" t="s">
        <v>155</v>
      </c>
      <c r="H329" s="437">
        <v>9.6497164739999999</v>
      </c>
      <c r="I329" s="437">
        <v>125.54540299999999</v>
      </c>
      <c r="J329" s="438" t="s">
        <v>3269</v>
      </c>
      <c r="K329" s="439" t="s">
        <v>3253</v>
      </c>
      <c r="L329" s="439" t="s">
        <v>409</v>
      </c>
    </row>
    <row r="330" spans="1:12">
      <c r="A330" s="433"/>
      <c r="B330" s="327" t="s">
        <v>3248</v>
      </c>
      <c r="C330" s="327" t="s">
        <v>325</v>
      </c>
      <c r="D330" s="436">
        <v>2</v>
      </c>
      <c r="E330" s="327" t="s">
        <v>2703</v>
      </c>
      <c r="F330" s="327" t="s">
        <v>3829</v>
      </c>
      <c r="G330" s="327" t="s">
        <v>155</v>
      </c>
      <c r="H330" s="437">
        <v>9.5802160000000001</v>
      </c>
      <c r="I330" s="437">
        <v>125.558733</v>
      </c>
      <c r="J330" s="438" t="s">
        <v>3252</v>
      </c>
      <c r="K330" s="439" t="s">
        <v>3257</v>
      </c>
      <c r="L330" s="439" t="s">
        <v>409</v>
      </c>
    </row>
    <row r="331" spans="1:12">
      <c r="A331" s="433"/>
      <c r="B331" s="327" t="s">
        <v>3248</v>
      </c>
      <c r="C331" s="327" t="s">
        <v>325</v>
      </c>
      <c r="D331" s="436">
        <v>2</v>
      </c>
      <c r="E331" s="327" t="s">
        <v>2669</v>
      </c>
      <c r="F331" s="327" t="s">
        <v>3814</v>
      </c>
      <c r="G331" s="327" t="s">
        <v>155</v>
      </c>
      <c r="H331" s="437">
        <v>9.5474080000000008</v>
      </c>
      <c r="I331" s="437">
        <v>125.578613</v>
      </c>
      <c r="J331" s="438" t="s">
        <v>3269</v>
      </c>
      <c r="K331" s="439" t="s">
        <v>3253</v>
      </c>
      <c r="L331" s="439" t="s">
        <v>409</v>
      </c>
    </row>
    <row r="332" spans="1:12">
      <c r="A332" s="433"/>
      <c r="B332" s="327" t="s">
        <v>3248</v>
      </c>
      <c r="C332" s="327" t="s">
        <v>325</v>
      </c>
      <c r="D332" s="436">
        <v>2</v>
      </c>
      <c r="E332" s="327" t="s">
        <v>3830</v>
      </c>
      <c r="F332" s="327" t="s">
        <v>3831</v>
      </c>
      <c r="G332" s="327" t="s">
        <v>155</v>
      </c>
      <c r="H332" s="437">
        <v>9.5380629999999993</v>
      </c>
      <c r="I332" s="437">
        <v>125.56377000000001</v>
      </c>
      <c r="J332" s="438" t="s">
        <v>3269</v>
      </c>
      <c r="K332" s="439" t="s">
        <v>3253</v>
      </c>
      <c r="L332" s="439" t="s">
        <v>409</v>
      </c>
    </row>
    <row r="333" spans="1:12">
      <c r="A333" s="433"/>
      <c r="B333" s="327" t="s">
        <v>3248</v>
      </c>
      <c r="C333" s="327" t="s">
        <v>325</v>
      </c>
      <c r="D333" s="436">
        <v>2</v>
      </c>
      <c r="E333" s="327" t="s">
        <v>3832</v>
      </c>
      <c r="F333" s="327" t="s">
        <v>3833</v>
      </c>
      <c r="G333" s="327" t="s">
        <v>155</v>
      </c>
      <c r="H333" s="437">
        <v>9.5656140000000001</v>
      </c>
      <c r="I333" s="437">
        <v>125.57105900000001</v>
      </c>
      <c r="J333" s="438" t="s">
        <v>3269</v>
      </c>
      <c r="K333" s="439" t="s">
        <v>3253</v>
      </c>
      <c r="L333" s="439" t="s">
        <v>409</v>
      </c>
    </row>
    <row r="334" spans="1:12">
      <c r="A334" s="433"/>
      <c r="B334" s="327" t="s">
        <v>3248</v>
      </c>
      <c r="C334" s="327" t="s">
        <v>325</v>
      </c>
      <c r="D334" s="436">
        <v>2</v>
      </c>
      <c r="E334" s="327" t="s">
        <v>3834</v>
      </c>
      <c r="F334" s="327" t="s">
        <v>3835</v>
      </c>
      <c r="G334" s="327" t="s">
        <v>155</v>
      </c>
      <c r="H334" s="437">
        <v>9.5840999999999994</v>
      </c>
      <c r="I334" s="437">
        <v>125.5716</v>
      </c>
      <c r="J334" s="438" t="s">
        <v>3269</v>
      </c>
      <c r="K334" s="439" t="s">
        <v>3253</v>
      </c>
      <c r="L334" s="439" t="s">
        <v>409</v>
      </c>
    </row>
    <row r="335" spans="1:12">
      <c r="A335" s="433"/>
      <c r="B335" s="327" t="s">
        <v>3248</v>
      </c>
      <c r="C335" s="327" t="s">
        <v>325</v>
      </c>
      <c r="D335" s="436">
        <v>2</v>
      </c>
      <c r="E335" s="327" t="s">
        <v>191</v>
      </c>
      <c r="F335" s="327" t="s">
        <v>3276</v>
      </c>
      <c r="G335" s="327" t="s">
        <v>155</v>
      </c>
      <c r="H335" s="437">
        <v>9.5558049999999994</v>
      </c>
      <c r="I335" s="437">
        <v>125.57034</v>
      </c>
      <c r="J335" s="438" t="s">
        <v>3269</v>
      </c>
      <c r="K335" s="439" t="s">
        <v>3253</v>
      </c>
      <c r="L335" s="439" t="s">
        <v>409</v>
      </c>
    </row>
    <row r="336" spans="1:12">
      <c r="A336" s="433"/>
      <c r="B336" s="327" t="s">
        <v>3248</v>
      </c>
      <c r="C336" s="327" t="s">
        <v>325</v>
      </c>
      <c r="D336" s="436">
        <v>2</v>
      </c>
      <c r="E336" s="327" t="s">
        <v>140</v>
      </c>
      <c r="F336" s="327" t="s">
        <v>3451</v>
      </c>
      <c r="G336" s="327" t="s">
        <v>155</v>
      </c>
      <c r="H336" s="437">
        <v>9.590033</v>
      </c>
      <c r="I336" s="437">
        <v>125.571552</v>
      </c>
      <c r="J336" s="438" t="s">
        <v>3269</v>
      </c>
      <c r="K336" s="439" t="s">
        <v>3253</v>
      </c>
      <c r="L336" s="439" t="s">
        <v>409</v>
      </c>
    </row>
    <row r="337" spans="1:12">
      <c r="A337" s="433"/>
      <c r="B337" s="327" t="s">
        <v>3248</v>
      </c>
      <c r="C337" s="327" t="s">
        <v>325</v>
      </c>
      <c r="D337" s="436">
        <v>2</v>
      </c>
      <c r="E337" s="327" t="s">
        <v>415</v>
      </c>
      <c r="F337" s="327" t="s">
        <v>3685</v>
      </c>
      <c r="G337" s="327" t="s">
        <v>155</v>
      </c>
      <c r="H337" s="437">
        <v>9.5539050000000003</v>
      </c>
      <c r="I337" s="437">
        <v>125.567421</v>
      </c>
      <c r="J337" s="438" t="s">
        <v>3269</v>
      </c>
      <c r="K337" s="439" t="s">
        <v>3253</v>
      </c>
      <c r="L337" s="439" t="s">
        <v>409</v>
      </c>
    </row>
    <row r="338" spans="1:12">
      <c r="A338" s="433"/>
      <c r="B338" s="327" t="s">
        <v>3248</v>
      </c>
      <c r="C338" s="327" t="s">
        <v>325</v>
      </c>
      <c r="D338" s="436">
        <v>2</v>
      </c>
      <c r="E338" s="327" t="s">
        <v>3836</v>
      </c>
      <c r="F338" s="327" t="s">
        <v>3837</v>
      </c>
      <c r="G338" s="327" t="s">
        <v>155</v>
      </c>
      <c r="H338" s="437">
        <v>9.597925</v>
      </c>
      <c r="I338" s="437">
        <v>125.5682</v>
      </c>
      <c r="J338" s="438" t="s">
        <v>3269</v>
      </c>
      <c r="K338" s="439" t="s">
        <v>3253</v>
      </c>
      <c r="L338" s="439" t="s">
        <v>409</v>
      </c>
    </row>
  </sheetData>
  <dataValidations count="3">
    <dataValidation type="list" allowBlank="1" showErrorMessage="1" sqref="L4:L338" xr:uid="{00000000-0002-0000-2100-000000000000}">
      <formula1>"Yes,No"</formula1>
    </dataValidation>
    <dataValidation type="list" allowBlank="1" showErrorMessage="1" sqref="K4:K338" xr:uid="{00000000-0002-0000-2100-000001000000}">
      <formula1>"GIDA,NON-GIDA"</formula1>
    </dataValidation>
    <dataValidation type="list" allowBlank="1" showErrorMessage="1" sqref="J4:J338" xr:uid="{00000000-0002-0000-2100-000002000000}">
      <formula1>"With Data/Internet Coverage ,With SMS only (no data),No Signal/No Coverage"</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I23"/>
  <sheetViews>
    <sheetView showGridLines="0" workbookViewId="0"/>
  </sheetViews>
  <sheetFormatPr defaultColWidth="12.5703125" defaultRowHeight="15.75" customHeight="1"/>
  <cols>
    <col min="1" max="1" width="19.42578125" customWidth="1"/>
    <col min="2" max="3" width="16.28515625" customWidth="1"/>
    <col min="4" max="4" width="55.7109375" customWidth="1"/>
    <col min="5" max="6" width="19.42578125" customWidth="1"/>
    <col min="7" max="7" width="33.7109375" customWidth="1"/>
    <col min="8" max="8" width="22" customWidth="1"/>
    <col min="9" max="9" width="18.42578125" customWidth="1"/>
    <col min="10" max="10" width="38.42578125" customWidth="1"/>
  </cols>
  <sheetData>
    <row r="1" spans="1:9" ht="15.75" customHeight="1">
      <c r="A1" s="440" t="s">
        <v>3266</v>
      </c>
      <c r="B1" s="440" t="s">
        <v>3240</v>
      </c>
      <c r="C1" s="440" t="s">
        <v>3241</v>
      </c>
      <c r="D1" s="440" t="s">
        <v>3242</v>
      </c>
      <c r="E1" s="440" t="s">
        <v>3270</v>
      </c>
      <c r="F1" s="440" t="s">
        <v>3271</v>
      </c>
      <c r="G1" s="441"/>
      <c r="H1" s="440" t="s">
        <v>3274</v>
      </c>
      <c r="I1" s="440" t="s">
        <v>3275</v>
      </c>
    </row>
    <row r="2" spans="1:9" ht="12.75">
      <c r="A2" s="382" t="s">
        <v>3248</v>
      </c>
      <c r="B2" s="382" t="s">
        <v>81</v>
      </c>
      <c r="C2" s="382">
        <v>1</v>
      </c>
      <c r="D2" s="382" t="s">
        <v>82</v>
      </c>
      <c r="E2" s="382" t="s">
        <v>1084</v>
      </c>
      <c r="F2" s="382" t="s">
        <v>85</v>
      </c>
      <c r="G2" s="389"/>
      <c r="H2" s="382" t="s">
        <v>3277</v>
      </c>
      <c r="I2" s="382" t="s">
        <v>3278</v>
      </c>
    </row>
    <row r="3" spans="1:9" ht="12.75">
      <c r="A3" s="382" t="s">
        <v>3248</v>
      </c>
      <c r="B3" s="382" t="s">
        <v>81</v>
      </c>
      <c r="C3" s="382">
        <v>1</v>
      </c>
      <c r="D3" s="382" t="s">
        <v>82</v>
      </c>
      <c r="E3" s="382" t="s">
        <v>1087</v>
      </c>
      <c r="F3" s="382" t="s">
        <v>86</v>
      </c>
      <c r="G3" s="389"/>
      <c r="H3" s="382" t="s">
        <v>3277</v>
      </c>
      <c r="I3" s="382" t="s">
        <v>3278</v>
      </c>
    </row>
    <row r="4" spans="1:9" ht="12.75">
      <c r="A4" s="382" t="s">
        <v>3248</v>
      </c>
      <c r="B4" s="382" t="s">
        <v>81</v>
      </c>
      <c r="C4" s="382">
        <v>1</v>
      </c>
      <c r="D4" s="382" t="s">
        <v>82</v>
      </c>
      <c r="E4" s="382" t="s">
        <v>1093</v>
      </c>
      <c r="F4" s="382" t="s">
        <v>88</v>
      </c>
      <c r="G4" s="389"/>
      <c r="H4" s="382" t="s">
        <v>3277</v>
      </c>
      <c r="I4" s="382" t="s">
        <v>3278</v>
      </c>
    </row>
    <row r="5" spans="1:9" ht="12.75">
      <c r="A5" s="382" t="s">
        <v>3248</v>
      </c>
      <c r="B5" s="382" t="s">
        <v>81</v>
      </c>
      <c r="C5" s="382">
        <v>1</v>
      </c>
      <c r="D5" s="382" t="s">
        <v>82</v>
      </c>
      <c r="E5" s="382" t="s">
        <v>1106</v>
      </c>
      <c r="F5" s="382" t="s">
        <v>90</v>
      </c>
      <c r="G5" s="389"/>
      <c r="H5" s="382" t="s">
        <v>3277</v>
      </c>
      <c r="I5" s="382" t="s">
        <v>3278</v>
      </c>
    </row>
    <row r="6" spans="1:9" ht="12.75">
      <c r="A6" s="382" t="s">
        <v>3248</v>
      </c>
      <c r="B6" s="382" t="s">
        <v>81</v>
      </c>
      <c r="C6" s="382">
        <v>1</v>
      </c>
      <c r="D6" s="382" t="s">
        <v>82</v>
      </c>
      <c r="E6" s="382" t="s">
        <v>1114</v>
      </c>
      <c r="F6" s="382" t="s">
        <v>92</v>
      </c>
      <c r="G6" s="389"/>
      <c r="H6" s="382" t="s">
        <v>3277</v>
      </c>
      <c r="I6" s="382" t="s">
        <v>3278</v>
      </c>
    </row>
    <row r="7" spans="1:9" ht="12.75">
      <c r="A7" s="382" t="s">
        <v>3248</v>
      </c>
      <c r="B7" s="382" t="s">
        <v>81</v>
      </c>
      <c r="C7" s="382">
        <v>1</v>
      </c>
      <c r="D7" s="382" t="s">
        <v>82</v>
      </c>
      <c r="E7" s="382" t="s">
        <v>1126</v>
      </c>
      <c r="F7" s="382" t="s">
        <v>3282</v>
      </c>
      <c r="G7" s="389"/>
      <c r="H7" s="382" t="s">
        <v>3277</v>
      </c>
      <c r="I7" s="382" t="s">
        <v>3278</v>
      </c>
    </row>
    <row r="8" spans="1:9" ht="12.75">
      <c r="A8" s="382" t="s">
        <v>3283</v>
      </c>
      <c r="B8" s="382" t="s">
        <v>81</v>
      </c>
      <c r="C8" s="382">
        <v>1</v>
      </c>
      <c r="D8" s="382" t="s">
        <v>2247</v>
      </c>
      <c r="E8" s="382" t="s">
        <v>2233</v>
      </c>
      <c r="F8" s="382" t="s">
        <v>3284</v>
      </c>
      <c r="G8" s="389"/>
      <c r="H8" s="382" t="s">
        <v>3277</v>
      </c>
      <c r="I8" s="382" t="s">
        <v>3278</v>
      </c>
    </row>
    <row r="9" spans="1:9" ht="12.75">
      <c r="A9" s="382" t="s">
        <v>3283</v>
      </c>
      <c r="B9" s="382" t="s">
        <v>81</v>
      </c>
      <c r="C9" s="382">
        <v>1</v>
      </c>
      <c r="D9" s="382" t="s">
        <v>2247</v>
      </c>
      <c r="E9" s="382" t="s">
        <v>2233</v>
      </c>
      <c r="F9" s="382" t="s">
        <v>3287</v>
      </c>
      <c r="G9" s="389"/>
      <c r="H9" s="382" t="s">
        <v>3277</v>
      </c>
      <c r="I9" s="382" t="s">
        <v>3278</v>
      </c>
    </row>
    <row r="10" spans="1:9" ht="12.75">
      <c r="A10" s="382" t="s">
        <v>3283</v>
      </c>
      <c r="B10" s="382" t="s">
        <v>81</v>
      </c>
      <c r="C10" s="382">
        <v>1</v>
      </c>
      <c r="D10" s="382" t="s">
        <v>2247</v>
      </c>
      <c r="E10" s="382" t="s">
        <v>2233</v>
      </c>
      <c r="F10" s="382" t="s">
        <v>3290</v>
      </c>
      <c r="G10" s="389"/>
      <c r="H10" s="382" t="s">
        <v>3277</v>
      </c>
      <c r="I10" s="382" t="s">
        <v>3278</v>
      </c>
    </row>
    <row r="11" spans="1:9" ht="12.75">
      <c r="A11" s="382" t="s">
        <v>3248</v>
      </c>
      <c r="B11" s="382" t="s">
        <v>81</v>
      </c>
      <c r="C11" s="382">
        <v>1</v>
      </c>
      <c r="D11" s="382" t="s">
        <v>2247</v>
      </c>
      <c r="E11" s="389"/>
      <c r="F11" s="382" t="s">
        <v>639</v>
      </c>
      <c r="G11" s="389"/>
      <c r="H11" s="382" t="s">
        <v>3277</v>
      </c>
      <c r="I11" s="382" t="s">
        <v>3278</v>
      </c>
    </row>
    <row r="12" spans="1:9" ht="12.75">
      <c r="A12" s="382" t="s">
        <v>3248</v>
      </c>
      <c r="B12" s="382" t="s">
        <v>81</v>
      </c>
      <c r="C12" s="382">
        <v>1</v>
      </c>
      <c r="D12" s="382" t="s">
        <v>286</v>
      </c>
      <c r="E12" s="389"/>
      <c r="F12" s="382" t="s">
        <v>289</v>
      </c>
      <c r="G12" s="389"/>
      <c r="H12" s="382" t="s">
        <v>3277</v>
      </c>
      <c r="I12" s="382" t="s">
        <v>3278</v>
      </c>
    </row>
    <row r="13" spans="1:9" ht="12.75">
      <c r="A13" s="382" t="s">
        <v>3248</v>
      </c>
      <c r="B13" s="382" t="s">
        <v>81</v>
      </c>
      <c r="C13" s="382">
        <v>1</v>
      </c>
      <c r="D13" s="382" t="s">
        <v>286</v>
      </c>
      <c r="E13" s="389"/>
      <c r="F13" s="382" t="s">
        <v>293</v>
      </c>
      <c r="G13" s="389"/>
      <c r="H13" s="382" t="s">
        <v>3277</v>
      </c>
      <c r="I13" s="382" t="s">
        <v>3278</v>
      </c>
    </row>
    <row r="14" spans="1:9" ht="12.75">
      <c r="A14" s="382" t="s">
        <v>3248</v>
      </c>
      <c r="B14" s="382" t="s">
        <v>81</v>
      </c>
      <c r="C14" s="382">
        <v>1</v>
      </c>
      <c r="D14" s="382" t="s">
        <v>294</v>
      </c>
      <c r="E14" s="389"/>
      <c r="F14" s="382" t="s">
        <v>3297</v>
      </c>
      <c r="G14" s="389"/>
      <c r="H14" s="382" t="s">
        <v>3277</v>
      </c>
      <c r="I14" s="382" t="s">
        <v>3278</v>
      </c>
    </row>
    <row r="15" spans="1:9" ht="12.75">
      <c r="A15" s="382" t="s">
        <v>3248</v>
      </c>
      <c r="B15" s="382" t="s">
        <v>81</v>
      </c>
      <c r="C15" s="382">
        <v>1</v>
      </c>
      <c r="D15" s="382" t="s">
        <v>1869</v>
      </c>
      <c r="E15" s="389"/>
      <c r="F15" s="382" t="s">
        <v>555</v>
      </c>
      <c r="G15" s="389"/>
      <c r="H15" s="382" t="s">
        <v>3277</v>
      </c>
      <c r="I15" s="382" t="s">
        <v>3278</v>
      </c>
    </row>
    <row r="16" spans="1:9" ht="12.75">
      <c r="A16" s="382" t="s">
        <v>3248</v>
      </c>
      <c r="B16" s="382" t="s">
        <v>81</v>
      </c>
      <c r="C16" s="382">
        <v>1</v>
      </c>
      <c r="D16" s="382" t="s">
        <v>1869</v>
      </c>
      <c r="E16" s="389"/>
      <c r="F16" s="382" t="s">
        <v>557</v>
      </c>
      <c r="G16" s="389"/>
      <c r="H16" s="382" t="s">
        <v>3277</v>
      </c>
      <c r="I16" s="382" t="s">
        <v>3278</v>
      </c>
    </row>
    <row r="17" spans="1:9" ht="12.75">
      <c r="A17" s="382" t="s">
        <v>3248</v>
      </c>
      <c r="B17" s="382" t="s">
        <v>81</v>
      </c>
      <c r="C17" s="382">
        <v>1</v>
      </c>
      <c r="D17" s="382" t="s">
        <v>1889</v>
      </c>
      <c r="E17" s="389"/>
      <c r="F17" s="382" t="s">
        <v>1890</v>
      </c>
      <c r="G17" s="389"/>
      <c r="H17" s="382" t="s">
        <v>3277</v>
      </c>
      <c r="I17" s="382" t="s">
        <v>3278</v>
      </c>
    </row>
    <row r="18" spans="1:9" ht="12.75">
      <c r="A18" s="382" t="s">
        <v>3248</v>
      </c>
      <c r="B18" s="382" t="s">
        <v>81</v>
      </c>
      <c r="C18" s="382">
        <v>1</v>
      </c>
      <c r="D18" s="382" t="s">
        <v>1889</v>
      </c>
      <c r="E18" s="389"/>
      <c r="F18" s="382" t="s">
        <v>1900</v>
      </c>
      <c r="G18" s="389"/>
      <c r="H18" s="382" t="s">
        <v>3277</v>
      </c>
      <c r="I18" s="382" t="s">
        <v>3278</v>
      </c>
    </row>
    <row r="19" spans="1:9" ht="12.75">
      <c r="A19" s="382" t="s">
        <v>3248</v>
      </c>
      <c r="B19" s="382" t="s">
        <v>81</v>
      </c>
      <c r="C19" s="382">
        <v>1</v>
      </c>
      <c r="D19" s="382" t="s">
        <v>283</v>
      </c>
      <c r="E19" s="389"/>
      <c r="F19" s="382" t="s">
        <v>154</v>
      </c>
      <c r="G19" s="389"/>
      <c r="H19" s="382" t="s">
        <v>3277</v>
      </c>
      <c r="I19" s="382" t="s">
        <v>3278</v>
      </c>
    </row>
    <row r="20" spans="1:9" ht="12.75">
      <c r="A20" s="382" t="s">
        <v>3248</v>
      </c>
      <c r="B20" s="382" t="s">
        <v>81</v>
      </c>
      <c r="C20" s="382">
        <v>1</v>
      </c>
      <c r="D20" s="382" t="s">
        <v>283</v>
      </c>
      <c r="E20" s="389"/>
      <c r="F20" s="382" t="s">
        <v>561</v>
      </c>
      <c r="G20" s="389"/>
      <c r="H20" s="382" t="s">
        <v>3277</v>
      </c>
      <c r="I20" s="382" t="s">
        <v>3278</v>
      </c>
    </row>
    <row r="21" spans="1:9" ht="12.75">
      <c r="A21" s="382" t="s">
        <v>3248</v>
      </c>
      <c r="B21" s="382" t="s">
        <v>81</v>
      </c>
      <c r="C21" s="382">
        <v>1</v>
      </c>
      <c r="D21" s="382" t="s">
        <v>1934</v>
      </c>
      <c r="E21" s="389"/>
      <c r="F21" s="382" t="s">
        <v>563</v>
      </c>
      <c r="G21" s="389"/>
      <c r="H21" s="382" t="s">
        <v>3277</v>
      </c>
      <c r="I21" s="382" t="s">
        <v>3278</v>
      </c>
    </row>
    <row r="22" spans="1:9" ht="12.75">
      <c r="A22" s="382" t="s">
        <v>3248</v>
      </c>
      <c r="B22" s="382" t="s">
        <v>81</v>
      </c>
      <c r="C22" s="382">
        <v>1</v>
      </c>
      <c r="D22" s="382" t="s">
        <v>1934</v>
      </c>
      <c r="E22" s="389"/>
      <c r="F22" s="382" t="s">
        <v>563</v>
      </c>
      <c r="G22" s="389"/>
      <c r="H22" s="382" t="s">
        <v>3277</v>
      </c>
      <c r="I22" s="382" t="s">
        <v>3278</v>
      </c>
    </row>
    <row r="23" spans="1:9" ht="12.75">
      <c r="A23" s="382" t="s">
        <v>3248</v>
      </c>
      <c r="B23" s="382" t="s">
        <v>81</v>
      </c>
      <c r="C23" s="382">
        <v>1</v>
      </c>
      <c r="D23" s="382" t="s">
        <v>1934</v>
      </c>
      <c r="E23" s="389"/>
      <c r="F23" s="382" t="s">
        <v>149</v>
      </c>
      <c r="G23" s="389"/>
      <c r="H23" s="382" t="s">
        <v>3277</v>
      </c>
      <c r="I23" s="382" t="s">
        <v>3278</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G19"/>
  <sheetViews>
    <sheetView showGridLines="0" workbookViewId="0"/>
  </sheetViews>
  <sheetFormatPr defaultColWidth="12.5703125" defaultRowHeight="15.75" customHeight="1"/>
  <cols>
    <col min="1" max="1" width="6.140625" customWidth="1"/>
    <col min="2" max="2" width="55.7109375" customWidth="1"/>
    <col min="3" max="4" width="19.42578125" customWidth="1"/>
    <col min="6" max="6" width="19" customWidth="1"/>
    <col min="7" max="7" width="38.42578125" customWidth="1"/>
  </cols>
  <sheetData>
    <row r="1" spans="1:7" ht="15.75" customHeight="1">
      <c r="A1" s="539" t="s">
        <v>508</v>
      </c>
      <c r="B1" s="517"/>
      <c r="C1" s="517"/>
      <c r="D1" s="517"/>
      <c r="E1" s="517"/>
      <c r="F1" s="517"/>
      <c r="G1" s="517"/>
    </row>
    <row r="2" spans="1:7" ht="15.75" customHeight="1">
      <c r="A2" s="540" t="s">
        <v>1464</v>
      </c>
      <c r="B2" s="517"/>
      <c r="C2" s="517"/>
      <c r="D2" s="517"/>
      <c r="E2" s="517"/>
      <c r="F2" s="517"/>
      <c r="G2" s="517"/>
    </row>
    <row r="3" spans="1:7" ht="12.75">
      <c r="A3" s="541">
        <f ca="1">NOW()</f>
        <v>46308.848431481485</v>
      </c>
      <c r="B3" s="517"/>
      <c r="C3" s="517"/>
      <c r="D3" s="517"/>
      <c r="E3" s="517"/>
      <c r="F3" s="517"/>
      <c r="G3" s="517"/>
    </row>
    <row r="4" spans="1:7" ht="12.75">
      <c r="G4" s="31"/>
    </row>
    <row r="5" spans="1:7" ht="12.75">
      <c r="A5" s="624" t="s">
        <v>3337</v>
      </c>
      <c r="B5" s="544"/>
      <c r="C5" s="442"/>
      <c r="D5" s="625" t="s">
        <v>2917</v>
      </c>
      <c r="E5" s="544"/>
      <c r="F5" s="332">
        <f>COUNTIF(F11:F14,"Down")</f>
        <v>0</v>
      </c>
      <c r="G5" s="31"/>
    </row>
    <row r="6" spans="1:7" ht="12.75">
      <c r="A6" s="622" t="s">
        <v>3347</v>
      </c>
      <c r="B6" s="544"/>
      <c r="C6" s="443">
        <f>COUNTBLANK(A10:A13)</f>
        <v>1</v>
      </c>
      <c r="D6" s="623" t="s">
        <v>2899</v>
      </c>
      <c r="E6" s="544"/>
      <c r="F6" s="332">
        <f>COUNT(A10:A14)</f>
        <v>4</v>
      </c>
    </row>
    <row r="8" spans="1:7" ht="25.5">
      <c r="A8" s="127" t="s">
        <v>1466</v>
      </c>
      <c r="B8" s="127" t="s">
        <v>2902</v>
      </c>
      <c r="C8" s="127" t="s">
        <v>645</v>
      </c>
      <c r="D8" s="127" t="s">
        <v>1473</v>
      </c>
      <c r="E8" s="127" t="s">
        <v>650</v>
      </c>
      <c r="F8" s="127" t="s">
        <v>20</v>
      </c>
      <c r="G8" s="127" t="s">
        <v>2905</v>
      </c>
    </row>
    <row r="9" spans="1:7" ht="12.75">
      <c r="A9" s="542" t="s">
        <v>1551</v>
      </c>
      <c r="B9" s="543"/>
      <c r="C9" s="543"/>
      <c r="D9" s="543"/>
      <c r="E9" s="543"/>
      <c r="F9" s="543"/>
      <c r="G9" s="544"/>
    </row>
    <row r="10" spans="1:7" ht="12.75">
      <c r="A10" s="23"/>
      <c r="B10" s="428" t="s">
        <v>3362</v>
      </c>
      <c r="C10" s="16"/>
      <c r="D10" s="207"/>
      <c r="E10" s="61"/>
      <c r="F10" s="61"/>
      <c r="G10" s="207"/>
    </row>
    <row r="11" spans="1:7" ht="25.5">
      <c r="A11" s="23">
        <v>1</v>
      </c>
      <c r="B11" s="55" t="s">
        <v>3365</v>
      </c>
      <c r="C11" s="16" t="s">
        <v>3367</v>
      </c>
      <c r="D11" s="61" t="s">
        <v>2234</v>
      </c>
      <c r="E11" s="61"/>
      <c r="F11" s="130">
        <v>45453</v>
      </c>
      <c r="G11" s="207"/>
    </row>
    <row r="12" spans="1:7" ht="25.5">
      <c r="A12" s="23">
        <v>2</v>
      </c>
      <c r="B12" s="55" t="s">
        <v>3371</v>
      </c>
      <c r="C12" s="16" t="s">
        <v>3372</v>
      </c>
      <c r="D12" s="61" t="s">
        <v>2234</v>
      </c>
      <c r="E12" s="61"/>
      <c r="F12" s="130">
        <v>45453</v>
      </c>
      <c r="G12" s="207"/>
    </row>
    <row r="13" spans="1:7" ht="25.5">
      <c r="A13" s="23">
        <v>3</v>
      </c>
      <c r="B13" s="55" t="s">
        <v>3374</v>
      </c>
      <c r="C13" s="16" t="s">
        <v>3375</v>
      </c>
      <c r="D13" s="61" t="s">
        <v>2234</v>
      </c>
      <c r="E13" s="61"/>
      <c r="F13" s="130">
        <v>45453</v>
      </c>
      <c r="G13" s="207"/>
    </row>
    <row r="14" spans="1:7" ht="25.5">
      <c r="A14" s="23">
        <v>4</v>
      </c>
      <c r="B14" s="204" t="s">
        <v>3376</v>
      </c>
      <c r="C14" s="16" t="s">
        <v>3377</v>
      </c>
      <c r="D14" s="61" t="s">
        <v>2234</v>
      </c>
      <c r="E14" s="61"/>
      <c r="F14" s="130">
        <v>45453</v>
      </c>
      <c r="G14" s="207"/>
    </row>
    <row r="15" spans="1:7" ht="12.75">
      <c r="E15" s="31"/>
      <c r="F15" s="31"/>
    </row>
    <row r="16" spans="1:7" ht="12.75">
      <c r="E16" s="31" t="s">
        <v>3188</v>
      </c>
      <c r="F16" s="31" t="s">
        <v>3378</v>
      </c>
    </row>
    <row r="17" spans="5:6" ht="12.75">
      <c r="E17" s="31" t="s">
        <v>3000</v>
      </c>
      <c r="F17" s="444" t="s">
        <v>3379</v>
      </c>
    </row>
    <row r="18" spans="5:6" ht="12.75">
      <c r="E18" s="31" t="s">
        <v>3044</v>
      </c>
      <c r="F18" s="31" t="s">
        <v>3388</v>
      </c>
    </row>
    <row r="19" spans="5:6" ht="12.75">
      <c r="E19" s="31" t="s">
        <v>3046</v>
      </c>
      <c r="F19" s="31" t="s">
        <v>3391</v>
      </c>
    </row>
  </sheetData>
  <mergeCells count="8">
    <mergeCell ref="A6:B6"/>
    <mergeCell ref="D6:E6"/>
    <mergeCell ref="A9:G9"/>
    <mergeCell ref="A1:G1"/>
    <mergeCell ref="A2:G2"/>
    <mergeCell ref="A3:G3"/>
    <mergeCell ref="A5:B5"/>
    <mergeCell ref="D5:E5"/>
  </mergeCells>
  <dataValidations count="1">
    <dataValidation type="list" allowBlank="1" showErrorMessage="1" sqref="D11:D14" xr:uid="{00000000-0002-0000-2300-000000000000}">
      <formula1>"Active,Dormant,Down,Deactivated"</formula1>
    </dataValidation>
  </dataValidations>
  <hyperlinks>
    <hyperlink ref="F17" r:id="rId1" xr:uid="{00000000-0004-0000-23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J97"/>
  <sheetViews>
    <sheetView showGridLines="0" workbookViewId="0"/>
  </sheetViews>
  <sheetFormatPr defaultColWidth="12.5703125" defaultRowHeight="15.75" customHeight="1"/>
  <cols>
    <col min="1" max="1" width="6.140625" customWidth="1"/>
    <col min="2" max="2" width="11" customWidth="1"/>
    <col min="3" max="3" width="14.7109375" customWidth="1"/>
    <col min="4" max="4" width="44" customWidth="1"/>
    <col min="5" max="5" width="15.85546875" customWidth="1"/>
    <col min="6" max="6" width="19.42578125" customWidth="1"/>
    <col min="9" max="9" width="25.85546875" customWidth="1"/>
    <col min="10" max="10" width="38.42578125" customWidth="1"/>
  </cols>
  <sheetData>
    <row r="1" spans="1:10" ht="15.75" customHeight="1">
      <c r="A1" s="539" t="s">
        <v>2892</v>
      </c>
      <c r="B1" s="517"/>
      <c r="C1" s="517"/>
      <c r="D1" s="517"/>
      <c r="E1" s="517"/>
      <c r="F1" s="517"/>
      <c r="G1" s="517"/>
      <c r="H1" s="517"/>
      <c r="I1" s="517"/>
      <c r="J1" s="517"/>
    </row>
    <row r="2" spans="1:10" ht="15.75" customHeight="1">
      <c r="A2" s="540" t="s">
        <v>1464</v>
      </c>
      <c r="B2" s="517"/>
      <c r="C2" s="517"/>
      <c r="D2" s="517"/>
      <c r="E2" s="517"/>
      <c r="F2" s="517"/>
      <c r="G2" s="517"/>
      <c r="H2" s="517"/>
      <c r="I2" s="517"/>
      <c r="J2" s="517"/>
    </row>
    <row r="3" spans="1:10" ht="12.75">
      <c r="A3" s="541">
        <f ca="1">NOW()</f>
        <v>46308.848431481485</v>
      </c>
      <c r="B3" s="517"/>
      <c r="C3" s="517"/>
      <c r="D3" s="517"/>
      <c r="E3" s="517"/>
      <c r="F3" s="517"/>
      <c r="G3" s="517"/>
      <c r="H3" s="517"/>
      <c r="I3" s="517"/>
      <c r="J3" s="517"/>
    </row>
    <row r="4" spans="1:10" ht="12.75">
      <c r="J4" s="31"/>
    </row>
    <row r="5" spans="1:10" ht="12.75">
      <c r="A5" s="624"/>
      <c r="B5" s="543"/>
      <c r="C5" s="543"/>
      <c r="D5" s="543"/>
      <c r="E5" s="544"/>
      <c r="F5" s="625" t="s">
        <v>2895</v>
      </c>
      <c r="G5" s="543"/>
      <c r="H5" s="544"/>
      <c r="I5" s="329">
        <f>COUNTIF(F10:F88,"Down")</f>
        <v>0</v>
      </c>
      <c r="J5" s="31"/>
    </row>
    <row r="6" spans="1:10" ht="12.75">
      <c r="A6" s="622" t="s">
        <v>3347</v>
      </c>
      <c r="B6" s="543"/>
      <c r="C6" s="543"/>
      <c r="D6" s="544"/>
      <c r="E6" s="443"/>
      <c r="F6" s="623" t="s">
        <v>3150</v>
      </c>
      <c r="G6" s="543"/>
      <c r="H6" s="544"/>
      <c r="I6" s="332">
        <f>COUNTIF(F10:F88,"Active")</f>
        <v>60</v>
      </c>
    </row>
    <row r="8" spans="1:10" ht="25.5">
      <c r="A8" s="127" t="s">
        <v>1466</v>
      </c>
      <c r="B8" s="127" t="s">
        <v>2</v>
      </c>
      <c r="C8" s="127" t="s">
        <v>1</v>
      </c>
      <c r="D8" s="127" t="s">
        <v>2902</v>
      </c>
      <c r="E8" s="127" t="s">
        <v>7</v>
      </c>
      <c r="F8" s="127" t="s">
        <v>1473</v>
      </c>
      <c r="G8" s="127" t="s">
        <v>3404</v>
      </c>
      <c r="H8" s="127" t="s">
        <v>650</v>
      </c>
      <c r="I8" s="127" t="s">
        <v>20</v>
      </c>
      <c r="J8" s="127" t="s">
        <v>2905</v>
      </c>
    </row>
    <row r="9" spans="1:10" ht="12.75">
      <c r="A9" s="542" t="s">
        <v>1551</v>
      </c>
      <c r="B9" s="543"/>
      <c r="C9" s="543"/>
      <c r="D9" s="543"/>
      <c r="E9" s="543"/>
      <c r="F9" s="543"/>
      <c r="G9" s="543"/>
      <c r="H9" s="543"/>
      <c r="I9" s="543"/>
      <c r="J9" s="544"/>
    </row>
    <row r="10" spans="1:10" ht="25.5">
      <c r="A10" s="23">
        <v>1</v>
      </c>
      <c r="B10" s="61" t="s">
        <v>79</v>
      </c>
      <c r="C10" s="61" t="s">
        <v>1665</v>
      </c>
      <c r="D10" s="54" t="s">
        <v>510</v>
      </c>
      <c r="E10" s="16" t="s">
        <v>513</v>
      </c>
      <c r="F10" s="23" t="s">
        <v>89</v>
      </c>
      <c r="G10" s="333"/>
      <c r="H10" s="333"/>
      <c r="I10" s="23"/>
      <c r="J10" s="207"/>
    </row>
    <row r="11" spans="1:10" ht="25.5">
      <c r="A11" s="23">
        <v>2</v>
      </c>
      <c r="B11" s="62" t="s">
        <v>79</v>
      </c>
      <c r="C11" s="62" t="s">
        <v>1665</v>
      </c>
      <c r="D11" s="55" t="s">
        <v>517</v>
      </c>
      <c r="E11" s="16" t="s">
        <v>513</v>
      </c>
      <c r="F11" s="23" t="s">
        <v>89</v>
      </c>
      <c r="G11" s="333"/>
      <c r="H11" s="333"/>
      <c r="I11" s="23"/>
      <c r="J11" s="207"/>
    </row>
    <row r="12" spans="1:10" ht="25.5">
      <c r="A12" s="23">
        <v>3</v>
      </c>
      <c r="B12" s="62" t="s">
        <v>79</v>
      </c>
      <c r="C12" s="62" t="s">
        <v>1665</v>
      </c>
      <c r="D12" s="55" t="s">
        <v>518</v>
      </c>
      <c r="E12" s="16" t="s">
        <v>513</v>
      </c>
      <c r="F12" s="23" t="s">
        <v>3422</v>
      </c>
      <c r="G12" s="333"/>
      <c r="H12" s="16"/>
      <c r="I12" s="23"/>
      <c r="J12" s="207"/>
    </row>
    <row r="13" spans="1:10" ht="25.5">
      <c r="A13" s="23">
        <v>4</v>
      </c>
      <c r="B13" s="62" t="s">
        <v>79</v>
      </c>
      <c r="C13" s="62" t="s">
        <v>15</v>
      </c>
      <c r="D13" s="55" t="s">
        <v>3117</v>
      </c>
      <c r="E13" s="16" t="s">
        <v>513</v>
      </c>
      <c r="F13" s="23" t="s">
        <v>89</v>
      </c>
      <c r="G13" s="333"/>
      <c r="H13" s="333"/>
      <c r="I13" s="23"/>
      <c r="J13" s="207"/>
    </row>
    <row r="14" spans="1:10" ht="12.75">
      <c r="A14" s="23">
        <v>5</v>
      </c>
      <c r="B14" s="16" t="s">
        <v>79</v>
      </c>
      <c r="C14" s="16" t="s">
        <v>15</v>
      </c>
      <c r="D14" s="20" t="s">
        <v>3118</v>
      </c>
      <c r="E14" s="16" t="s">
        <v>513</v>
      </c>
      <c r="F14" s="23" t="s">
        <v>89</v>
      </c>
      <c r="G14" s="333"/>
      <c r="H14" s="333"/>
      <c r="I14" s="23"/>
      <c r="J14" s="207"/>
    </row>
    <row r="15" spans="1:10" ht="12.75">
      <c r="A15" s="23">
        <v>6</v>
      </c>
      <c r="B15" s="16" t="s">
        <v>79</v>
      </c>
      <c r="C15" s="16" t="s">
        <v>15</v>
      </c>
      <c r="D15" s="20" t="s">
        <v>522</v>
      </c>
      <c r="E15" s="16" t="s">
        <v>513</v>
      </c>
      <c r="F15" s="23" t="s">
        <v>89</v>
      </c>
      <c r="G15" s="333"/>
      <c r="H15" s="333"/>
      <c r="I15" s="23"/>
      <c r="J15" s="207"/>
    </row>
    <row r="16" spans="1:10" ht="12.75">
      <c r="A16" s="23">
        <v>7</v>
      </c>
      <c r="B16" s="16" t="s">
        <v>79</v>
      </c>
      <c r="C16" s="16" t="s">
        <v>15</v>
      </c>
      <c r="D16" s="20" t="s">
        <v>524</v>
      </c>
      <c r="E16" s="16" t="s">
        <v>513</v>
      </c>
      <c r="F16" s="23" t="s">
        <v>89</v>
      </c>
      <c r="G16" s="333"/>
      <c r="H16" s="333"/>
      <c r="I16" s="23"/>
      <c r="J16" s="207"/>
    </row>
    <row r="17" spans="1:10" ht="12.75">
      <c r="A17" s="23">
        <v>8</v>
      </c>
      <c r="B17" s="16" t="s">
        <v>79</v>
      </c>
      <c r="C17" s="16" t="s">
        <v>258</v>
      </c>
      <c r="D17" s="20" t="s">
        <v>526</v>
      </c>
      <c r="E17" s="16" t="s">
        <v>513</v>
      </c>
      <c r="F17" s="23" t="s">
        <v>89</v>
      </c>
      <c r="G17" s="333"/>
      <c r="H17" s="333"/>
      <c r="I17" s="23"/>
      <c r="J17" s="207"/>
    </row>
    <row r="18" spans="1:10" ht="12.75">
      <c r="A18" s="23">
        <v>9</v>
      </c>
      <c r="B18" s="16" t="s">
        <v>79</v>
      </c>
      <c r="C18" s="16" t="s">
        <v>258</v>
      </c>
      <c r="D18" s="20" t="s">
        <v>528</v>
      </c>
      <c r="E18" s="16" t="s">
        <v>513</v>
      </c>
      <c r="F18" s="23" t="s">
        <v>89</v>
      </c>
      <c r="G18" s="16"/>
      <c r="H18" s="16"/>
      <c r="I18" s="23"/>
      <c r="J18" s="18"/>
    </row>
    <row r="19" spans="1:10" ht="12.75">
      <c r="A19" s="23">
        <v>10</v>
      </c>
      <c r="B19" s="16" t="s">
        <v>79</v>
      </c>
      <c r="C19" s="16" t="s">
        <v>258</v>
      </c>
      <c r="D19" s="20" t="s">
        <v>530</v>
      </c>
      <c r="E19" s="16" t="s">
        <v>513</v>
      </c>
      <c r="F19" s="23" t="s">
        <v>89</v>
      </c>
      <c r="G19" s="16"/>
      <c r="H19" s="16"/>
      <c r="I19" s="23"/>
      <c r="J19" s="18"/>
    </row>
    <row r="20" spans="1:10" ht="12.75">
      <c r="A20" s="23">
        <v>12</v>
      </c>
      <c r="B20" s="16" t="s">
        <v>79</v>
      </c>
      <c r="C20" s="16" t="s">
        <v>1723</v>
      </c>
      <c r="D20" s="20" t="s">
        <v>531</v>
      </c>
      <c r="E20" s="16" t="s">
        <v>513</v>
      </c>
      <c r="F20" s="23" t="s">
        <v>3422</v>
      </c>
      <c r="G20" s="124"/>
      <c r="H20" s="16"/>
      <c r="I20" s="23"/>
      <c r="J20" s="102"/>
    </row>
    <row r="21" spans="1:10" ht="12.75">
      <c r="A21" s="23">
        <v>13</v>
      </c>
      <c r="B21" s="16" t="s">
        <v>79</v>
      </c>
      <c r="C21" s="16" t="s">
        <v>1723</v>
      </c>
      <c r="D21" s="20" t="s">
        <v>533</v>
      </c>
      <c r="E21" s="16" t="s">
        <v>513</v>
      </c>
      <c r="F21" s="23" t="s">
        <v>3422</v>
      </c>
      <c r="G21" s="124"/>
      <c r="H21" s="16"/>
      <c r="I21" s="23"/>
      <c r="J21" s="102"/>
    </row>
    <row r="22" spans="1:10" ht="12.75">
      <c r="A22" s="23">
        <v>14</v>
      </c>
      <c r="B22" s="16" t="s">
        <v>79</v>
      </c>
      <c r="C22" s="16" t="s">
        <v>1723</v>
      </c>
      <c r="D22" s="20" t="s">
        <v>534</v>
      </c>
      <c r="E22" s="16" t="s">
        <v>513</v>
      </c>
      <c r="F22" s="23" t="s">
        <v>89</v>
      </c>
      <c r="G22" s="124"/>
      <c r="H22" s="16"/>
      <c r="I22" s="23"/>
      <c r="J22" s="102"/>
    </row>
    <row r="23" spans="1:10" ht="12.75">
      <c r="A23" s="23">
        <v>15</v>
      </c>
      <c r="B23" s="16" t="s">
        <v>79</v>
      </c>
      <c r="C23" s="16" t="s">
        <v>1723</v>
      </c>
      <c r="D23" s="20" t="s">
        <v>83</v>
      </c>
      <c r="E23" s="16" t="s">
        <v>513</v>
      </c>
      <c r="F23" s="23" t="s">
        <v>89</v>
      </c>
      <c r="G23" s="124"/>
      <c r="H23" s="16"/>
      <c r="I23" s="23"/>
      <c r="J23" s="102"/>
    </row>
    <row r="24" spans="1:10" ht="12.75">
      <c r="A24" s="23">
        <v>16</v>
      </c>
      <c r="B24" s="16" t="s">
        <v>13</v>
      </c>
      <c r="C24" s="16" t="s">
        <v>15</v>
      </c>
      <c r="D24" s="20" t="s">
        <v>537</v>
      </c>
      <c r="E24" s="16" t="s">
        <v>513</v>
      </c>
      <c r="F24" s="23" t="s">
        <v>89</v>
      </c>
      <c r="G24" s="124"/>
      <c r="H24" s="16"/>
      <c r="I24" s="23"/>
      <c r="J24" s="102"/>
    </row>
    <row r="25" spans="1:10" ht="12.75">
      <c r="A25" s="23">
        <v>17</v>
      </c>
      <c r="B25" s="16" t="s">
        <v>13</v>
      </c>
      <c r="C25" s="16" t="s">
        <v>15</v>
      </c>
      <c r="D25" s="20" t="s">
        <v>539</v>
      </c>
      <c r="E25" s="16" t="s">
        <v>513</v>
      </c>
      <c r="F25" s="23" t="s">
        <v>89</v>
      </c>
      <c r="G25" s="124"/>
      <c r="H25" s="16"/>
      <c r="I25" s="23"/>
      <c r="J25" s="102"/>
    </row>
    <row r="26" spans="1:10" ht="12.75">
      <c r="A26" s="23">
        <v>18</v>
      </c>
      <c r="B26" s="16" t="s">
        <v>13</v>
      </c>
      <c r="C26" s="16" t="s">
        <v>15</v>
      </c>
      <c r="D26" s="20" t="s">
        <v>540</v>
      </c>
      <c r="E26" s="16" t="s">
        <v>513</v>
      </c>
      <c r="F26" s="23" t="s">
        <v>89</v>
      </c>
      <c r="G26" s="124"/>
      <c r="H26" s="16"/>
      <c r="I26" s="23"/>
      <c r="J26" s="102"/>
    </row>
    <row r="27" spans="1:10" ht="12.75">
      <c r="A27" s="23">
        <v>19</v>
      </c>
      <c r="B27" s="16" t="s">
        <v>13</v>
      </c>
      <c r="C27" s="451" t="s">
        <v>1788</v>
      </c>
      <c r="D27" s="20" t="s">
        <v>542</v>
      </c>
      <c r="E27" s="16" t="s">
        <v>513</v>
      </c>
      <c r="F27" s="23" t="s">
        <v>89</v>
      </c>
      <c r="G27" s="16"/>
      <c r="H27" s="16"/>
      <c r="I27" s="23"/>
      <c r="J27" s="18"/>
    </row>
    <row r="28" spans="1:10" ht="12.75">
      <c r="A28" s="23">
        <v>20</v>
      </c>
      <c r="B28" s="16" t="s">
        <v>13</v>
      </c>
      <c r="C28" s="451" t="s">
        <v>1788</v>
      </c>
      <c r="D28" s="20" t="s">
        <v>544</v>
      </c>
      <c r="E28" s="16" t="s">
        <v>513</v>
      </c>
      <c r="F28" s="23" t="s">
        <v>89</v>
      </c>
      <c r="G28" s="16"/>
      <c r="H28" s="16"/>
      <c r="I28" s="23"/>
      <c r="J28" s="18"/>
    </row>
    <row r="29" spans="1:10" ht="12.75">
      <c r="A29" s="23">
        <v>21</v>
      </c>
      <c r="B29" s="16" t="s">
        <v>67</v>
      </c>
      <c r="C29" s="16" t="s">
        <v>3334</v>
      </c>
      <c r="D29" s="20" t="s">
        <v>3487</v>
      </c>
      <c r="E29" s="16" t="s">
        <v>513</v>
      </c>
      <c r="F29" s="23" t="s">
        <v>3422</v>
      </c>
      <c r="G29" s="16"/>
      <c r="H29" s="16"/>
      <c r="I29" s="23"/>
      <c r="J29" s="18"/>
    </row>
    <row r="30" spans="1:10" ht="12.75">
      <c r="A30" s="23">
        <v>22</v>
      </c>
      <c r="B30" s="16" t="s">
        <v>67</v>
      </c>
      <c r="C30" s="16" t="s">
        <v>3334</v>
      </c>
      <c r="D30" s="452" t="s">
        <v>3489</v>
      </c>
      <c r="E30" s="16" t="s">
        <v>513</v>
      </c>
      <c r="F30" s="23" t="s">
        <v>3422</v>
      </c>
      <c r="G30" s="16"/>
      <c r="H30" s="16"/>
      <c r="I30" s="23"/>
      <c r="J30" s="18"/>
    </row>
    <row r="31" spans="1:10" ht="12.75">
      <c r="A31" s="23">
        <v>23</v>
      </c>
      <c r="B31" s="16" t="s">
        <v>67</v>
      </c>
      <c r="C31" s="16" t="s">
        <v>354</v>
      </c>
      <c r="D31" s="452" t="s">
        <v>3494</v>
      </c>
      <c r="E31" s="16" t="s">
        <v>513</v>
      </c>
      <c r="F31" s="23" t="s">
        <v>3422</v>
      </c>
      <c r="G31" s="16"/>
      <c r="H31" s="16"/>
      <c r="I31" s="23"/>
      <c r="J31" s="18"/>
    </row>
    <row r="32" spans="1:10" ht="12.75">
      <c r="A32" s="23">
        <v>24</v>
      </c>
      <c r="B32" s="16" t="s">
        <v>67</v>
      </c>
      <c r="C32" s="16" t="s">
        <v>354</v>
      </c>
      <c r="D32" s="452" t="s">
        <v>3496</v>
      </c>
      <c r="E32" s="16" t="s">
        <v>513</v>
      </c>
      <c r="F32" s="23" t="s">
        <v>3422</v>
      </c>
      <c r="G32" s="16"/>
      <c r="H32" s="16"/>
      <c r="I32" s="23"/>
      <c r="J32" s="18"/>
    </row>
    <row r="33" spans="1:10" ht="12.75">
      <c r="A33" s="23">
        <v>25</v>
      </c>
      <c r="B33" s="16" t="s">
        <v>67</v>
      </c>
      <c r="C33" s="16" t="s">
        <v>354</v>
      </c>
      <c r="D33" s="452" t="s">
        <v>3498</v>
      </c>
      <c r="E33" s="16" t="s">
        <v>513</v>
      </c>
      <c r="F33" s="23" t="s">
        <v>3422</v>
      </c>
      <c r="G33" s="16"/>
      <c r="H33" s="16"/>
      <c r="I33" s="23"/>
      <c r="J33" s="18"/>
    </row>
    <row r="34" spans="1:10" ht="12.75">
      <c r="A34" s="23">
        <v>26</v>
      </c>
      <c r="B34" s="16" t="s">
        <v>67</v>
      </c>
      <c r="C34" s="371" t="s">
        <v>308</v>
      </c>
      <c r="D34" s="452" t="s">
        <v>3500</v>
      </c>
      <c r="E34" s="16" t="s">
        <v>513</v>
      </c>
      <c r="F34" s="23" t="s">
        <v>3422</v>
      </c>
      <c r="G34" s="16"/>
      <c r="H34" s="16"/>
      <c r="I34" s="23"/>
      <c r="J34" s="18"/>
    </row>
    <row r="35" spans="1:10" ht="12.75">
      <c r="A35" s="23">
        <v>27</v>
      </c>
      <c r="B35" s="16" t="s">
        <v>67</v>
      </c>
      <c r="C35" s="371" t="s">
        <v>308</v>
      </c>
      <c r="D35" s="452" t="s">
        <v>3502</v>
      </c>
      <c r="E35" s="16" t="s">
        <v>513</v>
      </c>
      <c r="F35" s="23" t="s">
        <v>3422</v>
      </c>
      <c r="G35" s="16"/>
      <c r="H35" s="16"/>
      <c r="I35" s="23"/>
      <c r="J35" s="18"/>
    </row>
    <row r="36" spans="1:10" ht="12.75">
      <c r="A36" s="23">
        <v>28</v>
      </c>
      <c r="B36" s="16" t="s">
        <v>67</v>
      </c>
      <c r="C36" s="16" t="s">
        <v>258</v>
      </c>
      <c r="D36" s="20" t="s">
        <v>3503</v>
      </c>
      <c r="E36" s="16" t="s">
        <v>513</v>
      </c>
      <c r="F36" s="23" t="s">
        <v>3422</v>
      </c>
      <c r="G36" s="16"/>
      <c r="H36" s="16"/>
      <c r="I36" s="23"/>
      <c r="J36" s="18"/>
    </row>
    <row r="37" spans="1:10" ht="12.75">
      <c r="A37" s="23">
        <v>29</v>
      </c>
      <c r="B37" s="16" t="s">
        <v>67</v>
      </c>
      <c r="C37" s="16" t="s">
        <v>1804</v>
      </c>
      <c r="D37" s="20" t="s">
        <v>547</v>
      </c>
      <c r="E37" s="16" t="s">
        <v>513</v>
      </c>
      <c r="F37" s="23" t="s">
        <v>89</v>
      </c>
      <c r="G37" s="16"/>
      <c r="H37" s="16"/>
      <c r="I37" s="23"/>
      <c r="J37" s="18"/>
    </row>
    <row r="38" spans="1:10" ht="12.75">
      <c r="A38" s="23">
        <v>30</v>
      </c>
      <c r="B38" s="16" t="s">
        <v>67</v>
      </c>
      <c r="C38" s="16" t="s">
        <v>1804</v>
      </c>
      <c r="D38" s="20" t="s">
        <v>548</v>
      </c>
      <c r="E38" s="16" t="s">
        <v>513</v>
      </c>
      <c r="F38" s="23" t="s">
        <v>89</v>
      </c>
      <c r="G38" s="16"/>
      <c r="H38" s="16"/>
      <c r="I38" s="23"/>
      <c r="J38" s="18"/>
    </row>
    <row r="39" spans="1:10" ht="12.75">
      <c r="A39" s="23">
        <v>31</v>
      </c>
      <c r="B39" s="16" t="s">
        <v>67</v>
      </c>
      <c r="C39" s="16" t="s">
        <v>1804</v>
      </c>
      <c r="D39" s="20" t="s">
        <v>549</v>
      </c>
      <c r="E39" s="16" t="s">
        <v>513</v>
      </c>
      <c r="F39" s="23" t="s">
        <v>89</v>
      </c>
      <c r="G39" s="16"/>
      <c r="H39" s="16"/>
      <c r="I39" s="23"/>
      <c r="J39" s="18"/>
    </row>
    <row r="40" spans="1:10" ht="12.75">
      <c r="A40" s="23">
        <v>32</v>
      </c>
      <c r="B40" s="16" t="s">
        <v>67</v>
      </c>
      <c r="C40" s="16" t="s">
        <v>1804</v>
      </c>
      <c r="D40" s="20" t="s">
        <v>549</v>
      </c>
      <c r="E40" s="16" t="s">
        <v>513</v>
      </c>
      <c r="F40" s="23" t="s">
        <v>89</v>
      </c>
      <c r="G40" s="16"/>
      <c r="H40" s="16"/>
      <c r="I40" s="23"/>
      <c r="J40" s="18"/>
    </row>
    <row r="41" spans="1:10" ht="12.75">
      <c r="A41" s="23">
        <v>33</v>
      </c>
      <c r="B41" s="16" t="s">
        <v>67</v>
      </c>
      <c r="C41" s="16" t="s">
        <v>1804</v>
      </c>
      <c r="D41" s="20" t="s">
        <v>551</v>
      </c>
      <c r="E41" s="16" t="s">
        <v>513</v>
      </c>
      <c r="F41" s="23" t="s">
        <v>89</v>
      </c>
      <c r="G41" s="16"/>
      <c r="H41" s="16"/>
      <c r="I41" s="23"/>
      <c r="J41" s="18"/>
    </row>
    <row r="42" spans="1:10" ht="12.75">
      <c r="A42" s="23">
        <v>34</v>
      </c>
      <c r="B42" s="16" t="s">
        <v>81</v>
      </c>
      <c r="C42" s="16" t="s">
        <v>1869</v>
      </c>
      <c r="D42" s="20" t="s">
        <v>554</v>
      </c>
      <c r="E42" s="16" t="s">
        <v>513</v>
      </c>
      <c r="F42" s="23" t="s">
        <v>89</v>
      </c>
      <c r="G42" s="16"/>
      <c r="H42" s="16"/>
      <c r="I42" s="23"/>
      <c r="J42" s="18"/>
    </row>
    <row r="43" spans="1:10" ht="12.75">
      <c r="A43" s="23">
        <v>35</v>
      </c>
      <c r="B43" s="16" t="s">
        <v>81</v>
      </c>
      <c r="C43" s="16" t="s">
        <v>1869</v>
      </c>
      <c r="D43" s="20" t="s">
        <v>556</v>
      </c>
      <c r="E43" s="16" t="s">
        <v>513</v>
      </c>
      <c r="F43" s="23" t="s">
        <v>89</v>
      </c>
      <c r="G43" s="16"/>
      <c r="H43" s="16"/>
      <c r="I43" s="23"/>
      <c r="J43" s="18"/>
    </row>
    <row r="44" spans="1:10" ht="12.75">
      <c r="A44" s="23">
        <v>36</v>
      </c>
      <c r="B44" s="16" t="s">
        <v>81</v>
      </c>
      <c r="C44" s="16" t="s">
        <v>1889</v>
      </c>
      <c r="D44" s="20" t="s">
        <v>558</v>
      </c>
      <c r="E44" s="16" t="s">
        <v>513</v>
      </c>
      <c r="F44" s="23" t="s">
        <v>89</v>
      </c>
      <c r="G44" s="16"/>
      <c r="H44" s="16"/>
      <c r="I44" s="23"/>
      <c r="J44" s="18"/>
    </row>
    <row r="45" spans="1:10" ht="12.75">
      <c r="A45" s="23">
        <v>37</v>
      </c>
      <c r="B45" s="16" t="s">
        <v>81</v>
      </c>
      <c r="C45" s="16" t="s">
        <v>1889</v>
      </c>
      <c r="D45" s="20" t="s">
        <v>559</v>
      </c>
      <c r="E45" s="16" t="s">
        <v>513</v>
      </c>
      <c r="F45" s="23" t="s">
        <v>89</v>
      </c>
      <c r="G45" s="16"/>
      <c r="H45" s="16"/>
      <c r="I45" s="23"/>
      <c r="J45" s="18"/>
    </row>
    <row r="46" spans="1:10" ht="12.75">
      <c r="A46" s="23">
        <v>38</v>
      </c>
      <c r="B46" s="16" t="s">
        <v>81</v>
      </c>
      <c r="C46" s="16" t="s">
        <v>283</v>
      </c>
      <c r="D46" s="20" t="s">
        <v>137</v>
      </c>
      <c r="E46" s="16" t="s">
        <v>513</v>
      </c>
      <c r="F46" s="23" t="s">
        <v>89</v>
      </c>
      <c r="G46" s="16"/>
      <c r="H46" s="16"/>
      <c r="I46" s="23"/>
      <c r="J46" s="18"/>
    </row>
    <row r="47" spans="1:10" ht="12.75">
      <c r="A47" s="23">
        <v>39</v>
      </c>
      <c r="B47" s="16" t="s">
        <v>81</v>
      </c>
      <c r="C47" s="16" t="s">
        <v>283</v>
      </c>
      <c r="D47" s="20" t="s">
        <v>560</v>
      </c>
      <c r="E47" s="16" t="s">
        <v>513</v>
      </c>
      <c r="F47" s="23" t="s">
        <v>89</v>
      </c>
      <c r="G47" s="16"/>
      <c r="H47" s="16"/>
      <c r="I47" s="23"/>
      <c r="J47" s="18"/>
    </row>
    <row r="48" spans="1:10" ht="12.75">
      <c r="A48" s="23">
        <v>40</v>
      </c>
      <c r="B48" s="16" t="s">
        <v>81</v>
      </c>
      <c r="C48" s="16" t="s">
        <v>1934</v>
      </c>
      <c r="D48" s="20" t="s">
        <v>562</v>
      </c>
      <c r="E48" s="16" t="s">
        <v>513</v>
      </c>
      <c r="F48" s="23" t="s">
        <v>89</v>
      </c>
      <c r="G48" s="16"/>
      <c r="H48" s="16"/>
      <c r="I48" s="23"/>
      <c r="J48" s="18"/>
    </row>
    <row r="49" spans="1:10" ht="12.75">
      <c r="A49" s="23">
        <v>41</v>
      </c>
      <c r="B49" s="16" t="s">
        <v>81</v>
      </c>
      <c r="C49" s="16" t="s">
        <v>1934</v>
      </c>
      <c r="D49" s="20" t="s">
        <v>564</v>
      </c>
      <c r="E49" s="16" t="s">
        <v>513</v>
      </c>
      <c r="F49" s="23" t="s">
        <v>89</v>
      </c>
      <c r="G49" s="16"/>
      <c r="H49" s="16"/>
      <c r="I49" s="23"/>
      <c r="J49" s="18"/>
    </row>
    <row r="50" spans="1:10" ht="12.75">
      <c r="A50" s="23">
        <v>42</v>
      </c>
      <c r="B50" s="16" t="s">
        <v>81</v>
      </c>
      <c r="C50" s="16" t="s">
        <v>1934</v>
      </c>
      <c r="D50" s="20" t="s">
        <v>149</v>
      </c>
      <c r="E50" s="16" t="s">
        <v>513</v>
      </c>
      <c r="F50" s="23" t="s">
        <v>89</v>
      </c>
      <c r="G50" s="16"/>
      <c r="H50" s="16"/>
      <c r="I50" s="23"/>
      <c r="J50" s="18"/>
    </row>
    <row r="51" spans="1:10" ht="12.75">
      <c r="A51" s="23">
        <v>43</v>
      </c>
      <c r="B51" s="16" t="s">
        <v>113</v>
      </c>
      <c r="C51" s="16" t="s">
        <v>1959</v>
      </c>
      <c r="D51" s="20" t="s">
        <v>565</v>
      </c>
      <c r="E51" s="16" t="s">
        <v>513</v>
      </c>
      <c r="F51" s="23" t="s">
        <v>89</v>
      </c>
      <c r="G51" s="16"/>
      <c r="H51" s="16"/>
      <c r="I51" s="23"/>
      <c r="J51" s="18"/>
    </row>
    <row r="52" spans="1:10" ht="12.75">
      <c r="A52" s="23">
        <v>44</v>
      </c>
      <c r="B52" s="16" t="s">
        <v>113</v>
      </c>
      <c r="C52" s="16" t="s">
        <v>1959</v>
      </c>
      <c r="D52" s="20" t="s">
        <v>568</v>
      </c>
      <c r="E52" s="16" t="s">
        <v>513</v>
      </c>
      <c r="F52" s="23" t="s">
        <v>89</v>
      </c>
      <c r="G52" s="16"/>
      <c r="H52" s="16"/>
      <c r="I52" s="23"/>
      <c r="J52" s="18"/>
    </row>
    <row r="53" spans="1:10" ht="12.75">
      <c r="A53" s="23">
        <v>45</v>
      </c>
      <c r="B53" s="16" t="s">
        <v>113</v>
      </c>
      <c r="C53" s="16" t="s">
        <v>1959</v>
      </c>
      <c r="D53" s="20" t="s">
        <v>156</v>
      </c>
      <c r="E53" s="16" t="s">
        <v>513</v>
      </c>
      <c r="F53" s="23" t="s">
        <v>89</v>
      </c>
      <c r="G53" s="16"/>
      <c r="H53" s="16"/>
      <c r="I53" s="23"/>
      <c r="J53" s="18"/>
    </row>
    <row r="54" spans="1:10" ht="12.75">
      <c r="A54" s="23">
        <v>46</v>
      </c>
      <c r="B54" s="16" t="s">
        <v>113</v>
      </c>
      <c r="C54" s="16" t="s">
        <v>2000</v>
      </c>
      <c r="D54" s="20" t="s">
        <v>161</v>
      </c>
      <c r="E54" s="16" t="s">
        <v>513</v>
      </c>
      <c r="F54" s="23" t="s">
        <v>89</v>
      </c>
      <c r="G54" s="16"/>
      <c r="H54" s="16"/>
      <c r="I54" s="23"/>
      <c r="J54" s="18"/>
    </row>
    <row r="55" spans="1:10" ht="12.75">
      <c r="A55" s="23">
        <v>47</v>
      </c>
      <c r="B55" s="16" t="s">
        <v>113</v>
      </c>
      <c r="C55" s="16" t="s">
        <v>2000</v>
      </c>
      <c r="D55" s="20" t="s">
        <v>572</v>
      </c>
      <c r="E55" s="16" t="s">
        <v>513</v>
      </c>
      <c r="F55" s="23" t="s">
        <v>89</v>
      </c>
      <c r="G55" s="16"/>
      <c r="H55" s="16"/>
      <c r="I55" s="23"/>
      <c r="J55" s="18"/>
    </row>
    <row r="56" spans="1:10" ht="12.75">
      <c r="A56" s="23">
        <v>48</v>
      </c>
      <c r="B56" s="16" t="s">
        <v>113</v>
      </c>
      <c r="C56" s="16" t="s">
        <v>2000</v>
      </c>
      <c r="D56" s="20" t="s">
        <v>574</v>
      </c>
      <c r="E56" s="16" t="s">
        <v>513</v>
      </c>
      <c r="F56" s="23" t="s">
        <v>89</v>
      </c>
      <c r="G56" s="16"/>
      <c r="H56" s="16"/>
      <c r="I56" s="23"/>
      <c r="J56" s="18"/>
    </row>
    <row r="57" spans="1:10" ht="12.75">
      <c r="A57" s="23">
        <v>49</v>
      </c>
      <c r="B57" s="16" t="s">
        <v>113</v>
      </c>
      <c r="C57" s="16" t="s">
        <v>3543</v>
      </c>
      <c r="D57" s="20" t="s">
        <v>3544</v>
      </c>
      <c r="E57" s="16" t="s">
        <v>513</v>
      </c>
      <c r="F57" s="23" t="s">
        <v>3545</v>
      </c>
      <c r="G57" s="16"/>
      <c r="H57" s="16"/>
      <c r="I57" s="23" t="s">
        <v>3546</v>
      </c>
      <c r="J57" s="18"/>
    </row>
    <row r="58" spans="1:10" ht="12.75">
      <c r="A58" s="23">
        <v>50</v>
      </c>
      <c r="B58" s="16" t="s">
        <v>165</v>
      </c>
      <c r="C58" s="16" t="s">
        <v>29</v>
      </c>
      <c r="D58" s="20" t="s">
        <v>425</v>
      </c>
      <c r="E58" s="16" t="s">
        <v>513</v>
      </c>
      <c r="F58" s="23" t="s">
        <v>3545</v>
      </c>
      <c r="G58" s="16"/>
      <c r="H58" s="16"/>
      <c r="I58" s="23" t="s">
        <v>3546</v>
      </c>
      <c r="J58" s="18"/>
    </row>
    <row r="59" spans="1:10" ht="12.75">
      <c r="A59" s="23">
        <v>51</v>
      </c>
      <c r="B59" s="16" t="s">
        <v>165</v>
      </c>
      <c r="C59" s="16" t="s">
        <v>29</v>
      </c>
      <c r="D59" s="20" t="s">
        <v>3548</v>
      </c>
      <c r="E59" s="16" t="s">
        <v>513</v>
      </c>
      <c r="F59" s="23" t="s">
        <v>3545</v>
      </c>
      <c r="G59" s="16"/>
      <c r="H59" s="16"/>
      <c r="I59" s="23" t="s">
        <v>3546</v>
      </c>
      <c r="J59" s="18"/>
    </row>
    <row r="60" spans="1:10" ht="12.75">
      <c r="A60" s="23">
        <v>52</v>
      </c>
      <c r="B60" s="16" t="s">
        <v>165</v>
      </c>
      <c r="C60" s="16" t="s">
        <v>29</v>
      </c>
      <c r="D60" s="20" t="s">
        <v>3550</v>
      </c>
      <c r="E60" s="16" t="s">
        <v>513</v>
      </c>
      <c r="F60" s="23" t="s">
        <v>3545</v>
      </c>
      <c r="G60" s="16"/>
      <c r="H60" s="16"/>
      <c r="I60" s="23" t="s">
        <v>3546</v>
      </c>
      <c r="J60" s="18"/>
    </row>
    <row r="61" spans="1:10" ht="12.75">
      <c r="A61" s="23">
        <v>53</v>
      </c>
      <c r="B61" s="16" t="s">
        <v>165</v>
      </c>
      <c r="C61" s="16" t="s">
        <v>1981</v>
      </c>
      <c r="D61" s="20" t="s">
        <v>166</v>
      </c>
      <c r="E61" s="16" t="s">
        <v>513</v>
      </c>
      <c r="F61" s="23" t="s">
        <v>89</v>
      </c>
      <c r="G61" s="16"/>
      <c r="H61" s="16"/>
      <c r="I61" s="23"/>
      <c r="J61" s="18"/>
    </row>
    <row r="62" spans="1:10" ht="12.75">
      <c r="A62" s="23">
        <v>54</v>
      </c>
      <c r="B62" s="16" t="s">
        <v>165</v>
      </c>
      <c r="C62" s="16" t="s">
        <v>1981</v>
      </c>
      <c r="D62" s="20" t="s">
        <v>577</v>
      </c>
      <c r="E62" s="16" t="s">
        <v>513</v>
      </c>
      <c r="F62" s="23" t="s">
        <v>89</v>
      </c>
      <c r="G62" s="16"/>
      <c r="H62" s="16"/>
      <c r="I62" s="23"/>
      <c r="J62" s="18"/>
    </row>
    <row r="63" spans="1:10" ht="12.75">
      <c r="A63" s="23">
        <v>55</v>
      </c>
      <c r="B63" s="16" t="s">
        <v>165</v>
      </c>
      <c r="C63" s="16" t="s">
        <v>1981</v>
      </c>
      <c r="D63" s="20" t="s">
        <v>170</v>
      </c>
      <c r="E63" s="16" t="s">
        <v>513</v>
      </c>
      <c r="F63" s="23" t="s">
        <v>89</v>
      </c>
      <c r="G63" s="16"/>
      <c r="H63" s="16"/>
      <c r="I63" s="23"/>
      <c r="J63" s="18"/>
    </row>
    <row r="64" spans="1:10" ht="12.75">
      <c r="A64" s="23">
        <v>56</v>
      </c>
      <c r="B64" s="16" t="s">
        <v>165</v>
      </c>
      <c r="C64" s="16" t="s">
        <v>183</v>
      </c>
      <c r="D64" s="20" t="s">
        <v>580</v>
      </c>
      <c r="E64" s="16" t="s">
        <v>513</v>
      </c>
      <c r="F64" s="23" t="s">
        <v>89</v>
      </c>
      <c r="G64" s="16"/>
      <c r="H64" s="16"/>
      <c r="I64" s="23"/>
      <c r="J64" s="18"/>
    </row>
    <row r="65" spans="1:10" ht="12.75">
      <c r="A65" s="23">
        <v>57</v>
      </c>
      <c r="B65" s="16" t="s">
        <v>165</v>
      </c>
      <c r="C65" s="16" t="s">
        <v>183</v>
      </c>
      <c r="D65" s="20" t="s">
        <v>582</v>
      </c>
      <c r="E65" s="16" t="s">
        <v>513</v>
      </c>
      <c r="F65" s="23" t="s">
        <v>89</v>
      </c>
      <c r="G65" s="16"/>
      <c r="H65" s="16"/>
      <c r="I65" s="23"/>
      <c r="J65" s="18"/>
    </row>
    <row r="66" spans="1:10" ht="12.75">
      <c r="A66" s="23">
        <v>58</v>
      </c>
      <c r="B66" s="16" t="s">
        <v>165</v>
      </c>
      <c r="C66" s="16" t="s">
        <v>183</v>
      </c>
      <c r="D66" s="20" t="s">
        <v>584</v>
      </c>
      <c r="E66" s="16" t="s">
        <v>513</v>
      </c>
      <c r="F66" s="23" t="s">
        <v>89</v>
      </c>
      <c r="G66" s="16"/>
      <c r="H66" s="16"/>
      <c r="I66" s="23"/>
      <c r="J66" s="18"/>
    </row>
    <row r="67" spans="1:10" ht="12.75">
      <c r="A67" s="23">
        <v>59</v>
      </c>
      <c r="B67" s="16" t="s">
        <v>165</v>
      </c>
      <c r="C67" s="16" t="s">
        <v>3579</v>
      </c>
      <c r="D67" s="20" t="s">
        <v>3580</v>
      </c>
      <c r="E67" s="16" t="s">
        <v>513</v>
      </c>
      <c r="F67" s="23" t="s">
        <v>3545</v>
      </c>
      <c r="G67" s="16"/>
      <c r="H67" s="16"/>
      <c r="I67" s="23" t="s">
        <v>3546</v>
      </c>
      <c r="J67" s="18"/>
    </row>
    <row r="68" spans="1:10" ht="12.75">
      <c r="A68" s="23">
        <v>60</v>
      </c>
      <c r="B68" s="16" t="s">
        <v>140</v>
      </c>
      <c r="C68" s="16" t="s">
        <v>2049</v>
      </c>
      <c r="D68" s="20" t="s">
        <v>585</v>
      </c>
      <c r="E68" s="16" t="s">
        <v>513</v>
      </c>
      <c r="F68" s="23" t="s">
        <v>89</v>
      </c>
      <c r="G68" s="16"/>
      <c r="H68" s="16"/>
      <c r="I68" s="23"/>
      <c r="J68" s="18"/>
    </row>
    <row r="69" spans="1:10" ht="12.75">
      <c r="A69" s="23">
        <v>61</v>
      </c>
      <c r="B69" s="16" t="s">
        <v>140</v>
      </c>
      <c r="C69" s="16" t="s">
        <v>2049</v>
      </c>
      <c r="D69" s="20" t="s">
        <v>587</v>
      </c>
      <c r="E69" s="16" t="s">
        <v>513</v>
      </c>
      <c r="F69" s="23" t="s">
        <v>89</v>
      </c>
      <c r="G69" s="16"/>
      <c r="H69" s="16"/>
      <c r="I69" s="23"/>
      <c r="J69" s="18"/>
    </row>
    <row r="70" spans="1:10" ht="12.75">
      <c r="A70" s="23">
        <v>62</v>
      </c>
      <c r="B70" s="16" t="s">
        <v>140</v>
      </c>
      <c r="C70" s="16" t="s">
        <v>2049</v>
      </c>
      <c r="D70" s="20" t="s">
        <v>588</v>
      </c>
      <c r="E70" s="16" t="s">
        <v>513</v>
      </c>
      <c r="F70" s="23" t="s">
        <v>89</v>
      </c>
      <c r="G70" s="16"/>
      <c r="H70" s="16"/>
      <c r="I70" s="23"/>
      <c r="J70" s="18"/>
    </row>
    <row r="71" spans="1:10" ht="12.75">
      <c r="A71" s="23">
        <v>63</v>
      </c>
      <c r="B71" s="16" t="s">
        <v>140</v>
      </c>
      <c r="C71" s="16" t="s">
        <v>2051</v>
      </c>
      <c r="D71" s="20" t="s">
        <v>590</v>
      </c>
      <c r="E71" s="16" t="s">
        <v>513</v>
      </c>
      <c r="F71" s="23" t="s">
        <v>89</v>
      </c>
      <c r="G71" s="16"/>
      <c r="H71" s="16"/>
      <c r="I71" s="23"/>
      <c r="J71" s="18"/>
    </row>
    <row r="72" spans="1:10" ht="12.75">
      <c r="A72" s="23">
        <v>64</v>
      </c>
      <c r="B72" s="16" t="s">
        <v>140</v>
      </c>
      <c r="C72" s="16" t="s">
        <v>2051</v>
      </c>
      <c r="D72" s="20" t="s">
        <v>592</v>
      </c>
      <c r="E72" s="16" t="s">
        <v>513</v>
      </c>
      <c r="F72" s="23" t="s">
        <v>89</v>
      </c>
      <c r="G72" s="16"/>
      <c r="H72" s="16"/>
      <c r="I72" s="23"/>
      <c r="J72" s="18"/>
    </row>
    <row r="73" spans="1:10" ht="12.75">
      <c r="A73" s="23">
        <v>65</v>
      </c>
      <c r="B73" s="16" t="s">
        <v>140</v>
      </c>
      <c r="C73" s="16" t="s">
        <v>2051</v>
      </c>
      <c r="D73" s="20" t="s">
        <v>594</v>
      </c>
      <c r="E73" s="16" t="s">
        <v>513</v>
      </c>
      <c r="F73" s="23" t="s">
        <v>89</v>
      </c>
      <c r="G73" s="16"/>
      <c r="H73" s="16"/>
      <c r="I73" s="23"/>
      <c r="J73" s="18"/>
    </row>
    <row r="74" spans="1:10" ht="12.75">
      <c r="A74" s="23">
        <v>66</v>
      </c>
      <c r="B74" s="16" t="s">
        <v>176</v>
      </c>
      <c r="C74" s="16" t="s">
        <v>210</v>
      </c>
      <c r="D74" s="20" t="s">
        <v>179</v>
      </c>
      <c r="E74" s="16" t="s">
        <v>513</v>
      </c>
      <c r="F74" s="23" t="s">
        <v>89</v>
      </c>
      <c r="G74" s="16"/>
      <c r="H74" s="16"/>
      <c r="I74" s="23"/>
      <c r="J74" s="18"/>
    </row>
    <row r="75" spans="1:10" ht="12.75">
      <c r="A75" s="23">
        <v>67</v>
      </c>
      <c r="B75" s="16" t="s">
        <v>176</v>
      </c>
      <c r="C75" s="16" t="s">
        <v>210</v>
      </c>
      <c r="D75" s="20" t="s">
        <v>189</v>
      </c>
      <c r="E75" s="16" t="s">
        <v>513</v>
      </c>
      <c r="F75" s="23" t="s">
        <v>89</v>
      </c>
      <c r="G75" s="16"/>
      <c r="H75" s="16"/>
      <c r="I75" s="23"/>
      <c r="J75" s="18"/>
    </row>
    <row r="76" spans="1:10" ht="12.75">
      <c r="A76" s="23">
        <v>68</v>
      </c>
      <c r="B76" s="16" t="s">
        <v>176</v>
      </c>
      <c r="C76" s="16" t="s">
        <v>210</v>
      </c>
      <c r="D76" s="20" t="s">
        <v>193</v>
      </c>
      <c r="E76" s="16" t="s">
        <v>513</v>
      </c>
      <c r="F76" s="23" t="s">
        <v>89</v>
      </c>
      <c r="G76" s="16"/>
      <c r="H76" s="16"/>
      <c r="I76" s="23"/>
      <c r="J76" s="18"/>
    </row>
    <row r="77" spans="1:10" ht="12.75">
      <c r="A77" s="23">
        <v>69</v>
      </c>
      <c r="B77" s="16" t="s">
        <v>196</v>
      </c>
      <c r="C77" s="16" t="s">
        <v>241</v>
      </c>
      <c r="D77" s="20" t="s">
        <v>197</v>
      </c>
      <c r="E77" s="16" t="s">
        <v>513</v>
      </c>
      <c r="F77" s="23" t="s">
        <v>3422</v>
      </c>
      <c r="G77" s="16"/>
      <c r="H77" s="16"/>
      <c r="I77" s="23"/>
      <c r="J77" s="18"/>
    </row>
    <row r="78" spans="1:10" ht="12.75">
      <c r="A78" s="23">
        <v>70</v>
      </c>
      <c r="B78" s="16" t="s">
        <v>196</v>
      </c>
      <c r="C78" s="16" t="s">
        <v>241</v>
      </c>
      <c r="D78" s="20" t="s">
        <v>599</v>
      </c>
      <c r="E78" s="16" t="s">
        <v>513</v>
      </c>
      <c r="F78" s="23" t="s">
        <v>89</v>
      </c>
      <c r="G78" s="16"/>
      <c r="H78" s="16"/>
      <c r="I78" s="23"/>
      <c r="J78" s="18"/>
    </row>
    <row r="79" spans="1:10" ht="12.75">
      <c r="A79" s="23">
        <v>71</v>
      </c>
      <c r="B79" s="16" t="s">
        <v>196</v>
      </c>
      <c r="C79" s="16" t="s">
        <v>241</v>
      </c>
      <c r="D79" s="20" t="s">
        <v>601</v>
      </c>
      <c r="E79" s="16" t="s">
        <v>513</v>
      </c>
      <c r="F79" s="23" t="s">
        <v>89</v>
      </c>
      <c r="G79" s="16"/>
      <c r="H79" s="16"/>
      <c r="I79" s="23"/>
      <c r="J79" s="18"/>
    </row>
    <row r="80" spans="1:10" ht="12.75">
      <c r="A80" s="23">
        <v>72</v>
      </c>
      <c r="B80" s="16" t="s">
        <v>196</v>
      </c>
      <c r="C80" s="16" t="s">
        <v>2061</v>
      </c>
      <c r="D80" s="20" t="s">
        <v>602</v>
      </c>
      <c r="E80" s="16" t="s">
        <v>513</v>
      </c>
      <c r="F80" s="23" t="s">
        <v>89</v>
      </c>
      <c r="G80" s="16"/>
      <c r="H80" s="16"/>
      <c r="I80" s="23"/>
      <c r="J80" s="18"/>
    </row>
    <row r="81" spans="1:10" ht="12.75">
      <c r="A81" s="23">
        <v>73</v>
      </c>
      <c r="B81" s="16" t="s">
        <v>196</v>
      </c>
      <c r="C81" s="16" t="s">
        <v>2061</v>
      </c>
      <c r="D81" s="20" t="s">
        <v>604</v>
      </c>
      <c r="E81" s="16" t="s">
        <v>513</v>
      </c>
      <c r="F81" s="23" t="s">
        <v>89</v>
      </c>
      <c r="G81" s="16"/>
      <c r="H81" s="16"/>
      <c r="I81" s="23"/>
      <c r="J81" s="18"/>
    </row>
    <row r="82" spans="1:10" ht="12.75">
      <c r="A82" s="23">
        <v>74</v>
      </c>
      <c r="B82" s="16" t="s">
        <v>196</v>
      </c>
      <c r="C82" s="16" t="s">
        <v>2061</v>
      </c>
      <c r="D82" s="20" t="s">
        <v>202</v>
      </c>
      <c r="E82" s="16" t="s">
        <v>513</v>
      </c>
      <c r="F82" s="23" t="s">
        <v>3422</v>
      </c>
      <c r="G82" s="16"/>
      <c r="H82" s="16"/>
      <c r="I82" s="23"/>
      <c r="J82" s="18"/>
    </row>
    <row r="83" spans="1:10" ht="12.75">
      <c r="A83" s="23">
        <v>75</v>
      </c>
      <c r="B83" s="16" t="s">
        <v>196</v>
      </c>
      <c r="C83" s="16" t="s">
        <v>1629</v>
      </c>
      <c r="D83" s="20" t="s">
        <v>605</v>
      </c>
      <c r="E83" s="16" t="s">
        <v>513</v>
      </c>
      <c r="F83" s="23" t="s">
        <v>89</v>
      </c>
      <c r="G83" s="16"/>
      <c r="H83" s="16"/>
      <c r="I83" s="23"/>
      <c r="J83" s="18"/>
    </row>
    <row r="84" spans="1:10" ht="12.75">
      <c r="A84" s="23">
        <v>76</v>
      </c>
      <c r="B84" s="16" t="s">
        <v>196</v>
      </c>
      <c r="C84" s="16" t="s">
        <v>1629</v>
      </c>
      <c r="D84" s="20" t="s">
        <v>608</v>
      </c>
      <c r="E84" s="16" t="s">
        <v>513</v>
      </c>
      <c r="F84" s="23" t="s">
        <v>89</v>
      </c>
      <c r="G84" s="16"/>
      <c r="H84" s="16"/>
      <c r="I84" s="23"/>
      <c r="J84" s="18"/>
    </row>
    <row r="85" spans="1:10" ht="12.75">
      <c r="A85" s="23">
        <v>77</v>
      </c>
      <c r="B85" s="16" t="s">
        <v>196</v>
      </c>
      <c r="C85" s="16" t="s">
        <v>1629</v>
      </c>
      <c r="D85" s="20" t="s">
        <v>3613</v>
      </c>
      <c r="E85" s="16" t="s">
        <v>513</v>
      </c>
      <c r="F85" s="23" t="s">
        <v>3545</v>
      </c>
      <c r="G85" s="16"/>
      <c r="H85" s="16"/>
      <c r="I85" s="23"/>
      <c r="J85" s="18"/>
    </row>
    <row r="86" spans="1:10" ht="12.75">
      <c r="A86" s="23">
        <v>78</v>
      </c>
      <c r="B86" s="16" t="s">
        <v>196</v>
      </c>
      <c r="C86" s="16" t="s">
        <v>1629</v>
      </c>
      <c r="D86" s="20" t="s">
        <v>607</v>
      </c>
      <c r="E86" s="16" t="s">
        <v>513</v>
      </c>
      <c r="F86" s="23" t="s">
        <v>89</v>
      </c>
      <c r="G86" s="16"/>
      <c r="H86" s="16"/>
      <c r="I86" s="23"/>
      <c r="J86" s="18"/>
    </row>
    <row r="87" spans="1:10" ht="12.75">
      <c r="A87" s="23">
        <v>79</v>
      </c>
      <c r="B87" s="16" t="s">
        <v>196</v>
      </c>
      <c r="C87" s="16" t="s">
        <v>1638</v>
      </c>
      <c r="D87" s="20" t="s">
        <v>610</v>
      </c>
      <c r="E87" s="16" t="s">
        <v>513</v>
      </c>
      <c r="F87" s="23" t="s">
        <v>89</v>
      </c>
      <c r="G87" s="16"/>
      <c r="H87" s="16"/>
      <c r="I87" s="23"/>
      <c r="J87" s="18"/>
    </row>
    <row r="88" spans="1:10" ht="12.75">
      <c r="A88" s="23">
        <v>80</v>
      </c>
      <c r="B88" s="16" t="s">
        <v>196</v>
      </c>
      <c r="C88" s="16" t="s">
        <v>1638</v>
      </c>
      <c r="D88" s="455" t="s">
        <v>612</v>
      </c>
      <c r="E88" s="16" t="s">
        <v>513</v>
      </c>
      <c r="F88" s="23" t="s">
        <v>89</v>
      </c>
      <c r="G88" s="16"/>
      <c r="H88" s="16"/>
      <c r="I88" s="23"/>
      <c r="J88" s="18"/>
    </row>
    <row r="95" spans="1:10" ht="12.75">
      <c r="F95" s="31" t="s">
        <v>3000</v>
      </c>
      <c r="G95" s="357" t="s">
        <v>3124</v>
      </c>
    </row>
    <row r="96" spans="1:10" ht="12.75">
      <c r="F96" s="31" t="s">
        <v>3044</v>
      </c>
      <c r="G96" s="31" t="s">
        <v>3126</v>
      </c>
    </row>
    <row r="97" spans="6:7" ht="12.75">
      <c r="F97" s="31" t="s">
        <v>3046</v>
      </c>
      <c r="G97" s="31" t="s">
        <v>3127</v>
      </c>
    </row>
  </sheetData>
  <mergeCells count="8">
    <mergeCell ref="A6:D6"/>
    <mergeCell ref="F6:H6"/>
    <mergeCell ref="A9:J9"/>
    <mergeCell ref="A1:J1"/>
    <mergeCell ref="A2:J2"/>
    <mergeCell ref="A3:J3"/>
    <mergeCell ref="A5:E5"/>
    <mergeCell ref="F5:H5"/>
  </mergeCells>
  <dataValidations count="1">
    <dataValidation type="list" allowBlank="1" showErrorMessage="1" sqref="F10:F88" xr:uid="{00000000-0002-0000-2400-000000000000}">
      <formula1>"Active,Dormant,Down,To Implement,Installed,Change Out"</formula1>
    </dataValidation>
  </dataValidations>
  <hyperlinks>
    <hyperlink ref="C27" r:id="rId1" xr:uid="{00000000-0004-0000-2400-000000000000}"/>
    <hyperlink ref="C28" r:id="rId2" xr:uid="{00000000-0004-0000-2400-000001000000}"/>
    <hyperlink ref="G95" r:id="rId3" location="/monitor_overview_global_menu" xr:uid="{00000000-0004-0000-2400-000002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pageSetUpPr fitToPage="1"/>
  </sheetPr>
  <dimension ref="A1:F33"/>
  <sheetViews>
    <sheetView workbookViewId="0"/>
  </sheetViews>
  <sheetFormatPr defaultColWidth="12.5703125" defaultRowHeight="15.75" customHeight="1"/>
  <cols>
    <col min="1" max="1" width="52.42578125" customWidth="1"/>
    <col min="2" max="2" width="24.28515625" customWidth="1"/>
  </cols>
  <sheetData>
    <row r="1" spans="1:6">
      <c r="A1" s="301" t="s">
        <v>3444</v>
      </c>
      <c r="B1" s="301" t="s">
        <v>3445</v>
      </c>
    </row>
    <row r="2" spans="1:6">
      <c r="A2" s="446" t="s">
        <v>3448</v>
      </c>
      <c r="B2" s="413" t="s">
        <v>3449</v>
      </c>
    </row>
    <row r="3" spans="1:6">
      <c r="A3" s="447" t="s">
        <v>3450</v>
      </c>
      <c r="B3" s="413" t="s">
        <v>3452</v>
      </c>
    </row>
    <row r="4" spans="1:6">
      <c r="A4" s="447" t="s">
        <v>3453</v>
      </c>
      <c r="B4" s="413" t="s">
        <v>3454</v>
      </c>
      <c r="E4" s="31" t="s">
        <v>3455</v>
      </c>
      <c r="F4" s="31">
        <v>29</v>
      </c>
    </row>
    <row r="5" spans="1:6">
      <c r="A5" s="447" t="s">
        <v>3458</v>
      </c>
      <c r="B5" s="413" t="s">
        <v>3459</v>
      </c>
      <c r="E5" s="31" t="s">
        <v>3460</v>
      </c>
      <c r="F5" s="31">
        <v>13</v>
      </c>
    </row>
    <row r="6" spans="1:6">
      <c r="A6" s="447" t="s">
        <v>3461</v>
      </c>
      <c r="B6" s="413" t="s">
        <v>3462</v>
      </c>
    </row>
    <row r="7" spans="1:6">
      <c r="A7" s="447" t="s">
        <v>3465</v>
      </c>
      <c r="B7" s="413" t="s">
        <v>3466</v>
      </c>
    </row>
    <row r="8" spans="1:6">
      <c r="A8" s="447" t="s">
        <v>3467</v>
      </c>
      <c r="B8" s="413" t="s">
        <v>3468</v>
      </c>
    </row>
    <row r="9" spans="1:6">
      <c r="A9" s="447" t="s">
        <v>3469</v>
      </c>
      <c r="B9" s="413" t="s">
        <v>3470</v>
      </c>
    </row>
    <row r="10" spans="1:6">
      <c r="A10" s="447" t="s">
        <v>3472</v>
      </c>
      <c r="B10" s="413" t="s">
        <v>3449</v>
      </c>
    </row>
    <row r="11" spans="1:6">
      <c r="A11" s="447" t="s">
        <v>3474</v>
      </c>
      <c r="B11" s="413" t="s">
        <v>3475</v>
      </c>
    </row>
    <row r="12" spans="1:6">
      <c r="A12" s="447"/>
      <c r="B12" s="413"/>
    </row>
    <row r="13" spans="1:6">
      <c r="A13" s="448"/>
      <c r="B13" s="449"/>
    </row>
    <row r="14" spans="1:6">
      <c r="A14" s="448"/>
      <c r="B14" s="449"/>
    </row>
    <row r="15" spans="1:6">
      <c r="A15" s="448"/>
      <c r="B15" s="449"/>
    </row>
    <row r="16" spans="1:6">
      <c r="A16" s="448"/>
      <c r="B16" s="449"/>
    </row>
    <row r="17" spans="1:2">
      <c r="A17" s="448"/>
      <c r="B17" s="449"/>
    </row>
    <row r="18" spans="1:2">
      <c r="A18" s="448"/>
      <c r="B18" s="449"/>
    </row>
    <row r="19" spans="1:2">
      <c r="A19" s="448"/>
      <c r="B19" s="449"/>
    </row>
    <row r="20" spans="1:2">
      <c r="A20" s="448"/>
      <c r="B20" s="449"/>
    </row>
    <row r="21" spans="1:2">
      <c r="A21" s="450"/>
      <c r="B21" s="424"/>
    </row>
    <row r="22" spans="1:2">
      <c r="A22" s="450"/>
      <c r="B22" s="424"/>
    </row>
    <row r="23" spans="1:2">
      <c r="A23" s="450"/>
      <c r="B23" s="424"/>
    </row>
    <row r="24" spans="1:2">
      <c r="A24" s="450"/>
      <c r="B24" s="424"/>
    </row>
    <row r="25" spans="1:2">
      <c r="A25" s="450"/>
      <c r="B25" s="424"/>
    </row>
    <row r="26" spans="1:2">
      <c r="A26" s="450"/>
      <c r="B26" s="424"/>
    </row>
    <row r="27" spans="1:2">
      <c r="A27" s="450"/>
      <c r="B27" s="424"/>
    </row>
    <row r="28" spans="1:2">
      <c r="A28" s="450"/>
      <c r="B28" s="424"/>
    </row>
    <row r="29" spans="1:2">
      <c r="A29" s="450"/>
      <c r="B29" s="424"/>
    </row>
    <row r="30" spans="1:2">
      <c r="A30" s="424"/>
      <c r="B30" s="424"/>
    </row>
    <row r="31" spans="1:2">
      <c r="A31" s="424"/>
      <c r="B31" s="424"/>
    </row>
    <row r="32" spans="1:2">
      <c r="A32" s="424"/>
      <c r="B32" s="424"/>
    </row>
    <row r="33" spans="1:2">
      <c r="A33" s="424"/>
      <c r="B33" s="424"/>
    </row>
  </sheetData>
  <printOptions horizontalCentered="1" gridLines="1"/>
  <pageMargins left="0.25" right="0.25" top="0.75" bottom="0.75" header="0" footer="0"/>
  <pageSetup paperSize="9" fitToHeight="0" pageOrder="overThenDown" orientation="landscape" cellComments="atEnd"/>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C8"/>
  <sheetViews>
    <sheetView workbookViewId="0"/>
  </sheetViews>
  <sheetFormatPr defaultColWidth="12.5703125" defaultRowHeight="15.75" customHeight="1"/>
  <cols>
    <col min="1" max="1" width="41.28515625" customWidth="1"/>
    <col min="2" max="2" width="34.28515625" customWidth="1"/>
    <col min="3" max="3" width="25.5703125" customWidth="1"/>
  </cols>
  <sheetData>
    <row r="1" spans="1:3" ht="31.5" customHeight="1">
      <c r="A1" s="453" t="s">
        <v>3521</v>
      </c>
      <c r="B1" s="453" t="s">
        <v>3524</v>
      </c>
      <c r="C1" s="453" t="s">
        <v>3525</v>
      </c>
    </row>
    <row r="2" spans="1:3" ht="25.5">
      <c r="A2" s="31" t="s">
        <v>3526</v>
      </c>
      <c r="B2" s="313" t="s">
        <v>3529</v>
      </c>
    </row>
    <row r="3" spans="1:3" ht="12.75">
      <c r="A3" s="31" t="s">
        <v>3530</v>
      </c>
      <c r="B3" s="206" t="s">
        <v>3531</v>
      </c>
    </row>
    <row r="4" spans="1:3" ht="38.25">
      <c r="A4" s="31" t="s">
        <v>3532</v>
      </c>
      <c r="B4" s="313" t="s">
        <v>3533</v>
      </c>
    </row>
    <row r="5" spans="1:3" ht="12.75">
      <c r="A5" s="31" t="s">
        <v>3534</v>
      </c>
      <c r="B5" s="31" t="s">
        <v>3536</v>
      </c>
    </row>
    <row r="6" spans="1:3" ht="12.75">
      <c r="A6" s="31" t="s">
        <v>3538</v>
      </c>
      <c r="B6" s="31"/>
    </row>
    <row r="7" spans="1:3" ht="12.75">
      <c r="A7" s="31" t="s">
        <v>3539</v>
      </c>
      <c r="B7" s="31" t="s">
        <v>3540</v>
      </c>
    </row>
    <row r="8" spans="1:3" ht="12.75">
      <c r="A8" s="31" t="s">
        <v>3541</v>
      </c>
      <c r="B8" s="313" t="s">
        <v>3542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F16"/>
  <sheetViews>
    <sheetView workbookViewId="0"/>
  </sheetViews>
  <sheetFormatPr defaultColWidth="12.5703125" defaultRowHeight="15.75" customHeight="1"/>
  <cols>
    <col min="1" max="1" width="6.140625" customWidth="1"/>
    <col min="2" max="2" width="25.85546875" customWidth="1"/>
    <col min="3" max="3" width="19.42578125" customWidth="1"/>
    <col min="5" max="5" width="19" customWidth="1"/>
    <col min="6" max="6" width="38.42578125" customWidth="1"/>
  </cols>
  <sheetData>
    <row r="1" spans="1:6" ht="23.25">
      <c r="A1" s="539" t="s">
        <v>3565</v>
      </c>
      <c r="B1" s="517"/>
      <c r="C1" s="517"/>
      <c r="D1" s="517"/>
      <c r="E1" s="517"/>
      <c r="F1" s="517"/>
    </row>
    <row r="2" spans="1:6">
      <c r="A2" s="540" t="s">
        <v>3567</v>
      </c>
      <c r="B2" s="517"/>
      <c r="C2" s="517"/>
      <c r="D2" s="517"/>
      <c r="E2" s="517"/>
      <c r="F2" s="517"/>
    </row>
    <row r="3" spans="1:6" ht="12.75">
      <c r="A3" s="541">
        <f ca="1">NOW()</f>
        <v>46308.848431481485</v>
      </c>
      <c r="B3" s="517"/>
      <c r="C3" s="517"/>
      <c r="D3" s="517"/>
      <c r="E3" s="517"/>
      <c r="F3" s="517"/>
    </row>
    <row r="5" spans="1:6" ht="12.75">
      <c r="A5" s="624" t="s">
        <v>3569</v>
      </c>
      <c r="B5" s="544"/>
      <c r="C5" s="442">
        <v>6</v>
      </c>
      <c r="F5" s="31"/>
    </row>
    <row r="6" spans="1:6" ht="12.75">
      <c r="A6" s="622" t="s">
        <v>3572</v>
      </c>
      <c r="B6" s="544"/>
      <c r="C6" s="443">
        <v>7</v>
      </c>
    </row>
    <row r="8" spans="1:6" ht="25.5">
      <c r="A8" s="127" t="s">
        <v>1466</v>
      </c>
      <c r="B8" s="127" t="s">
        <v>2902</v>
      </c>
      <c r="C8" s="127" t="s">
        <v>3573</v>
      </c>
      <c r="D8" s="127" t="s">
        <v>3574</v>
      </c>
      <c r="E8" s="127" t="s">
        <v>1473</v>
      </c>
      <c r="F8" s="127" t="s">
        <v>240</v>
      </c>
    </row>
    <row r="9" spans="1:6" ht="12.75">
      <c r="A9" s="542" t="s">
        <v>3567</v>
      </c>
      <c r="B9" s="543"/>
      <c r="C9" s="543"/>
      <c r="D9" s="543"/>
      <c r="E9" s="543"/>
      <c r="F9" s="544"/>
    </row>
    <row r="10" spans="1:6" ht="12.75">
      <c r="A10" s="23">
        <v>1</v>
      </c>
      <c r="B10" s="352" t="s">
        <v>3576</v>
      </c>
      <c r="C10" s="16" t="s">
        <v>3577</v>
      </c>
      <c r="D10" s="23"/>
      <c r="E10" s="23" t="s">
        <v>89</v>
      </c>
      <c r="F10" s="207" t="s">
        <v>3578</v>
      </c>
    </row>
    <row r="11" spans="1:6" ht="12.75">
      <c r="A11" s="23">
        <v>2</v>
      </c>
      <c r="B11" s="352" t="s">
        <v>3581</v>
      </c>
      <c r="C11" s="23" t="s">
        <v>3582</v>
      </c>
      <c r="D11" s="23"/>
      <c r="E11" s="23" t="s">
        <v>89</v>
      </c>
      <c r="F11" s="207"/>
    </row>
    <row r="12" spans="1:6" ht="12.75">
      <c r="A12" s="23">
        <v>3</v>
      </c>
      <c r="B12" s="352" t="s">
        <v>3583</v>
      </c>
      <c r="C12" s="23" t="s">
        <v>3584</v>
      </c>
      <c r="D12" s="23"/>
      <c r="E12" s="23" t="s">
        <v>89</v>
      </c>
      <c r="F12" s="207" t="s">
        <v>3578</v>
      </c>
    </row>
    <row r="13" spans="1:6" ht="12.75">
      <c r="A13" s="23">
        <v>4</v>
      </c>
      <c r="B13" s="352" t="s">
        <v>3585</v>
      </c>
      <c r="C13" s="16" t="s">
        <v>3584</v>
      </c>
      <c r="D13" s="23"/>
      <c r="E13" s="23" t="s">
        <v>89</v>
      </c>
      <c r="F13" s="207" t="s">
        <v>3578</v>
      </c>
    </row>
    <row r="14" spans="1:6" ht="12.75">
      <c r="A14" s="23">
        <v>5</v>
      </c>
      <c r="B14" s="352" t="s">
        <v>3586</v>
      </c>
      <c r="C14" s="23" t="s">
        <v>3587</v>
      </c>
      <c r="D14" s="23"/>
      <c r="E14" s="23" t="s">
        <v>89</v>
      </c>
      <c r="F14" s="454"/>
    </row>
    <row r="15" spans="1:6" ht="15.75" customHeight="1">
      <c r="A15" s="23">
        <v>6</v>
      </c>
      <c r="B15" s="352" t="s">
        <v>3589</v>
      </c>
      <c r="C15" s="23" t="s">
        <v>3584</v>
      </c>
      <c r="D15" s="23"/>
      <c r="E15" s="23" t="s">
        <v>89</v>
      </c>
      <c r="F15" s="207" t="s">
        <v>3578</v>
      </c>
    </row>
    <row r="16" spans="1:6" ht="12.75">
      <c r="A16" s="23">
        <v>7</v>
      </c>
      <c r="B16" s="352" t="s">
        <v>3590</v>
      </c>
      <c r="C16" s="23" t="s">
        <v>3584</v>
      </c>
      <c r="D16" s="23"/>
      <c r="E16" s="23" t="s">
        <v>3023</v>
      </c>
      <c r="F16" s="207" t="s">
        <v>3593</v>
      </c>
    </row>
  </sheetData>
  <mergeCells count="6">
    <mergeCell ref="A9:F9"/>
    <mergeCell ref="A1:F1"/>
    <mergeCell ref="A2:F2"/>
    <mergeCell ref="A3:F3"/>
    <mergeCell ref="A5:B5"/>
    <mergeCell ref="A6:B6"/>
  </mergeCells>
  <dataValidations count="1">
    <dataValidation type="list" allowBlank="1" showErrorMessage="1" sqref="E10:E16" xr:uid="{00000000-0002-0000-2700-000000000000}">
      <formula1>"Active,Dormant,Down"</formula1>
    </dataValidation>
  </dataValidation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F0000"/>
    <outlinePr summaryBelow="0" summaryRight="0"/>
    <pageSetUpPr fitToPage="1"/>
  </sheetPr>
  <dimension ref="A1:K170"/>
  <sheetViews>
    <sheetView workbookViewId="0">
      <pane ySplit="8" topLeftCell="A9" activePane="bottomLeft" state="frozen"/>
      <selection pane="bottomLeft" activeCell="B10" sqref="B10"/>
    </sheetView>
  </sheetViews>
  <sheetFormatPr defaultColWidth="12.5703125" defaultRowHeight="15.75" customHeight="1"/>
  <cols>
    <col min="1" max="1" width="6.5703125" customWidth="1"/>
    <col min="2" max="2" width="11.42578125" customWidth="1"/>
    <col min="3" max="3" width="28.42578125" customWidth="1"/>
    <col min="6" max="6" width="17.28515625" customWidth="1"/>
    <col min="7" max="7" width="16.28515625" customWidth="1"/>
    <col min="8" max="8" width="15.5703125" customWidth="1"/>
    <col min="9" max="9" width="26.42578125" customWidth="1"/>
    <col min="10" max="10" width="29.7109375" customWidth="1"/>
  </cols>
  <sheetData>
    <row r="1" spans="1:10" ht="15.75" customHeight="1">
      <c r="A1" s="630" t="s">
        <v>3660</v>
      </c>
      <c r="B1" s="517"/>
      <c r="C1" s="517"/>
      <c r="D1" s="517"/>
      <c r="E1" s="517"/>
      <c r="F1" s="517"/>
    </row>
    <row r="2" spans="1:10" ht="12.75">
      <c r="A2" s="628" t="s">
        <v>3567</v>
      </c>
      <c r="B2" s="517"/>
      <c r="C2" s="517"/>
      <c r="D2" s="517"/>
      <c r="E2" s="517"/>
      <c r="F2" s="517"/>
    </row>
    <row r="3" spans="1:10" ht="12.75">
      <c r="A3" s="629">
        <f ca="1">NOW()</f>
        <v>46308.848431481485</v>
      </c>
      <c r="B3" s="517"/>
      <c r="C3" s="517"/>
      <c r="D3" s="517"/>
      <c r="E3" s="517"/>
      <c r="F3" s="517"/>
    </row>
    <row r="5" spans="1:10" ht="12.75">
      <c r="B5" s="622" t="s">
        <v>3663</v>
      </c>
      <c r="C5" s="544"/>
      <c r="D5" s="443">
        <v>4</v>
      </c>
      <c r="E5" s="625" t="s">
        <v>3665</v>
      </c>
      <c r="F5" s="544"/>
      <c r="G5" s="332">
        <v>4</v>
      </c>
    </row>
    <row r="6" spans="1:10" ht="12.75">
      <c r="B6" s="626" t="s">
        <v>3670</v>
      </c>
      <c r="C6" s="544"/>
      <c r="D6" s="458">
        <v>8</v>
      </c>
      <c r="E6" s="623" t="s">
        <v>3674</v>
      </c>
      <c r="F6" s="544"/>
      <c r="G6" s="332">
        <v>48</v>
      </c>
    </row>
    <row r="7" spans="1:10" ht="12.75">
      <c r="A7" s="336"/>
      <c r="B7" s="336"/>
      <c r="C7" s="336"/>
      <c r="D7" s="337"/>
      <c r="E7" s="336"/>
      <c r="F7" s="336"/>
    </row>
    <row r="8" spans="1:10" ht="12.75">
      <c r="A8" s="2" t="s">
        <v>2919</v>
      </c>
      <c r="B8" s="2" t="s">
        <v>3677</v>
      </c>
      <c r="C8" s="2" t="s">
        <v>3678</v>
      </c>
      <c r="D8" s="197" t="s">
        <v>3679</v>
      </c>
      <c r="E8" s="2" t="s">
        <v>1747</v>
      </c>
      <c r="F8" s="197" t="s">
        <v>2904</v>
      </c>
      <c r="G8" s="352" t="s">
        <v>3680</v>
      </c>
      <c r="H8" s="96" t="str">
        <f ca="1">IFERROR(__xludf.DUMMYFUNCTION("if(and(G8="""",F8=""""), """", if(G8="""", if(isdate(F8), if(int(now()-F8)&lt;=1, int(now()-F8) &amp; ""day,"", int(now()-F8) &amp;""days,"") &amp; if(int(hour(now()-F8))&lt;=1, int(hour(now()-F8)) &amp; ""hr,"", int(hour(now()-F8)) &amp;""hrs,"") &amp; if(int(MINUTE(now()-F8))&lt;=1, in"&amp;"t(MINUTE(now()-F8)) &amp; ""min,"", int(MINUTE(now()-F8)) &amp;""mins""),""""), if(and(isdate(F8),isdate(G8)), if(int(G8-F8)&lt;=1, int(G8-F8) &amp; ""day,"", int(G8-F8)&amp;""days,"") &amp; if(hour(G8-F8)&lt;=1, hour(G8-F8) &amp; ""hr,"", hour(G8-F8)&amp;""hrs,"") &amp; if(MINUTE(G8-F8)&lt;=1, "&amp;"MINUTE(G8-F8) &amp; ""min"", MINUTE(G8-F8)&amp; ""mins""),"""")))"),"")</f>
        <v/>
      </c>
      <c r="I8" s="197" t="s">
        <v>650</v>
      </c>
      <c r="J8" s="428" t="s">
        <v>20</v>
      </c>
    </row>
    <row r="9" spans="1:10" ht="25.5">
      <c r="A9" s="13">
        <v>1</v>
      </c>
      <c r="B9" s="634" t="s">
        <v>3691</v>
      </c>
      <c r="C9" s="635" t="s">
        <v>3694</v>
      </c>
      <c r="D9" s="10" t="s">
        <v>3695</v>
      </c>
      <c r="E9" s="10" t="s">
        <v>89</v>
      </c>
      <c r="F9" s="460"/>
      <c r="G9" s="461"/>
      <c r="H9" s="96" t="str">
        <f ca="1">IFERROR(__xludf.DUMMYFUNCTION("if(and(G9="""",F9=""""), """", if(G9="""", if(isdate(F9), if(int(now()-F9)&lt;=1, int(now()-F9) &amp; ""day,"", int(now()-F9) &amp;""days,"") &amp; if(int(hour(now()-F9))&lt;=1, int(hour(now()-F9)) &amp; ""hr,"", int(hour(now()-F9)) &amp;""hrs,"") &amp; if(int(MINUTE(now()-F9))&lt;=1, in"&amp;"t(MINUTE(now()-F9)) &amp; ""min,"", int(MINUTE(now()-F9)) &amp;""mins""),""""), if(and(isdate(F9),isdate(G9)), if(int(G9-F9)&lt;=1, int(G9-F9) &amp; ""day,"", int(G9-F9)&amp;""days,"") &amp; if(hour(G9-F9)&lt;=1, hour(G9-F9) &amp; ""hr,"", hour(G9-F9)&amp;""hrs,"") &amp; if(MINUTE(G9-F9)&lt;=1, "&amp;"MINUTE(G9-F9) &amp; ""min"", MINUTE(G9-F9)&amp; ""mins""),"""")))"),"")</f>
        <v/>
      </c>
      <c r="I9" s="96" t="s">
        <v>3702</v>
      </c>
      <c r="J9" s="13"/>
    </row>
    <row r="10" spans="1:10" ht="12.75">
      <c r="A10" s="13"/>
      <c r="B10" s="511"/>
      <c r="C10" s="511"/>
      <c r="D10" s="10"/>
      <c r="E10" s="10"/>
      <c r="F10" s="460">
        <v>45394.449652777781</v>
      </c>
      <c r="G10" s="461">
        <v>45394.456111111111</v>
      </c>
      <c r="H10" s="96" t="str">
        <f ca="1">IFERROR(__xludf.DUMMYFUNCTION("if(and(G10="""",F10=""""), """", if(G10="""", if(isdate(F10), if(int(now()-F10)&lt;=1, int(now()-F10) &amp; ""day,"", int(now()-F10) &amp;""days,"") &amp; if(int(hour(now()-F10))&lt;=1, int(hour(now()-F10)) &amp; ""hr,"", int(hour(now()-F10)) &amp;""hrs,"") &amp; if(int(MINUTE(now()-F"&amp;"10))&lt;=1, int(MINUTE(now()-F10)) &amp; ""min,"", int(MINUTE(now()-F10)) &amp;""mins""),""""), if(and(isdate(F10),isdate(G10)), if(int(G10-F10)&lt;=1, int(G10-F10) &amp; ""day,"", int(G10-F10)&amp;""days,"") &amp; if(hour(G10-F10)&lt;=1, hour(G10-F10) &amp; ""hr,"", hour(G10-F10)&amp;""hrs,"&amp;""") &amp; if(MINUTE(G10-F10)&lt;=1, MINUTE(G10-F10) &amp; ""min"", MINUTE(G10-F10)&amp; ""mins""),"""")))"),"0day,0hr,9mins")</f>
        <v>0day,0hr,9mins</v>
      </c>
      <c r="I10" s="96"/>
      <c r="J10" s="13"/>
    </row>
    <row r="11" spans="1:10" ht="12.75">
      <c r="A11" s="13"/>
      <c r="B11" s="511"/>
      <c r="C11" s="512"/>
      <c r="D11" s="10"/>
      <c r="E11" s="10"/>
      <c r="F11" s="462">
        <v>45394.442719907405</v>
      </c>
      <c r="G11" s="354">
        <v>45394.449282407404</v>
      </c>
      <c r="H11" s="96" t="str">
        <f ca="1">IFERROR(__xludf.DUMMYFUNCTION("if(and(G11="""",F11=""""), """", if(G11="""", if(isdate(F11), if(int(now()-F11)&lt;=1, int(now()-F11) &amp; ""day,"", int(now()-F11) &amp;""days,"") &amp; if(int(hour(now()-F11))&lt;=1, int(hour(now()-F11)) &amp; ""hr,"", int(hour(now()-F11)) &amp;""hrs,"") &amp; if(int(MINUTE(now()-F"&amp;"11))&lt;=1, int(MINUTE(now()-F11)) &amp; ""min,"", int(MINUTE(now()-F11)) &amp;""mins""),""""), if(and(isdate(F11),isdate(G11)), if(int(G11-F11)&lt;=1, int(G11-F11) &amp; ""day,"", int(G11-F11)&amp;""days,"") &amp; if(hour(G11-F11)&lt;=1, hour(G11-F11) &amp; ""hr,"", hour(G11-F11)&amp;""hrs,"&amp;""") &amp; if(MINUTE(G11-F11)&lt;=1, MINUTE(G11-F11) &amp; ""min"", MINUTE(G11-F11)&amp; ""mins""),"""")))"),"0day,0hr,9mins")</f>
        <v>0day,0hr,9mins</v>
      </c>
      <c r="I11" s="96"/>
      <c r="J11" s="13"/>
    </row>
    <row r="12" spans="1:10" ht="12.75">
      <c r="A12" s="13"/>
      <c r="B12" s="511"/>
      <c r="C12" s="463"/>
      <c r="D12" s="10"/>
      <c r="E12" s="10"/>
      <c r="F12" s="462"/>
      <c r="G12" s="354"/>
      <c r="H12" s="96"/>
      <c r="I12" s="96"/>
      <c r="J12" s="13"/>
    </row>
    <row r="13" spans="1:10" ht="12.75">
      <c r="A13" s="13"/>
      <c r="B13" s="511"/>
      <c r="C13" s="635" t="s">
        <v>3716</v>
      </c>
      <c r="D13" s="10"/>
      <c r="E13" s="10"/>
      <c r="F13" s="462">
        <v>45394.466666666667</v>
      </c>
      <c r="G13" s="354">
        <v>45394.472928240742</v>
      </c>
      <c r="H13" s="96" t="str">
        <f ca="1">IFERROR(__xludf.DUMMYFUNCTION("if(and(G13="""",F13=""""), """", if(G13="""", if(isdate(F13), if(int(now()-F13)&lt;=1, int(now()-F13) &amp; ""day,"", int(now()-F13) &amp;""days,"") &amp; if(int(hour(now()-F13))&lt;=1, int(hour(now()-F13)) &amp; ""hr,"", int(hour(now()-F13)) &amp;""hrs,"") &amp; if(int(MINUTE(now()-F"&amp;"13))&lt;=1, int(MINUTE(now()-F13)) &amp; ""min,"", int(MINUTE(now()-F13)) &amp;""mins""),""""), if(and(isdate(F13),isdate(G13)), if(int(G13-F13)&lt;=1, int(G13-F13) &amp; ""day,"", int(G13-F13)&amp;""days,"") &amp; if(hour(G13-F13)&lt;=1, hour(G13-F13) &amp; ""hr,"", hour(G13-F13)&amp;""hrs,"&amp;""") &amp; if(MINUTE(G13-F13)&lt;=1, MINUTE(G13-F13) &amp; ""min"", MINUTE(G13-F13)&amp; ""mins""),"""")))"),"0day,0hr,9mins")</f>
        <v>0day,0hr,9mins</v>
      </c>
      <c r="I13" s="96"/>
      <c r="J13" s="13"/>
    </row>
    <row r="14" spans="1:10" ht="12.75">
      <c r="A14" s="13"/>
      <c r="B14" s="511"/>
      <c r="C14" s="512"/>
      <c r="D14" s="10"/>
      <c r="E14" s="10"/>
      <c r="F14" s="462">
        <v>45394.45034722222</v>
      </c>
      <c r="G14" s="354">
        <v>45394.45685185185</v>
      </c>
      <c r="H14" s="96" t="str">
        <f ca="1">IFERROR(__xludf.DUMMYFUNCTION("if(and(G14="""",F14=""""), """", if(G14="""", if(isdate(F14), if(int(now()-F14)&lt;=1, int(now()-F14) &amp; ""day,"", int(now()-F14) &amp;""days,"") &amp; if(int(hour(now()-F14))&lt;=1, int(hour(now()-F14)) &amp; ""hr,"", int(hour(now()-F14)) &amp;""hrs,"") &amp; if(int(MINUTE(now()-F"&amp;"14))&lt;=1, int(MINUTE(now()-F14)) &amp; ""min,"", int(MINUTE(now()-F14)) &amp;""mins""),""""), if(and(isdate(F14),isdate(G14)), if(int(G14-F14)&lt;=1, int(G14-F14) &amp; ""day,"", int(G14-F14)&amp;""days,"") &amp; if(hour(G14-F14)&lt;=1, hour(G14-F14) &amp; ""hr,"", hour(G14-F14)&amp;""hrs,"&amp;""") &amp; if(MINUTE(G14-F14)&lt;=1, MINUTE(G14-F14) &amp; ""min"", MINUTE(G14-F14)&amp; ""mins""),"""")))"),"0day,0hr,9mins")</f>
        <v>0day,0hr,9mins</v>
      </c>
      <c r="I14" s="96"/>
      <c r="J14" s="13"/>
    </row>
    <row r="15" spans="1:10" ht="12.75">
      <c r="A15" s="13"/>
      <c r="B15" s="511"/>
      <c r="C15" s="463"/>
      <c r="D15" s="10"/>
      <c r="E15" s="10"/>
      <c r="F15" s="462"/>
      <c r="G15" s="462"/>
      <c r="H15" s="96"/>
      <c r="I15" s="96"/>
      <c r="J15" s="13"/>
    </row>
    <row r="16" spans="1:10" ht="12.75">
      <c r="A16" s="13"/>
      <c r="B16" s="511"/>
      <c r="C16" s="635" t="s">
        <v>3730</v>
      </c>
      <c r="D16" s="10"/>
      <c r="E16" s="10"/>
      <c r="F16" s="462"/>
      <c r="G16" s="462"/>
      <c r="H16" s="96"/>
      <c r="I16" s="96"/>
      <c r="J16" s="13"/>
    </row>
    <row r="17" spans="1:10" ht="12.75">
      <c r="A17" s="13">
        <v>2</v>
      </c>
      <c r="B17" s="511"/>
      <c r="C17" s="512"/>
      <c r="D17" s="10"/>
      <c r="E17" s="10"/>
      <c r="F17" s="462">
        <v>45394.590520833335</v>
      </c>
      <c r="G17" s="462">
        <v>45394.597129629627</v>
      </c>
      <c r="H17" s="96" t="str">
        <f ca="1">IFERROR(__xludf.DUMMYFUNCTION("if(and(G17="""",F17=""""), """", if(G17="""", if(isdate(F17), if(int(now()-F17)&lt;=1, int(now()-F17) &amp; ""day,"", int(now()-F17) &amp;""days,"") &amp; if(int(hour(now()-F17))&lt;=1, int(hour(now()-F17)) &amp; ""hr,"", int(hour(now()-F17)) &amp;""hrs,"") &amp; if(int(MINUTE(now()-F"&amp;"17))&lt;=1, int(MINUTE(now()-F17)) &amp; ""min,"", int(MINUTE(now()-F17)) &amp;""mins""),""""), if(and(isdate(F17),isdate(G17)), if(int(G17-F17)&lt;=1, int(G17-F17) &amp; ""day,"", int(G17-F17)&amp;""days,"") &amp; if(hour(G17-F17)&lt;=1, hour(G17-F17) &amp; ""hr,"", hour(G17-F17)&amp;""hrs,"&amp;""") &amp; if(MINUTE(G17-F17)&lt;=1, MINUTE(G17-F17) &amp; ""min"", MINUTE(G17-F17)&amp; ""mins""),"""")))"),"0day,0hr,9mins")</f>
        <v>0day,0hr,9mins</v>
      </c>
      <c r="I17" s="96"/>
      <c r="J17" s="13"/>
    </row>
    <row r="18" spans="1:10" ht="12.75">
      <c r="A18" s="13"/>
      <c r="B18" s="511"/>
      <c r="C18" s="464"/>
      <c r="D18" s="10"/>
      <c r="E18" s="10"/>
      <c r="F18" s="462"/>
      <c r="G18" s="354"/>
      <c r="H18" s="96"/>
      <c r="I18" s="96"/>
      <c r="J18" s="13"/>
    </row>
    <row r="19" spans="1:10" ht="12.75">
      <c r="A19" s="13"/>
      <c r="B19" s="511"/>
      <c r="C19" s="636" t="s">
        <v>3743</v>
      </c>
      <c r="D19" s="10"/>
      <c r="E19" s="10"/>
      <c r="F19" s="462"/>
      <c r="G19" s="354"/>
      <c r="H19" s="96"/>
      <c r="I19" s="96"/>
      <c r="J19" s="13"/>
    </row>
    <row r="20" spans="1:10" ht="12.75">
      <c r="A20" s="13">
        <v>3</v>
      </c>
      <c r="B20" s="511"/>
      <c r="C20" s="512"/>
      <c r="D20" s="10"/>
      <c r="E20" s="10"/>
      <c r="F20" s="462"/>
      <c r="G20" s="354"/>
      <c r="H20" s="96" t="str">
        <f ca="1">IFERROR(__xludf.DUMMYFUNCTION("if(and(G20="""",F20=""""), """", if(G20="""", if(isdate(F20), if(int(now()-F20)&lt;=1, int(now()-F20) &amp; ""day,"", int(now()-F20) &amp;""days,"") &amp; if(int(hour(now()-F20))&lt;=1, int(hour(now()-F20)) &amp; ""hr,"", int(hour(now()-F20)) &amp;""hrs,"") &amp; if(int(MINUTE(now()-F"&amp;"20))&lt;=1, int(MINUTE(now()-F20)) &amp; ""min,"", int(MINUTE(now()-F20)) &amp;""mins""),""""), if(and(isdate(F20),isdate(G20)), if(int(G20-F20)&lt;=1, int(G20-F20) &amp; ""day,"", int(G20-F20)&amp;""days,"") &amp; if(hour(G20-F20)&lt;=1, hour(G20-F20) &amp; ""hr,"", hour(G20-F20)&amp;""hrs,"&amp;""") &amp; if(MINUTE(G20-F20)&lt;=1, MINUTE(G20-F20) &amp; ""min"", MINUTE(G20-F20)&amp; ""mins""),"""")))"),"")</f>
        <v/>
      </c>
      <c r="I20" s="96"/>
      <c r="J20" s="13"/>
    </row>
    <row r="21" spans="1:10" ht="12.75">
      <c r="A21" s="13"/>
      <c r="B21" s="511"/>
      <c r="C21" s="464"/>
      <c r="D21" s="10"/>
      <c r="E21" s="10"/>
      <c r="F21" s="462"/>
      <c r="G21" s="354"/>
      <c r="H21" s="96"/>
      <c r="I21" s="96"/>
      <c r="J21" s="13"/>
    </row>
    <row r="22" spans="1:10" ht="12.75">
      <c r="A22" s="13"/>
      <c r="B22" s="511"/>
      <c r="C22" s="636" t="s">
        <v>3760</v>
      </c>
      <c r="D22" s="10"/>
      <c r="E22" s="10"/>
      <c r="F22" s="462"/>
      <c r="G22" s="354"/>
      <c r="H22" s="96"/>
      <c r="I22" s="96"/>
      <c r="J22" s="13"/>
    </row>
    <row r="23" spans="1:10" ht="12.75">
      <c r="A23" s="13">
        <v>4</v>
      </c>
      <c r="B23" s="511"/>
      <c r="C23" s="511"/>
      <c r="D23" s="10"/>
      <c r="E23" s="10"/>
      <c r="F23" s="462"/>
      <c r="G23" s="354"/>
      <c r="H23" s="96" t="str">
        <f ca="1">IFERROR(__xludf.DUMMYFUNCTION("if(and(G23="""",F23=""""), """", if(G23="""", if(isdate(F23), if(int(now()-F23)&lt;=1, int(now()-F23) &amp; ""day,"", int(now()-F23) &amp;""days,"") &amp; if(int(hour(now()-F23))&lt;=1, int(hour(now()-F23)) &amp; ""hr,"", int(hour(now()-F23)) &amp;""hrs,"") &amp; if(int(MINUTE(now()-F"&amp;"23))&lt;=1, int(MINUTE(now()-F23)) &amp; ""min,"", int(MINUTE(now()-F23)) &amp;""mins""),""""), if(and(isdate(F23),isdate(G23)), if(int(G23-F23)&lt;=1, int(G23-F23) &amp; ""day,"", int(G23-F23)&amp;""days,"") &amp; if(hour(G23-F23)&lt;=1, hour(G23-F23) &amp; ""hr,"", hour(G23-F23)&amp;""hrs,"&amp;""") &amp; if(MINUTE(G23-F23)&lt;=1, MINUTE(G23-F23) &amp; ""min"", MINUTE(G23-F23)&amp; ""mins""),"""")))"),"")</f>
        <v/>
      </c>
      <c r="I23" s="96"/>
      <c r="J23" s="13"/>
    </row>
    <row r="24" spans="1:10" ht="12.75">
      <c r="A24" s="13">
        <v>5</v>
      </c>
      <c r="B24" s="511"/>
      <c r="C24" s="512"/>
      <c r="D24" s="10"/>
      <c r="E24" s="10"/>
      <c r="F24" s="462">
        <v>45394.634502314817</v>
      </c>
      <c r="G24" s="354">
        <v>45394.640787037039</v>
      </c>
      <c r="H24" s="96" t="str">
        <f ca="1">IFERROR(__xludf.DUMMYFUNCTION("if(and(G24="""",F24=""""), """", if(G24="""", if(isdate(F24), if(int(now()-F24)&lt;=1, int(now()-F24) &amp; ""day,"", int(now()-F24) &amp;""days,"") &amp; if(int(hour(now()-F24))&lt;=1, int(hour(now()-F24)) &amp; ""hr,"", int(hour(now()-F24)) &amp;""hrs,"") &amp; if(int(MINUTE(now()-F"&amp;"24))&lt;=1, int(MINUTE(now()-F24)) &amp; ""min,"", int(MINUTE(now()-F24)) &amp;""mins""),""""), if(and(isdate(F24),isdate(G24)), if(int(G24-F24)&lt;=1, int(G24-F24) &amp; ""day,"", int(G24-F24)&amp;""days,"") &amp; if(hour(G24-F24)&lt;=1, hour(G24-F24) &amp; ""hr,"", hour(G24-F24)&amp;""hrs,"&amp;""") &amp; if(MINUTE(G24-F24)&lt;=1, MINUTE(G24-F24) &amp; ""min"", MINUTE(G24-F24)&amp; ""mins""),"""")))"),"0day,0hr,9mins")</f>
        <v>0day,0hr,9mins</v>
      </c>
      <c r="I24" s="96"/>
      <c r="J24" s="13"/>
    </row>
    <row r="25" spans="1:10" ht="12.75">
      <c r="A25" s="13"/>
      <c r="B25" s="511"/>
      <c r="C25" s="465"/>
      <c r="D25" s="10"/>
      <c r="E25" s="10"/>
      <c r="F25" s="462"/>
      <c r="G25" s="354"/>
      <c r="H25" s="96"/>
      <c r="I25" s="96"/>
      <c r="J25" s="13"/>
    </row>
    <row r="26" spans="1:10" ht="12.75">
      <c r="A26" s="13"/>
      <c r="B26" s="511"/>
      <c r="C26" s="559" t="s">
        <v>3777</v>
      </c>
      <c r="D26" s="10"/>
      <c r="E26" s="10"/>
      <c r="F26" s="462"/>
      <c r="G26" s="354"/>
      <c r="H26" s="96"/>
      <c r="I26" s="96"/>
      <c r="J26" s="13"/>
    </row>
    <row r="27" spans="1:10" ht="12.75">
      <c r="A27" s="13">
        <v>6</v>
      </c>
      <c r="B27" s="511"/>
      <c r="C27" s="511"/>
      <c r="D27" s="10"/>
      <c r="E27" s="10"/>
      <c r="F27" s="462"/>
      <c r="G27" s="354"/>
      <c r="H27" s="96" t="str">
        <f ca="1">IFERROR(__xludf.DUMMYFUNCTION("if(and(G27="""",F27=""""), """", if(G27="""", if(isdate(F27), if(int(now()-F27)&lt;=1, int(now()-F27) &amp; ""day,"", int(now()-F27) &amp;""days,"") &amp; if(int(hour(now()-F27))&lt;=1, int(hour(now()-F27)) &amp; ""hr,"", int(hour(now()-F27)) &amp;""hrs,"") &amp; if(int(MINUTE(now()-F"&amp;"27))&lt;=1, int(MINUTE(now()-F27)) &amp; ""min,"", int(MINUTE(now()-F27)) &amp;""mins""),""""), if(and(isdate(F27),isdate(G27)), if(int(G27-F27)&lt;=1, int(G27-F27) &amp; ""day,"", int(G27-F27)&amp;""days,"") &amp; if(hour(G27-F27)&lt;=1, hour(G27-F27) &amp; ""hr,"", hour(G27-F27)&amp;""hrs,"&amp;""") &amp; if(MINUTE(G27-F27)&lt;=1, MINUTE(G27-F27) &amp; ""min"", MINUTE(G27-F27)&amp; ""mins""),"""")))"),"")</f>
        <v/>
      </c>
      <c r="I27" s="96"/>
      <c r="J27" s="13"/>
    </row>
    <row r="28" spans="1:10" ht="12.75">
      <c r="A28" s="13"/>
      <c r="B28" s="511"/>
      <c r="C28" s="511"/>
      <c r="D28" s="10"/>
      <c r="E28" s="10"/>
      <c r="F28" s="101"/>
      <c r="G28" s="101"/>
      <c r="H28" s="96"/>
      <c r="I28" s="96"/>
      <c r="J28" s="96"/>
    </row>
    <row r="29" spans="1:10" ht="12.75">
      <c r="A29" s="13">
        <v>7</v>
      </c>
      <c r="B29" s="511"/>
      <c r="C29" s="512"/>
      <c r="D29" s="10"/>
      <c r="E29" s="10"/>
      <c r="F29" s="101"/>
      <c r="G29" s="101"/>
      <c r="H29" s="96" t="str">
        <f ca="1">IFERROR(__xludf.DUMMYFUNCTION("if(and(G29="""",F29=""""), """", if(G29="""", if(isdate(F29), if(int(now()-F29)&lt;=1, int(now()-F29) &amp; ""day,"", int(now()-F29) &amp;""days,"") &amp; if(int(hour(now()-F29))&lt;=1, int(hour(now()-F29)) &amp; ""hr,"", int(hour(now()-F29)) &amp;""hrs,"") &amp; if(int(MINUTE(now()-F"&amp;"29))&lt;=1, int(MINUTE(now()-F29)) &amp; ""min,"", int(MINUTE(now()-F29)) &amp;""mins""),""""), if(and(isdate(F29),isdate(G29)), if(int(G29-F29)&lt;=1, int(G29-F29) &amp; ""day,"", int(G29-F29)&amp;""days,"") &amp; if(hour(G29-F29)&lt;=1, hour(G29-F29) &amp; ""hr,"", hour(G29-F29)&amp;""hrs,"&amp;""") &amp; if(MINUTE(G29-F29)&lt;=1, MINUTE(G29-F29) &amp; ""min"", MINUTE(G29-F29)&amp; ""mins""),"""")))"),"")</f>
        <v/>
      </c>
      <c r="I29" s="96"/>
      <c r="J29" s="96"/>
    </row>
    <row r="30" spans="1:10" ht="12.75">
      <c r="A30" s="13"/>
      <c r="B30" s="467"/>
      <c r="C30" s="465"/>
      <c r="D30" s="10"/>
      <c r="E30" s="10"/>
      <c r="F30" s="462"/>
      <c r="G30" s="354"/>
      <c r="H30" s="96"/>
      <c r="I30" s="96"/>
      <c r="J30" s="13"/>
    </row>
    <row r="31" spans="1:10" ht="12.75">
      <c r="A31" s="10">
        <v>8</v>
      </c>
      <c r="B31" s="637" t="s">
        <v>3789</v>
      </c>
      <c r="C31" s="557" t="s">
        <v>3790</v>
      </c>
      <c r="D31" s="514"/>
      <c r="E31" s="514"/>
      <c r="F31" s="462"/>
      <c r="G31" s="354"/>
      <c r="H31" s="96" t="str">
        <f ca="1">IFERROR(__xludf.DUMMYFUNCTION("if(and(G31="""",F31=""""), """", if(G31="""", if(isdate(F31), if(int(now()-F31)&lt;=1, int(now()-F31) &amp; ""day,"", int(now()-F31) &amp;""days,"") &amp; if(int(hour(now()-F31))&lt;=1, int(hour(now()-F31)) &amp; ""hr,"", int(hour(now()-F31)) &amp;""hrs,"") &amp; if(int(MINUTE(now()-F"&amp;"31))&lt;=1, int(MINUTE(now()-F31)) &amp; ""min,"", int(MINUTE(now()-F31)) &amp;""mins""),""""), if(and(isdate(F31),isdate(G31)), if(int(G31-F31)&lt;=1, int(G31-F31) &amp; ""day,"", int(G31-F31)&amp;""days,"") &amp; if(hour(G31-F31)&lt;=1, hour(G31-F31) &amp; ""hr,"", hour(G31-F31)&amp;""hrs,"&amp;""") &amp; if(MINUTE(G31-F31)&lt;=1, MINUTE(G31-F31) &amp; ""min"", MINUTE(G31-F31)&amp; ""mins""),"""")))"),"")</f>
        <v/>
      </c>
      <c r="I31" s="96"/>
      <c r="J31" s="13"/>
    </row>
    <row r="32" spans="1:10" ht="12.75">
      <c r="A32" s="41"/>
      <c r="B32" s="511"/>
      <c r="C32" s="512"/>
      <c r="D32" s="511"/>
      <c r="E32" s="511"/>
      <c r="F32" s="462"/>
      <c r="G32" s="354"/>
      <c r="H32" s="96" t="str">
        <f ca="1">IFERROR(__xludf.DUMMYFUNCTION("if(and(G32="""",F32=""""), """", if(G32="""", if(isdate(F32), if(int(now()-F32)&lt;=1, int(now()-F32) &amp; ""day,"", int(now()-F32) &amp;""days,"") &amp; if(int(hour(now()-F32))&lt;=1, int(hour(now()-F32)) &amp; ""hr,"", int(hour(now()-F32)) &amp;""hrs,"") &amp; if(int(MINUTE(now()-F"&amp;"32))&lt;=1, int(MINUTE(now()-F32)) &amp; ""min,"", int(MINUTE(now()-F32)) &amp;""mins""),""""), if(and(isdate(F32),isdate(G32)), if(int(G32-F32)&lt;=1, int(G32-F32) &amp; ""day,"", int(G32-F32)&amp;""days,"") &amp; if(hour(G32-F32)&lt;=1, hour(G32-F32) &amp; ""hr,"", hour(G32-F32)&amp;""hrs,"&amp;""") &amp; if(MINUTE(G32-F32)&lt;=1, MINUTE(G32-F32) &amp; ""min"", MINUTE(G32-F32)&amp; ""mins""),"""")))"),"")</f>
        <v/>
      </c>
      <c r="I32" s="96"/>
      <c r="J32" s="13"/>
    </row>
    <row r="33" spans="1:10" ht="12.75">
      <c r="A33" s="13"/>
      <c r="B33" s="511"/>
      <c r="C33" s="465"/>
      <c r="D33" s="10"/>
      <c r="E33" s="10"/>
      <c r="F33" s="462"/>
      <c r="G33" s="354"/>
      <c r="H33" s="96"/>
      <c r="I33" s="96"/>
      <c r="J33" s="13"/>
    </row>
    <row r="34" spans="1:10" ht="12.75">
      <c r="A34" s="10">
        <v>9</v>
      </c>
      <c r="B34" s="511"/>
      <c r="C34" s="559" t="s">
        <v>3800</v>
      </c>
      <c r="D34" s="514"/>
      <c r="E34" s="514"/>
      <c r="F34" s="462"/>
      <c r="G34" s="354"/>
      <c r="H34" s="96" t="str">
        <f ca="1">IFERROR(__xludf.DUMMYFUNCTION("if(and(G34="""",F34=""""), """", if(G34="""", if(isdate(F34), if(int(now()-F34)&lt;=1, int(now()-F34) &amp; ""day,"", int(now()-F34) &amp;""days,"") &amp; if(int(hour(now()-F34))&lt;=1, int(hour(now()-F34)) &amp; ""hr,"", int(hour(now()-F34)) &amp;""hrs,"") &amp; if(int(MINUTE(now()-F"&amp;"34))&lt;=1, int(MINUTE(now()-F34)) &amp; ""min,"", int(MINUTE(now()-F34)) &amp;""mins""),""""), if(and(isdate(F34),isdate(G34)), if(int(G34-F34)&lt;=1, int(G34-F34) &amp; ""day,"", int(G34-F34)&amp;""days,"") &amp; if(hour(G34-F34)&lt;=1, hour(G34-F34) &amp; ""hr,"", hour(G34-F34)&amp;""hrs,"&amp;""") &amp; if(MINUTE(G34-F34)&lt;=1, MINUTE(G34-F34) &amp; ""min"", MINUTE(G34-F34)&amp; ""mins""),"""")))"),"")</f>
        <v/>
      </c>
      <c r="I34" s="96"/>
      <c r="J34" s="13"/>
    </row>
    <row r="35" spans="1:10" ht="12.75">
      <c r="A35" s="41"/>
      <c r="B35" s="511"/>
      <c r="C35" s="512"/>
      <c r="D35" s="511"/>
      <c r="E35" s="511"/>
      <c r="F35" s="462">
        <v>45394.518877314818</v>
      </c>
      <c r="G35" s="354">
        <v>45394.525312500002</v>
      </c>
      <c r="H35" s="96" t="str">
        <f ca="1">IFERROR(__xludf.DUMMYFUNCTION("if(and(G35="""",F35=""""), """", if(G35="""", if(isdate(F35), if(int(now()-F35)&lt;=1, int(now()-F35) &amp; ""day,"", int(now()-F35) &amp;""days,"") &amp; if(int(hour(now()-F35))&lt;=1, int(hour(now()-F35)) &amp; ""hr,"", int(hour(now()-F35)) &amp;""hrs,"") &amp; if(int(MINUTE(now()-F"&amp;"35))&lt;=1, int(MINUTE(now()-F35)) &amp; ""min,"", int(MINUTE(now()-F35)) &amp;""mins""),""""), if(and(isdate(F35),isdate(G35)), if(int(G35-F35)&lt;=1, int(G35-F35) &amp; ""day,"", int(G35-F35)&amp;""days,"") &amp; if(hour(G35-F35)&lt;=1, hour(G35-F35) &amp; ""hr,"", hour(G35-F35)&amp;""hrs,"&amp;""") &amp; if(MINUTE(G35-F35)&lt;=1, MINUTE(G35-F35) &amp; ""min"", MINUTE(G35-F35)&amp; ""mins""),"""")))"),"0day,0hr,9mins")</f>
        <v>0day,0hr,9mins</v>
      </c>
      <c r="I35" s="96"/>
      <c r="J35" s="13"/>
    </row>
    <row r="36" spans="1:10" ht="12.75">
      <c r="A36" s="13"/>
      <c r="B36" s="511"/>
      <c r="C36" s="465"/>
      <c r="D36" s="10"/>
      <c r="E36" s="10"/>
      <c r="F36" s="462"/>
      <c r="G36" s="354"/>
      <c r="H36" s="96" t="str">
        <f ca="1">IFERROR(__xludf.DUMMYFUNCTION("if(and(G36="""",F36=""""), """", if(G36="""", if(isdate(F36), if(int(now()-F36)&lt;=1, int(now()-F36) &amp; ""day,"", int(now()-F36) &amp;""days,"") &amp; if(int(hour(now()-F36))&lt;=1, int(hour(now()-F36)) &amp; ""hr,"", int(hour(now()-F36)) &amp;""hrs,"") &amp; if(int(MINUTE(now()-F"&amp;"36))&lt;=1, int(MINUTE(now()-F36)) &amp; ""min,"", int(MINUTE(now()-F36)) &amp;""mins""),""""), if(and(isdate(F36),isdate(G36)), if(int(G36-F36)&lt;=1, int(G36-F36) &amp; ""day,"", int(G36-F36)&amp;""days,"") &amp; if(hour(G36-F36)&lt;=1, hour(G36-F36) &amp; ""hr,"", hour(G36-F36)&amp;""hrs,"&amp;""") &amp; if(MINUTE(G36-F36)&lt;=1, MINUTE(G36-F36) &amp; ""min"", MINUTE(G36-F36)&amp; ""mins""),"""")))"),"")</f>
        <v/>
      </c>
      <c r="I36" s="96"/>
      <c r="J36" s="13"/>
    </row>
    <row r="37" spans="1:10" ht="12.75">
      <c r="A37" s="10">
        <v>10</v>
      </c>
      <c r="B37" s="511"/>
      <c r="C37" s="559" t="s">
        <v>3823</v>
      </c>
      <c r="D37" s="514"/>
      <c r="E37" s="514"/>
      <c r="F37" s="462"/>
      <c r="G37" s="354"/>
      <c r="H37" s="96" t="str">
        <f ca="1">IFERROR(__xludf.DUMMYFUNCTION("if(and(G37="""",F37=""""), """", if(G37="""", if(isdate(F37), if(int(now()-F37)&lt;=1, int(now()-F37) &amp; ""day,"", int(now()-F37) &amp;""days,"") &amp; if(int(hour(now()-F37))&lt;=1, int(hour(now()-F37)) &amp; ""hr,"", int(hour(now()-F37)) &amp;""hrs,"") &amp; if(int(MINUTE(now()-F"&amp;"37))&lt;=1, int(MINUTE(now()-F37)) &amp; ""min,"", int(MINUTE(now()-F37)) &amp;""mins""),""""), if(and(isdate(F37),isdate(G37)), if(int(G37-F37)&lt;=1, int(G37-F37) &amp; ""day,"", int(G37-F37)&amp;""days,"") &amp; if(hour(G37-F37)&lt;=1, hour(G37-F37) &amp; ""hr,"", hour(G37-F37)&amp;""hrs,"&amp;""") &amp; if(MINUTE(G37-F37)&lt;=1, MINUTE(G37-F37) &amp; ""min"", MINUTE(G37-F37)&amp; ""mins""),"""")))"),"")</f>
        <v/>
      </c>
      <c r="I37" s="96"/>
      <c r="J37" s="13"/>
    </row>
    <row r="38" spans="1:10" ht="12.75">
      <c r="A38" s="41"/>
      <c r="B38" s="511"/>
      <c r="C38" s="512"/>
      <c r="D38" s="511"/>
      <c r="E38" s="511"/>
      <c r="F38" s="462"/>
      <c r="G38" s="354"/>
      <c r="H38" s="96" t="str">
        <f ca="1">IFERROR(__xludf.DUMMYFUNCTION("if(and(G38="""",F38=""""), """", if(G38="""", if(isdate(F38), if(int(now()-F38)&lt;=1, int(now()-F38) &amp; ""day,"", int(now()-F38) &amp;""days,"") &amp; if(int(hour(now()-F38))&lt;=1, int(hour(now()-F38)) &amp; ""hr,"", int(hour(now()-F38)) &amp;""hrs,"") &amp; if(int(MINUTE(now()-F"&amp;"38))&lt;=1, int(MINUTE(now()-F38)) &amp; ""min,"", int(MINUTE(now()-F38)) &amp;""mins""),""""), if(and(isdate(F38),isdate(G38)), if(int(G38-F38)&lt;=1, int(G38-F38) &amp; ""day,"", int(G38-F38)&amp;""days,"") &amp; if(hour(G38-F38)&lt;=1, hour(G38-F38) &amp; ""hr,"", hour(G38-F38)&amp;""hrs,"&amp;""") &amp; if(MINUTE(G38-F38)&lt;=1, MINUTE(G38-F38) &amp; ""min"", MINUTE(G38-F38)&amp; ""mins""),"""")))"),"")</f>
        <v/>
      </c>
      <c r="I38" s="96"/>
      <c r="J38" s="13"/>
    </row>
    <row r="39" spans="1:10" ht="12.75">
      <c r="A39" s="13"/>
      <c r="B39" s="511"/>
      <c r="C39" s="465"/>
      <c r="D39" s="10"/>
      <c r="E39" s="10"/>
      <c r="F39" s="462"/>
      <c r="G39" s="354"/>
      <c r="H39" s="96" t="str">
        <f ca="1">IFERROR(__xludf.DUMMYFUNCTION("if(and(G39="""",F39=""""), """", if(G39="""", if(isdate(F39), if(int(now()-F39)&lt;=1, int(now()-F39) &amp; ""day,"", int(now()-F39) &amp;""days,"") &amp; if(int(hour(now()-F39))&lt;=1, int(hour(now()-F39)) &amp; ""hr,"", int(hour(now()-F39)) &amp;""hrs,"") &amp; if(int(MINUTE(now()-F"&amp;"39))&lt;=1, int(MINUTE(now()-F39)) &amp; ""min,"", int(MINUTE(now()-F39)) &amp;""mins""),""""), if(and(isdate(F39),isdate(G39)), if(int(G39-F39)&lt;=1, int(G39-F39) &amp; ""day,"", int(G39-F39)&amp;""days,"") &amp; if(hour(G39-F39)&lt;=1, hour(G39-F39) &amp; ""hr,"", hour(G39-F39)&amp;""hrs,"&amp;""") &amp; if(MINUTE(G39-F39)&lt;=1, MINUTE(G39-F39) &amp; ""min"", MINUTE(G39-F39)&amp; ""mins""),"""")))"),"")</f>
        <v/>
      </c>
      <c r="I39" s="96"/>
      <c r="J39" s="13"/>
    </row>
    <row r="40" spans="1:10" ht="12.75">
      <c r="A40" s="13"/>
      <c r="B40" s="511"/>
      <c r="C40" s="559" t="s">
        <v>3838</v>
      </c>
      <c r="D40" s="10"/>
      <c r="E40" s="10"/>
      <c r="F40" s="462"/>
      <c r="G40" s="354"/>
      <c r="H40" s="96" t="str">
        <f ca="1">IFERROR(__xludf.DUMMYFUNCTION("if(and(G40="""",F40=""""), """", if(G40="""", if(isdate(F40), if(int(now()-F40)&lt;=1, int(now()-F40) &amp; ""day,"", int(now()-F40) &amp;""days,"") &amp; if(int(hour(now()-F40))&lt;=1, int(hour(now()-F40)) &amp; ""hr,"", int(hour(now()-F40)) &amp;""hrs,"") &amp; if(int(MINUTE(now()-F"&amp;"40))&lt;=1, int(MINUTE(now()-F40)) &amp; ""min,"", int(MINUTE(now()-F40)) &amp;""mins""),""""), if(and(isdate(F40),isdate(G40)), if(int(G40-F40)&lt;=1, int(G40-F40) &amp; ""day,"", int(G40-F40)&amp;""days,"") &amp; if(hour(G40-F40)&lt;=1, hour(G40-F40) &amp; ""hr,"", hour(G40-F40)&amp;""hrs,"&amp;""") &amp; if(MINUTE(G40-F40)&lt;=1, MINUTE(G40-F40) &amp; ""min"", MINUTE(G40-F40)&amp; ""mins""),"""")))"),"")</f>
        <v/>
      </c>
      <c r="I40" s="96"/>
      <c r="J40" s="13"/>
    </row>
    <row r="41" spans="1:10" ht="12.75">
      <c r="A41" s="13"/>
      <c r="B41" s="511"/>
      <c r="C41" s="512"/>
      <c r="D41" s="10"/>
      <c r="E41" s="10"/>
      <c r="F41" s="462"/>
      <c r="G41" s="354"/>
      <c r="H41" s="96" t="str">
        <f ca="1">IFERROR(__xludf.DUMMYFUNCTION("if(and(G41="""",F41=""""), """", if(G41="""", if(isdate(F41), if(int(now()-F41)&lt;=1, int(now()-F41) &amp; ""day,"", int(now()-F41) &amp;""days,"") &amp; if(int(hour(now()-F41))&lt;=1, int(hour(now()-F41)) &amp; ""hr,"", int(hour(now()-F41)) &amp;""hrs,"") &amp; if(int(MINUTE(now()-F"&amp;"41))&lt;=1, int(MINUTE(now()-F41)) &amp; ""min,"", int(MINUTE(now()-F41)) &amp;""mins""),""""), if(and(isdate(F41),isdate(G41)), if(int(G41-F41)&lt;=1, int(G41-F41) &amp; ""day,"", int(G41-F41)&amp;""days,"") &amp; if(hour(G41-F41)&lt;=1, hour(G41-F41) &amp; ""hr,"", hour(G41-F41)&amp;""hrs,"&amp;""") &amp; if(MINUTE(G41-F41)&lt;=1, MINUTE(G41-F41) &amp; ""min"", MINUTE(G41-F41)&amp; ""mins""),"""")))"),"")</f>
        <v/>
      </c>
      <c r="I41" s="96"/>
      <c r="J41" s="13"/>
    </row>
    <row r="42" spans="1:10" ht="12.75">
      <c r="A42" s="13"/>
      <c r="B42" s="511"/>
      <c r="C42" s="465"/>
      <c r="D42" s="10"/>
      <c r="E42" s="10"/>
      <c r="F42" s="462"/>
      <c r="G42" s="354"/>
      <c r="H42" s="96" t="str">
        <f ca="1">IFERROR(__xludf.DUMMYFUNCTION("if(and(G42="""",F42=""""), """", if(G42="""", if(isdate(F42), if(int(now()-F42)&lt;=1, int(now()-F42) &amp; ""day,"", int(now()-F42) &amp;""days,"") &amp; if(int(hour(now()-F42))&lt;=1, int(hour(now()-F42)) &amp; ""hr,"", int(hour(now()-F42)) &amp;""hrs,"") &amp; if(int(MINUTE(now()-F"&amp;"42))&lt;=1, int(MINUTE(now()-F42)) &amp; ""min,"", int(MINUTE(now()-F42)) &amp;""mins""),""""), if(and(isdate(F42),isdate(G42)), if(int(G42-F42)&lt;=1, int(G42-F42) &amp; ""day,"", int(G42-F42)&amp;""days,"") &amp; if(hour(G42-F42)&lt;=1, hour(G42-F42) &amp; ""hr,"", hour(G42-F42)&amp;""hrs,"&amp;""") &amp; if(MINUTE(G42-F42)&lt;=1, MINUTE(G42-F42) &amp; ""min"", MINUTE(G42-F42)&amp; ""mins""),"""")))"),"")</f>
        <v/>
      </c>
      <c r="I42" s="96"/>
      <c r="J42" s="13"/>
    </row>
    <row r="43" spans="1:10" ht="25.5">
      <c r="A43" s="13"/>
      <c r="B43" s="511"/>
      <c r="C43" s="559" t="s">
        <v>3840</v>
      </c>
      <c r="D43" s="10"/>
      <c r="E43" s="10"/>
      <c r="F43" s="462">
        <v>45394.549432870372</v>
      </c>
      <c r="G43" s="354"/>
      <c r="H43" s="96" t="str">
        <f ca="1">IFERROR(__xludf.DUMMYFUNCTION("if(and(G43="""",F43=""""), """", if(G43="""", if(isdate(F43), if(int(now()-F43)&lt;=1, int(now()-F43) &amp; ""day,"", int(now()-F43) &amp;""days,"") &amp; if(int(hour(now()-F43))&lt;=1, int(hour(now()-F43)) &amp; ""hr,"", int(hour(now()-F43)) &amp;""hrs,"") &amp; if(int(MINUTE(now()-F"&amp;"43))&lt;=1, int(MINUTE(now()-F43)) &amp; ""min,"", int(MINUTE(now()-F43)) &amp;""mins""),""""), if(and(isdate(F43),isdate(G43)), if(int(G43-F43)&lt;=1, int(G43-F43) &amp; ""day,"", int(G43-F43)&amp;""days,"") &amp; if(hour(G43-F43)&lt;=1, hour(G43-F43) &amp; ""hr,"", hour(G43-F43)&amp;""hrs,"&amp;""") &amp; if(MINUTE(G43-F43)&lt;=1, MINUTE(G43-F43) &amp; ""min"", MINUTE(G43-F43)&amp; ""mins""),"""")))"),"880days,19hrs,2mins")</f>
        <v>880days,19hrs,2mins</v>
      </c>
      <c r="I43" s="96"/>
      <c r="J43" s="13"/>
    </row>
    <row r="44" spans="1:10" ht="12.75">
      <c r="A44" s="13"/>
      <c r="B44" s="511"/>
      <c r="C44" s="511"/>
      <c r="D44" s="514"/>
      <c r="E44" s="10"/>
      <c r="F44" s="462">
        <v>45394.548726851855</v>
      </c>
      <c r="G44" s="354">
        <v>45394.555520833332</v>
      </c>
      <c r="H44" s="96" t="str">
        <f ca="1">IFERROR(__xludf.DUMMYFUNCTION("if(and(G44="""",F44=""""), """", if(G44="""", if(isdate(F44), if(int(now()-F44)&lt;=1, int(now()-F44) &amp; ""day,"", int(now()-F44) &amp;""days,"") &amp; if(int(hour(now()-F44))&lt;=1, int(hour(now()-F44)) &amp; ""hr,"", int(hour(now()-F44)) &amp;""hrs,"") &amp; if(int(MINUTE(now()-F"&amp;"44))&lt;=1, int(MINUTE(now()-F44)) &amp; ""min,"", int(MINUTE(now()-F44)) &amp;""mins""),""""), if(and(isdate(F44),isdate(G44)), if(int(G44-F44)&lt;=1, int(G44-F44) &amp; ""day,"", int(G44-F44)&amp;""days,"") &amp; if(hour(G44-F44)&lt;=1, hour(G44-F44) &amp; ""hr,"", hour(G44-F44)&amp;""hrs,"&amp;""") &amp; if(MINUTE(G44-F44)&lt;=1, MINUTE(G44-F44) &amp; ""min"", MINUTE(G44-F44)&amp; ""mins""),"""")))"),"0day,0hr,9mins")</f>
        <v>0day,0hr,9mins</v>
      </c>
      <c r="I44" s="96"/>
      <c r="J44" s="13"/>
    </row>
    <row r="45" spans="1:10" ht="12.75">
      <c r="A45" s="13"/>
      <c r="B45" s="511"/>
      <c r="C45" s="511"/>
      <c r="D45" s="511"/>
      <c r="E45" s="468"/>
      <c r="F45" s="462">
        <v>45394.548032407409</v>
      </c>
      <c r="G45" s="354">
        <v>45394.554803240739</v>
      </c>
      <c r="H45" s="96" t="str">
        <f ca="1">IFERROR(__xludf.DUMMYFUNCTION("if(and(G45="""",F45=""""), """", if(G45="""", if(isdate(F45), if(int(now()-F45)&lt;=1, int(now()-F45) &amp; ""day,"", int(now()-F45) &amp;""days,"") &amp; if(int(hour(now()-F45))&lt;=1, int(hour(now()-F45)) &amp; ""hr,"", int(hour(now()-F45)) &amp;""hrs,"") &amp; if(int(MINUTE(now()-F"&amp;"45))&lt;=1, int(MINUTE(now()-F45)) &amp; ""min,"", int(MINUTE(now()-F45)) &amp;""mins""),""""), if(and(isdate(F45),isdate(G45)), if(int(G45-F45)&lt;=1, int(G45-F45) &amp; ""day,"", int(G45-F45)&amp;""days,"") &amp; if(hour(G45-F45)&lt;=1, hour(G45-F45) &amp; ""hr,"", hour(G45-F45)&amp;""hrs,"&amp;""") &amp; if(MINUTE(G45-F45)&lt;=1, MINUTE(G45-F45) &amp; ""min"", MINUTE(G45-F45)&amp; ""mins""),"""")))"),"0day,0hr,9mins")</f>
        <v>0day,0hr,9mins</v>
      </c>
      <c r="I45" s="96"/>
      <c r="J45" s="13"/>
    </row>
    <row r="46" spans="1:10" ht="12.75">
      <c r="A46" s="13"/>
      <c r="B46" s="511"/>
      <c r="C46" s="511"/>
      <c r="D46" s="511"/>
      <c r="E46" s="468"/>
      <c r="F46" s="462">
        <v>45394.543414351851</v>
      </c>
      <c r="G46" s="354">
        <v>45394.55096064815</v>
      </c>
      <c r="H46" s="96" t="str">
        <f ca="1">IFERROR(__xludf.DUMMYFUNCTION("if(and(G46="""",F46=""""), """", if(G46="""", if(isdate(F46), if(int(now()-F46)&lt;=1, int(now()-F46) &amp; ""day,"", int(now()-F46) &amp;""days,"") &amp; if(int(hour(now()-F46))&lt;=1, int(hour(now()-F46)) &amp; ""hr,"", int(hour(now()-F46)) &amp;""hrs,"") &amp; if(int(MINUTE(now()-F"&amp;"46))&lt;=1, int(MINUTE(now()-F46)) &amp; ""min,"", int(MINUTE(now()-F46)) &amp;""mins""),""""), if(and(isdate(F46),isdate(G46)), if(int(G46-F46)&lt;=1, int(G46-F46) &amp; ""day,"", int(G46-F46)&amp;""days,"") &amp; if(hour(G46-F46)&lt;=1, hour(G46-F46) &amp; ""hr,"", hour(G46-F46)&amp;""hrs,"&amp;""") &amp; if(MINUTE(G46-F46)&lt;=1, MINUTE(G46-F46) &amp; ""min"", MINUTE(G46-F46)&amp; ""mins""),"""")))"),"0day,0hr,10mins")</f>
        <v>0day,0hr,10mins</v>
      </c>
      <c r="I46" s="96"/>
      <c r="J46" s="13"/>
    </row>
    <row r="47" spans="1:10" ht="12.75">
      <c r="A47" s="13"/>
      <c r="B47" s="511"/>
      <c r="C47" s="512"/>
      <c r="D47" s="511"/>
      <c r="E47" s="468"/>
      <c r="F47" s="462">
        <v>45394.542372685188</v>
      </c>
      <c r="G47" s="354">
        <v>45394.548831018517</v>
      </c>
      <c r="H47" s="96" t="str">
        <f ca="1">IFERROR(__xludf.DUMMYFUNCTION("if(and(G47="""",F47=""""), """", if(G47="""", if(isdate(F47), if(int(now()-F47)&lt;=1, int(now()-F47) &amp; ""day,"", int(now()-F47) &amp;""days,"") &amp; if(int(hour(now()-F47))&lt;=1, int(hour(now()-F47)) &amp; ""hr,"", int(hour(now()-F47)) &amp;""hrs,"") &amp; if(int(MINUTE(now()-F"&amp;"47))&lt;=1, int(MINUTE(now()-F47)) &amp; ""min,"", int(MINUTE(now()-F47)) &amp;""mins""),""""), if(and(isdate(F47),isdate(G47)), if(int(G47-F47)&lt;=1, int(G47-F47) &amp; ""day,"", int(G47-F47)&amp;""days,"") &amp; if(hour(G47-F47)&lt;=1, hour(G47-F47) &amp; ""hr,"", hour(G47-F47)&amp;""hrs,"&amp;""") &amp; if(MINUTE(G47-F47)&lt;=1, MINUTE(G47-F47) &amp; ""min"", MINUTE(G47-F47)&amp; ""mins""),"""")))"),"0day,0hr,9mins")</f>
        <v>0day,0hr,9mins</v>
      </c>
      <c r="I47" s="96"/>
      <c r="J47" s="13"/>
    </row>
    <row r="48" spans="1:10" ht="12.75">
      <c r="A48" s="13"/>
      <c r="B48" s="511"/>
      <c r="C48" s="465"/>
      <c r="D48" s="10"/>
      <c r="E48" s="468"/>
      <c r="F48" s="462"/>
      <c r="G48" s="354"/>
      <c r="H48" s="96" t="str">
        <f ca="1">IFERROR(__xludf.DUMMYFUNCTION("if(and(G48="""",F48=""""), """", if(G48="""", if(isdate(F48), if(int(now()-F48)&lt;=1, int(now()-F48) &amp; ""day,"", int(now()-F48) &amp;""days,"") &amp; if(int(hour(now()-F48))&lt;=1, int(hour(now()-F48)) &amp; ""hr,"", int(hour(now()-F48)) &amp;""hrs,"") &amp; if(int(MINUTE(now()-F"&amp;"48))&lt;=1, int(MINUTE(now()-F48)) &amp; ""min,"", int(MINUTE(now()-F48)) &amp;""mins""),""""), if(and(isdate(F48),isdate(G48)), if(int(G48-F48)&lt;=1, int(G48-F48) &amp; ""day,"", int(G48-F48)&amp;""days,"") &amp; if(hour(G48-F48)&lt;=1, hour(G48-F48) &amp; ""hr,"", hour(G48-F48)&amp;""hrs,"&amp;""") &amp; if(MINUTE(G48-F48)&lt;=1, MINUTE(G48-F48) &amp; ""min"", MINUTE(G48-F48)&amp; ""mins""),"""")))"),"")</f>
        <v/>
      </c>
      <c r="I48" s="96"/>
      <c r="J48" s="13"/>
    </row>
    <row r="49" spans="1:10" ht="12.75">
      <c r="A49" s="13"/>
      <c r="B49" s="511"/>
      <c r="C49" s="559" t="s">
        <v>3843</v>
      </c>
      <c r="D49" s="10"/>
      <c r="E49" s="468"/>
      <c r="F49" s="462"/>
      <c r="G49" s="354"/>
      <c r="H49" s="96" t="str">
        <f ca="1">IFERROR(__xludf.DUMMYFUNCTION("if(and(G49="""",F49=""""), """", if(G49="""", if(isdate(F49), if(int(now()-F49)&lt;=1, int(now()-F49) &amp; ""day,"", int(now()-F49) &amp;""days,"") &amp; if(int(hour(now()-F49))&lt;=1, int(hour(now()-F49)) &amp; ""hr,"", int(hour(now()-F49)) &amp;""hrs,"") &amp; if(int(MINUTE(now()-F"&amp;"49))&lt;=1, int(MINUTE(now()-F49)) &amp; ""min,"", int(MINUTE(now()-F49)) &amp;""mins""),""""), if(and(isdate(F49),isdate(G49)), if(int(G49-F49)&lt;=1, int(G49-F49) &amp; ""day,"", int(G49-F49)&amp;""days,"") &amp; if(hour(G49-F49)&lt;=1, hour(G49-F49) &amp; ""hr,"", hour(G49-F49)&amp;""hrs,"&amp;""") &amp; if(MINUTE(G49-F49)&lt;=1, MINUTE(G49-F49) &amp; ""min"", MINUTE(G49-F49)&amp; ""mins""),"""")))"),"")</f>
        <v/>
      </c>
      <c r="I49" s="96"/>
      <c r="J49" s="13"/>
    </row>
    <row r="50" spans="1:10" ht="25.5">
      <c r="A50" s="13"/>
      <c r="B50" s="511"/>
      <c r="C50" s="511"/>
      <c r="D50" s="10"/>
      <c r="E50" s="468"/>
      <c r="F50" s="462">
        <v>45394.54619212963</v>
      </c>
      <c r="G50" s="354"/>
      <c r="H50" s="96" t="str">
        <f ca="1">IFERROR(__xludf.DUMMYFUNCTION("if(and(G50="""",F50=""""), """", if(G50="""", if(isdate(F50), if(int(now()-F50)&lt;=1, int(now()-F50) &amp; ""day,"", int(now()-F50) &amp;""days,"") &amp; if(int(hour(now()-F50))&lt;=1, int(hour(now()-F50)) &amp; ""hr,"", int(hour(now()-F50)) &amp;""hrs,"") &amp; if(int(MINUTE(now()-F"&amp;"50))&lt;=1, int(MINUTE(now()-F50)) &amp; ""min,"", int(MINUTE(now()-F50)) &amp;""mins""),""""), if(and(isdate(F50),isdate(G50)), if(int(G50-F50)&lt;=1, int(G50-F50) &amp; ""day,"", int(G50-F50)&amp;""days,"") &amp; if(hour(G50-F50)&lt;=1, hour(G50-F50) &amp; ""hr,"", hour(G50-F50)&amp;""hrs,"&amp;""") &amp; if(MINUTE(G50-F50)&lt;=1, MINUTE(G50-F50) &amp; ""min"", MINUTE(G50-F50)&amp; ""mins""),"""")))"),"880days,19hrs,7mins")</f>
        <v>880days,19hrs,7mins</v>
      </c>
      <c r="I50" s="96"/>
      <c r="J50" s="13"/>
    </row>
    <row r="51" spans="1:10" ht="12.75">
      <c r="A51" s="13"/>
      <c r="B51" s="511"/>
      <c r="C51" s="511"/>
      <c r="D51" s="10"/>
      <c r="E51" s="468"/>
      <c r="F51" s="462">
        <v>45394.544340277775</v>
      </c>
      <c r="G51" s="354">
        <v>45394.551481481481</v>
      </c>
      <c r="H51" s="96" t="str">
        <f ca="1">IFERROR(__xludf.DUMMYFUNCTION("if(and(G51="""",F51=""""), """", if(G51="""", if(isdate(F51), if(int(now()-F51)&lt;=1, int(now()-F51) &amp; ""day,"", int(now()-F51) &amp;""days,"") &amp; if(int(hour(now()-F51))&lt;=1, int(hour(now()-F51)) &amp; ""hr,"", int(hour(now()-F51)) &amp;""hrs,"") &amp; if(int(MINUTE(now()-F"&amp;"51))&lt;=1, int(MINUTE(now()-F51)) &amp; ""min,"", int(MINUTE(now()-F51)) &amp;""mins""),""""), if(and(isdate(F51),isdate(G51)), if(int(G51-F51)&lt;=1, int(G51-F51) &amp; ""day,"", int(G51-F51)&amp;""days,"") &amp; if(hour(G51-F51)&lt;=1, hour(G51-F51) &amp; ""hr,"", hour(G51-F51)&amp;""hrs,"&amp;""") &amp; if(MINUTE(G51-F51)&lt;=1, MINUTE(G51-F51) &amp; ""min"", MINUTE(G51-F51)&amp; ""mins""),"""")))"),"0day,0hr,10mins")</f>
        <v>0day,0hr,10mins</v>
      </c>
      <c r="I51" s="96"/>
      <c r="J51" s="13"/>
    </row>
    <row r="52" spans="1:10" ht="12.75">
      <c r="A52" s="13"/>
      <c r="B52" s="511"/>
      <c r="C52" s="511"/>
      <c r="D52" s="10"/>
      <c r="E52" s="468"/>
      <c r="F52" s="462">
        <v>45394.542245370372</v>
      </c>
      <c r="G52" s="354">
        <v>45394.549201388887</v>
      </c>
      <c r="H52" s="96" t="str">
        <f ca="1">IFERROR(__xludf.DUMMYFUNCTION("if(and(G52="""",F52=""""), """", if(G52="""", if(isdate(F52), if(int(now()-F52)&lt;=1, int(now()-F52) &amp; ""day,"", int(now()-F52) &amp;""days,"") &amp; if(int(hour(now()-F52))&lt;=1, int(hour(now()-F52)) &amp; ""hr,"", int(hour(now()-F52)) &amp;""hrs,"") &amp; if(int(MINUTE(now()-F"&amp;"52))&lt;=1, int(MINUTE(now()-F52)) &amp; ""min,"", int(MINUTE(now()-F52)) &amp;""mins""),""""), if(and(isdate(F52),isdate(G52)), if(int(G52-F52)&lt;=1, int(G52-F52) &amp; ""day,"", int(G52-F52)&amp;""days,"") &amp; if(hour(G52-F52)&lt;=1, hour(G52-F52) &amp; ""hr,"", hour(G52-F52)&amp;""hrs,"&amp;""") &amp; if(MINUTE(G52-F52)&lt;=1, MINUTE(G52-F52) &amp; ""min"", MINUTE(G52-F52)&amp; ""mins""),"""")))"),"0day,0hr,10mins")</f>
        <v>0day,0hr,10mins</v>
      </c>
      <c r="I52" s="96"/>
      <c r="J52" s="13"/>
    </row>
    <row r="53" spans="1:10" ht="12.75">
      <c r="A53" s="13"/>
      <c r="B53" s="511"/>
      <c r="C53" s="511"/>
      <c r="D53" s="10"/>
      <c r="E53" s="10"/>
      <c r="F53" s="462">
        <v>45394.541435185187</v>
      </c>
      <c r="G53" s="354">
        <v>45394.54824074074</v>
      </c>
      <c r="H53" s="96" t="str">
        <f ca="1">IFERROR(__xludf.DUMMYFUNCTION("if(and(G53="""",F53=""""), """", if(G53="""", if(isdate(F53), if(int(now()-F53)&lt;=1, int(now()-F53) &amp; ""day,"", int(now()-F53) &amp;""days,"") &amp; if(int(hour(now()-F53))&lt;=1, int(hour(now()-F53)) &amp; ""hr,"", int(hour(now()-F53)) &amp;""hrs,"") &amp; if(int(MINUTE(now()-F"&amp;"53))&lt;=1, int(MINUTE(now()-F53)) &amp; ""min,"", int(MINUTE(now()-F53)) &amp;""mins""),""""), if(and(isdate(F53),isdate(G53)), if(int(G53-F53)&lt;=1, int(G53-F53) &amp; ""day,"", int(G53-F53)&amp;""days,"") &amp; if(hour(G53-F53)&lt;=1, hour(G53-F53) &amp; ""hr,"", hour(G53-F53)&amp;""hrs,"&amp;""") &amp; if(MINUTE(G53-F53)&lt;=1, MINUTE(G53-F53) &amp; ""min"", MINUTE(G53-F53)&amp; ""mins""),"""")))"),"0day,0hr,9mins")</f>
        <v>0day,0hr,9mins</v>
      </c>
      <c r="I53" s="96"/>
      <c r="J53" s="13"/>
    </row>
    <row r="54" spans="1:10" ht="12.75">
      <c r="A54" s="13"/>
      <c r="B54" s="512"/>
      <c r="C54" s="512"/>
      <c r="D54" s="10"/>
      <c r="E54" s="10"/>
      <c r="F54" s="462">
        <v>45394.539814814816</v>
      </c>
      <c r="G54" s="354">
        <v>45394.546585648146</v>
      </c>
      <c r="H54" s="96" t="str">
        <f ca="1">IFERROR(__xludf.DUMMYFUNCTION("if(and(G54="""",F54=""""), """", if(G54="""", if(isdate(F54), if(int(now()-F54)&lt;=1, int(now()-F54) &amp; ""day,"", int(now()-F54) &amp;""days,"") &amp; if(int(hour(now()-F54))&lt;=1, int(hour(now()-F54)) &amp; ""hr,"", int(hour(now()-F54)) &amp;""hrs,"") &amp; if(int(MINUTE(now()-F"&amp;"54))&lt;=1, int(MINUTE(now()-F54)) &amp; ""min,"", int(MINUTE(now()-F54)) &amp;""mins""),""""), if(and(isdate(F54),isdate(G54)), if(int(G54-F54)&lt;=1, int(G54-F54) &amp; ""day,"", int(G54-F54)&amp;""days,"") &amp; if(hour(G54-F54)&lt;=1, hour(G54-F54) &amp; ""hr,"", hour(G54-F54)&amp;""hrs,"&amp;""") &amp; if(MINUTE(G54-F54)&lt;=1, MINUTE(G54-F54) &amp; ""min"", MINUTE(G54-F54)&amp; ""mins""),"""")))"),"0day,0hr,9mins")</f>
        <v>0day,0hr,9mins</v>
      </c>
      <c r="I54" s="96"/>
      <c r="J54" s="13"/>
    </row>
    <row r="55" spans="1:10" ht="12.75">
      <c r="A55" s="13"/>
      <c r="B55" s="50"/>
      <c r="C55" s="465"/>
      <c r="D55" s="10"/>
      <c r="E55" s="10"/>
      <c r="F55" s="462"/>
      <c r="G55" s="354"/>
      <c r="H55" s="96" t="str">
        <f ca="1">IFERROR(__xludf.DUMMYFUNCTION("if(and(G55="""",F55=""""), """", if(G55="""", if(isdate(F55), if(int(now()-F55)&lt;=1, int(now()-F55) &amp; ""day,"", int(now()-F55) &amp;""days,"") &amp; if(int(hour(now()-F55))&lt;=1, int(hour(now()-F55)) &amp; ""hr,"", int(hour(now()-F55)) &amp;""hrs,"") &amp; if(int(MINUTE(now()-F"&amp;"55))&lt;=1, int(MINUTE(now()-F55)) &amp; ""min,"", int(MINUTE(now()-F55)) &amp;""mins""),""""), if(and(isdate(F55),isdate(G55)), if(int(G55-F55)&lt;=1, int(G55-F55) &amp; ""day,"", int(G55-F55)&amp;""days,"") &amp; if(hour(G55-F55)&lt;=1, hour(G55-F55) &amp; ""hr,"", hour(G55-F55)&amp;""hrs,"&amp;""") &amp; if(MINUTE(G55-F55)&lt;=1, MINUTE(G55-F55) &amp; ""min"", MINUTE(G55-F55)&amp; ""mins""),"""")))"),"")</f>
        <v/>
      </c>
      <c r="I55" s="96"/>
      <c r="J55" s="13"/>
    </row>
    <row r="56" spans="1:10" ht="12.75">
      <c r="A56" s="514">
        <v>15</v>
      </c>
      <c r="B56" s="634" t="s">
        <v>3310</v>
      </c>
      <c r="C56" s="557" t="s">
        <v>3846</v>
      </c>
      <c r="D56" s="514"/>
      <c r="E56" s="514"/>
      <c r="F56" s="462"/>
      <c r="G56" s="354"/>
      <c r="H56" s="96" t="str">
        <f ca="1">IFERROR(__xludf.DUMMYFUNCTION("if(and(G56="""",F56=""""), """", if(G56="""", if(isdate(F56), if(int(now()-F56)&lt;=1, int(now()-F56) &amp; ""day,"", int(now()-F56) &amp;""days,"") &amp; if(int(hour(now()-F56))&lt;=1, int(hour(now()-F56)) &amp; ""hr,"", int(hour(now()-F56)) &amp;""hrs,"") &amp; if(int(MINUTE(now()-F"&amp;"56))&lt;=1, int(MINUTE(now()-F56)) &amp; ""min,"", int(MINUTE(now()-F56)) &amp;""mins""),""""), if(and(isdate(F56),isdate(G56)), if(int(G56-F56)&lt;=1, int(G56-F56) &amp; ""day,"", int(G56-F56)&amp;""days,"") &amp; if(hour(G56-F56)&lt;=1, hour(G56-F56) &amp; ""hr,"", hour(G56-F56)&amp;""hrs,"&amp;""") &amp; if(MINUTE(G56-F56)&lt;=1, MINUTE(G56-F56) &amp; ""min"", MINUTE(G56-F56)&amp; ""mins""),"""")))"),"")</f>
        <v/>
      </c>
      <c r="I56" s="96"/>
      <c r="J56" s="13"/>
    </row>
    <row r="57" spans="1:10" ht="12.75">
      <c r="A57" s="511"/>
      <c r="B57" s="511"/>
      <c r="C57" s="511"/>
      <c r="D57" s="511"/>
      <c r="E57" s="511"/>
      <c r="F57" s="462"/>
      <c r="G57" s="354"/>
      <c r="H57" s="96"/>
      <c r="I57" s="96"/>
      <c r="J57" s="13"/>
    </row>
    <row r="58" spans="1:10" ht="12.75">
      <c r="A58" s="511"/>
      <c r="B58" s="511"/>
      <c r="C58" s="511"/>
      <c r="D58" s="511"/>
      <c r="E58" s="511"/>
      <c r="F58" s="462"/>
      <c r="G58" s="354"/>
      <c r="H58" s="96"/>
      <c r="I58" s="96"/>
      <c r="J58" s="13"/>
    </row>
    <row r="59" spans="1:10" ht="12.75">
      <c r="A59" s="512"/>
      <c r="B59" s="511"/>
      <c r="C59" s="512"/>
      <c r="D59" s="511"/>
      <c r="E59" s="511"/>
      <c r="F59" s="462">
        <v>45394.553472222222</v>
      </c>
      <c r="G59" s="354">
        <v>45394.559733796297</v>
      </c>
      <c r="H59" s="96" t="str">
        <f ca="1">IFERROR(__xludf.DUMMYFUNCTION("if(and(G59="""",F59=""""), """", if(G59="""", if(isdate(F59), if(int(now()-F59)&lt;=1, int(now()-F59) &amp; ""day,"", int(now()-F59) &amp;""days,"") &amp; if(int(hour(now()-F59))&lt;=1, int(hour(now()-F59)) &amp; ""hr,"", int(hour(now()-F59)) &amp;""hrs,"") &amp; if(int(MINUTE(now()-F"&amp;"59))&lt;=1, int(MINUTE(now()-F59)) &amp; ""min,"", int(MINUTE(now()-F59)) &amp;""mins""),""""), if(and(isdate(F59),isdate(G59)), if(int(G59-F59)&lt;=1, int(G59-F59) &amp; ""day,"", int(G59-F59)&amp;""days,"") &amp; if(hour(G59-F59)&lt;=1, hour(G59-F59) &amp; ""hr,"", hour(G59-F59)&amp;""hrs,"&amp;""") &amp; if(MINUTE(G59-F59)&lt;=1, MINUTE(G59-F59) &amp; ""min"", MINUTE(G59-F59)&amp; ""mins""),"""")))"),"0day,0hr,9mins")</f>
        <v>0day,0hr,9mins</v>
      </c>
      <c r="I59" s="96"/>
      <c r="J59" s="13"/>
    </row>
    <row r="60" spans="1:10" ht="12.75">
      <c r="A60" s="13"/>
      <c r="B60" s="511"/>
      <c r="C60" s="465"/>
      <c r="D60" s="10"/>
      <c r="E60" s="10"/>
      <c r="F60" s="462"/>
      <c r="G60" s="354"/>
      <c r="H60" s="96"/>
      <c r="I60" s="96"/>
      <c r="J60" s="13"/>
    </row>
    <row r="61" spans="1:10" ht="12.75">
      <c r="A61" s="10">
        <v>16</v>
      </c>
      <c r="B61" s="511"/>
      <c r="C61" s="559" t="s">
        <v>3847</v>
      </c>
      <c r="D61" s="514"/>
      <c r="E61" s="514"/>
      <c r="F61" s="462"/>
      <c r="G61" s="354"/>
      <c r="H61" s="96" t="str">
        <f ca="1">IFERROR(__xludf.DUMMYFUNCTION("if(and(G61="""",F61=""""), """", if(G61="""", if(isdate(F61), if(int(now()-F61)&lt;=1, int(now()-F61) &amp; ""day,"", int(now()-F61) &amp;""days,"") &amp; if(int(hour(now()-F61))&lt;=1, int(hour(now()-F61)) &amp; ""hr,"", int(hour(now()-F61)) &amp;""hrs,"") &amp; if(int(MINUTE(now()-F"&amp;"61))&lt;=1, int(MINUTE(now()-F61)) &amp; ""min,"", int(MINUTE(now()-F61)) &amp;""mins""),""""), if(and(isdate(F61),isdate(G61)), if(int(G61-F61)&lt;=1, int(G61-F61) &amp; ""day,"", int(G61-F61)&amp;""days,"") &amp; if(hour(G61-F61)&lt;=1, hour(G61-F61) &amp; ""hr,"", hour(G61-F61)&amp;""hrs,"&amp;""") &amp; if(MINUTE(G61-F61)&lt;=1, MINUTE(G61-F61) &amp; ""min"", MINUTE(G61-F61)&amp; ""mins""),"""")))"),"")</f>
        <v/>
      </c>
      <c r="I61" s="96"/>
      <c r="J61" s="13"/>
    </row>
    <row r="62" spans="1:10" ht="12.75">
      <c r="A62" s="468"/>
      <c r="B62" s="511"/>
      <c r="C62" s="511"/>
      <c r="D62" s="511"/>
      <c r="E62" s="511"/>
      <c r="F62" s="462"/>
      <c r="G62" s="354"/>
      <c r="H62" s="96"/>
      <c r="I62" s="96"/>
      <c r="J62" s="13"/>
    </row>
    <row r="63" spans="1:10" ht="12.75">
      <c r="A63" s="468"/>
      <c r="B63" s="511"/>
      <c r="C63" s="511"/>
      <c r="D63" s="511"/>
      <c r="E63" s="511"/>
      <c r="F63" s="462">
        <v>45394.63658564815</v>
      </c>
      <c r="G63" s="354">
        <v>45394.642893518518</v>
      </c>
      <c r="H63" s="96"/>
      <c r="I63" s="96"/>
      <c r="J63" s="13"/>
    </row>
    <row r="64" spans="1:10" ht="12.75">
      <c r="A64" s="41"/>
      <c r="B64" s="511"/>
      <c r="C64" s="512"/>
      <c r="D64" s="511"/>
      <c r="E64" s="511"/>
      <c r="F64" s="462">
        <v>45394.477326388886</v>
      </c>
      <c r="G64" s="354">
        <v>45394.483993055554</v>
      </c>
      <c r="H64" s="96" t="str">
        <f ca="1">IFERROR(__xludf.DUMMYFUNCTION("if(and(G64="""",F64=""""), """", if(G64="""", if(isdate(F64), if(int(now()-F64)&lt;=1, int(now()-F64) &amp; ""day,"", int(now()-F64) &amp;""days,"") &amp; if(int(hour(now()-F64))&lt;=1, int(hour(now()-F64)) &amp; ""hr,"", int(hour(now()-F64)) &amp;""hrs,"") &amp; if(int(MINUTE(now()-F"&amp;"64))&lt;=1, int(MINUTE(now()-F64)) &amp; ""min,"", int(MINUTE(now()-F64)) &amp;""mins""),""""), if(and(isdate(F64),isdate(G64)), if(int(G64-F64)&lt;=1, int(G64-F64) &amp; ""day,"", int(G64-F64)&amp;""days,"") &amp; if(hour(G64-F64)&lt;=1, hour(G64-F64) &amp; ""hr,"", hour(G64-F64)&amp;""hrs,"&amp;""") &amp; if(MINUTE(G64-F64)&lt;=1, MINUTE(G64-F64) &amp; ""min"", MINUTE(G64-F64)&amp; ""mins""),"""")))"),"0day,0hr,9mins")</f>
        <v>0day,0hr,9mins</v>
      </c>
      <c r="I64" s="96"/>
      <c r="J64" s="13"/>
    </row>
    <row r="65" spans="1:10" ht="12.75">
      <c r="A65" s="13"/>
      <c r="B65" s="511"/>
      <c r="C65" s="465"/>
      <c r="D65" s="10"/>
      <c r="E65" s="10"/>
      <c r="F65" s="462"/>
      <c r="G65" s="354"/>
      <c r="H65" s="96"/>
      <c r="I65" s="96"/>
      <c r="J65" s="13"/>
    </row>
    <row r="66" spans="1:10" ht="12.75">
      <c r="A66" s="514">
        <v>17</v>
      </c>
      <c r="B66" s="511"/>
      <c r="C66" s="559" t="s">
        <v>3848</v>
      </c>
      <c r="D66" s="514"/>
      <c r="E66" s="514"/>
      <c r="F66" s="462"/>
      <c r="G66" s="354"/>
      <c r="H66" s="96" t="str">
        <f ca="1">IFERROR(__xludf.DUMMYFUNCTION("if(and(G66="""",F66=""""), """", if(G66="""", if(isdate(F66), if(int(now()-F66)&lt;=1, int(now()-F66) &amp; ""day,"", int(now()-F66) &amp;""days,"") &amp; if(int(hour(now()-F66))&lt;=1, int(hour(now()-F66)) &amp; ""hr,"", int(hour(now()-F66)) &amp;""hrs,"") &amp; if(int(MINUTE(now()-F"&amp;"66))&lt;=1, int(MINUTE(now()-F66)) &amp; ""min,"", int(MINUTE(now()-F66)) &amp;""mins""),""""), if(and(isdate(F66),isdate(G66)), if(int(G66-F66)&lt;=1, int(G66-F66) &amp; ""day,"", int(G66-F66)&amp;""days,"") &amp; if(hour(G66-F66)&lt;=1, hour(G66-F66) &amp; ""hr,"", hour(G66-F66)&amp;""hrs,"&amp;""") &amp; if(MINUTE(G66-F66)&lt;=1, MINUTE(G66-F66) &amp; ""min"", MINUTE(G66-F66)&amp; ""mins""),"""")))"),"")</f>
        <v/>
      </c>
      <c r="I66" s="96"/>
      <c r="J66" s="13"/>
    </row>
    <row r="67" spans="1:10" ht="12.75">
      <c r="A67" s="512"/>
      <c r="B67" s="511"/>
      <c r="C67" s="512"/>
      <c r="D67" s="511"/>
      <c r="E67" s="511"/>
      <c r="F67" s="462"/>
      <c r="G67" s="354"/>
      <c r="H67" s="96" t="str">
        <f ca="1">IFERROR(__xludf.DUMMYFUNCTION("if(and(G67="""",F67=""""), """", if(G67="""", if(isdate(F67), if(int(now()-F67)&lt;=1, int(now()-F67) &amp; ""day,"", int(now()-F67) &amp;""days,"") &amp; if(int(hour(now()-F67))&lt;=1, int(hour(now()-F67)) &amp; ""hr,"", int(hour(now()-F67)) &amp;""hrs,"") &amp; if(int(MINUTE(now()-F"&amp;"67))&lt;=1, int(MINUTE(now()-F67)) &amp; ""min,"", int(MINUTE(now()-F67)) &amp;""mins""),""""), if(and(isdate(F67),isdate(G67)), if(int(G67-F67)&lt;=1, int(G67-F67) &amp; ""day,"", int(G67-F67)&amp;""days,"") &amp; if(hour(G67-F67)&lt;=1, hour(G67-F67) &amp; ""hr,"", hour(G67-F67)&amp;""hrs,"&amp;""") &amp; if(MINUTE(G67-F67)&lt;=1, MINUTE(G67-F67) &amp; ""min"", MINUTE(G67-F67)&amp; ""mins""),"""")))"),"")</f>
        <v/>
      </c>
      <c r="I67" s="96"/>
      <c r="J67" s="13"/>
    </row>
    <row r="68" spans="1:10" ht="12.75">
      <c r="A68" s="13"/>
      <c r="B68" s="511"/>
      <c r="C68" s="465"/>
      <c r="D68" s="10"/>
      <c r="E68" s="10"/>
      <c r="F68" s="462"/>
      <c r="G68" s="354"/>
      <c r="H68" s="96"/>
      <c r="I68" s="96"/>
      <c r="J68" s="13"/>
    </row>
    <row r="69" spans="1:10" ht="12.75">
      <c r="A69" s="514">
        <v>18</v>
      </c>
      <c r="B69" s="511"/>
      <c r="C69" s="559" t="s">
        <v>3849</v>
      </c>
      <c r="D69" s="514"/>
      <c r="E69" s="514"/>
      <c r="F69" s="462"/>
      <c r="G69" s="354"/>
      <c r="H69" s="96" t="str">
        <f ca="1">IFERROR(__xludf.DUMMYFUNCTION("if(and(G69="""",F69=""""), """", if(G69="""", if(isdate(F69), if(int(now()-F69)&lt;=1, int(now()-F69) &amp; ""day,"", int(now()-F69) &amp;""days,"") &amp; if(int(hour(now()-F69))&lt;=1, int(hour(now()-F69)) &amp; ""hr,"", int(hour(now()-F69)) &amp;""hrs,"") &amp; if(int(MINUTE(now()-F"&amp;"69))&lt;=1, int(MINUTE(now()-F69)) &amp; ""min,"", int(MINUTE(now()-F69)) &amp;""mins""),""""), if(and(isdate(F69),isdate(G69)), if(int(G69-F69)&lt;=1, int(G69-F69) &amp; ""day,"", int(G69-F69)&amp;""days,"") &amp; if(hour(G69-F69)&lt;=1, hour(G69-F69) &amp; ""hr,"", hour(G69-F69)&amp;""hrs,"&amp;""") &amp; if(MINUTE(G69-F69)&lt;=1, MINUTE(G69-F69) &amp; ""min"", MINUTE(G69-F69)&amp; ""mins""),"""")))"),"")</f>
        <v/>
      </c>
      <c r="I69" s="96"/>
      <c r="J69" s="13"/>
    </row>
    <row r="70" spans="1:10" ht="12.75">
      <c r="A70" s="512"/>
      <c r="B70" s="511"/>
      <c r="C70" s="512"/>
      <c r="D70" s="511"/>
      <c r="E70" s="511"/>
      <c r="F70" s="462"/>
      <c r="G70" s="354"/>
      <c r="H70" s="96" t="str">
        <f ca="1">IFERROR(__xludf.DUMMYFUNCTION("if(and(G70="""",F70=""""), """", if(G70="""", if(isdate(F70), if(int(now()-F70)&lt;=1, int(now()-F70) &amp; ""day,"", int(now()-F70) &amp;""days,"") &amp; if(int(hour(now()-F70))&lt;=1, int(hour(now()-F70)) &amp; ""hr,"", int(hour(now()-F70)) &amp;""hrs,"") &amp; if(int(MINUTE(now()-F"&amp;"70))&lt;=1, int(MINUTE(now()-F70)) &amp; ""min,"", int(MINUTE(now()-F70)) &amp;""mins""),""""), if(and(isdate(F70),isdate(G70)), if(int(G70-F70)&lt;=1, int(G70-F70) &amp; ""day,"", int(G70-F70)&amp;""days,"") &amp; if(hour(G70-F70)&lt;=1, hour(G70-F70) &amp; ""hr,"", hour(G70-F70)&amp;""hrs,"&amp;""") &amp; if(MINUTE(G70-F70)&lt;=1, MINUTE(G70-F70) &amp; ""min"", MINUTE(G70-F70)&amp; ""mins""),"""")))"),"")</f>
        <v/>
      </c>
      <c r="I70" s="96"/>
      <c r="J70" s="13"/>
    </row>
    <row r="71" spans="1:10" ht="12.75">
      <c r="A71" s="13"/>
      <c r="B71" s="511"/>
      <c r="C71" s="465"/>
      <c r="D71" s="10"/>
      <c r="E71" s="10"/>
      <c r="F71" s="462"/>
      <c r="G71" s="354"/>
      <c r="H71" s="96"/>
      <c r="I71" s="96"/>
      <c r="J71" s="13"/>
    </row>
    <row r="72" spans="1:10" ht="12.75">
      <c r="A72" s="514">
        <v>19</v>
      </c>
      <c r="B72" s="511"/>
      <c r="C72" s="559" t="s">
        <v>3850</v>
      </c>
      <c r="D72" s="514"/>
      <c r="E72" s="514"/>
      <c r="F72" s="462"/>
      <c r="G72" s="354"/>
      <c r="H72" s="96" t="str">
        <f ca="1">IFERROR(__xludf.DUMMYFUNCTION("if(and(G72="""",F72=""""), """", if(G72="""", if(isdate(F72), if(int(now()-F72)&lt;=1, int(now()-F72) &amp; ""day,"", int(now()-F72) &amp;""days,"") &amp; if(int(hour(now()-F72))&lt;=1, int(hour(now()-F72)) &amp; ""hr,"", int(hour(now()-F72)) &amp;""hrs,"") &amp; if(int(MINUTE(now()-F"&amp;"72))&lt;=1, int(MINUTE(now()-F72)) &amp; ""min,"", int(MINUTE(now()-F72)) &amp;""mins""),""""), if(and(isdate(F72),isdate(G72)), if(int(G72-F72)&lt;=1, int(G72-F72) &amp; ""day,"", int(G72-F72)&amp;""days,"") &amp; if(hour(G72-F72)&lt;=1, hour(G72-F72) &amp; ""hr,"", hour(G72-F72)&amp;""hrs,"&amp;""") &amp; if(MINUTE(G72-F72)&lt;=1, MINUTE(G72-F72) &amp; ""min"", MINUTE(G72-F72)&amp; ""mins""),"""")))"),"")</f>
        <v/>
      </c>
      <c r="I72" s="96"/>
      <c r="J72" s="13"/>
    </row>
    <row r="73" spans="1:10" ht="12.75">
      <c r="A73" s="512"/>
      <c r="B73" s="511"/>
      <c r="C73" s="512"/>
      <c r="D73" s="511"/>
      <c r="E73" s="511"/>
      <c r="F73" s="462"/>
      <c r="G73" s="354"/>
      <c r="H73" s="96" t="str">
        <f ca="1">IFERROR(__xludf.DUMMYFUNCTION("if(and(G73="""",F73=""""), """", if(G73="""", if(isdate(F73), if(int(now()-F73)&lt;=1, int(now()-F73) &amp; ""day,"", int(now()-F73) &amp;""days,"") &amp; if(int(hour(now()-F73))&lt;=1, int(hour(now()-F73)) &amp; ""hr,"", int(hour(now()-F73)) &amp;""hrs,"") &amp; if(int(MINUTE(now()-F"&amp;"73))&lt;=1, int(MINUTE(now()-F73)) &amp; ""min,"", int(MINUTE(now()-F73)) &amp;""mins""),""""), if(and(isdate(F73),isdate(G73)), if(int(G73-F73)&lt;=1, int(G73-F73) &amp; ""day,"", int(G73-F73)&amp;""days,"") &amp; if(hour(G73-F73)&lt;=1, hour(G73-F73) &amp; ""hr,"", hour(G73-F73)&amp;""hrs,"&amp;""") &amp; if(MINUTE(G73-F73)&lt;=1, MINUTE(G73-F73) &amp; ""min"", MINUTE(G73-F73)&amp; ""mins""),"""")))"),"")</f>
        <v/>
      </c>
      <c r="I73" s="96"/>
      <c r="J73" s="13"/>
    </row>
    <row r="74" spans="1:10" ht="12.75">
      <c r="A74" s="13"/>
      <c r="B74" s="511"/>
      <c r="C74" s="465"/>
      <c r="D74" s="10"/>
      <c r="E74" s="10"/>
      <c r="F74" s="462"/>
      <c r="G74" s="354"/>
      <c r="H74" s="96"/>
      <c r="I74" s="96"/>
      <c r="J74" s="13"/>
    </row>
    <row r="75" spans="1:10" ht="12.75">
      <c r="A75" s="514">
        <v>20</v>
      </c>
      <c r="B75" s="511"/>
      <c r="C75" s="559" t="s">
        <v>3851</v>
      </c>
      <c r="D75" s="514"/>
      <c r="E75" s="514"/>
      <c r="F75" s="462"/>
      <c r="G75" s="354"/>
      <c r="H75" s="96" t="str">
        <f ca="1">IFERROR(__xludf.DUMMYFUNCTION("if(and(G75="""",F75=""""), """", if(G75="""", if(isdate(F75), if(int(now()-F75)&lt;=1, int(now()-F75) &amp; ""day,"", int(now()-F75) &amp;""days,"") &amp; if(int(hour(now()-F75))&lt;=1, int(hour(now()-F75)) &amp; ""hr,"", int(hour(now()-F75)) &amp;""hrs,"") &amp; if(int(MINUTE(now()-F"&amp;"75))&lt;=1, int(MINUTE(now()-F75)) &amp; ""min,"", int(MINUTE(now()-F75)) &amp;""mins""),""""), if(and(isdate(F75),isdate(G75)), if(int(G75-F75)&lt;=1, int(G75-F75) &amp; ""day,"", int(G75-F75)&amp;""days,"") &amp; if(hour(G75-F75)&lt;=1, hour(G75-F75) &amp; ""hr,"", hour(G75-F75)&amp;""hrs,"&amp;""") &amp; if(MINUTE(G75-F75)&lt;=1, MINUTE(G75-F75) &amp; ""min"", MINUTE(G75-F75)&amp; ""mins""),"""")))"),"")</f>
        <v/>
      </c>
      <c r="I75" s="96"/>
      <c r="J75" s="13"/>
    </row>
    <row r="76" spans="1:10" ht="12.75">
      <c r="A76" s="512"/>
      <c r="B76" s="512"/>
      <c r="C76" s="512"/>
      <c r="D76" s="511"/>
      <c r="E76" s="511"/>
      <c r="F76" s="354"/>
      <c r="G76" s="354"/>
      <c r="H76" s="96" t="str">
        <f ca="1">IFERROR(__xludf.DUMMYFUNCTION("if(and(G76="""",F76=""""), """", if(G76="""", if(isdate(F76), if(int(now()-F76)&lt;=1, int(now()-F76) &amp; ""day,"", int(now()-F76) &amp;""days,"") &amp; if(int(hour(now()-F76))&lt;=1, int(hour(now()-F76)) &amp; ""hr,"", int(hour(now()-F76)) &amp;""hrs,"") &amp; if(int(MINUTE(now()-F"&amp;"76))&lt;=1, int(MINUTE(now()-F76)) &amp; ""min,"", int(MINUTE(now()-F76)) &amp;""mins""),""""), if(and(isdate(F76),isdate(G76)), if(int(G76-F76)&lt;=1, int(G76-F76) &amp; ""day,"", int(G76-F76)&amp;""days,"") &amp; if(hour(G76-F76)&lt;=1, hour(G76-F76) &amp; ""hr,"", hour(G76-F76)&amp;""hrs,"&amp;""") &amp; if(MINUTE(G76-F76)&lt;=1, MINUTE(G76-F76) &amp; ""min"", MINUTE(G76-F76)&amp; ""mins""),"""")))"),"")</f>
        <v/>
      </c>
      <c r="I76" s="96"/>
      <c r="J76" s="96"/>
    </row>
    <row r="77" spans="1:10" ht="12.75">
      <c r="A77" s="13"/>
      <c r="B77" s="50"/>
      <c r="C77" s="464"/>
      <c r="D77" s="10"/>
      <c r="E77" s="10"/>
      <c r="F77" s="354"/>
      <c r="G77" s="354"/>
      <c r="H77" s="96" t="str">
        <f ca="1">IFERROR(__xludf.DUMMYFUNCTION("if(and(G77="""",F77=""""), """", if(G77="""", if(isdate(F77), if(int(now()-F77)&lt;=1, int(now()-F77) &amp; ""day,"", int(now()-F77) &amp;""days,"") &amp; if(int(hour(now()-F77))&lt;=1, int(hour(now()-F77)) &amp; ""hr,"", int(hour(now()-F77)) &amp;""hrs,"") &amp; if(int(MINUTE(now()-F"&amp;"77))&lt;=1, int(MINUTE(now()-F77)) &amp; ""min,"", int(MINUTE(now()-F77)) &amp;""mins""),""""), if(and(isdate(F77),isdate(G77)), if(int(G77-F77)&lt;=1, int(G77-F77) &amp; ""day,"", int(G77-F77)&amp;""days,"") &amp; if(hour(G77-F77)&lt;=1, hour(G77-F77) &amp; ""hr,"", hour(G77-F77)&amp;""hrs,"&amp;""") &amp; if(MINUTE(G77-F77)&lt;=1, MINUTE(G77-F77) &amp; ""min"", MINUTE(G77-F77)&amp; ""mins""),"""")))"),"")</f>
        <v/>
      </c>
      <c r="I77" s="96"/>
      <c r="J77" s="96"/>
    </row>
    <row r="78" spans="1:10" ht="12.75">
      <c r="A78" s="13"/>
      <c r="B78" s="634" t="s">
        <v>3852</v>
      </c>
      <c r="C78" s="635" t="s">
        <v>3853</v>
      </c>
      <c r="D78" s="10"/>
      <c r="E78" s="10"/>
      <c r="F78" s="354"/>
      <c r="G78" s="354"/>
      <c r="H78" s="96" t="str">
        <f ca="1">IFERROR(__xludf.DUMMYFUNCTION("if(and(G78="""",F78=""""), """", if(G78="""", if(isdate(F78), if(int(now()-F78)&lt;=1, int(now()-F78) &amp; ""day,"", int(now()-F78) &amp;""days,"") &amp; if(int(hour(now()-F78))&lt;=1, int(hour(now()-F78)) &amp; ""hr,"", int(hour(now()-F78)) &amp;""hrs,"") &amp; if(int(MINUTE(now()-F"&amp;"78))&lt;=1, int(MINUTE(now()-F78)) &amp; ""min,"", int(MINUTE(now()-F78)) &amp;""mins""),""""), if(and(isdate(F78),isdate(G78)), if(int(G78-F78)&lt;=1, int(G78-F78) &amp; ""day,"", int(G78-F78)&amp;""days,"") &amp; if(hour(G78-F78)&lt;=1, hour(G78-F78) &amp; ""hr,"", hour(G78-F78)&amp;""hrs,"&amp;""") &amp; if(MINUTE(G78-F78)&lt;=1, MINUTE(G78-F78) &amp; ""min"", MINUTE(G78-F78)&amp; ""mins""),"""")))"),"")</f>
        <v/>
      </c>
      <c r="I78" s="96"/>
      <c r="J78" s="96"/>
    </row>
    <row r="79" spans="1:10" ht="12.75">
      <c r="A79" s="13">
        <v>21</v>
      </c>
      <c r="B79" s="511"/>
      <c r="C79" s="511"/>
      <c r="D79" s="10"/>
      <c r="E79" s="10"/>
      <c r="F79" s="354"/>
      <c r="G79" s="354"/>
      <c r="H79" s="96" t="str">
        <f ca="1">IFERROR(__xludf.DUMMYFUNCTION("if(and(G79="""",F79=""""), """", if(G79="""", if(isdate(F79), if(int(now()-F79)&lt;=1, int(now()-F79) &amp; ""day,"", int(now()-F79) &amp;""days,"") &amp; if(int(hour(now()-F79))&lt;=1, int(hour(now()-F79)) &amp; ""hr,"", int(hour(now()-F79)) &amp;""hrs,"") &amp; if(int(MINUTE(now()-F"&amp;"79))&lt;=1, int(MINUTE(now()-F79)) &amp; ""min,"", int(MINUTE(now()-F79)) &amp;""mins""),""""), if(and(isdate(F79),isdate(G79)), if(int(G79-F79)&lt;=1, int(G79-F79) &amp; ""day,"", int(G79-F79)&amp;""days,"") &amp; if(hour(G79-F79)&lt;=1, hour(G79-F79) &amp; ""hr,"", hour(G79-F79)&amp;""hrs,"&amp;""") &amp; if(MINUTE(G79-F79)&lt;=1, MINUTE(G79-F79) &amp; ""min"", MINUTE(G79-F79)&amp; ""mins""),"""")))"),"")</f>
        <v/>
      </c>
      <c r="I79" s="96"/>
      <c r="J79" s="96"/>
    </row>
    <row r="80" spans="1:10" ht="12.75">
      <c r="A80" s="13"/>
      <c r="B80" s="511"/>
      <c r="C80" s="512"/>
      <c r="D80" s="10"/>
      <c r="E80" s="10"/>
      <c r="F80" s="462"/>
      <c r="G80" s="354"/>
      <c r="H80" s="96" t="str">
        <f ca="1">IFERROR(__xludf.DUMMYFUNCTION("if(and(G80="""",F80=""""), """", if(G80="""", if(isdate(F80), if(int(now()-F80)&lt;=1, int(now()-F80) &amp; ""day,"", int(now()-F80) &amp;""days,"") &amp; if(int(hour(now()-F80))&lt;=1, int(hour(now()-F80)) &amp; ""hr,"", int(hour(now()-F80)) &amp;""hrs,"") &amp; if(int(MINUTE(now()-F"&amp;"80))&lt;=1, int(MINUTE(now()-F80)) &amp; ""min,"", int(MINUTE(now()-F80)) &amp;""mins""),""""), if(and(isdate(F80),isdate(G80)), if(int(G80-F80)&lt;=1, int(G80-F80) &amp; ""day,"", int(G80-F80)&amp;""days,"") &amp; if(hour(G80-F80)&lt;=1, hour(G80-F80) &amp; ""hr,"", hour(G80-F80)&amp;""hrs,"&amp;""") &amp; if(MINUTE(G80-F80)&lt;=1, MINUTE(G80-F80) &amp; ""min"", MINUTE(G80-F80)&amp; ""mins""),"""")))"),"")</f>
        <v/>
      </c>
      <c r="I80" s="96"/>
      <c r="J80" s="96"/>
    </row>
    <row r="81" spans="1:10" ht="12.75">
      <c r="A81" s="13"/>
      <c r="B81" s="511"/>
      <c r="C81" s="464"/>
      <c r="D81" s="10"/>
      <c r="E81" s="10"/>
      <c r="F81" s="462"/>
      <c r="G81" s="354"/>
      <c r="H81" s="96"/>
      <c r="I81" s="96"/>
      <c r="J81" s="96"/>
    </row>
    <row r="82" spans="1:10" ht="12.75">
      <c r="A82" s="13"/>
      <c r="B82" s="511"/>
      <c r="C82" s="636" t="s">
        <v>3854</v>
      </c>
      <c r="D82" s="10"/>
      <c r="E82" s="10"/>
      <c r="F82" s="462"/>
      <c r="G82" s="354"/>
      <c r="H82" s="96" t="str">
        <f ca="1">IFERROR(__xludf.DUMMYFUNCTION("if(and(G82="""",F82=""""), """", if(G82="""", if(isdate(F82), if(int(now()-F82)&lt;=1, int(now()-F82) &amp; ""day,"", int(now()-F82) &amp;""days,"") &amp; if(int(hour(now()-F82))&lt;=1, int(hour(now()-F82)) &amp; ""hr,"", int(hour(now()-F82)) &amp;""hrs,"") &amp; if(int(MINUTE(now()-F"&amp;"82))&lt;=1, int(MINUTE(now()-F82)) &amp; ""min,"", int(MINUTE(now()-F82)) &amp;""mins""),""""), if(and(isdate(F82),isdate(G82)), if(int(G82-F82)&lt;=1, int(G82-F82) &amp; ""day,"", int(G82-F82)&amp;""days,"") &amp; if(hour(G82-F82)&lt;=1, hour(G82-F82) &amp; ""hr,"", hour(G82-F82)&amp;""hrs,"&amp;""") &amp; if(MINUTE(G82-F82)&lt;=1, MINUTE(G82-F82) &amp; ""min"", MINUTE(G82-F82)&amp; ""mins""),"""")))"),"")</f>
        <v/>
      </c>
      <c r="I82" s="96"/>
      <c r="J82" s="96"/>
    </row>
    <row r="83" spans="1:10" ht="12.75">
      <c r="A83" s="13">
        <v>22</v>
      </c>
      <c r="B83" s="511"/>
      <c r="C83" s="511"/>
      <c r="D83" s="10"/>
      <c r="E83" s="10"/>
      <c r="F83" s="462"/>
      <c r="G83" s="354"/>
      <c r="H83" s="96" t="str">
        <f ca="1">IFERROR(__xludf.DUMMYFUNCTION("if(and(G83="""",F83=""""), """", if(G83="""", if(isdate(F83), if(int(now()-F83)&lt;=1, int(now()-F83) &amp; ""day,"", int(now()-F83) &amp;""days,"") &amp; if(int(hour(now()-F83))&lt;=1, int(hour(now()-F83)) &amp; ""hr,"", int(hour(now()-F83)) &amp;""hrs,"") &amp; if(int(MINUTE(now()-F"&amp;"83))&lt;=1, int(MINUTE(now()-F83)) &amp; ""min,"", int(MINUTE(now()-F83)) &amp;""mins""),""""), if(and(isdate(F83),isdate(G83)), if(int(G83-F83)&lt;=1, int(G83-F83) &amp; ""day,"", int(G83-F83)&amp;""days,"") &amp; if(hour(G83-F83)&lt;=1, hour(G83-F83) &amp; ""hr,"", hour(G83-F83)&amp;""hrs,"&amp;""") &amp; if(MINUTE(G83-F83)&lt;=1, MINUTE(G83-F83) &amp; ""min"", MINUTE(G83-F83)&amp; ""mins""),"""")))"),"")</f>
        <v/>
      </c>
      <c r="I83" s="96"/>
      <c r="J83" s="96"/>
    </row>
    <row r="84" spans="1:10" ht="12.75">
      <c r="A84" s="13"/>
      <c r="B84" s="511"/>
      <c r="C84" s="512"/>
      <c r="D84" s="10"/>
      <c r="E84" s="10"/>
      <c r="F84" s="462"/>
      <c r="G84" s="354"/>
      <c r="H84" s="96" t="str">
        <f ca="1">IFERROR(__xludf.DUMMYFUNCTION("if(and(G84="""",F84=""""), """", if(G84="""", if(isdate(F84), if(int(now()-F84)&lt;=1, int(now()-F84) &amp; ""day,"", int(now()-F84) &amp;""days,"") &amp; if(int(hour(now()-F84))&lt;=1, int(hour(now()-F84)) &amp; ""hr,"", int(hour(now()-F84)) &amp;""hrs,"") &amp; if(int(MINUTE(now()-F"&amp;"84))&lt;=1, int(MINUTE(now()-F84)) &amp; ""min,"", int(MINUTE(now()-F84)) &amp;""mins""),""""), if(and(isdate(F84),isdate(G84)), if(int(G84-F84)&lt;=1, int(G84-F84) &amp; ""day,"", int(G84-F84)&amp;""days,"") &amp; if(hour(G84-F84)&lt;=1, hour(G84-F84) &amp; ""hr,"", hour(G84-F84)&amp;""hrs,"&amp;""") &amp; if(MINUTE(G84-F84)&lt;=1, MINUTE(G84-F84) &amp; ""min"", MINUTE(G84-F84)&amp; ""mins""),"""")))"),"")</f>
        <v/>
      </c>
      <c r="I84" s="96"/>
      <c r="J84" s="96"/>
    </row>
    <row r="85" spans="1:10" ht="12.75">
      <c r="A85" s="13"/>
      <c r="B85" s="511"/>
      <c r="C85" s="464"/>
      <c r="D85" s="10"/>
      <c r="E85" s="10"/>
      <c r="F85" s="462"/>
      <c r="G85" s="354"/>
      <c r="H85" s="96"/>
      <c r="I85" s="96"/>
      <c r="J85" s="96"/>
    </row>
    <row r="86" spans="1:10" ht="12.75">
      <c r="A86" s="13">
        <v>23</v>
      </c>
      <c r="B86" s="511"/>
      <c r="C86" s="636" t="s">
        <v>3856</v>
      </c>
      <c r="D86" s="10"/>
      <c r="E86" s="10"/>
      <c r="F86" s="462"/>
      <c r="G86" s="354"/>
      <c r="H86" s="96" t="str">
        <f ca="1">IFERROR(__xludf.DUMMYFUNCTION("if(and(G86="""",F86=""""), """", if(G86="""", if(isdate(F86), if(int(now()-F86)&lt;=1, int(now()-F86) &amp; ""day,"", int(now()-F86) &amp;""days,"") &amp; if(int(hour(now()-F86))&lt;=1, int(hour(now()-F86)) &amp; ""hr,"", int(hour(now()-F86)) &amp;""hrs,"") &amp; if(int(MINUTE(now()-F"&amp;"86))&lt;=1, int(MINUTE(now()-F86)) &amp; ""min,"", int(MINUTE(now()-F86)) &amp;""mins""),""""), if(and(isdate(F86),isdate(G86)), if(int(G86-F86)&lt;=1, int(G86-F86) &amp; ""day,"", int(G86-F86)&amp;""days,"") &amp; if(hour(G86-F86)&lt;=1, hour(G86-F86) &amp; ""hr,"", hour(G86-F86)&amp;""hrs,"&amp;""") &amp; if(MINUTE(G86-F86)&lt;=1, MINUTE(G86-F86) &amp; ""min"", MINUTE(G86-F86)&amp; ""mins""),"""")))"),"")</f>
        <v/>
      </c>
      <c r="I86" s="96"/>
      <c r="J86" s="96"/>
    </row>
    <row r="87" spans="1:10" ht="12.75">
      <c r="A87" s="13"/>
      <c r="B87" s="511"/>
      <c r="C87" s="512"/>
      <c r="D87" s="10"/>
      <c r="E87" s="10"/>
      <c r="F87" s="354"/>
      <c r="G87" s="354"/>
      <c r="H87" s="96" t="str">
        <f ca="1">IFERROR(__xludf.DUMMYFUNCTION("if(and(G87="""",F87=""""), """", if(G87="""", if(isdate(F87), if(int(now()-F87)&lt;=1, int(now()-F87) &amp; ""day,"", int(now()-F87) &amp;""days,"") &amp; if(int(hour(now()-F87))&lt;=1, int(hour(now()-F87)) &amp; ""hr,"", int(hour(now()-F87)) &amp;""hrs,"") &amp; if(int(MINUTE(now()-F"&amp;"87))&lt;=1, int(MINUTE(now()-F87)) &amp; ""min,"", int(MINUTE(now()-F87)) &amp;""mins""),""""), if(and(isdate(F87),isdate(G87)), if(int(G87-F87)&lt;=1, int(G87-F87) &amp; ""day,"", int(G87-F87)&amp;""days,"") &amp; if(hour(G87-F87)&lt;=1, hour(G87-F87) &amp; ""hr,"", hour(G87-F87)&amp;""hrs,"&amp;""") &amp; if(MINUTE(G87-F87)&lt;=1, MINUTE(G87-F87) &amp; ""min"", MINUTE(G87-F87)&amp; ""mins""),"""")))"),"")</f>
        <v/>
      </c>
      <c r="I87" s="96"/>
      <c r="J87" s="96"/>
    </row>
    <row r="88" spans="1:10" ht="12.75">
      <c r="A88" s="13"/>
      <c r="B88" s="511"/>
      <c r="C88" s="469"/>
      <c r="D88" s="10"/>
      <c r="E88" s="10"/>
      <c r="F88" s="354"/>
      <c r="G88" s="354"/>
      <c r="H88" s="96"/>
      <c r="I88" s="96"/>
      <c r="J88" s="96"/>
    </row>
    <row r="89" spans="1:10" ht="12.75">
      <c r="A89" s="13">
        <v>24</v>
      </c>
      <c r="B89" s="511"/>
      <c r="C89" s="636" t="s">
        <v>3857</v>
      </c>
      <c r="D89" s="10"/>
      <c r="E89" s="10"/>
      <c r="F89" s="354"/>
      <c r="G89" s="354"/>
      <c r="H89" s="96" t="str">
        <f ca="1">IFERROR(__xludf.DUMMYFUNCTION("if(and(G89="""",F89=""""), """", if(G89="""", if(isdate(F89), if(int(now()-F89)&lt;=1, int(now()-F89) &amp; ""day,"", int(now()-F89) &amp;""days,"") &amp; if(int(hour(now()-F89))&lt;=1, int(hour(now()-F89)) &amp; ""hr,"", int(hour(now()-F89)) &amp;""hrs,"") &amp; if(int(MINUTE(now()-F"&amp;"89))&lt;=1, int(MINUTE(now()-F89)) &amp; ""min,"", int(MINUTE(now()-F89)) &amp;""mins""),""""), if(and(isdate(F89),isdate(G89)), if(int(G89-F89)&lt;=1, int(G89-F89) &amp; ""day,"", int(G89-F89)&amp;""days,"") &amp; if(hour(G89-F89)&lt;=1, hour(G89-F89) &amp; ""hr,"", hour(G89-F89)&amp;""hrs,"&amp;""") &amp; if(MINUTE(G89-F89)&lt;=1, MINUTE(G89-F89) &amp; ""min"", MINUTE(G89-F89)&amp; ""mins""),"""")))"),"")</f>
        <v/>
      </c>
      <c r="I89" s="96"/>
      <c r="J89" s="96"/>
    </row>
    <row r="90" spans="1:10" ht="12.75">
      <c r="A90" s="13"/>
      <c r="B90" s="511"/>
      <c r="C90" s="512"/>
      <c r="D90" s="10"/>
      <c r="E90" s="10"/>
      <c r="F90" s="462">
        <v>45394.479641203703</v>
      </c>
      <c r="G90" s="354">
        <v>45394.486203703702</v>
      </c>
      <c r="H90" s="96" t="str">
        <f ca="1">IFERROR(__xludf.DUMMYFUNCTION("if(and(G90="""",F90=""""), """", if(G90="""", if(isdate(F90), if(int(now()-F90)&lt;=1, int(now()-F90) &amp; ""day,"", int(now()-F90) &amp;""days,"") &amp; if(int(hour(now()-F90))&lt;=1, int(hour(now()-F90)) &amp; ""hr,"", int(hour(now()-F90)) &amp;""hrs,"") &amp; if(int(MINUTE(now()-F"&amp;"90))&lt;=1, int(MINUTE(now()-F90)) &amp; ""min,"", int(MINUTE(now()-F90)) &amp;""mins""),""""), if(and(isdate(F90),isdate(G90)), if(int(G90-F90)&lt;=1, int(G90-F90) &amp; ""day,"", int(G90-F90)&amp;""days,"") &amp; if(hour(G90-F90)&lt;=1, hour(G90-F90) &amp; ""hr,"", hour(G90-F90)&amp;""hrs,"&amp;""") &amp; if(MINUTE(G90-F90)&lt;=1, MINUTE(G90-F90) &amp; ""min"", MINUTE(G90-F90)&amp; ""mins""),"""")))"),"0day,0hr,9mins")</f>
        <v>0day,0hr,9mins</v>
      </c>
      <c r="I90" s="96"/>
      <c r="J90" s="96"/>
    </row>
    <row r="91" spans="1:10" ht="12.75">
      <c r="A91" s="13"/>
      <c r="B91" s="511"/>
      <c r="C91" s="464"/>
      <c r="D91" s="10"/>
      <c r="E91" s="10"/>
      <c r="F91" s="462"/>
      <c r="G91" s="354"/>
      <c r="H91" s="96"/>
      <c r="I91" s="96"/>
      <c r="J91" s="96"/>
    </row>
    <row r="92" spans="1:10" ht="12.75">
      <c r="A92" s="13">
        <v>25</v>
      </c>
      <c r="B92" s="511"/>
      <c r="C92" s="636" t="s">
        <v>3858</v>
      </c>
      <c r="D92" s="10"/>
      <c r="E92" s="10"/>
      <c r="F92" s="462"/>
      <c r="G92" s="354"/>
      <c r="H92" s="96" t="str">
        <f ca="1">IFERROR(__xludf.DUMMYFUNCTION("if(and(G92="""",F92=""""), """", if(G92="""", if(isdate(F92), if(int(now()-F92)&lt;=1, int(now()-F92) &amp; ""day,"", int(now()-F92) &amp;""days,"") &amp; if(int(hour(now()-F92))&lt;=1, int(hour(now()-F92)) &amp; ""hr,"", int(hour(now()-F92)) &amp;""hrs,"") &amp; if(int(MINUTE(now()-F"&amp;"92))&lt;=1, int(MINUTE(now()-F92)) &amp; ""min,"", int(MINUTE(now()-F92)) &amp;""mins""),""""), if(and(isdate(F92),isdate(G92)), if(int(G92-F92)&lt;=1, int(G92-F92) &amp; ""day,"", int(G92-F92)&amp;""days,"") &amp; if(hour(G92-F92)&lt;=1, hour(G92-F92) &amp; ""hr,"", hour(G92-F92)&amp;""hrs,"&amp;""") &amp; if(MINUTE(G92-F92)&lt;=1, MINUTE(G92-F92) &amp; ""min"", MINUTE(G92-F92)&amp; ""mins""),"""")))"),"")</f>
        <v/>
      </c>
      <c r="I92" s="96"/>
      <c r="J92" s="96"/>
    </row>
    <row r="93" spans="1:10" ht="12.75">
      <c r="A93" s="13">
        <v>26</v>
      </c>
      <c r="B93" s="511"/>
      <c r="C93" s="511"/>
      <c r="D93" s="10"/>
      <c r="E93" s="10"/>
      <c r="F93" s="462">
        <v>45394.637280092589</v>
      </c>
      <c r="G93" s="354">
        <v>45394.64371527778</v>
      </c>
      <c r="H93" s="96" t="str">
        <f ca="1">IFERROR(__xludf.DUMMYFUNCTION("if(and(G93="""",F93=""""), """", if(G93="""", if(isdate(F93), if(int(now()-F93)&lt;=1, int(now()-F93) &amp; ""day,"", int(now()-F93) &amp;""days,"") &amp; if(int(hour(now()-F93))&lt;=1, int(hour(now()-F93)) &amp; ""hr,"", int(hour(now()-F93)) &amp;""hrs,"") &amp; if(int(MINUTE(now()-F"&amp;"93))&lt;=1, int(MINUTE(now()-F93)) &amp; ""min,"", int(MINUTE(now()-F93)) &amp;""mins""),""""), if(and(isdate(F93),isdate(G93)), if(int(G93-F93)&lt;=1, int(G93-F93) &amp; ""day,"", int(G93-F93)&amp;""days,"") &amp; if(hour(G93-F93)&lt;=1, hour(G93-F93) &amp; ""hr,"", hour(G93-F93)&amp;""hrs,"&amp;""") &amp; if(MINUTE(G93-F93)&lt;=1, MINUTE(G93-F93) &amp; ""min"", MINUTE(G93-F93)&amp; ""mins""),"""")))"),"0day,0hr,9mins")</f>
        <v>0day,0hr,9mins</v>
      </c>
      <c r="I93" s="96"/>
      <c r="J93" s="96"/>
    </row>
    <row r="94" spans="1:10" ht="12.75">
      <c r="A94" s="13">
        <v>27</v>
      </c>
      <c r="B94" s="511"/>
      <c r="C94" s="512"/>
      <c r="D94" s="10"/>
      <c r="E94" s="10"/>
      <c r="F94" s="462">
        <v>45394.479872685188</v>
      </c>
      <c r="G94" s="354">
        <v>45394.486203703702</v>
      </c>
      <c r="H94" s="96" t="str">
        <f ca="1">IFERROR(__xludf.DUMMYFUNCTION("if(and(G94="""",F94=""""), """", if(G94="""", if(isdate(F94), if(int(now()-F94)&lt;=1, int(now()-F94) &amp; ""day,"", int(now()-F94) &amp;""days,"") &amp; if(int(hour(now()-F94))&lt;=1, int(hour(now()-F94)) &amp; ""hr,"", int(hour(now()-F94)) &amp;""hrs,"") &amp; if(int(MINUTE(now()-F"&amp;"94))&lt;=1, int(MINUTE(now()-F94)) &amp; ""min,"", int(MINUTE(now()-F94)) &amp;""mins""),""""), if(and(isdate(F94),isdate(G94)), if(int(G94-F94)&lt;=1, int(G94-F94) &amp; ""day,"", int(G94-F94)&amp;""days,"") &amp; if(hour(G94-F94)&lt;=1, hour(G94-F94) &amp; ""hr,"", hour(G94-F94)&amp;""hrs,"&amp;""") &amp; if(MINUTE(G94-F94)&lt;=1, MINUTE(G94-F94) &amp; ""min"", MINUTE(G94-F94)&amp; ""mins""),"""")))"),"0day,0hr,9mins")</f>
        <v>0day,0hr,9mins</v>
      </c>
      <c r="I94" s="96"/>
      <c r="J94" s="13"/>
    </row>
    <row r="95" spans="1:10" ht="12.75">
      <c r="A95" s="13"/>
      <c r="B95" s="511"/>
      <c r="C95" s="465"/>
      <c r="D95" s="10"/>
      <c r="E95" s="10"/>
      <c r="F95" s="462"/>
      <c r="G95" s="354"/>
      <c r="H95" s="96"/>
      <c r="I95" s="96"/>
      <c r="J95" s="13"/>
    </row>
    <row r="96" spans="1:10" ht="12.75">
      <c r="A96" s="13"/>
      <c r="B96" s="511"/>
      <c r="C96" s="559" t="s">
        <v>3860</v>
      </c>
      <c r="D96" s="10"/>
      <c r="E96" s="10"/>
      <c r="F96" s="462"/>
      <c r="G96" s="354"/>
      <c r="H96" s="96"/>
      <c r="I96" s="96"/>
      <c r="J96" s="13"/>
    </row>
    <row r="97" spans="1:10" ht="12.75">
      <c r="A97" s="13"/>
      <c r="B97" s="512"/>
      <c r="C97" s="512"/>
      <c r="D97" s="10"/>
      <c r="E97" s="10"/>
      <c r="F97" s="462"/>
      <c r="G97" s="354"/>
      <c r="H97" s="96"/>
      <c r="I97" s="96"/>
      <c r="J97" s="13"/>
    </row>
    <row r="98" spans="1:10" ht="12.75">
      <c r="A98" s="13"/>
      <c r="B98" s="50"/>
      <c r="C98" s="75"/>
      <c r="D98" s="10"/>
      <c r="E98" s="10"/>
      <c r="F98" s="462"/>
      <c r="G98" s="354"/>
      <c r="H98" s="96" t="str">
        <f ca="1">IFERROR(__xludf.DUMMYFUNCTION("if(and(G98="""",F98=""""), """", if(G98="""", if(isdate(F98), if(int(now()-F98)&lt;=1, int(now()-F98) &amp; ""day,"", int(now()-F98) &amp;""days,"") &amp; if(int(hour(now()-F98))&lt;=1, int(hour(now()-F98)) &amp; ""hr,"", int(hour(now()-F98)) &amp;""hrs,"") &amp; if(int(MINUTE(now()-F"&amp;"98))&lt;=1, int(MINUTE(now()-F98)) &amp; ""min,"", int(MINUTE(now()-F98)) &amp;""mins""),""""), if(and(isdate(F98),isdate(G98)), if(int(G98-F98)&lt;=1, int(G98-F98) &amp; ""day,"", int(G98-F98)&amp;""days,"") &amp; if(hour(G98-F98)&lt;=1, hour(G98-F98) &amp; ""hr,"", hour(G98-F98)&amp;""hrs,"&amp;""") &amp; if(MINUTE(G98-F98)&lt;=1, MINUTE(G98-F98) &amp; ""min"", MINUTE(G98-F98)&amp; ""mins""),"""")))"),"")</f>
        <v/>
      </c>
      <c r="I98" s="96"/>
      <c r="J98" s="13"/>
    </row>
    <row r="99" spans="1:10" ht="12.75">
      <c r="A99" s="13"/>
      <c r="B99" s="634" t="s">
        <v>3861</v>
      </c>
      <c r="C99" s="557" t="s">
        <v>3862</v>
      </c>
      <c r="D99" s="10"/>
      <c r="E99" s="10"/>
      <c r="F99" s="462"/>
      <c r="G99" s="354"/>
      <c r="H99" s="96"/>
      <c r="I99" s="96"/>
      <c r="J99" s="13"/>
    </row>
    <row r="100" spans="1:10" ht="12.75">
      <c r="A100" s="13">
        <v>28</v>
      </c>
      <c r="B100" s="511"/>
      <c r="C100" s="511"/>
      <c r="D100" s="10"/>
      <c r="E100" s="10"/>
      <c r="F100" s="462"/>
      <c r="G100" s="354"/>
      <c r="H100" s="96" t="str">
        <f ca="1">IFERROR(__xludf.DUMMYFUNCTION("if(and(G100="""",F100=""""), """", if(G100="""", if(isdate(F100), if(int(now()-F100)&lt;=1, int(now()-F100) &amp; ""day,"", int(now()-F100) &amp;""days,"") &amp; if(int(hour(now()-F100))&lt;=1, int(hour(now()-F100)) &amp; ""hr,"", int(hour(now()-F100)) &amp;""hrs,"") &amp; if(int(MINU"&amp;"TE(now()-F100))&lt;=1, int(MINUTE(now()-F100)) &amp; ""min,"", int(MINUTE(now()-F100)) &amp;""mins""),""""), if(and(isdate(F100),isdate(G100)), if(int(G100-F100)&lt;=1, int(G100-F100) &amp; ""day,"", int(G100-F100)&amp;""days,"") &amp; if(hour(G100-F100)&lt;=1, hour(G100-F100) &amp; ""hr"&amp;","", hour(G100-F100)&amp;""hrs,"") &amp; if(MINUTE(G100-F100)&lt;=1, MINUTE(G100-F100) &amp; ""min"", MINUTE(G100-F100)&amp; ""mins""),"""")))"),"")</f>
        <v/>
      </c>
      <c r="I100" s="96"/>
      <c r="J100" s="13"/>
    </row>
    <row r="101" spans="1:10" ht="12.75">
      <c r="A101" s="13"/>
      <c r="B101" s="511"/>
      <c r="C101" s="512"/>
      <c r="D101" s="10"/>
      <c r="E101" s="10"/>
      <c r="F101" s="462"/>
      <c r="G101" s="354"/>
      <c r="H101" s="96"/>
      <c r="I101" s="96"/>
      <c r="J101" s="13"/>
    </row>
    <row r="102" spans="1:10" ht="12.75">
      <c r="A102" s="13"/>
      <c r="B102" s="511"/>
      <c r="C102" s="636" t="s">
        <v>3864</v>
      </c>
      <c r="D102" s="10"/>
      <c r="E102" s="10"/>
      <c r="F102" s="462"/>
      <c r="G102" s="354"/>
      <c r="H102" s="96"/>
      <c r="I102" s="96"/>
      <c r="J102" s="13"/>
    </row>
    <row r="103" spans="1:10" ht="12.75">
      <c r="A103" s="13">
        <v>29</v>
      </c>
      <c r="B103" s="511"/>
      <c r="C103" s="511"/>
      <c r="D103" s="10"/>
      <c r="E103" s="10"/>
      <c r="F103" s="462"/>
      <c r="G103" s="354"/>
      <c r="H103" s="96" t="str">
        <f ca="1">IFERROR(__xludf.DUMMYFUNCTION("if(and(G103="""",F103=""""), """", if(G103="""", if(isdate(F103), if(int(now()-F103)&lt;=1, int(now()-F103) &amp; ""day,"", int(now()-F103) &amp;""days,"") &amp; if(int(hour(now()-F103))&lt;=1, int(hour(now()-F103)) &amp; ""hr,"", int(hour(now()-F103)) &amp;""hrs,"") &amp; if(int(MINU"&amp;"TE(now()-F103))&lt;=1, int(MINUTE(now()-F103)) &amp; ""min,"", int(MINUTE(now()-F103)) &amp;""mins""),""""), if(and(isdate(F103),isdate(G103)), if(int(G103-F103)&lt;=1, int(G103-F103) &amp; ""day,"", int(G103-F103)&amp;""days,"") &amp; if(hour(G103-F103)&lt;=1, hour(G103-F103) &amp; ""hr"&amp;","", hour(G103-F103)&amp;""hrs,"") &amp; if(MINUTE(G103-F103)&lt;=1, MINUTE(G103-F103) &amp; ""min"", MINUTE(G103-F103)&amp; ""mins""),"""")))"),"")</f>
        <v/>
      </c>
      <c r="I103" s="96"/>
      <c r="J103" s="13"/>
    </row>
    <row r="104" spans="1:10" ht="12.75">
      <c r="A104" s="13"/>
      <c r="B104" s="511"/>
      <c r="C104" s="512"/>
      <c r="D104" s="10"/>
      <c r="E104" s="10"/>
      <c r="F104" s="462"/>
      <c r="G104" s="354"/>
      <c r="H104" s="96"/>
      <c r="I104" s="96"/>
      <c r="J104" s="13"/>
    </row>
    <row r="105" spans="1:10" ht="12.75">
      <c r="A105" s="13"/>
      <c r="B105" s="511"/>
      <c r="C105" s="464"/>
      <c r="D105" s="10"/>
      <c r="E105" s="10"/>
      <c r="F105" s="462"/>
      <c r="G105" s="354"/>
      <c r="H105" s="96"/>
      <c r="I105" s="96"/>
      <c r="J105" s="13"/>
    </row>
    <row r="106" spans="1:10" ht="12.75">
      <c r="A106" s="13"/>
      <c r="B106" s="511"/>
      <c r="C106" s="636" t="s">
        <v>3865</v>
      </c>
      <c r="D106" s="10"/>
      <c r="E106" s="10"/>
      <c r="F106" s="462"/>
      <c r="G106" s="354"/>
      <c r="H106" s="96"/>
      <c r="I106" s="96"/>
      <c r="J106" s="13"/>
    </row>
    <row r="107" spans="1:10" ht="12.75">
      <c r="A107" s="13">
        <v>30</v>
      </c>
      <c r="B107" s="511"/>
      <c r="C107" s="512"/>
      <c r="D107" s="10"/>
      <c r="E107" s="10"/>
      <c r="F107" s="462"/>
      <c r="G107" s="354"/>
      <c r="H107" s="96" t="str">
        <f ca="1">IFERROR(__xludf.DUMMYFUNCTION("if(and(G107="""",F107=""""), """", if(G107="""", if(isdate(F107), if(int(now()-F107)&lt;=1, int(now()-F107) &amp; ""day,"", int(now()-F107) &amp;""days,"") &amp; if(int(hour(now()-F107))&lt;=1, int(hour(now()-F107)) &amp; ""hr,"", int(hour(now()-F107)) &amp;""hrs,"") &amp; if(int(MINU"&amp;"TE(now()-F107))&lt;=1, int(MINUTE(now()-F107)) &amp; ""min,"", int(MINUTE(now()-F107)) &amp;""mins""),""""), if(and(isdate(F107),isdate(G107)), if(int(G107-F107)&lt;=1, int(G107-F107) &amp; ""day,"", int(G107-F107)&amp;""days,"") &amp; if(hour(G107-F107)&lt;=1, hour(G107-F107) &amp; ""hr"&amp;","", hour(G107-F107)&amp;""hrs,"") &amp; if(MINUTE(G107-F107)&lt;=1, MINUTE(G107-F107) &amp; ""min"", MINUTE(G107-F107)&amp; ""mins""),"""")))"),"")</f>
        <v/>
      </c>
      <c r="I107" s="96"/>
      <c r="J107" s="13"/>
    </row>
    <row r="108" spans="1:10" ht="12.75">
      <c r="A108" s="13"/>
      <c r="B108" s="511"/>
      <c r="C108" s="469"/>
      <c r="D108" s="10"/>
      <c r="E108" s="10"/>
      <c r="F108" s="462"/>
      <c r="G108" s="354"/>
      <c r="H108" s="96"/>
      <c r="I108" s="96"/>
      <c r="J108" s="13"/>
    </row>
    <row r="109" spans="1:10" ht="12.75">
      <c r="A109" s="13">
        <v>31</v>
      </c>
      <c r="B109" s="511"/>
      <c r="C109" s="636" t="s">
        <v>3867</v>
      </c>
      <c r="D109" s="10"/>
      <c r="E109" s="10"/>
      <c r="F109" s="462"/>
      <c r="G109" s="354"/>
      <c r="H109" s="96" t="str">
        <f ca="1">IFERROR(__xludf.DUMMYFUNCTION("if(and(G109="""",F109=""""), """", if(G109="""", if(isdate(F109), if(int(now()-F109)&lt;=1, int(now()-F109) &amp; ""day,"", int(now()-F109) &amp;""days,"") &amp; if(int(hour(now()-F109))&lt;=1, int(hour(now()-F109)) &amp; ""hr,"", int(hour(now()-F109)) &amp;""hrs,"") &amp; if(int(MINU"&amp;"TE(now()-F109))&lt;=1, int(MINUTE(now()-F109)) &amp; ""min,"", int(MINUTE(now()-F109)) &amp;""mins""),""""), if(and(isdate(F109),isdate(G109)), if(int(G109-F109)&lt;=1, int(G109-F109) &amp; ""day,"", int(G109-F109)&amp;""days,"") &amp; if(hour(G109-F109)&lt;=1, hour(G109-F109) &amp; ""hr"&amp;","", hour(G109-F109)&amp;""hrs,"") &amp; if(MINUTE(G109-F109)&lt;=1, MINUTE(G109-F109) &amp; ""min"", MINUTE(G109-F109)&amp; ""mins""),"""")))"),"")</f>
        <v/>
      </c>
      <c r="I109" s="96"/>
      <c r="J109" s="13"/>
    </row>
    <row r="110" spans="1:10" ht="12.75">
      <c r="A110" s="13"/>
      <c r="B110" s="511"/>
      <c r="C110" s="512"/>
      <c r="D110" s="10"/>
      <c r="E110" s="10"/>
      <c r="F110" s="462"/>
      <c r="G110" s="354"/>
      <c r="H110" s="96"/>
      <c r="I110" s="96"/>
      <c r="J110" s="13"/>
    </row>
    <row r="111" spans="1:10" ht="12.75">
      <c r="A111" s="13"/>
      <c r="B111" s="511"/>
      <c r="C111" s="464"/>
      <c r="D111" s="10"/>
      <c r="E111" s="10"/>
      <c r="F111" s="462"/>
      <c r="G111" s="354"/>
      <c r="H111" s="96"/>
      <c r="I111" s="96"/>
      <c r="J111" s="13"/>
    </row>
    <row r="112" spans="1:10" ht="12.75">
      <c r="A112" s="13">
        <v>32</v>
      </c>
      <c r="B112" s="511"/>
      <c r="C112" s="636" t="s">
        <v>3869</v>
      </c>
      <c r="D112" s="10"/>
      <c r="E112" s="10"/>
      <c r="F112" s="462"/>
      <c r="G112" s="354"/>
      <c r="H112" s="96" t="str">
        <f ca="1">IFERROR(__xludf.DUMMYFUNCTION("if(and(G112="""",F112=""""), """", if(G112="""", if(isdate(F112), if(int(now()-F112)&lt;=1, int(now()-F112) &amp; ""day,"", int(now()-F112) &amp;""days,"") &amp; if(int(hour(now()-F112))&lt;=1, int(hour(now()-F112)) &amp; ""hr,"", int(hour(now()-F112)) &amp;""hrs,"") &amp; if(int(MINU"&amp;"TE(now()-F112))&lt;=1, int(MINUTE(now()-F112)) &amp; ""min,"", int(MINUTE(now()-F112)) &amp;""mins""),""""), if(and(isdate(F112),isdate(G112)), if(int(G112-F112)&lt;=1, int(G112-F112) &amp; ""day,"", int(G112-F112)&amp;""days,"") &amp; if(hour(G112-F112)&lt;=1, hour(G112-F112) &amp; ""hr"&amp;","", hour(G112-F112)&amp;""hrs,"") &amp; if(MINUTE(G112-F112)&lt;=1, MINUTE(G112-F112) &amp; ""min"", MINUTE(G112-F112)&amp; ""mins""),"""")))"),"")</f>
        <v/>
      </c>
      <c r="I112" s="96"/>
      <c r="J112" s="13"/>
    </row>
    <row r="113" spans="1:10" ht="12.75">
      <c r="A113" s="10"/>
      <c r="B113" s="511"/>
      <c r="C113" s="512"/>
      <c r="D113" s="10"/>
      <c r="E113" s="10"/>
      <c r="F113" s="462"/>
      <c r="G113" s="354"/>
      <c r="H113" s="96"/>
      <c r="I113" s="96"/>
      <c r="J113" s="13"/>
    </row>
    <row r="114" spans="1:10" ht="12.75">
      <c r="A114" s="10"/>
      <c r="B114" s="511"/>
      <c r="C114" s="465"/>
      <c r="D114" s="10"/>
      <c r="E114" s="10"/>
      <c r="F114" s="462"/>
      <c r="G114" s="354"/>
      <c r="H114" s="96"/>
      <c r="I114" s="96"/>
      <c r="J114" s="13"/>
    </row>
    <row r="115" spans="1:10" ht="12.75">
      <c r="A115" s="10">
        <v>33</v>
      </c>
      <c r="B115" s="511"/>
      <c r="C115" s="559" t="s">
        <v>3870</v>
      </c>
      <c r="D115" s="10"/>
      <c r="E115" s="10"/>
      <c r="F115" s="462">
        <v>45394.359733796293</v>
      </c>
      <c r="G115" s="354">
        <v>45394.366053240738</v>
      </c>
      <c r="H115" s="96" t="str">
        <f ca="1">IFERROR(__xludf.DUMMYFUNCTION("if(and(G115="""",F115=""""), """", if(G115="""", if(isdate(F115), if(int(now()-F115)&lt;=1, int(now()-F115) &amp; ""day,"", int(now()-F115) &amp;""days,"") &amp; if(int(hour(now()-F115))&lt;=1, int(hour(now()-F115)) &amp; ""hr,"", int(hour(now()-F115)) &amp;""hrs,"") &amp; if(int(MINU"&amp;"TE(now()-F115))&lt;=1, int(MINUTE(now()-F115)) &amp; ""min,"", int(MINUTE(now()-F115)) &amp;""mins""),""""), if(and(isdate(F115),isdate(G115)), if(int(G115-F115)&lt;=1, int(G115-F115) &amp; ""day,"", int(G115-F115)&amp;""days,"") &amp; if(hour(G115-F115)&lt;=1, hour(G115-F115) &amp; ""hr"&amp;","", hour(G115-F115)&amp;""hrs,"") &amp; if(MINUTE(G115-F115)&lt;=1, MINUTE(G115-F115) &amp; ""min"", MINUTE(G115-F115)&amp; ""mins""),"""")))"),"0day,0hr,9mins")</f>
        <v>0day,0hr,9mins</v>
      </c>
      <c r="I115" s="96"/>
      <c r="J115" s="13"/>
    </row>
    <row r="116" spans="1:10" ht="12.75">
      <c r="A116" s="13">
        <v>34</v>
      </c>
      <c r="B116" s="512"/>
      <c r="C116" s="512"/>
      <c r="D116" s="10"/>
      <c r="E116" s="10"/>
      <c r="F116" s="462"/>
      <c r="G116" s="101"/>
      <c r="H116" s="96" t="str">
        <f ca="1">IFERROR(__xludf.DUMMYFUNCTION("if(and(G116="""",F116=""""), """", if(G116="""", if(isdate(F116), if(int(now()-F116)&lt;=1, int(now()-F116) &amp; ""day,"", int(now()-F116) &amp;""days,"") &amp; if(int(hour(now()-F116))&lt;=1, int(hour(now()-F116)) &amp; ""hr,"", int(hour(now()-F116)) &amp;""hrs,"") &amp; if(int(MINU"&amp;"TE(now()-F116))&lt;=1, int(MINUTE(now()-F116)) &amp; ""min,"", int(MINUTE(now()-F116)) &amp;""mins""),""""), if(and(isdate(F116),isdate(G116)), if(int(G116-F116)&lt;=1, int(G116-F116) &amp; ""day,"", int(G116-F116)&amp;""days,"") &amp; if(hour(G116-F116)&lt;=1, hour(G116-F116) &amp; ""hr"&amp;","", hour(G116-F116)&amp;""hrs,"") &amp; if(MINUTE(G116-F116)&lt;=1, MINUTE(G116-F116) &amp; ""min"", MINUTE(G116-F116)&amp; ""mins""),"""")))"),"")</f>
        <v/>
      </c>
      <c r="I116" s="96"/>
      <c r="J116" s="13"/>
    </row>
    <row r="117" spans="1:10" ht="12.75">
      <c r="A117" s="13"/>
      <c r="B117" s="459"/>
      <c r="C117" s="75"/>
      <c r="D117" s="10"/>
      <c r="E117" s="10"/>
      <c r="F117" s="462"/>
      <c r="G117" s="354"/>
      <c r="H117" s="96"/>
      <c r="I117" s="96"/>
      <c r="J117" s="13"/>
    </row>
    <row r="118" spans="1:10" ht="12.75">
      <c r="A118" s="13"/>
      <c r="B118" s="634" t="s">
        <v>3872</v>
      </c>
      <c r="C118" s="557" t="s">
        <v>3873</v>
      </c>
      <c r="D118" s="10"/>
      <c r="E118" s="10"/>
      <c r="F118" s="462"/>
      <c r="G118" s="354"/>
      <c r="H118" s="96"/>
      <c r="I118" s="96"/>
      <c r="J118" s="13"/>
    </row>
    <row r="119" spans="1:10" ht="12.75">
      <c r="A119" s="514">
        <v>35</v>
      </c>
      <c r="B119" s="511"/>
      <c r="C119" s="511"/>
      <c r="D119" s="514"/>
      <c r="E119" s="514"/>
      <c r="F119" s="462"/>
      <c r="G119" s="354"/>
      <c r="H119" s="96" t="str">
        <f ca="1">IFERROR(__xludf.DUMMYFUNCTION("if(and(G119="""",F119=""""), """", if(G119="""", if(isdate(F119), if(int(now()-F119)&lt;=1, int(now()-F119) &amp; ""day,"", int(now()-F119) &amp;""days,"") &amp; if(int(hour(now()-F119))&lt;=1, int(hour(now()-F119)) &amp; ""hr,"", int(hour(now()-F119)) &amp;""hrs,"") &amp; if(int(MINU"&amp;"TE(now()-F119))&lt;=1, int(MINUTE(now()-F119)) &amp; ""min,"", int(MINUTE(now()-F119)) &amp;""mins""),""""), if(and(isdate(F119),isdate(G119)), if(int(G119-F119)&lt;=1, int(G119-F119) &amp; ""day,"", int(G119-F119)&amp;""days,"") &amp; if(hour(G119-F119)&lt;=1, hour(G119-F119) &amp; ""hr"&amp;","", hour(G119-F119)&amp;""hrs,"") &amp; if(MINUTE(G119-F119)&lt;=1, MINUTE(G119-F119) &amp; ""min"", MINUTE(G119-F119)&amp; ""mins""),"""")))"),"")</f>
        <v/>
      </c>
      <c r="I119" s="96"/>
      <c r="J119" s="13"/>
    </row>
    <row r="120" spans="1:10" ht="12.75">
      <c r="A120" s="512"/>
      <c r="B120" s="511"/>
      <c r="C120" s="512"/>
      <c r="D120" s="511"/>
      <c r="E120" s="511"/>
      <c r="F120" s="462"/>
      <c r="G120" s="354"/>
      <c r="H120" s="96" t="str">
        <f ca="1">IFERROR(__xludf.DUMMYFUNCTION("if(and(G120="""",F120=""""), """", if(G120="""", if(isdate(F120), if(int(now()-F120)&lt;=1, int(now()-F120) &amp; ""day,"", int(now()-F120) &amp;""days,"") &amp; if(int(hour(now()-F120))&lt;=1, int(hour(now()-F120)) &amp; ""hr,"", int(hour(now()-F120)) &amp;""hrs,"") &amp; if(int(MINU"&amp;"TE(now()-F120))&lt;=1, int(MINUTE(now()-F120)) &amp; ""min,"", int(MINUTE(now()-F120)) &amp;""mins""),""""), if(and(isdate(F120),isdate(G120)), if(int(G120-F120)&lt;=1, int(G120-F120) &amp; ""day,"", int(G120-F120)&amp;""days,"") &amp; if(hour(G120-F120)&lt;=1, hour(G120-F120) &amp; ""hr"&amp;","", hour(G120-F120)&amp;""hrs,"") &amp; if(MINUTE(G120-F120)&lt;=1, MINUTE(G120-F120) &amp; ""min"", MINUTE(G120-F120)&amp; ""mins""),"""")))"),"")</f>
        <v/>
      </c>
      <c r="I120" s="96"/>
      <c r="J120" s="13"/>
    </row>
    <row r="121" spans="1:10" ht="12.75">
      <c r="A121" s="13"/>
      <c r="B121" s="511"/>
      <c r="C121" s="465"/>
      <c r="D121" s="10"/>
      <c r="E121" s="10"/>
      <c r="F121" s="462"/>
      <c r="G121" s="354"/>
      <c r="H121" s="96"/>
      <c r="I121" s="96"/>
      <c r="J121" s="13"/>
    </row>
    <row r="122" spans="1:10" ht="12.75">
      <c r="A122" s="514">
        <v>36</v>
      </c>
      <c r="B122" s="511"/>
      <c r="C122" s="559" t="s">
        <v>3875</v>
      </c>
      <c r="D122" s="514"/>
      <c r="E122" s="514"/>
      <c r="F122" s="462"/>
      <c r="G122" s="354"/>
      <c r="H122" s="96" t="str">
        <f ca="1">IFERROR(__xludf.DUMMYFUNCTION("if(and(G122="""",F122=""""), """", if(G122="""", if(isdate(F122), if(int(now()-F122)&lt;=1, int(now()-F122) &amp; ""day,"", int(now()-F122) &amp;""days,"") &amp; if(int(hour(now()-F122))&lt;=1, int(hour(now()-F122)) &amp; ""hr,"", int(hour(now()-F122)) &amp;""hrs,"") &amp; if(int(MINU"&amp;"TE(now()-F122))&lt;=1, int(MINUTE(now()-F122)) &amp; ""min,"", int(MINUTE(now()-F122)) &amp;""mins""),""""), if(and(isdate(F122),isdate(G122)), if(int(G122-F122)&lt;=1, int(G122-F122) &amp; ""day,"", int(G122-F122)&amp;""days,"") &amp; if(hour(G122-F122)&lt;=1, hour(G122-F122) &amp; ""hr"&amp;","", hour(G122-F122)&amp;""hrs,"") &amp; if(MINUTE(G122-F122)&lt;=1, MINUTE(G122-F122) &amp; ""min"", MINUTE(G122-F122)&amp; ""mins""),"""")))"),"")</f>
        <v/>
      </c>
      <c r="I122" s="96"/>
      <c r="J122" s="13"/>
    </row>
    <row r="123" spans="1:10" ht="12.75">
      <c r="A123" s="512"/>
      <c r="B123" s="511"/>
      <c r="C123" s="512"/>
      <c r="D123" s="511"/>
      <c r="E123" s="511"/>
      <c r="F123" s="462"/>
      <c r="G123" s="354"/>
      <c r="H123" s="96" t="str">
        <f ca="1">IFERROR(__xludf.DUMMYFUNCTION("if(and(G123="""",F123=""""), """", if(G123="""", if(isdate(F123), if(int(now()-F123)&lt;=1, int(now()-F123) &amp; ""day,"", int(now()-F123) &amp;""days,"") &amp; if(int(hour(now()-F123))&lt;=1, int(hour(now()-F123)) &amp; ""hr,"", int(hour(now()-F123)) &amp;""hrs,"") &amp; if(int(MINU"&amp;"TE(now()-F123))&lt;=1, int(MINUTE(now()-F123)) &amp; ""min,"", int(MINUTE(now()-F123)) &amp;""mins""),""""), if(and(isdate(F123),isdate(G123)), if(int(G123-F123)&lt;=1, int(G123-F123) &amp; ""day,"", int(G123-F123)&amp;""days,"") &amp; if(hour(G123-F123)&lt;=1, hour(G123-F123) &amp; ""hr"&amp;","", hour(G123-F123)&amp;""hrs,"") &amp; if(MINUTE(G123-F123)&lt;=1, MINUTE(G123-F123) &amp; ""min"", MINUTE(G123-F123)&amp; ""mins""),"""")))"),"")</f>
        <v/>
      </c>
      <c r="I123" s="96"/>
      <c r="J123" s="13"/>
    </row>
    <row r="124" spans="1:10" ht="12.75">
      <c r="A124" s="13"/>
      <c r="B124" s="511"/>
      <c r="C124" s="465"/>
      <c r="D124" s="10"/>
      <c r="E124" s="10"/>
      <c r="F124" s="462"/>
      <c r="G124" s="354"/>
      <c r="H124" s="96"/>
      <c r="I124" s="96"/>
      <c r="J124" s="13"/>
    </row>
    <row r="125" spans="1:10" ht="12.75">
      <c r="A125" s="514">
        <v>37</v>
      </c>
      <c r="B125" s="511"/>
      <c r="C125" s="559" t="s">
        <v>3879</v>
      </c>
      <c r="D125" s="514"/>
      <c r="E125" s="514"/>
      <c r="F125" s="462"/>
      <c r="G125" s="354"/>
      <c r="H125" s="96" t="str">
        <f ca="1">IFERROR(__xludf.DUMMYFUNCTION("if(and(G125="""",F125=""""), """", if(G125="""", if(isdate(F125), if(int(now()-F125)&lt;=1, int(now()-F125) &amp; ""day,"", int(now()-F125) &amp;""days,"") &amp; if(int(hour(now()-F125))&lt;=1, int(hour(now()-F125)) &amp; ""hr,"", int(hour(now()-F125)) &amp;""hrs,"") &amp; if(int(MINU"&amp;"TE(now()-F125))&lt;=1, int(MINUTE(now()-F125)) &amp; ""min,"", int(MINUTE(now()-F125)) &amp;""mins""),""""), if(and(isdate(F125),isdate(G125)), if(int(G125-F125)&lt;=1, int(G125-F125) &amp; ""day,"", int(G125-F125)&amp;""days,"") &amp; if(hour(G125-F125)&lt;=1, hour(G125-F125) &amp; ""hr"&amp;","", hour(G125-F125)&amp;""hrs,"") &amp; if(MINUTE(G125-F125)&lt;=1, MINUTE(G125-F125) &amp; ""min"", MINUTE(G125-F125)&amp; ""mins""),"""")))"),"")</f>
        <v/>
      </c>
      <c r="I125" s="96"/>
      <c r="J125" s="13"/>
    </row>
    <row r="126" spans="1:10" ht="12.75">
      <c r="A126" s="512"/>
      <c r="B126" s="511"/>
      <c r="C126" s="512"/>
      <c r="D126" s="511"/>
      <c r="E126" s="511"/>
      <c r="F126" s="462"/>
      <c r="G126" s="354"/>
      <c r="H126" s="96" t="str">
        <f ca="1">IFERROR(__xludf.DUMMYFUNCTION("if(and(G126="""",F126=""""), """", if(G126="""", if(isdate(F126), if(int(now()-F126)&lt;=1, int(now()-F126) &amp; ""day,"", int(now()-F126) &amp;""days,"") &amp; if(int(hour(now()-F126))&lt;=1, int(hour(now()-F126)) &amp; ""hr,"", int(hour(now()-F126)) &amp;""hrs,"") &amp; if(int(MINU"&amp;"TE(now()-F126))&lt;=1, int(MINUTE(now()-F126)) &amp; ""min,"", int(MINUTE(now()-F126)) &amp;""mins""),""""), if(and(isdate(F126),isdate(G126)), if(int(G126-F126)&lt;=1, int(G126-F126) &amp; ""day,"", int(G126-F126)&amp;""days,"") &amp; if(hour(G126-F126)&lt;=1, hour(G126-F126) &amp; ""hr"&amp;","", hour(G126-F126)&amp;""hrs,"") &amp; if(MINUTE(G126-F126)&lt;=1, MINUTE(G126-F126) &amp; ""min"", MINUTE(G126-F126)&amp; ""mins""),"""")))"),"")</f>
        <v/>
      </c>
      <c r="I126" s="96"/>
      <c r="J126" s="13"/>
    </row>
    <row r="127" spans="1:10" ht="12.75">
      <c r="A127" s="13"/>
      <c r="B127" s="511"/>
      <c r="C127" s="465"/>
      <c r="D127" s="10"/>
      <c r="E127" s="10"/>
      <c r="F127" s="462"/>
      <c r="G127" s="354"/>
      <c r="H127" s="96"/>
      <c r="I127" s="96"/>
      <c r="J127" s="13"/>
    </row>
    <row r="128" spans="1:10" ht="12.75">
      <c r="A128" s="514">
        <v>38</v>
      </c>
      <c r="B128" s="511"/>
      <c r="C128" s="559" t="s">
        <v>3880</v>
      </c>
      <c r="D128" s="514"/>
      <c r="E128" s="514"/>
      <c r="F128" s="462"/>
      <c r="G128" s="354"/>
      <c r="H128" s="96" t="str">
        <f ca="1">IFERROR(__xludf.DUMMYFUNCTION("if(and(G128="""",F128=""""), """", if(G128="""", if(isdate(F128), if(int(now()-F128)&lt;=1, int(now()-F128) &amp; ""day,"", int(now()-F128) &amp;""days,"") &amp; if(int(hour(now()-F128))&lt;=1, int(hour(now()-F128)) &amp; ""hr,"", int(hour(now()-F128)) &amp;""hrs,"") &amp; if(int(MINU"&amp;"TE(now()-F128))&lt;=1, int(MINUTE(now()-F128)) &amp; ""min,"", int(MINUTE(now()-F128)) &amp;""mins""),""""), if(and(isdate(F128),isdate(G128)), if(int(G128-F128)&lt;=1, int(G128-F128) &amp; ""day,"", int(G128-F128)&amp;""days,"") &amp; if(hour(G128-F128)&lt;=1, hour(G128-F128) &amp; ""hr"&amp;","", hour(G128-F128)&amp;""hrs,"") &amp; if(MINUTE(G128-F128)&lt;=1, MINUTE(G128-F128) &amp; ""min"", MINUTE(G128-F128)&amp; ""mins""),"""")))"),"")</f>
        <v/>
      </c>
      <c r="I128" s="96"/>
      <c r="J128" s="13"/>
    </row>
    <row r="129" spans="1:11" ht="12.75">
      <c r="A129" s="512"/>
      <c r="B129" s="511"/>
      <c r="C129" s="512"/>
      <c r="D129" s="511"/>
      <c r="E129" s="511"/>
      <c r="F129" s="462">
        <v>45394.57303240741</v>
      </c>
      <c r="G129" s="354">
        <v>45394.579305555555</v>
      </c>
      <c r="H129" s="96" t="str">
        <f ca="1">IFERROR(__xludf.DUMMYFUNCTION("if(and(G129="""",F129=""""), """", if(G129="""", if(isdate(F129), if(int(now()-F129)&lt;=1, int(now()-F129) &amp; ""day,"", int(now()-F129) &amp;""days,"") &amp; if(int(hour(now()-F129))&lt;=1, int(hour(now()-F129)) &amp; ""hr,"", int(hour(now()-F129)) &amp;""hrs,"") &amp; if(int(MINU"&amp;"TE(now()-F129))&lt;=1, int(MINUTE(now()-F129)) &amp; ""min,"", int(MINUTE(now()-F129)) &amp;""mins""),""""), if(and(isdate(F129),isdate(G129)), if(int(G129-F129)&lt;=1, int(G129-F129) &amp; ""day,"", int(G129-F129)&amp;""days,"") &amp; if(hour(G129-F129)&lt;=1, hour(G129-F129) &amp; ""hr"&amp;","", hour(G129-F129)&amp;""hrs,"") &amp; if(MINUTE(G129-F129)&lt;=1, MINUTE(G129-F129) &amp; ""min"", MINUTE(G129-F129)&amp; ""mins""),"""")))"),"0day,0hr,9mins")</f>
        <v>0day,0hr,9mins</v>
      </c>
      <c r="I129" s="96"/>
      <c r="J129" s="13"/>
    </row>
    <row r="130" spans="1:11" ht="12.75">
      <c r="A130" s="13"/>
      <c r="B130" s="511"/>
      <c r="C130" s="464"/>
      <c r="D130" s="10"/>
      <c r="E130" s="10"/>
      <c r="F130" s="462"/>
      <c r="G130" s="354"/>
      <c r="H130" s="96"/>
      <c r="I130" s="96"/>
      <c r="J130" s="13"/>
    </row>
    <row r="131" spans="1:11" ht="12.75">
      <c r="A131" s="514">
        <v>39</v>
      </c>
      <c r="B131" s="511"/>
      <c r="C131" s="636" t="s">
        <v>3881</v>
      </c>
      <c r="D131" s="514"/>
      <c r="E131" s="514"/>
      <c r="F131" s="462"/>
      <c r="G131" s="354"/>
      <c r="H131" s="96" t="str">
        <f ca="1">IFERROR(__xludf.DUMMYFUNCTION("if(and(G131="""",F131=""""), """", if(G131="""", if(isdate(F131), if(int(now()-F131)&lt;=1, int(now()-F131) &amp; ""day,"", int(now()-F131) &amp;""days,"") &amp; if(int(hour(now()-F131))&lt;=1, int(hour(now()-F131)) &amp; ""hr,"", int(hour(now()-F131)) &amp;""hrs,"") &amp; if(int(MINU"&amp;"TE(now()-F131))&lt;=1, int(MINUTE(now()-F131)) &amp; ""min,"", int(MINUTE(now()-F131)) &amp;""mins""),""""), if(and(isdate(F131),isdate(G131)), if(int(G131-F131)&lt;=1, int(G131-F131) &amp; ""day,"", int(G131-F131)&amp;""days,"") &amp; if(hour(G131-F131)&lt;=1, hour(G131-F131) &amp; ""hr"&amp;","", hour(G131-F131)&amp;""hrs,"") &amp; if(MINUTE(G131-F131)&lt;=1, MINUTE(G131-F131) &amp; ""min"", MINUTE(G131-F131)&amp; ""mins""),"""")))"),"")</f>
        <v/>
      </c>
      <c r="I131" s="96"/>
      <c r="J131" s="13"/>
    </row>
    <row r="132" spans="1:11" ht="12.75">
      <c r="A132" s="512"/>
      <c r="B132" s="511"/>
      <c r="C132" s="512"/>
      <c r="D132" s="511"/>
      <c r="E132" s="511"/>
      <c r="F132" s="462"/>
      <c r="G132" s="354"/>
      <c r="H132" s="96" t="str">
        <f ca="1">IFERROR(__xludf.DUMMYFUNCTION("if(and(G132="""",F132=""""), """", if(G132="""", if(isdate(F132), if(int(now()-F132)&lt;=1, int(now()-F132) &amp; ""day,"", int(now()-F132) &amp;""days,"") &amp; if(int(hour(now()-F132))&lt;=1, int(hour(now()-F132)) &amp; ""hr,"", int(hour(now()-F132)) &amp;""hrs,"") &amp; if(int(MINU"&amp;"TE(now()-F132))&lt;=1, int(MINUTE(now()-F132)) &amp; ""min,"", int(MINUTE(now()-F132)) &amp;""mins""),""""), if(and(isdate(F132),isdate(G132)), if(int(G132-F132)&lt;=1, int(G132-F132) &amp; ""day,"", int(G132-F132)&amp;""days,"") &amp; if(hour(G132-F132)&lt;=1, hour(G132-F132) &amp; ""hr"&amp;","", hour(G132-F132)&amp;""hrs,"") &amp; if(MINUTE(G132-F132)&lt;=1, MINUTE(G132-F132) &amp; ""min"", MINUTE(G132-F132)&amp; ""mins""),"""")))"),"")</f>
        <v/>
      </c>
      <c r="I132" s="96"/>
      <c r="J132" s="13"/>
    </row>
    <row r="133" spans="1:11" ht="12.75">
      <c r="A133" s="13"/>
      <c r="B133" s="511"/>
      <c r="C133" s="465"/>
      <c r="D133" s="10"/>
      <c r="E133" s="10"/>
      <c r="F133" s="462"/>
      <c r="G133" s="354"/>
      <c r="H133" s="96"/>
      <c r="I133" s="96"/>
      <c r="J133" s="13"/>
    </row>
    <row r="134" spans="1:11" ht="12.75">
      <c r="A134" s="514">
        <v>40</v>
      </c>
      <c r="B134" s="511"/>
      <c r="C134" s="559" t="s">
        <v>3883</v>
      </c>
      <c r="D134" s="514"/>
      <c r="E134" s="514"/>
      <c r="F134" s="462"/>
      <c r="G134" s="354"/>
      <c r="H134" s="96" t="str">
        <f ca="1">IFERROR(__xludf.DUMMYFUNCTION("if(and(G134="""",F134=""""), """", if(G134="""", if(isdate(F134), if(int(now()-F134)&lt;=1, int(now()-F134) &amp; ""day,"", int(now()-F134) &amp;""days,"") &amp; if(int(hour(now()-F134))&lt;=1, int(hour(now()-F134)) &amp; ""hr,"", int(hour(now()-F134)) &amp;""hrs,"") &amp; if(int(MINU"&amp;"TE(now()-F134))&lt;=1, int(MINUTE(now()-F134)) &amp; ""min,"", int(MINUTE(now()-F134)) &amp;""mins""),""""), if(and(isdate(F134),isdate(G134)), if(int(G134-F134)&lt;=1, int(G134-F134) &amp; ""day,"", int(G134-F134)&amp;""days,"") &amp; if(hour(G134-F134)&lt;=1, hour(G134-F134) &amp; ""hr"&amp;","", hour(G134-F134)&amp;""hrs,"") &amp; if(MINUTE(G134-F134)&lt;=1, MINUTE(G134-F134) &amp; ""min"", MINUTE(G134-F134)&amp; ""mins""),"""")))"),"")</f>
        <v/>
      </c>
      <c r="I134" s="96"/>
      <c r="J134" s="13"/>
    </row>
    <row r="135" spans="1:11" ht="12.75">
      <c r="A135" s="512"/>
      <c r="B135" s="511"/>
      <c r="C135" s="512"/>
      <c r="D135" s="511"/>
      <c r="E135" s="511"/>
      <c r="F135" s="462"/>
      <c r="G135" s="354"/>
      <c r="H135" s="96" t="str">
        <f ca="1">IFERROR(__xludf.DUMMYFUNCTION("if(and(G135="""",F135=""""), """", if(G135="""", if(isdate(F135), if(int(now()-F135)&lt;=1, int(now()-F135) &amp; ""day,"", int(now()-F135) &amp;""days,"") &amp; if(int(hour(now()-F135))&lt;=1, int(hour(now()-F135)) &amp; ""hr,"", int(hour(now()-F135)) &amp;""hrs,"") &amp; if(int(MINU"&amp;"TE(now()-F135))&lt;=1, int(MINUTE(now()-F135)) &amp; ""min,"", int(MINUTE(now()-F135)) &amp;""mins""),""""), if(and(isdate(F135),isdate(G135)), if(int(G135-F135)&lt;=1, int(G135-F135) &amp; ""day,"", int(G135-F135)&amp;""days,"") &amp; if(hour(G135-F135)&lt;=1, hour(G135-F135) &amp; ""hr"&amp;","", hour(G135-F135)&amp;""hrs,"") &amp; if(MINUTE(G135-F135)&lt;=1, MINUTE(G135-F135) &amp; ""min"", MINUTE(G135-F135)&amp; ""mins""),"""")))"),"")</f>
        <v/>
      </c>
      <c r="I135" s="96"/>
      <c r="J135" s="96"/>
      <c r="K135" s="472"/>
    </row>
    <row r="136" spans="1:11" ht="12.75">
      <c r="A136" s="13"/>
      <c r="B136" s="459"/>
      <c r="C136" s="464"/>
      <c r="D136" s="10"/>
      <c r="E136" s="10"/>
      <c r="F136" s="462"/>
      <c r="G136" s="354"/>
      <c r="H136" s="96"/>
      <c r="I136" s="96"/>
      <c r="J136" s="96"/>
      <c r="K136" s="472"/>
    </row>
    <row r="137" spans="1:11" ht="12.75">
      <c r="A137" s="13"/>
      <c r="B137" s="634" t="s">
        <v>3884</v>
      </c>
      <c r="C137" s="635" t="s">
        <v>3885</v>
      </c>
      <c r="D137" s="10"/>
      <c r="E137" s="10"/>
      <c r="F137" s="462"/>
      <c r="G137" s="354"/>
      <c r="H137" s="96"/>
      <c r="I137" s="96"/>
      <c r="J137" s="96"/>
      <c r="K137" s="472"/>
    </row>
    <row r="138" spans="1:11" ht="12.75">
      <c r="A138" s="13">
        <v>41</v>
      </c>
      <c r="B138" s="511"/>
      <c r="C138" s="512"/>
      <c r="D138" s="10"/>
      <c r="E138" s="10"/>
      <c r="F138" s="462"/>
      <c r="G138" s="354"/>
      <c r="H138" s="96" t="str">
        <f ca="1">IFERROR(__xludf.DUMMYFUNCTION("if(and(G138="""",F138=""""), """", if(G138="""", if(isdate(F138), if(int(now()-F138)&lt;=1, int(now()-F138) &amp; ""day,"", int(now()-F138) &amp;""days,"") &amp; if(int(hour(now()-F138))&lt;=1, int(hour(now()-F138)) &amp; ""hr,"", int(hour(now()-F138)) &amp;""hrs,"") &amp; if(int(MINU"&amp;"TE(now()-F138))&lt;=1, int(MINUTE(now()-F138)) &amp; ""min,"", int(MINUTE(now()-F138)) &amp;""mins""),""""), if(and(isdate(F138),isdate(G138)), if(int(G138-F138)&lt;=1, int(G138-F138) &amp; ""day,"", int(G138-F138)&amp;""days,"") &amp; if(hour(G138-F138)&lt;=1, hour(G138-F138) &amp; ""hr"&amp;","", hour(G138-F138)&amp;""hrs,"") &amp; if(MINUTE(G138-F138)&lt;=1, MINUTE(G138-F138) &amp; ""min"", MINUTE(G138-F138)&amp; ""mins""),"""")))"),"")</f>
        <v/>
      </c>
      <c r="I138" s="96"/>
      <c r="J138" s="96"/>
      <c r="K138" s="96"/>
    </row>
    <row r="139" spans="1:11" ht="12.75">
      <c r="A139" s="13"/>
      <c r="B139" s="511"/>
      <c r="C139" s="464"/>
      <c r="D139" s="10"/>
      <c r="E139" s="10"/>
      <c r="F139" s="462"/>
      <c r="G139" s="354"/>
      <c r="H139" s="96"/>
      <c r="I139" s="96"/>
      <c r="J139" s="96"/>
    </row>
    <row r="140" spans="1:11" ht="12.75">
      <c r="A140" s="13"/>
      <c r="B140" s="511"/>
      <c r="C140" s="636" t="s">
        <v>3887</v>
      </c>
      <c r="D140" s="10"/>
      <c r="E140" s="10"/>
      <c r="F140" s="462"/>
      <c r="G140" s="354"/>
      <c r="H140" s="96"/>
      <c r="I140" s="96"/>
      <c r="J140" s="96"/>
    </row>
    <row r="141" spans="1:11" ht="12.75">
      <c r="A141" s="13">
        <v>42</v>
      </c>
      <c r="B141" s="511"/>
      <c r="C141" s="512"/>
      <c r="D141" s="10"/>
      <c r="E141" s="10"/>
      <c r="F141" s="462"/>
      <c r="G141" s="354"/>
      <c r="H141" s="96" t="str">
        <f ca="1">IFERROR(__xludf.DUMMYFUNCTION("if(and(G141="""",F141=""""), """", if(G141="""", if(isdate(F141), if(int(now()-F141)&lt;=1, int(now()-F141) &amp; ""day,"", int(now()-F141) &amp;""days,"") &amp; if(int(hour(now()-F141))&lt;=1, int(hour(now()-F141)) &amp; ""hr,"", int(hour(now()-F141)) &amp;""hrs,"") &amp; if(int(MINU"&amp;"TE(now()-F141))&lt;=1, int(MINUTE(now()-F141)) &amp; ""min,"", int(MINUTE(now()-F141)) &amp;""mins""),""""), if(and(isdate(F141),isdate(G141)), if(int(G141-F141)&lt;=1, int(G141-F141) &amp; ""day,"", int(G141-F141)&amp;""days,"") &amp; if(hour(G141-F141)&lt;=1, hour(G141-F141) &amp; ""hr"&amp;","", hour(G141-F141)&amp;""hrs,"") &amp; if(MINUTE(G141-F141)&lt;=1, MINUTE(G141-F141) &amp; ""min"", MINUTE(G141-F141)&amp; ""mins""),"""")))"),"")</f>
        <v/>
      </c>
      <c r="I141" s="96"/>
      <c r="J141" s="96"/>
    </row>
    <row r="142" spans="1:11" ht="12.75">
      <c r="A142" s="13"/>
      <c r="B142" s="511"/>
      <c r="C142" s="464"/>
      <c r="D142" s="10"/>
      <c r="E142" s="10"/>
      <c r="F142" s="462"/>
      <c r="G142" s="354"/>
      <c r="H142" s="96"/>
      <c r="I142" s="96"/>
      <c r="J142" s="96"/>
    </row>
    <row r="143" spans="1:11" ht="12.75">
      <c r="A143" s="13"/>
      <c r="B143" s="511"/>
      <c r="C143" s="636" t="s">
        <v>3888</v>
      </c>
      <c r="D143" s="10"/>
      <c r="E143" s="10"/>
      <c r="F143" s="462"/>
      <c r="G143" s="354"/>
      <c r="H143" s="96"/>
      <c r="I143" s="96"/>
      <c r="J143" s="96"/>
    </row>
    <row r="144" spans="1:11" ht="12.75">
      <c r="A144" s="13">
        <v>43</v>
      </c>
      <c r="B144" s="511"/>
      <c r="C144" s="512"/>
      <c r="D144" s="10"/>
      <c r="E144" s="10"/>
      <c r="F144" s="462"/>
      <c r="G144" s="354"/>
      <c r="H144" s="96" t="str">
        <f ca="1">IFERROR(__xludf.DUMMYFUNCTION("if(and(G144="""",F144=""""), """", if(G144="""", if(isdate(F144), if(int(now()-F144)&lt;=1, int(now()-F144) &amp; ""day,"", int(now()-F144) &amp;""days,"") &amp; if(int(hour(now()-F144))&lt;=1, int(hour(now()-F144)) &amp; ""hr,"", int(hour(now()-F144)) &amp;""hrs,"") &amp; if(int(MINU"&amp;"TE(now()-F144))&lt;=1, int(MINUTE(now()-F144)) &amp; ""min,"", int(MINUTE(now()-F144)) &amp;""mins""),""""), if(and(isdate(F144),isdate(G144)), if(int(G144-F144)&lt;=1, int(G144-F144) &amp; ""day,"", int(G144-F144)&amp;""days,"") &amp; if(hour(G144-F144)&lt;=1, hour(G144-F144) &amp; ""hr"&amp;","", hour(G144-F144)&amp;""hrs,"") &amp; if(MINUTE(G144-F144)&lt;=1, MINUTE(G144-F144) &amp; ""min"", MINUTE(G144-F144)&amp; ""mins""),"""")))"),"")</f>
        <v/>
      </c>
      <c r="I144" s="96"/>
      <c r="J144" s="96"/>
    </row>
    <row r="145" spans="1:10" ht="12.75">
      <c r="A145" s="13"/>
      <c r="B145" s="511"/>
      <c r="C145" s="464"/>
      <c r="D145" s="10"/>
      <c r="E145" s="10"/>
      <c r="F145" s="462"/>
      <c r="G145" s="354"/>
      <c r="H145" s="96"/>
      <c r="I145" s="96"/>
      <c r="J145" s="96"/>
    </row>
    <row r="146" spans="1:10" ht="12.75">
      <c r="A146" s="13"/>
      <c r="B146" s="511"/>
      <c r="C146" s="636" t="s">
        <v>3890</v>
      </c>
      <c r="D146" s="10"/>
      <c r="E146" s="10"/>
      <c r="F146" s="462"/>
      <c r="G146" s="354"/>
      <c r="H146" s="96"/>
      <c r="I146" s="96"/>
      <c r="J146" s="96"/>
    </row>
    <row r="147" spans="1:10" ht="12.75">
      <c r="A147" s="13">
        <v>45</v>
      </c>
      <c r="B147" s="511"/>
      <c r="C147" s="512"/>
      <c r="D147" s="10"/>
      <c r="E147" s="10"/>
      <c r="F147" s="462">
        <v>45394.333923611113</v>
      </c>
      <c r="G147" s="354">
        <v>45394.340509259258</v>
      </c>
      <c r="H147" s="96" t="str">
        <f ca="1">IFERROR(__xludf.DUMMYFUNCTION("if(and(G147="""",F147=""""), """", if(G147="""", if(isdate(F147), if(int(now()-F147)&lt;=1, int(now()-F147) &amp; ""day,"", int(now()-F147) &amp;""days,"") &amp; if(int(hour(now()-F147))&lt;=1, int(hour(now()-F147)) &amp; ""hr,"", int(hour(now()-F147)) &amp;""hrs,"") &amp; if(int(MINU"&amp;"TE(now()-F147))&lt;=1, int(MINUTE(now()-F147)) &amp; ""min,"", int(MINUTE(now()-F147)) &amp;""mins""),""""), if(and(isdate(F147),isdate(G147)), if(int(G147-F147)&lt;=1, int(G147-F147) &amp; ""day,"", int(G147-F147)&amp;""days,"") &amp; if(hour(G147-F147)&lt;=1, hour(G147-F147) &amp; ""hr"&amp;","", hour(G147-F147)&amp;""hrs,"") &amp; if(MINUTE(G147-F147)&lt;=1, MINUTE(G147-F147) &amp; ""min"", MINUTE(G147-F147)&amp; ""mins""),"""")))"),"0day,0hr,9mins")</f>
        <v>0day,0hr,9mins</v>
      </c>
      <c r="I147" s="96"/>
      <c r="J147" s="96"/>
    </row>
    <row r="148" spans="1:10" ht="12.75">
      <c r="A148" s="13"/>
      <c r="B148" s="511"/>
      <c r="C148" s="465"/>
      <c r="D148" s="10"/>
      <c r="E148" s="10"/>
      <c r="F148" s="473"/>
      <c r="G148" s="124"/>
      <c r="H148" s="96"/>
      <c r="I148" s="96"/>
      <c r="J148" s="18"/>
    </row>
    <row r="149" spans="1:10" ht="25.5">
      <c r="A149" s="13"/>
      <c r="B149" s="511"/>
      <c r="C149" s="465" t="s">
        <v>3891</v>
      </c>
      <c r="D149" s="10"/>
      <c r="E149" s="10"/>
      <c r="F149" s="473"/>
      <c r="G149" s="124"/>
      <c r="H149" s="96"/>
      <c r="I149" s="96"/>
      <c r="J149" s="18"/>
    </row>
    <row r="150" spans="1:10" ht="12.75">
      <c r="A150" s="13"/>
      <c r="B150" s="511"/>
      <c r="C150" s="465"/>
      <c r="D150" s="10"/>
      <c r="E150" s="10"/>
      <c r="F150" s="473"/>
      <c r="G150" s="124"/>
      <c r="H150" s="96"/>
      <c r="I150" s="96"/>
      <c r="J150" s="18"/>
    </row>
    <row r="151" spans="1:10" ht="25.5">
      <c r="A151" s="13"/>
      <c r="B151" s="512"/>
      <c r="C151" s="465" t="s">
        <v>3892</v>
      </c>
      <c r="D151" s="10"/>
      <c r="E151" s="10"/>
      <c r="F151" s="473"/>
      <c r="G151" s="124"/>
      <c r="H151" s="96"/>
      <c r="I151" s="96"/>
      <c r="J151" s="18"/>
    </row>
    <row r="152" spans="1:10" ht="12.75">
      <c r="A152" s="13"/>
      <c r="B152" s="474"/>
      <c r="C152" s="465"/>
      <c r="D152" s="10"/>
      <c r="E152" s="10"/>
      <c r="F152" s="473"/>
      <c r="G152" s="124"/>
      <c r="H152" s="96"/>
      <c r="I152" s="96"/>
      <c r="J152" s="18"/>
    </row>
    <row r="153" spans="1:10" ht="12.75">
      <c r="A153" s="514">
        <v>47</v>
      </c>
      <c r="B153" s="638" t="s">
        <v>2247</v>
      </c>
      <c r="C153" s="557" t="s">
        <v>3894</v>
      </c>
      <c r="D153" s="514"/>
      <c r="E153" s="514"/>
      <c r="F153" s="473"/>
      <c r="G153" s="124"/>
      <c r="H153" s="96" t="str">
        <f ca="1">IFERROR(__xludf.DUMMYFUNCTION("if(and(G153="""",F153=""""), """", if(G153="""", if(isdate(F153), if(int(now()-F153)&lt;=1, int(now()-F153) &amp; ""day,"", int(now()-F153) &amp;""days,"") &amp; if(int(hour(now()-F153))&lt;=1, int(hour(now()-F153)) &amp; ""hr,"", int(hour(now()-F153)) &amp;""hrs,"") &amp; if(int(MINU"&amp;"TE(now()-F153))&lt;=1, int(MINUTE(now()-F153)) &amp; ""min,"", int(MINUTE(now()-F153)) &amp;""mins""),""""), if(and(isdate(F153),isdate(G153)), if(int(G153-F153)&lt;=1, int(G153-F153) &amp; ""day,"", int(G153-F153)&amp;""days,"") &amp; if(hour(G153-F153)&lt;=1, hour(G153-F153) &amp; ""hr"&amp;","", hour(G153-F153)&amp;""hrs,"") &amp; if(MINUTE(G153-F153)&lt;=1, MINUTE(G153-F153) &amp; ""min"", MINUTE(G153-F153)&amp; ""mins""),"""")))"),"")</f>
        <v/>
      </c>
      <c r="I153" s="96"/>
      <c r="J153" s="18"/>
    </row>
    <row r="154" spans="1:10" ht="12.75">
      <c r="A154" s="511"/>
      <c r="B154" s="511"/>
      <c r="C154" s="511"/>
      <c r="D154" s="511"/>
      <c r="E154" s="511"/>
      <c r="F154" s="473"/>
      <c r="G154" s="124"/>
      <c r="H154" s="96"/>
      <c r="I154" s="96"/>
      <c r="J154" s="18"/>
    </row>
    <row r="155" spans="1:10" ht="12.75">
      <c r="A155" s="512"/>
      <c r="B155" s="511"/>
      <c r="C155" s="512"/>
      <c r="D155" s="511"/>
      <c r="E155" s="511"/>
      <c r="F155" s="473"/>
      <c r="G155" s="124"/>
      <c r="H155" s="96" t="str">
        <f ca="1">IFERROR(__xludf.DUMMYFUNCTION("if(and(G155="""",F155=""""), """", if(G155="""", if(isdate(F155), if(int(now()-F155)&lt;=1, int(now()-F155) &amp; ""day,"", int(now()-F155) &amp;""days,"") &amp; if(int(hour(now()-F155))&lt;=1, int(hour(now()-F155)) &amp; ""hr,"", int(hour(now()-F155)) &amp;""hrs,"") &amp; if(int(MINU"&amp;"TE(now()-F155))&lt;=1, int(MINUTE(now()-F155)) &amp; ""min,"", int(MINUTE(now()-F155)) &amp;""mins""),""""), if(and(isdate(F155),isdate(G155)), if(int(G155-F155)&lt;=1, int(G155-F155) &amp; ""day,"", int(G155-F155)&amp;""days,"") &amp; if(hour(G155-F155)&lt;=1, hour(G155-F155) &amp; ""hr"&amp;","", hour(G155-F155)&amp;""hrs,"") &amp; if(MINUTE(G155-F155)&lt;=1, MINUTE(G155-F155) &amp; ""min"", MINUTE(G155-F155)&amp; ""mins""),"""")))"),"")</f>
        <v/>
      </c>
      <c r="I155" s="96"/>
      <c r="J155" s="18"/>
    </row>
    <row r="156" spans="1:10" ht="12.75">
      <c r="A156" s="13"/>
      <c r="B156" s="511"/>
      <c r="C156" s="465"/>
      <c r="D156" s="10"/>
      <c r="E156" s="10"/>
      <c r="F156" s="473"/>
      <c r="G156" s="124"/>
      <c r="H156" s="96"/>
      <c r="I156" s="96"/>
      <c r="J156" s="18"/>
    </row>
    <row r="157" spans="1:10" ht="12.75">
      <c r="A157" s="514">
        <v>48</v>
      </c>
      <c r="B157" s="511"/>
      <c r="C157" s="559" t="s">
        <v>3897</v>
      </c>
      <c r="D157" s="514"/>
      <c r="E157" s="514"/>
      <c r="F157" s="473"/>
      <c r="G157" s="124"/>
      <c r="H157" s="96" t="str">
        <f ca="1">IFERROR(__xludf.DUMMYFUNCTION("if(and(G157="""",F157=""""), """", if(G157="""", if(isdate(F157), if(int(now()-F157)&lt;=1, int(now()-F157) &amp; ""day,"", int(now()-F157) &amp;""days,"") &amp; if(int(hour(now()-F157))&lt;=1, int(hour(now()-F157)) &amp; ""hr,"", int(hour(now()-F157)) &amp;""hrs,"") &amp; if(int(MINU"&amp;"TE(now()-F157))&lt;=1, int(MINUTE(now()-F157)) &amp; ""min,"", int(MINUTE(now()-F157)) &amp;""mins""),""""), if(and(isdate(F157),isdate(G157)), if(int(G157-F157)&lt;=1, int(G157-F157) &amp; ""day,"", int(G157-F157)&amp;""days,"") &amp; if(hour(G157-F157)&lt;=1, hour(G157-F157) &amp; ""hr"&amp;","", hour(G157-F157)&amp;""hrs,"") &amp; if(MINUTE(G157-F157)&lt;=1, MINUTE(G157-F157) &amp; ""min"", MINUTE(G157-F157)&amp; ""mins""),"""")))"),"")</f>
        <v/>
      </c>
      <c r="I157" s="96"/>
      <c r="J157" s="18"/>
    </row>
    <row r="158" spans="1:10" ht="12.75">
      <c r="A158" s="512"/>
      <c r="B158" s="511"/>
      <c r="C158" s="512"/>
      <c r="D158" s="511"/>
      <c r="E158" s="511"/>
      <c r="F158" s="473">
        <v>45394.598634259259</v>
      </c>
      <c r="G158" s="124">
        <v>45394.605127314811</v>
      </c>
      <c r="H158" s="96" t="str">
        <f ca="1">IFERROR(__xludf.DUMMYFUNCTION("if(and(G158="""",F158=""""), """", if(G158="""", if(isdate(F158), if(int(now()-F158)&lt;=1, int(now()-F158) &amp; ""day,"", int(now()-F158) &amp;""days,"") &amp; if(int(hour(now()-F158))&lt;=1, int(hour(now()-F158)) &amp; ""hr,"", int(hour(now()-F158)) &amp;""hrs,"") &amp; if(int(MINU"&amp;"TE(now()-F158))&lt;=1, int(MINUTE(now()-F158)) &amp; ""min,"", int(MINUTE(now()-F158)) &amp;""mins""),""""), if(and(isdate(F158),isdate(G158)), if(int(G158-F158)&lt;=1, int(G158-F158) &amp; ""day,"", int(G158-F158)&amp;""days,"") &amp; if(hour(G158-F158)&lt;=1, hour(G158-F158) &amp; ""hr"&amp;","", hour(G158-F158)&amp;""hrs,"") &amp; if(MINUTE(G158-F158)&lt;=1, MINUTE(G158-F158) &amp; ""min"", MINUTE(G158-F158)&amp; ""mins""),"""")))"),"0day,0hr,9mins")</f>
        <v>0day,0hr,9mins</v>
      </c>
      <c r="I158" s="96"/>
      <c r="J158" s="18"/>
    </row>
    <row r="159" spans="1:10" ht="12.75">
      <c r="A159" s="13"/>
      <c r="B159" s="511"/>
      <c r="C159" s="465"/>
      <c r="D159" s="10"/>
      <c r="E159" s="10"/>
      <c r="F159" s="473"/>
      <c r="G159" s="124"/>
      <c r="H159" s="96"/>
      <c r="I159" s="96"/>
      <c r="J159" s="18"/>
    </row>
    <row r="160" spans="1:10" ht="12.75">
      <c r="A160" s="514">
        <v>49</v>
      </c>
      <c r="B160" s="511"/>
      <c r="C160" s="559" t="s">
        <v>3898</v>
      </c>
      <c r="D160" s="514"/>
      <c r="E160" s="514"/>
      <c r="F160" s="473"/>
      <c r="G160" s="124"/>
      <c r="H160" s="96" t="str">
        <f ca="1">IFERROR(__xludf.DUMMYFUNCTION("if(and(G160="""",F160=""""), """", if(G160="""", if(isdate(F160), if(int(now()-F160)&lt;=1, int(now()-F160) &amp; ""day,"", int(now()-F160) &amp;""days,"") &amp; if(int(hour(now()-F160))&lt;=1, int(hour(now()-F160)) &amp; ""hr,"", int(hour(now()-F160)) &amp;""hrs,"") &amp; if(int(MINU"&amp;"TE(now()-F160))&lt;=1, int(MINUTE(now()-F160)) &amp; ""min,"", int(MINUTE(now()-F160)) &amp;""mins""),""""), if(and(isdate(F160),isdate(G160)), if(int(G160-F160)&lt;=1, int(G160-F160) &amp; ""day,"", int(G160-F160)&amp;""days,"") &amp; if(hour(G160-F160)&lt;=1, hour(G160-F160) &amp; ""hr"&amp;","", hour(G160-F160)&amp;""hrs,"") &amp; if(MINUTE(G160-F160)&lt;=1, MINUTE(G160-F160) &amp; ""min"", MINUTE(G160-F160)&amp; ""mins""),"""")))"),"")</f>
        <v/>
      </c>
      <c r="I160" s="96"/>
      <c r="J160" s="18"/>
    </row>
    <row r="161" spans="1:10" ht="12.75">
      <c r="A161" s="512"/>
      <c r="B161" s="511"/>
      <c r="C161" s="512"/>
      <c r="D161" s="511"/>
      <c r="E161" s="511"/>
      <c r="F161" s="473"/>
      <c r="G161" s="124"/>
      <c r="H161" s="96" t="str">
        <f ca="1">IFERROR(__xludf.DUMMYFUNCTION("if(and(G161="""",F161=""""), """", if(G161="""", if(isdate(F161), if(int(now()-F161)&lt;=1, int(now()-F161) &amp; ""day,"", int(now()-F161) &amp;""days,"") &amp; if(int(hour(now()-F161))&lt;=1, int(hour(now()-F161)) &amp; ""hr,"", int(hour(now()-F161)) &amp;""hrs,"") &amp; if(int(MINU"&amp;"TE(now()-F161))&lt;=1, int(MINUTE(now()-F161)) &amp; ""min,"", int(MINUTE(now()-F161)) &amp;""mins""),""""), if(and(isdate(F161),isdate(G161)), if(int(G161-F161)&lt;=1, int(G161-F161) &amp; ""day,"", int(G161-F161)&amp;""days,"") &amp; if(hour(G161-F161)&lt;=1, hour(G161-F161) &amp; ""hr"&amp;","", hour(G161-F161)&amp;""hrs,"") &amp; if(MINUTE(G161-F161)&lt;=1, MINUTE(G161-F161) &amp; ""min"", MINUTE(G161-F161)&amp; ""mins""),"""")))"),"")</f>
        <v/>
      </c>
      <c r="I161" s="96"/>
      <c r="J161" s="18"/>
    </row>
    <row r="162" spans="1:10" ht="12.75">
      <c r="A162" s="13"/>
      <c r="B162" s="511"/>
      <c r="C162" s="465"/>
      <c r="D162" s="10"/>
      <c r="E162" s="10"/>
      <c r="F162" s="473"/>
      <c r="G162" s="124"/>
      <c r="H162" s="96"/>
      <c r="I162" s="96"/>
      <c r="J162" s="18"/>
    </row>
    <row r="163" spans="1:10" ht="12.75">
      <c r="A163" s="514">
        <v>50</v>
      </c>
      <c r="B163" s="511"/>
      <c r="C163" s="559" t="s">
        <v>3899</v>
      </c>
      <c r="D163" s="514"/>
      <c r="E163" s="514"/>
      <c r="F163" s="473"/>
      <c r="G163" s="124"/>
      <c r="H163" s="96"/>
      <c r="I163" s="96"/>
      <c r="J163" s="18"/>
    </row>
    <row r="164" spans="1:10" ht="12.75">
      <c r="A164" s="512"/>
      <c r="B164" s="511"/>
      <c r="C164" s="512"/>
      <c r="D164" s="511"/>
      <c r="E164" s="511"/>
      <c r="F164" s="473">
        <v>45391.495150462964</v>
      </c>
      <c r="G164" s="124">
        <v>45391.501562500001</v>
      </c>
      <c r="H164" s="96" t="str">
        <f ca="1">IFERROR(__xludf.DUMMYFUNCTION("if(and(G164="""",F164=""""), """", if(G164="""", if(isdate(F164), if(int(now()-F164)&lt;=1, int(now()-F164) &amp; ""day,"", int(now()-F164) &amp;""days,"") &amp; if(int(hour(now()-F164))&lt;=1, int(hour(now()-F164)) &amp; ""hr,"", int(hour(now()-F164)) &amp;""hrs,"") &amp; if(int(MINU"&amp;"TE(now()-F164))&lt;=1, int(MINUTE(now()-F164)) &amp; ""min,"", int(MINUTE(now()-F164)) &amp;""mins""),""""), if(and(isdate(F164),isdate(G164)), if(int(G164-F164)&lt;=1, int(G164-F164) &amp; ""day,"", int(G164-F164)&amp;""days,"") &amp; if(hour(G164-F164)&lt;=1, hour(G164-F164) &amp; ""hr"&amp;","", hour(G164-F164)&amp;""hrs,"") &amp; if(MINUTE(G164-F164)&lt;=1, MINUTE(G164-F164) &amp; ""min"", MINUTE(G164-F164)&amp; ""mins""),"""")))"),"0day,0hr,9mins")</f>
        <v>0day,0hr,9mins</v>
      </c>
      <c r="I164" s="96"/>
      <c r="J164" s="18"/>
    </row>
    <row r="165" spans="1:10" ht="12.75">
      <c r="A165" s="13"/>
      <c r="B165" s="511"/>
      <c r="C165" s="465"/>
      <c r="D165" s="10"/>
      <c r="E165" s="10"/>
      <c r="F165" s="473"/>
      <c r="G165" s="124"/>
      <c r="H165" s="96"/>
      <c r="I165" s="96"/>
      <c r="J165" s="18"/>
    </row>
    <row r="166" spans="1:10" ht="12.75">
      <c r="A166" s="514">
        <v>51</v>
      </c>
      <c r="B166" s="511"/>
      <c r="C166" s="559" t="s">
        <v>3900</v>
      </c>
      <c r="D166" s="514"/>
      <c r="E166" s="514"/>
      <c r="F166" s="473"/>
      <c r="G166" s="124"/>
      <c r="H166" s="96" t="str">
        <f ca="1">IFERROR(__xludf.DUMMYFUNCTION("if(and(G166="""",F166=""""), """", if(G166="""", if(isdate(F166), if(int(now()-F166)&lt;=1, int(now()-F166) &amp; ""day,"", int(now()-F166) &amp;""days,"") &amp; if(int(hour(now()-F166))&lt;=1, int(hour(now()-F166)) &amp; ""hr,"", int(hour(now()-F166)) &amp;""hrs,"") &amp; if(int(MINU"&amp;"TE(now()-F166))&lt;=1, int(MINUTE(now()-F166)) &amp; ""min,"", int(MINUTE(now()-F166)) &amp;""mins""),""""), if(and(isdate(F166),isdate(G166)), if(int(G166-F166)&lt;=1, int(G166-F166) &amp; ""day,"", int(G166-F166)&amp;""days,"") &amp; if(hour(G166-F166)&lt;=1, hour(G166-F166) &amp; ""hr"&amp;","", hour(G166-F166)&amp;""hrs,"") &amp; if(MINUTE(G166-F166)&lt;=1, MINUTE(G166-F166) &amp; ""min"", MINUTE(G166-F166)&amp; ""mins""),"""")))"),"")</f>
        <v/>
      </c>
      <c r="I166" s="96"/>
      <c r="J166" s="18"/>
    </row>
    <row r="167" spans="1:10" ht="12.75">
      <c r="A167" s="512"/>
      <c r="B167" s="511"/>
      <c r="C167" s="512"/>
      <c r="D167" s="511"/>
      <c r="E167" s="511"/>
      <c r="F167" s="473"/>
      <c r="G167" s="124"/>
      <c r="H167" s="96" t="str">
        <f ca="1">IFERROR(__xludf.DUMMYFUNCTION("if(and(G167="""",F167=""""), """", if(G167="""", if(isdate(F167), if(int(now()-F167)&lt;=1, int(now()-F167) &amp; ""day,"", int(now()-F167) &amp;""days,"") &amp; if(int(hour(now()-F167))&lt;=1, int(hour(now()-F167)) &amp; ""hr,"", int(hour(now()-F167)) &amp;""hrs,"") &amp; if(int(MINU"&amp;"TE(now()-F167))&lt;=1, int(MINUTE(now()-F167)) &amp; ""min,"", int(MINUTE(now()-F167)) &amp;""mins""),""""), if(and(isdate(F167),isdate(G167)), if(int(G167-F167)&lt;=1, int(G167-F167) &amp; ""day,"", int(G167-F167)&amp;""days,"") &amp; if(hour(G167-F167)&lt;=1, hour(G167-F167) &amp; ""hr"&amp;","", hour(G167-F167)&amp;""hrs,"") &amp; if(MINUTE(G167-F167)&lt;=1, MINUTE(G167-F167) &amp; ""min"", MINUTE(G167-F167)&amp; ""mins""),"""")))"),"")</f>
        <v/>
      </c>
      <c r="I167" s="96"/>
      <c r="J167" s="18"/>
    </row>
    <row r="168" spans="1:10" ht="12.75">
      <c r="A168" s="13"/>
      <c r="B168" s="511"/>
      <c r="C168" s="465"/>
      <c r="D168" s="10"/>
      <c r="E168" s="10"/>
      <c r="F168" s="473"/>
      <c r="G168" s="124"/>
      <c r="H168" s="96"/>
      <c r="I168" s="96"/>
      <c r="J168" s="18"/>
    </row>
    <row r="169" spans="1:10" ht="12.75">
      <c r="A169" s="514">
        <v>52</v>
      </c>
      <c r="B169" s="511"/>
      <c r="C169" s="559" t="s">
        <v>3901</v>
      </c>
      <c r="D169" s="514"/>
      <c r="E169" s="514"/>
      <c r="F169" s="473"/>
      <c r="G169" s="124"/>
      <c r="H169" s="96" t="str">
        <f ca="1">IFERROR(__xludf.DUMMYFUNCTION("if(and(G169="""",F169=""""), """", if(G169="""", if(isdate(F169), if(int(now()-F169)&lt;=1, int(now()-F169) &amp; ""day,"", int(now()-F169) &amp;""days,"") &amp; if(int(hour(now()-F169))&lt;=1, int(hour(now()-F169)) &amp; ""hr,"", int(hour(now()-F169)) &amp;""hrs,"") &amp; if(int(MINU"&amp;"TE(now()-F169))&lt;=1, int(MINUTE(now()-F169)) &amp; ""min,"", int(MINUTE(now()-F169)) &amp;""mins""),""""), if(and(isdate(F169),isdate(G169)), if(int(G169-F169)&lt;=1, int(G169-F169) &amp; ""day,"", int(G169-F169)&amp;""days,"") &amp; if(hour(G169-F169)&lt;=1, hour(G169-F169) &amp; ""hr"&amp;","", hour(G169-F169)&amp;""hrs,"") &amp; if(MINUTE(G169-F169)&lt;=1, MINUTE(G169-F169) &amp; ""min"", MINUTE(G169-F169)&amp; ""mins""),"""")))"),"")</f>
        <v/>
      </c>
      <c r="I169" s="96"/>
      <c r="J169" s="18"/>
    </row>
    <row r="170" spans="1:10" ht="12.75">
      <c r="A170" s="512"/>
      <c r="B170" s="512"/>
      <c r="C170" s="512"/>
      <c r="D170" s="512"/>
      <c r="E170" s="512"/>
      <c r="F170" s="473"/>
      <c r="G170" s="124"/>
      <c r="H170" s="96" t="str">
        <f ca="1">IFERROR(__xludf.DUMMYFUNCTION("if(and(G170="""",F170=""""), """", if(G170="""", if(isdate(F170), if(int(now()-F170)&lt;=1, int(now()-F170) &amp; ""day,"", int(now()-F170) &amp;""days,"") &amp; if(int(hour(now()-F170))&lt;=1, int(hour(now()-F170)) &amp; ""hr,"", int(hour(now()-F170)) &amp;""hrs,"") &amp; if(int(MINU"&amp;"TE(now()-F170))&lt;=1, int(MINUTE(now()-F170)) &amp; ""min,"", int(MINUTE(now()-F170)) &amp;""mins""),""""), if(and(isdate(F170),isdate(G170)), if(int(G170-F170)&lt;=1, int(G170-F170) &amp; ""day,"", int(G170-F170)&amp;""days,"") &amp; if(hour(G170-F170)&lt;=1, hour(G170-F170) &amp; ""hr"&amp;","", hour(G170-F170)&amp;""hrs,"") &amp; if(MINUTE(G170-F170)&lt;=1, MINUTE(G170-F170) &amp; ""min"", MINUTE(G170-F170)&amp; ""mins""),"""")))"),"")</f>
        <v/>
      </c>
      <c r="I170" s="96"/>
      <c r="J170" s="18"/>
    </row>
  </sheetData>
  <mergeCells count="121">
    <mergeCell ref="D169:D170"/>
    <mergeCell ref="E169:E170"/>
    <mergeCell ref="D153:D155"/>
    <mergeCell ref="E153:E155"/>
    <mergeCell ref="D157:D158"/>
    <mergeCell ref="E157:E158"/>
    <mergeCell ref="D160:D161"/>
    <mergeCell ref="E160:E161"/>
    <mergeCell ref="E163:E164"/>
    <mergeCell ref="D61:D64"/>
    <mergeCell ref="E61:E64"/>
    <mergeCell ref="D66:D67"/>
    <mergeCell ref="E66:E67"/>
    <mergeCell ref="E69:E70"/>
    <mergeCell ref="E75:E76"/>
    <mergeCell ref="C92:C94"/>
    <mergeCell ref="C96:C97"/>
    <mergeCell ref="C102:C104"/>
    <mergeCell ref="D122:D123"/>
    <mergeCell ref="E122:E123"/>
    <mergeCell ref="E125:E126"/>
    <mergeCell ref="D125:D126"/>
    <mergeCell ref="D128:D129"/>
    <mergeCell ref="E128:E129"/>
    <mergeCell ref="C115:C116"/>
    <mergeCell ref="C118:C120"/>
    <mergeCell ref="C122:C123"/>
    <mergeCell ref="D69:D70"/>
    <mergeCell ref="D72:D73"/>
    <mergeCell ref="E72:E73"/>
    <mergeCell ref="C75:C76"/>
    <mergeCell ref="D75:D76"/>
    <mergeCell ref="C106:C107"/>
    <mergeCell ref="C109:C110"/>
    <mergeCell ref="C112:C113"/>
    <mergeCell ref="D119:D120"/>
    <mergeCell ref="E119:E120"/>
    <mergeCell ref="A153:A155"/>
    <mergeCell ref="C153:C155"/>
    <mergeCell ref="A157:A158"/>
    <mergeCell ref="A160:A161"/>
    <mergeCell ref="C166:C167"/>
    <mergeCell ref="D131:D132"/>
    <mergeCell ref="E131:E132"/>
    <mergeCell ref="D134:D135"/>
    <mergeCell ref="E134:E135"/>
    <mergeCell ref="D163:D164"/>
    <mergeCell ref="D166:D167"/>
    <mergeCell ref="E166:E167"/>
    <mergeCell ref="C125:C126"/>
    <mergeCell ref="C128:C129"/>
    <mergeCell ref="C131:C132"/>
    <mergeCell ref="C134:C135"/>
    <mergeCell ref="C137:C138"/>
    <mergeCell ref="C157:C158"/>
    <mergeCell ref="C160:C161"/>
    <mergeCell ref="A163:A164"/>
    <mergeCell ref="C163:C164"/>
    <mergeCell ref="B118:B135"/>
    <mergeCell ref="B137:B151"/>
    <mergeCell ref="B153:B170"/>
    <mergeCell ref="A119:A120"/>
    <mergeCell ref="A122:A123"/>
    <mergeCell ref="A125:A126"/>
    <mergeCell ref="A128:A129"/>
    <mergeCell ref="A131:A132"/>
    <mergeCell ref="A134:A135"/>
    <mergeCell ref="A166:A167"/>
    <mergeCell ref="A169:A170"/>
    <mergeCell ref="C169:C170"/>
    <mergeCell ref="C140:C141"/>
    <mergeCell ref="C143:C144"/>
    <mergeCell ref="C146:C147"/>
    <mergeCell ref="A66:A67"/>
    <mergeCell ref="A69:A70"/>
    <mergeCell ref="A72:A73"/>
    <mergeCell ref="A75:A76"/>
    <mergeCell ref="C89:C90"/>
    <mergeCell ref="C99:C101"/>
    <mergeCell ref="C66:C67"/>
    <mergeCell ref="C72:C73"/>
    <mergeCell ref="B78:B97"/>
    <mergeCell ref="C78:C80"/>
    <mergeCell ref="C82:C84"/>
    <mergeCell ref="C86:C87"/>
    <mergeCell ref="B56:B76"/>
    <mergeCell ref="C61:C64"/>
    <mergeCell ref="B99:B116"/>
    <mergeCell ref="C69:C70"/>
    <mergeCell ref="C49:C54"/>
    <mergeCell ref="A56:A59"/>
    <mergeCell ref="C56:C59"/>
    <mergeCell ref="D56:D59"/>
    <mergeCell ref="E56:E59"/>
    <mergeCell ref="C19:C20"/>
    <mergeCell ref="C22:C24"/>
    <mergeCell ref="B31:B54"/>
    <mergeCell ref="C31:C32"/>
    <mergeCell ref="C34:C35"/>
    <mergeCell ref="C37:C38"/>
    <mergeCell ref="C40:C41"/>
    <mergeCell ref="D37:D38"/>
    <mergeCell ref="E37:E38"/>
    <mergeCell ref="D44:D47"/>
    <mergeCell ref="A1:F1"/>
    <mergeCell ref="A2:F2"/>
    <mergeCell ref="A3:F3"/>
    <mergeCell ref="B5:C5"/>
    <mergeCell ref="E5:F5"/>
    <mergeCell ref="E6:F6"/>
    <mergeCell ref="B9:B29"/>
    <mergeCell ref="C43:C47"/>
    <mergeCell ref="B6:C6"/>
    <mergeCell ref="C9:C11"/>
    <mergeCell ref="C13:C14"/>
    <mergeCell ref="C16:C17"/>
    <mergeCell ref="C26:C29"/>
    <mergeCell ref="D31:D32"/>
    <mergeCell ref="E31:E32"/>
    <mergeCell ref="D34:D35"/>
    <mergeCell ref="E34:E35"/>
  </mergeCells>
  <dataValidations count="1">
    <dataValidation type="list" allowBlank="1" showErrorMessage="1" sqref="E9:E31 E33:E34 E36:E37 E39:E56 E60:E61 E65:E66 E68:E69 E71:E72 E74:E75 E77:E119 E121:E122 E124:E125 E127:E128 E130:E131 E133:E134 E136:E153 E156:E157 E159:E160 E162:E163 E165:E166 E168:E169" xr:uid="{00000000-0002-0000-2800-000000000000}">
      <formula1>"Active,Down,Dormant"</formula1>
    </dataValidation>
  </dataValidations>
  <printOptions horizontalCentered="1" gridLines="1"/>
  <pageMargins left="0.7" right="0.7" top="0.75" bottom="0.75" header="0" footer="0"/>
  <pageSetup paperSize="9" fitToHeight="0" pageOrder="overThenDown" orientation="landscape" cellComments="atEnd"/>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H19"/>
  <sheetViews>
    <sheetView workbookViewId="0"/>
  </sheetViews>
  <sheetFormatPr defaultColWidth="12.5703125" defaultRowHeight="15.75" customHeight="1"/>
  <cols>
    <col min="1" max="1" width="7.140625" customWidth="1"/>
    <col min="2" max="2" width="28.42578125" customWidth="1"/>
    <col min="3" max="3" width="19.42578125" customWidth="1"/>
    <col min="4" max="4" width="18.5703125" customWidth="1"/>
    <col min="5" max="5" width="16.140625" customWidth="1"/>
    <col min="6" max="6" width="17.28515625" customWidth="1"/>
    <col min="8" max="8" width="29.85546875" customWidth="1"/>
  </cols>
  <sheetData>
    <row r="1" spans="1:8" ht="15.75" customHeight="1">
      <c r="A1" s="539" t="s">
        <v>3723</v>
      </c>
      <c r="B1" s="517"/>
      <c r="C1" s="517"/>
      <c r="D1" s="517"/>
      <c r="E1" s="517"/>
      <c r="F1" s="517"/>
      <c r="G1" s="517"/>
      <c r="H1" s="517"/>
    </row>
    <row r="2" spans="1:8" ht="15.75" customHeight="1">
      <c r="A2" s="540" t="s">
        <v>3728</v>
      </c>
      <c r="B2" s="517"/>
      <c r="C2" s="517"/>
      <c r="D2" s="517"/>
      <c r="E2" s="517"/>
      <c r="F2" s="517"/>
      <c r="G2" s="517"/>
      <c r="H2" s="517"/>
    </row>
    <row r="3" spans="1:8" ht="15.75" customHeight="1">
      <c r="A3" s="640">
        <f ca="1">NOW()</f>
        <v>46308.848431481485</v>
      </c>
      <c r="B3" s="517"/>
      <c r="C3" s="517"/>
      <c r="D3" s="517"/>
      <c r="E3" s="517"/>
      <c r="F3" s="517"/>
      <c r="G3" s="517"/>
      <c r="H3" s="517"/>
    </row>
    <row r="5" spans="1:8" ht="12.75">
      <c r="A5" s="624" t="s">
        <v>3569</v>
      </c>
      <c r="B5" s="544"/>
      <c r="C5" s="442">
        <v>2</v>
      </c>
      <c r="H5" s="31"/>
    </row>
    <row r="6" spans="1:8" ht="12.75">
      <c r="A6" s="622" t="s">
        <v>3572</v>
      </c>
      <c r="B6" s="544"/>
      <c r="C6" s="443">
        <v>9</v>
      </c>
    </row>
    <row r="8" spans="1:8" ht="25.5">
      <c r="A8" s="127" t="s">
        <v>1466</v>
      </c>
      <c r="B8" s="127" t="s">
        <v>2902</v>
      </c>
      <c r="C8" s="127" t="s">
        <v>3740</v>
      </c>
      <c r="D8" s="127" t="s">
        <v>3742</v>
      </c>
      <c r="E8" s="127" t="s">
        <v>3744</v>
      </c>
      <c r="F8" s="127" t="s">
        <v>3745</v>
      </c>
      <c r="G8" s="127" t="s">
        <v>1473</v>
      </c>
      <c r="H8" s="127" t="s">
        <v>240</v>
      </c>
    </row>
    <row r="9" spans="1:8" ht="12.75">
      <c r="A9" s="542" t="s">
        <v>3567</v>
      </c>
      <c r="B9" s="543"/>
      <c r="C9" s="543"/>
      <c r="D9" s="543"/>
      <c r="E9" s="543"/>
      <c r="F9" s="543"/>
      <c r="G9" s="543"/>
      <c r="H9" s="544"/>
    </row>
    <row r="10" spans="1:8" ht="25.5">
      <c r="A10" s="23">
        <v>1</v>
      </c>
      <c r="B10" s="352" t="s">
        <v>3748</v>
      </c>
      <c r="C10" s="16" t="s">
        <v>3750</v>
      </c>
      <c r="D10" s="23" t="s">
        <v>3751</v>
      </c>
      <c r="E10" s="23"/>
      <c r="F10" s="23"/>
      <c r="G10" s="23" t="s">
        <v>3752</v>
      </c>
      <c r="H10" s="207" t="s">
        <v>3754</v>
      </c>
    </row>
    <row r="11" spans="1:8" ht="25.5">
      <c r="A11" s="23">
        <v>2</v>
      </c>
      <c r="B11" s="352" t="s">
        <v>3755</v>
      </c>
      <c r="C11" s="16" t="s">
        <v>3750</v>
      </c>
      <c r="D11" s="23" t="s">
        <v>3757</v>
      </c>
      <c r="E11" s="23"/>
      <c r="F11" s="23"/>
      <c r="G11" s="23" t="s">
        <v>3752</v>
      </c>
      <c r="H11" s="207" t="s">
        <v>3758</v>
      </c>
    </row>
    <row r="12" spans="1:8" ht="25.5">
      <c r="A12" s="23">
        <v>3</v>
      </c>
      <c r="B12" s="352" t="s">
        <v>3759</v>
      </c>
      <c r="C12" s="16" t="s">
        <v>3750</v>
      </c>
      <c r="D12" s="23" t="s">
        <v>3757</v>
      </c>
      <c r="E12" s="23"/>
      <c r="F12" s="23"/>
      <c r="G12" s="23" t="s">
        <v>3752</v>
      </c>
      <c r="H12" s="207" t="s">
        <v>3761</v>
      </c>
    </row>
    <row r="13" spans="1:8" ht="25.5">
      <c r="A13" s="23">
        <v>4</v>
      </c>
      <c r="B13" s="352" t="s">
        <v>3762</v>
      </c>
      <c r="C13" s="16" t="s">
        <v>3750</v>
      </c>
      <c r="D13" s="23" t="s">
        <v>3757</v>
      </c>
      <c r="E13" s="23"/>
      <c r="F13" s="23"/>
      <c r="G13" s="23" t="s">
        <v>3752</v>
      </c>
      <c r="H13" s="207" t="s">
        <v>3763</v>
      </c>
    </row>
    <row r="14" spans="1:8" ht="12.75">
      <c r="A14" s="23">
        <v>5</v>
      </c>
      <c r="B14" s="352" t="s">
        <v>3764</v>
      </c>
      <c r="C14" s="16" t="s">
        <v>3750</v>
      </c>
      <c r="D14" s="23" t="s">
        <v>3765</v>
      </c>
      <c r="E14" s="23"/>
      <c r="F14" s="23"/>
      <c r="G14" s="23" t="s">
        <v>3766</v>
      </c>
      <c r="H14" s="207"/>
    </row>
    <row r="15" spans="1:8" ht="25.5">
      <c r="A15" s="23">
        <v>6</v>
      </c>
      <c r="B15" s="352" t="s">
        <v>994</v>
      </c>
      <c r="C15" s="16" t="s">
        <v>3750</v>
      </c>
      <c r="D15" s="23" t="s">
        <v>3757</v>
      </c>
      <c r="E15" s="23"/>
      <c r="F15" s="23"/>
      <c r="G15" s="23" t="s">
        <v>3752</v>
      </c>
      <c r="H15" s="207" t="s">
        <v>3758</v>
      </c>
    </row>
    <row r="16" spans="1:8" ht="25.5">
      <c r="A16" s="23">
        <v>7</v>
      </c>
      <c r="B16" s="352" t="s">
        <v>3767</v>
      </c>
      <c r="C16" s="16" t="s">
        <v>3750</v>
      </c>
      <c r="D16" s="23" t="s">
        <v>3757</v>
      </c>
      <c r="E16" s="23"/>
      <c r="F16" s="23"/>
      <c r="G16" s="23" t="s">
        <v>3752</v>
      </c>
      <c r="H16" s="207" t="s">
        <v>3758</v>
      </c>
    </row>
    <row r="17" spans="1:8" ht="12.75">
      <c r="A17" s="639" t="s">
        <v>3769</v>
      </c>
      <c r="B17" s="543"/>
      <c r="C17" s="543"/>
      <c r="D17" s="543"/>
      <c r="E17" s="543"/>
      <c r="F17" s="543"/>
      <c r="G17" s="543"/>
      <c r="H17" s="544"/>
    </row>
    <row r="18" spans="1:8" ht="12.75">
      <c r="A18" s="16">
        <v>8</v>
      </c>
      <c r="B18" s="466" t="s">
        <v>1225</v>
      </c>
      <c r="C18" s="16" t="s">
        <v>3750</v>
      </c>
      <c r="D18" s="16" t="s">
        <v>3765</v>
      </c>
      <c r="E18" s="16"/>
      <c r="F18" s="16"/>
      <c r="G18" s="16" t="s">
        <v>3766</v>
      </c>
      <c r="H18" s="207"/>
    </row>
    <row r="19" spans="1:8" ht="25.5">
      <c r="A19" s="23">
        <v>9</v>
      </c>
      <c r="B19" s="352" t="s">
        <v>3778</v>
      </c>
      <c r="C19" s="16" t="s">
        <v>3750</v>
      </c>
      <c r="D19" s="23" t="s">
        <v>3757</v>
      </c>
      <c r="E19" s="23"/>
      <c r="F19" s="23"/>
      <c r="G19" s="23" t="s">
        <v>3752</v>
      </c>
      <c r="H19" s="207" t="s">
        <v>3758</v>
      </c>
    </row>
  </sheetData>
  <mergeCells count="7">
    <mergeCell ref="A9:H9"/>
    <mergeCell ref="A17:H17"/>
    <mergeCell ref="A1:H1"/>
    <mergeCell ref="A2:H2"/>
    <mergeCell ref="A3:H3"/>
    <mergeCell ref="A5:B5"/>
    <mergeCell ref="A6:B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Sheet17</vt:lpstr>
      <vt:lpstr>Free Wifi Locations</vt:lpstr>
      <vt:lpstr>FW4A Siargao Island - Site Stat</vt:lpstr>
      <vt:lpstr>FW4A Mainland Surigao - Site St</vt:lpstr>
      <vt:lpstr>PICS-Mun Free Wifi Locations</vt:lpstr>
      <vt:lpstr>Health</vt:lpstr>
      <vt:lpstr>Copy of Free Wifi Locations</vt:lpstr>
      <vt:lpstr>Copy of Copy of Free Wifi Locat</vt:lpstr>
      <vt:lpstr>List of Tablets Allocation</vt:lpstr>
      <vt:lpstr>City List of Health Station and</vt:lpstr>
      <vt:lpstr>Letter Request 2024-2025</vt:lpstr>
      <vt:lpstr>Letter Request 2026</vt:lpstr>
      <vt:lpstr>FW4A - Updated SDN Monitoring</vt:lpstr>
      <vt:lpstr>Starlink Locations</vt:lpstr>
      <vt:lpstr>FW4A - SDN PENETRATION</vt:lpstr>
      <vt:lpstr>NMS Credentials</vt:lpstr>
      <vt:lpstr>FW4A - SIARGAO DIVISION</vt:lpstr>
      <vt:lpstr>Graphs of Penetration</vt:lpstr>
      <vt:lpstr>Penetration Rate</vt:lpstr>
      <vt:lpstr>Starlink Data Capping Monitorin</vt:lpstr>
      <vt:lpstr>PMSIL</vt:lpstr>
      <vt:lpstr>PICS-MUN SDN Mainland</vt:lpstr>
      <vt:lpstr>PICS-MUN SDN Siargao</vt:lpstr>
      <vt:lpstr>RIS-WISPS</vt:lpstr>
      <vt:lpstr>RHU and Health Facilities</vt:lpstr>
      <vt:lpstr>Sheet10</vt:lpstr>
      <vt:lpstr>PICS-PP P3</vt:lpstr>
      <vt:lpstr>PIALEOS-Public Schools</vt:lpstr>
      <vt:lpstr>PICS-PP P2</vt:lpstr>
      <vt:lpstr>PICS SUC</vt:lpstr>
      <vt:lpstr>CoRe-FW4A _ UNDP-VSAT</vt:lpstr>
      <vt:lpstr>CoRe-FW4A _ Phase 4</vt:lpstr>
      <vt:lpstr>LGU-Brgy. with GIDA Status</vt:lpstr>
      <vt:lpstr>Copy of CoRe-FW4A _ Phase 4</vt:lpstr>
      <vt:lpstr>SDN_UNDP PHASE 3</vt:lpstr>
      <vt:lpstr>PICS-PP</vt:lpstr>
      <vt:lpstr>AVAILABLE EQUIPMENTS</vt:lpstr>
      <vt:lpstr>MONOPOLE TRACKER</vt:lpstr>
      <vt:lpstr>PDI_VSAT</vt:lpstr>
      <vt:lpstr>PDI_FPW Monitoring</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DICT SDN</cp:lastModifiedBy>
  <dcterms:modified xsi:type="dcterms:W3CDTF">2026-10-13T12:27:44Z</dcterms:modified>
</cp:coreProperties>
</file>